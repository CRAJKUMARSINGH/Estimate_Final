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BUILDING PROJECTS\COMMERCIAL COMPLEX GIRWA PS\"/>
    </mc:Choice>
  </mc:AlternateContent>
  <bookViews>
    <workbookView visibility="hidden" xWindow="-15" yWindow="1680" windowWidth="9570" windowHeight="3105" tabRatio="880" activeTab="2"/>
    <workbookView visibility="hidden" xWindow="0" yWindow="210" windowWidth="9720" windowHeight="6345" tabRatio="922"/>
  </bookViews>
  <sheets>
    <sheet name="gen-abstract" sheetId="21" r:id="rId1"/>
    <sheet name="GF1_ABS" sheetId="5" r:id="rId2"/>
    <sheet name="GF1_MES" sheetId="6" r:id="rId3"/>
    <sheet name="sanitary-abs" sheetId="22" r:id="rId4"/>
    <sheet name="sanitary_MEASUR" sheetId="23" r:id="rId5"/>
    <sheet name="tech report" sheetId="37" r:id="rId6"/>
    <sheet name="joinery shedule" sheetId="14" r:id="rId7"/>
    <sheet name="Sheet11" sheetId="15" r:id="rId8"/>
    <sheet name="Sheet12" sheetId="16" r:id="rId9"/>
    <sheet name="Sheet13" sheetId="17" r:id="rId10"/>
    <sheet name="Sheet14" sheetId="18" r:id="rId11"/>
    <sheet name="Sheet15" sheetId="19" r:id="rId12"/>
    <sheet name="Sheet16" sheetId="20" r:id="rId13"/>
  </sheets>
  <definedNames>
    <definedName name="_xlnm.Print_Area" localSheetId="3">'sanitary-abs'!$A$1:$G$51</definedName>
    <definedName name="_xlnm.Print_Titles" localSheetId="1">GF1_ABS!$4:$4</definedName>
    <definedName name="_xlnm.Print_Titles" localSheetId="2">GF1_MES!$5:$5</definedName>
    <definedName name="_xlnm.Print_Titles" localSheetId="4">sanitary_MEASUR!$4:$4</definedName>
    <definedName name="_xlnm.Print_Titles" localSheetId="3">'sanitary-abs'!$4:$4</definedName>
  </definedNames>
  <calcPr calcId="152511" fullCalcOnLoad="1"/>
</workbook>
</file>

<file path=xl/calcChain.xml><?xml version="1.0" encoding="utf-8"?>
<calcChain xmlns="http://schemas.openxmlformats.org/spreadsheetml/2006/main">
  <c r="K243" i="6" l="1"/>
  <c r="K242" i="6"/>
  <c r="K241" i="6"/>
  <c r="K246" i="6"/>
  <c r="K245" i="6"/>
  <c r="K244" i="6"/>
  <c r="K137" i="6"/>
  <c r="K136" i="6"/>
  <c r="K135" i="6"/>
  <c r="K134" i="6"/>
  <c r="C138" i="6" s="1"/>
  <c r="C237" i="6" s="1"/>
  <c r="K237" i="6" s="1"/>
  <c r="K133" i="6"/>
  <c r="K132" i="6"/>
  <c r="K131" i="6"/>
  <c r="K130" i="6"/>
  <c r="E233" i="6"/>
  <c r="C233" i="6"/>
  <c r="K233" i="6"/>
  <c r="E232" i="6"/>
  <c r="K232" i="6" s="1"/>
  <c r="K234" i="6" s="1"/>
  <c r="C232" i="6"/>
  <c r="A235" i="6"/>
  <c r="K217" i="6"/>
  <c r="C218" i="6"/>
  <c r="D7" i="15"/>
  <c r="D6" i="15"/>
  <c r="C5" i="15"/>
  <c r="D5" i="15" s="1"/>
  <c r="E8" i="15" s="1"/>
  <c r="K185" i="6"/>
  <c r="K184" i="6"/>
  <c r="K183" i="6"/>
  <c r="K182" i="6"/>
  <c r="K181" i="6"/>
  <c r="K180" i="6"/>
  <c r="K179" i="6"/>
  <c r="K178" i="6"/>
  <c r="K177" i="6"/>
  <c r="K176" i="6"/>
  <c r="K175" i="6"/>
  <c r="K174" i="6"/>
  <c r="K173" i="6"/>
  <c r="K172" i="6"/>
  <c r="K171" i="6"/>
  <c r="K170" i="6"/>
  <c r="K169" i="6"/>
  <c r="K168" i="6"/>
  <c r="C214" i="6" s="1"/>
  <c r="C238" i="6" s="1"/>
  <c r="K238" i="6" s="1"/>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57" i="6"/>
  <c r="K156" i="6"/>
  <c r="K155" i="6"/>
  <c r="K154" i="6"/>
  <c r="K153" i="6"/>
  <c r="K152" i="6"/>
  <c r="K151" i="6"/>
  <c r="K150" i="6"/>
  <c r="K149" i="6"/>
  <c r="K148" i="6"/>
  <c r="K147" i="6"/>
  <c r="K146" i="6"/>
  <c r="C158" i="6" s="1"/>
  <c r="C240" i="6" s="1"/>
  <c r="K240" i="6" s="1"/>
  <c r="K145" i="6"/>
  <c r="K144" i="6"/>
  <c r="K143" i="6"/>
  <c r="K142" i="6"/>
  <c r="K141" i="6"/>
  <c r="K140" i="6"/>
  <c r="K164" i="6"/>
  <c r="C166" i="6" s="1"/>
  <c r="G15" i="15"/>
  <c r="G14" i="15"/>
  <c r="G16" i="15" s="1"/>
  <c r="H16" i="15" s="1"/>
  <c r="H5" i="15"/>
  <c r="H4" i="15"/>
  <c r="H3" i="15"/>
  <c r="I3" i="15" s="1"/>
  <c r="J3" i="15" s="1"/>
  <c r="K165" i="6"/>
  <c r="K163" i="6"/>
  <c r="K162" i="6"/>
  <c r="K161" i="6"/>
  <c r="K160" i="6"/>
  <c r="K159" i="6"/>
  <c r="K110" i="6"/>
  <c r="K127" i="6"/>
  <c r="K126" i="6"/>
  <c r="K125" i="6"/>
  <c r="K124" i="6"/>
  <c r="K123" i="6"/>
  <c r="K122" i="6"/>
  <c r="K121" i="6"/>
  <c r="K120" i="6"/>
  <c r="K119" i="6"/>
  <c r="K219" i="6" s="1"/>
  <c r="C9" i="5" s="1"/>
  <c r="G9" i="5" s="1"/>
  <c r="K118" i="6"/>
  <c r="K117" i="6"/>
  <c r="K116" i="6"/>
  <c r="K115" i="6"/>
  <c r="K114" i="6"/>
  <c r="K113" i="6"/>
  <c r="K112" i="6"/>
  <c r="K111" i="6"/>
  <c r="K99" i="6"/>
  <c r="K98" i="6"/>
  <c r="K97" i="6"/>
  <c r="K96" i="6"/>
  <c r="K95" i="6"/>
  <c r="K94" i="6"/>
  <c r="K93" i="6"/>
  <c r="K92" i="6"/>
  <c r="K91" i="6"/>
  <c r="K90" i="6"/>
  <c r="K104" i="6"/>
  <c r="K103" i="6"/>
  <c r="K102" i="6"/>
  <c r="K101" i="6"/>
  <c r="K100" i="6"/>
  <c r="K89" i="6"/>
  <c r="K88" i="6"/>
  <c r="K87" i="6"/>
  <c r="K67" i="6"/>
  <c r="K66" i="6"/>
  <c r="K65" i="6"/>
  <c r="K64" i="6"/>
  <c r="K63" i="6"/>
  <c r="K62" i="6"/>
  <c r="K75" i="6" s="1"/>
  <c r="G77" i="6" s="1"/>
  <c r="K61" i="6"/>
  <c r="K60" i="6"/>
  <c r="K59" i="6"/>
  <c r="K58" i="6"/>
  <c r="K57" i="6"/>
  <c r="K71" i="6"/>
  <c r="K70" i="6"/>
  <c r="K69" i="6"/>
  <c r="K68" i="6"/>
  <c r="K73" i="6"/>
  <c r="K72" i="6"/>
  <c r="K74" i="6"/>
  <c r="K83" i="6"/>
  <c r="K84" i="6"/>
  <c r="C7" i="5"/>
  <c r="G7" i="5" s="1"/>
  <c r="K54" i="6"/>
  <c r="E77" i="6" s="1"/>
  <c r="K77" i="6" s="1"/>
  <c r="I52" i="6"/>
  <c r="H2" i="15"/>
  <c r="K49" i="6"/>
  <c r="K51" i="6"/>
  <c r="C5" i="5"/>
  <c r="G5" i="5"/>
  <c r="K41" i="6"/>
  <c r="K40" i="6"/>
  <c r="K39" i="6"/>
  <c r="D1" i="15"/>
  <c r="K35" i="6"/>
  <c r="K34" i="6"/>
  <c r="K33" i="6"/>
  <c r="K32" i="6"/>
  <c r="K36" i="6" s="1"/>
  <c r="K31" i="6"/>
  <c r="K30" i="6"/>
  <c r="K29" i="6"/>
  <c r="K28" i="6"/>
  <c r="K27" i="6"/>
  <c r="K26" i="6"/>
  <c r="K25" i="6"/>
  <c r="K21" i="6"/>
  <c r="K20" i="6"/>
  <c r="K19" i="6"/>
  <c r="K18" i="6"/>
  <c r="K17" i="6"/>
  <c r="K16" i="6"/>
  <c r="G224" i="5"/>
  <c r="G223" i="5"/>
  <c r="G222" i="5"/>
  <c r="G221" i="5"/>
  <c r="G220" i="5"/>
  <c r="G219" i="5"/>
  <c r="G218" i="5"/>
  <c r="G217" i="5"/>
  <c r="G216" i="5"/>
  <c r="G215" i="5"/>
  <c r="G214" i="5"/>
  <c r="G213" i="5"/>
  <c r="G212" i="5"/>
  <c r="G211" i="5"/>
  <c r="G210" i="5"/>
  <c r="G209" i="5"/>
  <c r="G208" i="5"/>
  <c r="G207" i="5"/>
  <c r="G206" i="5"/>
  <c r="G205" i="5"/>
  <c r="G204" i="5"/>
  <c r="G203" i="5"/>
  <c r="G202" i="5"/>
  <c r="G201" i="5"/>
  <c r="G200" i="5"/>
  <c r="G199" i="5"/>
  <c r="G198" i="5"/>
  <c r="G197" i="5"/>
  <c r="G196" i="5"/>
  <c r="G195" i="5"/>
  <c r="G194" i="5"/>
  <c r="G193" i="5"/>
  <c r="G192" i="5"/>
  <c r="G191" i="5"/>
  <c r="G190" i="5"/>
  <c r="G189" i="5"/>
  <c r="G188" i="5"/>
  <c r="G187" i="5"/>
  <c r="G186" i="5"/>
  <c r="G185" i="5"/>
  <c r="G184" i="5"/>
  <c r="G183" i="5"/>
  <c r="G182" i="5"/>
  <c r="G181" i="5"/>
  <c r="G180" i="5"/>
  <c r="G179" i="5"/>
  <c r="G178" i="5"/>
  <c r="G177" i="5"/>
  <c r="G176" i="5"/>
  <c r="G175" i="5"/>
  <c r="G174" i="5"/>
  <c r="G173" i="5"/>
  <c r="G172" i="5"/>
  <c r="G171" i="5"/>
  <c r="G170" i="5"/>
  <c r="G169" i="5"/>
  <c r="G168" i="5"/>
  <c r="A168" i="5"/>
  <c r="A169" i="5"/>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G167" i="5"/>
  <c r="G166" i="5"/>
  <c r="G165" i="5"/>
  <c r="G164" i="5"/>
  <c r="G163" i="5"/>
  <c r="G162" i="5"/>
  <c r="G161" i="5"/>
  <c r="G160" i="5"/>
  <c r="G159" i="5"/>
  <c r="G158" i="5"/>
  <c r="G157" i="5"/>
  <c r="G156" i="5"/>
  <c r="G155" i="5"/>
  <c r="G154" i="5"/>
  <c r="G153" i="5"/>
  <c r="G152" i="5"/>
  <c r="G151" i="5"/>
  <c r="G150" i="5"/>
  <c r="G149" i="5"/>
  <c r="G148" i="5"/>
  <c r="A148" i="5"/>
  <c r="A149" i="5" s="1"/>
  <c r="A150" i="5" s="1"/>
  <c r="A151" i="5" s="1"/>
  <c r="A152" i="5" s="1"/>
  <c r="A153" i="5" s="1"/>
  <c r="A154" i="5" s="1"/>
  <c r="A155" i="5" s="1"/>
  <c r="A156" i="5" s="1"/>
  <c r="A157" i="5" s="1"/>
  <c r="A158" i="5" s="1"/>
  <c r="A159" i="5" s="1"/>
  <c r="A160" i="5" s="1"/>
  <c r="A161" i="5" s="1"/>
  <c r="A162" i="5" s="1"/>
  <c r="A163" i="5" s="1"/>
  <c r="A164" i="5" s="1"/>
  <c r="A165" i="5" s="1"/>
  <c r="A166" i="5" s="1"/>
  <c r="G147" i="5"/>
  <c r="G146" i="5"/>
  <c r="G145" i="5"/>
  <c r="G144" i="5"/>
  <c r="G143" i="5"/>
  <c r="G142" i="5"/>
  <c r="G141" i="5"/>
  <c r="G140" i="5"/>
  <c r="G139" i="5"/>
  <c r="G138" i="5"/>
  <c r="G137" i="5"/>
  <c r="G136" i="5"/>
  <c r="G135" i="5"/>
  <c r="G134" i="5"/>
  <c r="G133" i="5"/>
  <c r="G132" i="5"/>
  <c r="G131" i="5"/>
  <c r="G130" i="5"/>
  <c r="G129" i="5"/>
  <c r="G128" i="5"/>
  <c r="G127" i="5"/>
  <c r="G126" i="5"/>
  <c r="G125" i="5"/>
  <c r="G124" i="5"/>
  <c r="G123" i="5"/>
  <c r="G122" i="5"/>
  <c r="G121" i="5"/>
  <c r="G120" i="5"/>
  <c r="G119" i="5"/>
  <c r="G118" i="5"/>
  <c r="G117" i="5"/>
  <c r="G116" i="5"/>
  <c r="G115" i="5"/>
  <c r="G114" i="5"/>
  <c r="G113" i="5"/>
  <c r="G112" i="5"/>
  <c r="G111" i="5"/>
  <c r="G110" i="5"/>
  <c r="G109" i="5"/>
  <c r="G108" i="5"/>
  <c r="G107" i="5"/>
  <c r="G106" i="5"/>
  <c r="G105" i="5"/>
  <c r="G104" i="5"/>
  <c r="G103" i="5"/>
  <c r="G102" i="5"/>
  <c r="G101" i="5"/>
  <c r="G100" i="5"/>
  <c r="G99" i="5"/>
  <c r="G98" i="5"/>
  <c r="G97" i="5"/>
  <c r="G96" i="5"/>
  <c r="G95" i="5"/>
  <c r="G94" i="5"/>
  <c r="G93" i="5"/>
  <c r="G92" i="5"/>
  <c r="G91" i="5"/>
  <c r="G90" i="5"/>
  <c r="G89" i="5"/>
  <c r="G88" i="5"/>
  <c r="G87" i="5"/>
  <c r="G86" i="5"/>
  <c r="G85" i="5"/>
  <c r="G84" i="5"/>
  <c r="G83" i="5"/>
  <c r="G82" i="5"/>
  <c r="G81" i="5"/>
  <c r="G80" i="5"/>
  <c r="G79" i="5"/>
  <c r="G78" i="5"/>
  <c r="G77" i="5"/>
  <c r="G76" i="5"/>
  <c r="G75" i="5"/>
  <c r="G74" i="5"/>
  <c r="G73" i="5"/>
  <c r="G72" i="5"/>
  <c r="G71" i="5"/>
  <c r="G70" i="5"/>
  <c r="G69" i="5"/>
  <c r="G68" i="5"/>
  <c r="G67" i="5"/>
  <c r="G66" i="5"/>
  <c r="G65" i="5"/>
  <c r="G64" i="5"/>
  <c r="G63" i="5"/>
  <c r="G62" i="5"/>
  <c r="G61" i="5"/>
  <c r="G60" i="5"/>
  <c r="G59" i="5"/>
  <c r="G58" i="5"/>
  <c r="G57" i="5"/>
  <c r="G56" i="5"/>
  <c r="G55" i="5"/>
  <c r="G54" i="5"/>
  <c r="G53" i="5"/>
  <c r="G52" i="5"/>
  <c r="G51" i="5"/>
  <c r="G50" i="5"/>
  <c r="G49" i="5"/>
  <c r="G48" i="5"/>
  <c r="G47" i="5"/>
  <c r="G46" i="5"/>
  <c r="G45" i="5"/>
  <c r="G44" i="5"/>
  <c r="G43" i="5"/>
  <c r="G42" i="5"/>
  <c r="G41" i="5"/>
  <c r="G40" i="5"/>
  <c r="G39" i="5"/>
  <c r="G38" i="5"/>
  <c r="G37" i="5"/>
  <c r="G36" i="5"/>
  <c r="G35" i="5"/>
  <c r="G34" i="5"/>
  <c r="G33" i="5"/>
  <c r="G32" i="5"/>
  <c r="G31" i="5"/>
  <c r="G30" i="5"/>
  <c r="G29" i="5"/>
  <c r="G28" i="5"/>
  <c r="G27" i="5"/>
  <c r="G26" i="5"/>
  <c r="G25" i="5"/>
  <c r="G24" i="5"/>
  <c r="G23" i="5"/>
  <c r="G22" i="5"/>
  <c r="G21" i="5"/>
  <c r="G20" i="5"/>
  <c r="G19" i="5"/>
  <c r="G18" i="5"/>
  <c r="G16" i="5"/>
  <c r="G15" i="5"/>
  <c r="G13" i="5"/>
  <c r="G12" i="5"/>
  <c r="G11" i="5"/>
  <c r="A1" i="5"/>
  <c r="E225" i="5"/>
  <c r="E226" i="5"/>
  <c r="B227" i="5"/>
  <c r="B228" i="5"/>
  <c r="A229" i="5"/>
  <c r="A232" i="5" s="1"/>
  <c r="E229" i="5"/>
  <c r="E230" i="5"/>
  <c r="E231" i="5"/>
  <c r="A236" i="5"/>
  <c r="A237" i="5"/>
  <c r="A238" i="5" s="1"/>
  <c r="A244" i="5"/>
  <c r="E244" i="5"/>
  <c r="A246" i="5"/>
  <c r="A247" i="5"/>
  <c r="A248" i="5" s="1"/>
  <c r="A249" i="5" s="1"/>
  <c r="A253" i="5"/>
  <c r="C254" i="5"/>
  <c r="G254" i="5" s="1"/>
  <c r="A256" i="5"/>
  <c r="G259" i="5"/>
  <c r="G261" i="5"/>
  <c r="A1" i="6"/>
  <c r="K9" i="6"/>
  <c r="K10" i="6"/>
  <c r="K22" i="6" s="1"/>
  <c r="K11" i="6"/>
  <c r="K12" i="6"/>
  <c r="K13" i="6"/>
  <c r="K14" i="6"/>
  <c r="K15" i="6"/>
  <c r="K38" i="6"/>
  <c r="K42" i="6"/>
  <c r="K43" i="6"/>
  <c r="K44" i="6"/>
  <c r="K45" i="6"/>
  <c r="K255" i="6"/>
  <c r="K256" i="6"/>
  <c r="K257" i="6"/>
  <c r="K258" i="6"/>
  <c r="C259" i="6"/>
  <c r="K259" i="6"/>
  <c r="B260" i="6"/>
  <c r="B312" i="6"/>
  <c r="B261" i="6"/>
  <c r="B314" i="6"/>
  <c r="E261" i="6"/>
  <c r="K261" i="6" s="1"/>
  <c r="B262" i="6"/>
  <c r="B316" i="6" s="1"/>
  <c r="E262" i="6"/>
  <c r="K262" i="6"/>
  <c r="B263" i="6"/>
  <c r="B318" i="6"/>
  <c r="E263" i="6"/>
  <c r="K263" i="6" s="1"/>
  <c r="K264" i="6"/>
  <c r="K274" i="6"/>
  <c r="C281" i="6"/>
  <c r="E281" i="6"/>
  <c r="K281" i="6" s="1"/>
  <c r="K283" i="6" s="1"/>
  <c r="C227" i="5" s="1"/>
  <c r="G227" i="5" s="1"/>
  <c r="C282" i="6"/>
  <c r="K282" i="6"/>
  <c r="E282" i="6"/>
  <c r="B288" i="6"/>
  <c r="B358" i="6" s="1"/>
  <c r="K290" i="6"/>
  <c r="K291" i="6"/>
  <c r="K292" i="6"/>
  <c r="K293" i="6"/>
  <c r="K295" i="6"/>
  <c r="K296" i="6"/>
  <c r="K297" i="6"/>
  <c r="C300" i="6" s="1"/>
  <c r="E468" i="6" s="1"/>
  <c r="K468" i="6" s="1"/>
  <c r="K298" i="6"/>
  <c r="K299" i="6"/>
  <c r="B302" i="6"/>
  <c r="B304" i="6"/>
  <c r="E306" i="6"/>
  <c r="E307" i="6" s="1"/>
  <c r="K307" i="6" s="1"/>
  <c r="K306" i="6"/>
  <c r="C307" i="6"/>
  <c r="E308" i="6"/>
  <c r="K308" i="6" s="1"/>
  <c r="C309" i="6"/>
  <c r="E310" i="6"/>
  <c r="K310" i="6"/>
  <c r="C311" i="6"/>
  <c r="E316" i="6"/>
  <c r="K316" i="6"/>
  <c r="K320" i="6"/>
  <c r="E321" i="6"/>
  <c r="K321" i="6"/>
  <c r="K322" i="6"/>
  <c r="E323" i="6"/>
  <c r="K323" i="6"/>
  <c r="K325" i="6"/>
  <c r="C330" i="6"/>
  <c r="K469" i="6" s="1"/>
  <c r="K326" i="6"/>
  <c r="K327" i="6"/>
  <c r="K328" i="6"/>
  <c r="K329" i="6"/>
  <c r="K335" i="6"/>
  <c r="K336" i="6"/>
  <c r="K337" i="6"/>
  <c r="K338" i="6"/>
  <c r="K352" i="6" s="1"/>
  <c r="K339" i="6"/>
  <c r="K340" i="6"/>
  <c r="K341" i="6"/>
  <c r="K342" i="6"/>
  <c r="K343" i="6"/>
  <c r="K344" i="6"/>
  <c r="K345" i="6"/>
  <c r="K346" i="6"/>
  <c r="K347" i="6"/>
  <c r="K348" i="6"/>
  <c r="K349" i="6"/>
  <c r="K350" i="6"/>
  <c r="K360" i="6"/>
  <c r="K361" i="6"/>
  <c r="K362" i="6"/>
  <c r="K363" i="6"/>
  <c r="K364" i="6"/>
  <c r="B367" i="6"/>
  <c r="C368" i="6"/>
  <c r="K368" i="6"/>
  <c r="K370" i="6"/>
  <c r="C231" i="5" s="1"/>
  <c r="G231" i="5" s="1"/>
  <c r="C369" i="6"/>
  <c r="K369" i="6"/>
  <c r="A371" i="6"/>
  <c r="K382" i="6"/>
  <c r="K383" i="6"/>
  <c r="K384" i="6"/>
  <c r="K385" i="6"/>
  <c r="K390" i="6"/>
  <c r="K394" i="6"/>
  <c r="K396" i="6"/>
  <c r="G397" i="6"/>
  <c r="K395" i="6"/>
  <c r="K402" i="6"/>
  <c r="K406" i="6" s="1"/>
  <c r="K403" i="6"/>
  <c r="K404" i="6"/>
  <c r="K405" i="6"/>
  <c r="B414" i="6"/>
  <c r="C415" i="6"/>
  <c r="K415" i="6" s="1"/>
  <c r="C416" i="6"/>
  <c r="K416" i="6" s="1"/>
  <c r="A420" i="6"/>
  <c r="A426" i="6"/>
  <c r="A432" i="6" s="1"/>
  <c r="A435" i="6" s="1"/>
  <c r="C421" i="6"/>
  <c r="K421" i="6" s="1"/>
  <c r="E421" i="6"/>
  <c r="C422" i="6"/>
  <c r="K422" i="6" s="1"/>
  <c r="C428" i="6"/>
  <c r="K428" i="6" s="1"/>
  <c r="E422" i="6"/>
  <c r="E423" i="6"/>
  <c r="G436" i="6"/>
  <c r="K436" i="6"/>
  <c r="G437" i="6"/>
  <c r="K437" i="6"/>
  <c r="G438" i="6"/>
  <c r="K438" i="6"/>
  <c r="K439" i="6" s="1"/>
  <c r="C238" i="5" s="1"/>
  <c r="G238" i="5" s="1"/>
  <c r="B441" i="6"/>
  <c r="K447" i="6"/>
  <c r="K448" i="6"/>
  <c r="C240" i="5" s="1"/>
  <c r="G240" i="5" s="1"/>
  <c r="K454" i="6"/>
  <c r="K455" i="6" s="1"/>
  <c r="C242" i="5" s="1"/>
  <c r="G242" i="5" s="1"/>
  <c r="A457" i="6"/>
  <c r="A461" i="6"/>
  <c r="A466" i="6"/>
  <c r="A472" i="6"/>
  <c r="A476" i="6"/>
  <c r="A484" i="6" s="1"/>
  <c r="A487" i="6" s="1"/>
  <c r="K458" i="6"/>
  <c r="K459" i="6" s="1"/>
  <c r="G460" i="6"/>
  <c r="K462" i="6"/>
  <c r="K463" i="6"/>
  <c r="C244" i="5" s="1"/>
  <c r="G244" i="5" s="1"/>
  <c r="C478" i="6"/>
  <c r="K478" i="6" s="1"/>
  <c r="G464" i="6"/>
  <c r="K480" i="6"/>
  <c r="E481" i="6"/>
  <c r="K481" i="6"/>
  <c r="K488" i="6"/>
  <c r="K489" i="6"/>
  <c r="C249" i="5"/>
  <c r="G249" i="5" s="1"/>
  <c r="K495" i="6"/>
  <c r="E500" i="6" s="1"/>
  <c r="K500" i="6" s="1"/>
  <c r="C252" i="5" s="1"/>
  <c r="G252" i="5" s="1"/>
  <c r="C250" i="5"/>
  <c r="G250" i="5" s="1"/>
  <c r="A502" i="6"/>
  <c r="K507" i="6"/>
  <c r="K508" i="6"/>
  <c r="K511" i="6"/>
  <c r="C255" i="5" s="1"/>
  <c r="G255" i="5" s="1"/>
  <c r="K509" i="6"/>
  <c r="K510" i="6"/>
  <c r="A513" i="6"/>
  <c r="K513" i="6"/>
  <c r="K514" i="6"/>
  <c r="C256" i="5"/>
  <c r="G256" i="5" s="1"/>
  <c r="K520" i="6"/>
  <c r="K521" i="6"/>
  <c r="C258" i="5" s="1"/>
  <c r="G258" i="5" s="1"/>
  <c r="A1" i="23"/>
  <c r="K6" i="23"/>
  <c r="J6" i="23" s="1"/>
  <c r="A7" i="23"/>
  <c r="J7" i="23"/>
  <c r="K8" i="23"/>
  <c r="J8" i="23" s="1"/>
  <c r="A10" i="23"/>
  <c r="J10" i="23"/>
  <c r="K11" i="23"/>
  <c r="J11" i="23" s="1"/>
  <c r="A13" i="23"/>
  <c r="J15" i="23"/>
  <c r="K16" i="23"/>
  <c r="J16" i="23" s="1"/>
  <c r="J18" i="23"/>
  <c r="J19" i="23"/>
  <c r="K20" i="23"/>
  <c r="J20" i="23" s="1"/>
  <c r="K21" i="23"/>
  <c r="J21" i="23"/>
  <c r="J23" i="23"/>
  <c r="K24" i="23"/>
  <c r="K27" i="23" s="1"/>
  <c r="K25" i="23"/>
  <c r="J25" i="23" s="1"/>
  <c r="K26" i="23"/>
  <c r="J26" i="23" s="1"/>
  <c r="A28" i="23"/>
  <c r="A33" i="23"/>
  <c r="A36" i="23" s="1"/>
  <c r="A40" i="23" s="1"/>
  <c r="J28" i="23"/>
  <c r="J29" i="23"/>
  <c r="K30" i="23"/>
  <c r="K32" i="23" s="1"/>
  <c r="J30" i="23"/>
  <c r="K31" i="23"/>
  <c r="J31" i="23"/>
  <c r="J33" i="23"/>
  <c r="K34" i="23"/>
  <c r="J34" i="23" s="1"/>
  <c r="K35" i="23"/>
  <c r="J35" i="23"/>
  <c r="J36" i="23"/>
  <c r="K37" i="23"/>
  <c r="J37" i="23"/>
  <c r="K38" i="23"/>
  <c r="J38" i="23" s="1"/>
  <c r="J40" i="23"/>
  <c r="K41" i="23"/>
  <c r="J41" i="23" s="1"/>
  <c r="J43" i="23"/>
  <c r="J44" i="23"/>
  <c r="K45" i="23"/>
  <c r="J45" i="23"/>
  <c r="K46" i="23"/>
  <c r="C19" i="22" s="1"/>
  <c r="G19" i="22" s="1"/>
  <c r="J47" i="23"/>
  <c r="J48" i="23"/>
  <c r="K48" i="23"/>
  <c r="K49" i="23"/>
  <c r="C20" i="22" s="1"/>
  <c r="G20" i="22" s="1"/>
  <c r="A50" i="23"/>
  <c r="A53" i="23" s="1"/>
  <c r="A55" i="23" s="1"/>
  <c r="J50" i="23"/>
  <c r="K51" i="23"/>
  <c r="J51" i="23" s="1"/>
  <c r="K52" i="23"/>
  <c r="J52" i="23" s="1"/>
  <c r="J53" i="23"/>
  <c r="K54" i="23"/>
  <c r="J54" i="23" s="1"/>
  <c r="J55" i="23"/>
  <c r="J57" i="23"/>
  <c r="K58" i="23"/>
  <c r="J58" i="23"/>
  <c r="K59" i="23"/>
  <c r="J59" i="23"/>
  <c r="K60" i="23"/>
  <c r="J60" i="23" s="1"/>
  <c r="J61" i="23"/>
  <c r="K62" i="23"/>
  <c r="J62" i="23" s="1"/>
  <c r="K63" i="23"/>
  <c r="J63" i="23" s="1"/>
  <c r="K64" i="23"/>
  <c r="J64" i="23" s="1"/>
  <c r="K65" i="23"/>
  <c r="J65" i="23" s="1"/>
  <c r="J66" i="23"/>
  <c r="K66" i="23"/>
  <c r="K67" i="23"/>
  <c r="J67" i="23" s="1"/>
  <c r="K68" i="23"/>
  <c r="J68" i="23" s="1"/>
  <c r="A69" i="23"/>
  <c r="K69" i="23"/>
  <c r="J69" i="23" s="1"/>
  <c r="J70" i="23"/>
  <c r="K71" i="23"/>
  <c r="J71" i="23" s="1"/>
  <c r="K72" i="23"/>
  <c r="C39" i="22" s="1"/>
  <c r="G39" i="22" s="1"/>
  <c r="A73" i="23"/>
  <c r="K73" i="23"/>
  <c r="C40" i="22" s="1"/>
  <c r="G40" i="22" s="1"/>
  <c r="J73" i="23"/>
  <c r="J74" i="23"/>
  <c r="A75" i="23"/>
  <c r="A81" i="23"/>
  <c r="A82" i="23"/>
  <c r="J75" i="23"/>
  <c r="J76" i="23"/>
  <c r="K77" i="23"/>
  <c r="J77" i="23" s="1"/>
  <c r="K78" i="23"/>
  <c r="J78" i="23" s="1"/>
  <c r="K79" i="23"/>
  <c r="J79" i="23"/>
  <c r="K80" i="23"/>
  <c r="J80" i="23" s="1"/>
  <c r="K82" i="23"/>
  <c r="C43" i="22" s="1"/>
  <c r="G43" i="22" s="1"/>
  <c r="J82" i="23"/>
  <c r="J83" i="23"/>
  <c r="K84" i="23"/>
  <c r="C44" i="22" s="1"/>
  <c r="G44" i="22" s="1"/>
  <c r="A1" i="22"/>
  <c r="G5" i="22"/>
  <c r="A6" i="22"/>
  <c r="A7" i="22" s="1"/>
  <c r="A8" i="22" s="1"/>
  <c r="A9" i="22" s="1"/>
  <c r="A10" i="22" s="1"/>
  <c r="G6" i="22"/>
  <c r="G10" i="22"/>
  <c r="G13" i="22"/>
  <c r="A15" i="22"/>
  <c r="A17" i="22"/>
  <c r="G18" i="22"/>
  <c r="A21" i="22"/>
  <c r="G21" i="22"/>
  <c r="E22" i="22"/>
  <c r="G22" i="22"/>
  <c r="C23" i="22"/>
  <c r="E23" i="22"/>
  <c r="G23" i="22"/>
  <c r="A24" i="22"/>
  <c r="A26" i="22"/>
  <c r="G24" i="22"/>
  <c r="G25" i="22"/>
  <c r="G26" i="22"/>
  <c r="E27" i="22"/>
  <c r="G28" i="22"/>
  <c r="G29" i="22"/>
  <c r="G30" i="22"/>
  <c r="G31" i="22"/>
  <c r="G33" i="22"/>
  <c r="G34" i="22"/>
  <c r="G35" i="22"/>
  <c r="G37" i="22"/>
  <c r="C38" i="22"/>
  <c r="G38" i="22"/>
  <c r="A40" i="22"/>
  <c r="G45" i="22"/>
  <c r="G46" i="22"/>
  <c r="A1" i="37"/>
  <c r="C41" i="22"/>
  <c r="G41" i="22" s="1"/>
  <c r="C36" i="22"/>
  <c r="G36" i="22"/>
  <c r="C15" i="22"/>
  <c r="G15" i="22"/>
  <c r="K81" i="23"/>
  <c r="C42" i="22" s="1"/>
  <c r="G42" i="22" s="1"/>
  <c r="C423" i="6"/>
  <c r="K423" i="6"/>
  <c r="E318" i="6"/>
  <c r="K318" i="6" s="1"/>
  <c r="E311" i="6"/>
  <c r="K311" i="6"/>
  <c r="E260" i="6"/>
  <c r="E312" i="6" s="1"/>
  <c r="K260" i="6"/>
  <c r="J81" i="23"/>
  <c r="C128" i="6"/>
  <c r="C236" i="6" s="1"/>
  <c r="K236" i="6" s="1"/>
  <c r="E317" i="6"/>
  <c r="K317" i="6" s="1"/>
  <c r="K497" i="6"/>
  <c r="C251" i="5"/>
  <c r="G251" i="5" s="1"/>
  <c r="K46" i="6"/>
  <c r="E271" i="6"/>
  <c r="E288" i="6" s="1"/>
  <c r="E517" i="6"/>
  <c r="K517" i="6"/>
  <c r="K518" i="6"/>
  <c r="C257" i="5"/>
  <c r="G257" i="5"/>
  <c r="E252" i="6"/>
  <c r="K252" i="6" s="1"/>
  <c r="E251" i="6"/>
  <c r="E287" i="6" s="1"/>
  <c r="K251" i="6"/>
  <c r="E391" i="6"/>
  <c r="K391" i="6"/>
  <c r="K392" i="6"/>
  <c r="D397" i="6" s="1"/>
  <c r="K397" i="6" s="1"/>
  <c r="K229" i="6"/>
  <c r="C239" i="6"/>
  <c r="K239" i="6" s="1"/>
  <c r="K228" i="6"/>
  <c r="K230" i="6"/>
  <c r="C10" i="5"/>
  <c r="G10" i="5" s="1"/>
  <c r="E304" i="6"/>
  <c r="E305" i="6" s="1"/>
  <c r="K305" i="6" s="1"/>
  <c r="C429" i="6"/>
  <c r="K429" i="6"/>
  <c r="J27" i="23" l="1"/>
  <c r="C12" i="22"/>
  <c r="G12" i="22" s="1"/>
  <c r="K266" i="6"/>
  <c r="G267" i="6" s="1"/>
  <c r="E250" i="6"/>
  <c r="E378" i="6"/>
  <c r="K378" i="6" s="1"/>
  <c r="K380" i="6" s="1"/>
  <c r="D388" i="6" s="1"/>
  <c r="E358" i="6"/>
  <c r="K358" i="6" s="1"/>
  <c r="K288" i="6"/>
  <c r="K424" i="6"/>
  <c r="G399" i="6"/>
  <c r="K247" i="6"/>
  <c r="C17" i="5" s="1"/>
  <c r="G17" i="5" s="1"/>
  <c r="K417" i="6"/>
  <c r="E418" i="6" s="1"/>
  <c r="K418" i="6" s="1"/>
  <c r="C234" i="5" s="1"/>
  <c r="G234" i="5" s="1"/>
  <c r="E313" i="6"/>
  <c r="K313" i="6" s="1"/>
  <c r="K312" i="6"/>
  <c r="E357" i="6"/>
  <c r="K357" i="6" s="1"/>
  <c r="K287" i="6"/>
  <c r="J32" i="23"/>
  <c r="C14" i="22"/>
  <c r="G14" i="22" s="1"/>
  <c r="C243" i="5"/>
  <c r="G243" i="5" s="1"/>
  <c r="C477" i="6"/>
  <c r="K477" i="6" s="1"/>
  <c r="C373" i="6"/>
  <c r="K373" i="6" s="1"/>
  <c r="C229" i="5"/>
  <c r="G229" i="5" s="1"/>
  <c r="K473" i="6"/>
  <c r="K474" i="6" s="1"/>
  <c r="C246" i="5" s="1"/>
  <c r="G246" i="5" s="1"/>
  <c r="D410" i="6"/>
  <c r="E473" i="6"/>
  <c r="E79" i="6"/>
  <c r="K79" i="6" s="1"/>
  <c r="K80" i="6" s="1"/>
  <c r="C6" i="5" s="1"/>
  <c r="G6" i="5" s="1"/>
  <c r="E105" i="6"/>
  <c r="K105" i="6" s="1"/>
  <c r="K107" i="6" s="1"/>
  <c r="C8" i="5" s="1"/>
  <c r="G8" i="5" s="1"/>
  <c r="J84" i="23"/>
  <c r="J49" i="23"/>
  <c r="K39" i="23"/>
  <c r="C374" i="6"/>
  <c r="K374" i="6" s="1"/>
  <c r="K22" i="23"/>
  <c r="K12" i="23"/>
  <c r="C427" i="6"/>
  <c r="K427" i="6" s="1"/>
  <c r="K430" i="6" s="1"/>
  <c r="C236" i="5" s="1"/>
  <c r="G236" i="5" s="1"/>
  <c r="C32" i="22"/>
  <c r="G32" i="22" s="1"/>
  <c r="J46" i="23"/>
  <c r="J24" i="23"/>
  <c r="J72" i="23"/>
  <c r="K9" i="23"/>
  <c r="J9" i="23" s="1"/>
  <c r="K502" i="6"/>
  <c r="C253" i="5" s="1"/>
  <c r="G253" i="5" s="1"/>
  <c r="E275" i="6"/>
  <c r="K275" i="6" s="1"/>
  <c r="K276" i="6" s="1"/>
  <c r="G277" i="6" s="1"/>
  <c r="E309" i="6"/>
  <c r="K309" i="6" s="1"/>
  <c r="K304" i="6"/>
  <c r="K17" i="23"/>
  <c r="K271" i="6"/>
  <c r="K272" i="6" s="1"/>
  <c r="D277" i="6" s="1"/>
  <c r="E314" i="6"/>
  <c r="K42" i="23"/>
  <c r="E319" i="6"/>
  <c r="K319" i="6" s="1"/>
  <c r="C27" i="22"/>
  <c r="G27" i="22" s="1"/>
  <c r="C235" i="5" l="1"/>
  <c r="G235" i="5" s="1"/>
  <c r="C479" i="6"/>
  <c r="K479" i="6" s="1"/>
  <c r="K482" i="6" s="1"/>
  <c r="C433" i="6"/>
  <c r="K433" i="6" s="1"/>
  <c r="C237" i="5" s="1"/>
  <c r="G237" i="5" s="1"/>
  <c r="K277" i="6"/>
  <c r="K278" i="6" s="1"/>
  <c r="J17" i="23"/>
  <c r="C9" i="22"/>
  <c r="G9" i="22" s="1"/>
  <c r="J12" i="23"/>
  <c r="C7" i="22"/>
  <c r="G7" i="22" s="1"/>
  <c r="C13" i="23"/>
  <c r="K13" i="23" s="1"/>
  <c r="C11" i="22"/>
  <c r="G11" i="22" s="1"/>
  <c r="J22" i="23"/>
  <c r="J42" i="23"/>
  <c r="C17" i="22"/>
  <c r="G17" i="22" s="1"/>
  <c r="E302" i="6"/>
  <c r="E286" i="6"/>
  <c r="E265" i="6"/>
  <c r="K265" i="6" s="1"/>
  <c r="K250" i="6"/>
  <c r="K253" i="6" s="1"/>
  <c r="D267" i="6" s="1"/>
  <c r="K267" i="6" s="1"/>
  <c r="C225" i="5" s="1"/>
  <c r="G225" i="5" s="1"/>
  <c r="G263" i="5" s="1"/>
  <c r="G7" i="21" s="1"/>
  <c r="E315" i="6"/>
  <c r="K315" i="6" s="1"/>
  <c r="K314" i="6"/>
  <c r="C16" i="22"/>
  <c r="G16" i="22" s="1"/>
  <c r="J39" i="23"/>
  <c r="K485" i="6" l="1"/>
  <c r="C248" i="5" s="1"/>
  <c r="G248" i="5" s="1"/>
  <c r="C247" i="5"/>
  <c r="G247" i="5" s="1"/>
  <c r="C8" i="22"/>
  <c r="G8" i="22" s="1"/>
  <c r="J13" i="23"/>
  <c r="D16" i="21"/>
  <c r="G16" i="21" s="1"/>
  <c r="G11" i="21"/>
  <c r="G13" i="21"/>
  <c r="G17" i="21" s="1"/>
  <c r="G19" i="21" s="1"/>
  <c r="G47" i="22"/>
  <c r="G9" i="21" s="1"/>
  <c r="E379" i="6"/>
  <c r="K379" i="6" s="1"/>
  <c r="C226" i="5"/>
  <c r="G226" i="5" s="1"/>
  <c r="K286" i="6"/>
  <c r="K331" i="6" s="1"/>
  <c r="C228" i="5" s="1"/>
  <c r="G228" i="5" s="1"/>
  <c r="E356" i="6"/>
  <c r="K356" i="6" s="1"/>
  <c r="K365" i="6" s="1"/>
  <c r="E408" i="6"/>
  <c r="K408" i="6" s="1"/>
  <c r="K409" i="6" s="1"/>
  <c r="G410" i="6" s="1"/>
  <c r="K410" i="6" s="1"/>
  <c r="E303" i="6"/>
  <c r="K303" i="6" s="1"/>
  <c r="K302" i="6"/>
  <c r="E386" i="6" l="1"/>
  <c r="K386" i="6" s="1"/>
  <c r="K387" i="6" s="1"/>
  <c r="G388" i="6" s="1"/>
  <c r="K388" i="6" s="1"/>
  <c r="G412" i="6"/>
  <c r="C230" i="5"/>
  <c r="G230" i="5" s="1"/>
  <c r="C372" i="6"/>
  <c r="K372" i="6" s="1"/>
  <c r="K375" i="6" s="1"/>
  <c r="C232" i="5" s="1"/>
  <c r="G232" i="5" s="1"/>
  <c r="E399" i="6" l="1"/>
  <c r="K399" i="6"/>
  <c r="D412" i="6" l="1"/>
  <c r="K412" i="6" s="1"/>
  <c r="C233" i="5" s="1"/>
  <c r="G233" i="5" s="1"/>
  <c r="K467" i="6"/>
  <c r="K470" i="6" s="1"/>
  <c r="C245" i="5" s="1"/>
  <c r="G245" i="5" s="1"/>
</calcChain>
</file>

<file path=xl/sharedStrings.xml><?xml version="1.0" encoding="utf-8"?>
<sst xmlns="http://schemas.openxmlformats.org/spreadsheetml/2006/main" count="3037" uniqueCount="713">
  <si>
    <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t>
  </si>
  <si>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and Partly Openable (Fixed area not to exceed 33%).</t>
  </si>
  <si>
    <t>Providing  and fixing 20 mm thick terrazzo tile over roofing fixed in cement       mortar 1 : 4.</t>
  </si>
  <si>
    <t>Walls in X direction Except Verandah Walls</t>
  </si>
  <si>
    <t>Walls in Y direction Except Verandah Walls</t>
  </si>
  <si>
    <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 (Partly Fixed Partly Openable)</t>
  </si>
  <si>
    <t xml:space="preserve">P&amp;F beveled edge mirror of special glass of approved make (Atul or equivalent) complete with 6 mm thick Asbestos Cement  sheet ground fixed to wooden screws &amp; washers sizes 600 x 450 mm x 4 mm thick. </t>
  </si>
  <si>
    <t>(A) 1000 (liters capacity).</t>
  </si>
  <si>
    <t>(B) 500 (liters capacity).</t>
  </si>
  <si>
    <t>CHARTERED   ENGINEER,</t>
  </si>
  <si>
    <t>TEJHANS INVESTMENTS, UDAIPUR</t>
  </si>
  <si>
    <t>Verandah Wall of Left Wing</t>
  </si>
  <si>
    <t>Verandah Wall of Right Wing</t>
  </si>
  <si>
    <t>Verandah Wall of Back Wing</t>
  </si>
  <si>
    <t>Verandah Wall of Front Wing</t>
  </si>
  <si>
    <t>PARAPET WALL 230 MM</t>
  </si>
  <si>
    <t>Brick work in superstructure upto 4.5 metre height  above plinth level Cement Mortar 1:6 with bricks are class designation 75.</t>
  </si>
  <si>
    <t>Walls in X direction</t>
  </si>
  <si>
    <t>Walls in Y direction</t>
  </si>
  <si>
    <t>@ 4.15 Kg/m</t>
  </si>
  <si>
    <t>(B) For suspended floors, roofs, landing staircases, landing balconies, girders, cantilevers, bands, copings, bed plates, anchor blocks, sills, chajjas etc.</t>
  </si>
  <si>
    <t>Columns C1</t>
  </si>
  <si>
    <t>Columns C2</t>
  </si>
  <si>
    <t>(C) In Pillars and Columns in First floor</t>
  </si>
  <si>
    <t>(B) In Lintels,  chajjas, Shelves, vertical and horizontal individually or forming  box louvers, bands and facias and fins etc. In First Floor</t>
  </si>
  <si>
    <t>Providing and laying cement concrete and RCC work  including curing, compaction, finishing with rendering in cement sand mortar 1:3 (1 cement , 3 : coarse sand) and making good the joints excluding cost of centering and shuttering and reinforcement. 'M-20 grade mix 1:1.5:3(1:cement, :1.5 coarse Sand: 3 graded stone aggregate 20 mm nominal size). (A) In suspended floors, roofs, girders, cantilevers,  staircases, landings,  balconies,   bands, copings, bed plates, anchor blocks, sill, and beams etc. In First Floor</t>
  </si>
  <si>
    <t>In Rooms</t>
  </si>
  <si>
    <t>Roof Area (103.10x100.20-85.88x79.71)</t>
  </si>
  <si>
    <t xml:space="preserve">Staircase </t>
  </si>
  <si>
    <t>Total Shuttering of sunshades in FF</t>
  </si>
  <si>
    <t>Net qty. in First floor</t>
  </si>
  <si>
    <t>Columns</t>
  </si>
  <si>
    <t xml:space="preserve"> 20 mm thick in cement mortar 1:6 over stone masonry and 20 mm thick in cement mortar 1:6 over brick masonry.</t>
  </si>
  <si>
    <t>Door frames of mild steel selection (EZ-7 Section)</t>
  </si>
  <si>
    <t>35 mm thick fully panelled doors with Assam Teak wood frame with 12 mm thick Shuttering Ply Panels for doors 1005 to 1200 mm wide and for other doors 30 mm thick fully panelled doors with Assam Teak wood frame with 9 mm thick Shuttering Ply Panels.</t>
  </si>
  <si>
    <t xml:space="preserve">Colour washing at  outside, white washing at inside all rooms and ceilings; enamel paints on  wood and steel work. </t>
  </si>
  <si>
    <t>Police Station Building</t>
  </si>
  <si>
    <t xml:space="preserve">Estimate prepared on the basis of PWD B.S.R. -1998. </t>
  </si>
  <si>
    <r>
      <t xml:space="preserve">Estimated cost of work comes to </t>
    </r>
    <r>
      <rPr>
        <b/>
        <sz val="12"/>
        <rFont val="Arial"/>
      </rPr>
      <t>Rs. 20.00 Lacs.</t>
    </r>
    <r>
      <rPr>
        <sz val="12"/>
        <rFont val="Arial"/>
        <family val="2"/>
      </rPr>
      <t xml:space="preserve"> It includes the Prorata charges  @ 13%. </t>
    </r>
  </si>
  <si>
    <t>In Urinals 1200 mm high Dado, in WC's 900 mm High Dado.</t>
  </si>
  <si>
    <t>Ground Floor with  Barrack, Wireless Room, Record Room, SHO Room, IO Room, Malkhana, Office &amp; Male Female lockups, store, staircase 2 toilet blocks. In First floor only head room.</t>
  </si>
  <si>
    <r>
      <t>Plinth Area GF 328 Sqm, FF 10.50 Sqm.</t>
    </r>
    <r>
      <rPr>
        <b/>
        <sz val="12"/>
        <rFont val="Arial"/>
        <family val="2"/>
      </rPr>
      <t xml:space="preserve"> Total 339.50 Sqm</t>
    </r>
  </si>
  <si>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Trap size 150 x 100 mm, 7.20 Kg C.I. cover with frame . Internal chamber size 300 x 300 mm</t>
  </si>
  <si>
    <t>Providing and fixing fully panelled double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</si>
  <si>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Providing and fixing fully panelled Single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Assam teak wood grade I 35 mm thick . 12 mm thick shuttering ply (Kit ply make) both faces panels.</t>
  </si>
  <si>
    <t>Urinal Floor</t>
  </si>
  <si>
    <t>Providing and fixing on wall face Asbestos Cement rain water pipe including jointing with spun yarn soaked in Bitumen and Cement Mortar 1 : 2 ( 1 Cement : 2 Coarse Sand) complete including MS clamp:  100 mm dia.</t>
  </si>
  <si>
    <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 With 75 mm opening when closed.</t>
  </si>
  <si>
    <t>White washing with lime to give an even shade including all scaffolding: New work (two or more coats).</t>
  </si>
  <si>
    <t>GENERAL ABSTRACT OF COST</t>
  </si>
  <si>
    <t>Rs.</t>
  </si>
  <si>
    <t>TOTAL Rs.</t>
  </si>
  <si>
    <t>i.e. on Rs.</t>
  </si>
  <si>
    <t>SAY Rs.</t>
  </si>
  <si>
    <t>ABSTRACT OF COST</t>
  </si>
  <si>
    <t>S.No.</t>
  </si>
  <si>
    <t>Particulars.</t>
  </si>
  <si>
    <t xml:space="preserve">Quantity </t>
  </si>
  <si>
    <t>Rate</t>
  </si>
  <si>
    <t>Unit</t>
  </si>
  <si>
    <t>Amount</t>
  </si>
  <si>
    <t>Cum</t>
  </si>
  <si>
    <t>P Cum</t>
  </si>
  <si>
    <t>Half brick masonry in super structure using bricks of class designation 75 in  Cement Mortar 1:4  ( 1 cement : 4 coarse sand)</t>
  </si>
  <si>
    <t>Sqm</t>
  </si>
  <si>
    <t>P Sqm</t>
  </si>
  <si>
    <t>(B) In Lintels,  chajjas, Shelves, vertical and horizontal individually or forming  box louvers, bands and facias and fins etc.. upto 4.5 m height above plinth level</t>
  </si>
  <si>
    <t>Kg</t>
  </si>
  <si>
    <t>P Kg</t>
  </si>
  <si>
    <t>Providing and fixing square bars or other flat welded to window, ventilators etc.</t>
  </si>
  <si>
    <t>Supplying and fixing wire gauge of 14 mesh x 24 gauge to the metal frame of rolled section by metal beading 20 x 3 mm with suitable screw at not exceeding 150 mm distance.</t>
  </si>
  <si>
    <t>Supplying and fixing in cement mortar welded hand railing made out of MS round or square bars flats. etc. for staircase or verandah as per design complete in all respect (wooden or PVC hand railing to be paid extra) with priming coat of red oxide.</t>
  </si>
  <si>
    <t/>
  </si>
  <si>
    <t>RM</t>
  </si>
  <si>
    <t>P RM</t>
  </si>
  <si>
    <t>Painting with enamel paint of approved brand and manufacture to give an even shade two or more coats on new work.</t>
  </si>
  <si>
    <t xml:space="preserve">Providing brick kharanja in cement sand mortar 1 : 4 in square pattern over roof of ground  floor  75 to 100 mm thick average. </t>
  </si>
  <si>
    <t>Providing batta (gola) 75 mm x 75 mm in cement concrete (1 :2 :4) including finishing with cement mortar 1 : 3 as per standard design.</t>
  </si>
  <si>
    <t xml:space="preserve">Total </t>
  </si>
  <si>
    <t>DETAILS OF MEASUREMENTS</t>
  </si>
  <si>
    <t>S.N.</t>
  </si>
  <si>
    <t>Particulars</t>
  </si>
  <si>
    <t>Nos.</t>
  </si>
  <si>
    <t>Length</t>
  </si>
  <si>
    <t xml:space="preserve">Breadth </t>
  </si>
  <si>
    <t>Height</t>
  </si>
  <si>
    <t>Qty.</t>
  </si>
  <si>
    <t>Units</t>
  </si>
  <si>
    <t>x</t>
  </si>
  <si>
    <t>=</t>
  </si>
  <si>
    <t>Porch</t>
  </si>
  <si>
    <t>Court yard</t>
  </si>
  <si>
    <t>W.C.</t>
  </si>
  <si>
    <t>Total</t>
  </si>
  <si>
    <t>-</t>
  </si>
  <si>
    <t>Gross Qty.</t>
  </si>
  <si>
    <t>+</t>
  </si>
  <si>
    <t>Deductions</t>
  </si>
  <si>
    <t>D2</t>
  </si>
  <si>
    <t>D3</t>
  </si>
  <si>
    <t>W3</t>
  </si>
  <si>
    <t>V1</t>
  </si>
  <si>
    <t>V2</t>
  </si>
  <si>
    <t xml:space="preserve">Lintels </t>
  </si>
  <si>
    <t>Total Deductions</t>
  </si>
  <si>
    <t>D4</t>
  </si>
  <si>
    <t>External plaster</t>
  </si>
  <si>
    <t>Total qty. of  Plaster</t>
  </si>
  <si>
    <t>Sunshades</t>
  </si>
  <si>
    <t>Beams</t>
  </si>
  <si>
    <t>Slabs</t>
  </si>
  <si>
    <t>Cum @</t>
  </si>
  <si>
    <t>Kg/Cum</t>
  </si>
  <si>
    <t>Lintels</t>
  </si>
  <si>
    <t>x(</t>
  </si>
  <si>
    <t>)=</t>
  </si>
  <si>
    <t>@ 1.13 Kg/m</t>
  </si>
  <si>
    <t>20 mm Square bar</t>
  </si>
  <si>
    <t xml:space="preserve">@ </t>
  </si>
  <si>
    <t>Flat 50x5 mm</t>
  </si>
  <si>
    <t>Steps</t>
  </si>
  <si>
    <t>Qty. of Internal Plaster</t>
  </si>
  <si>
    <t>Qty. of Slab shuttering</t>
  </si>
  <si>
    <t>Qty. of External Plaster</t>
  </si>
  <si>
    <t>Qty. of Sunshade shuttering</t>
  </si>
  <si>
    <t>Single Leaf door shutters</t>
  </si>
  <si>
    <t>@</t>
  </si>
  <si>
    <t>Double Leaf door shutters</t>
  </si>
  <si>
    <t>Windows</t>
  </si>
  <si>
    <t>Collapsible shutters</t>
  </si>
  <si>
    <t>Railing</t>
  </si>
  <si>
    <t xml:space="preserve">Qty. of priming </t>
  </si>
  <si>
    <t>Rm.</t>
  </si>
  <si>
    <t>No.</t>
  </si>
  <si>
    <t>Each</t>
  </si>
  <si>
    <t>P &amp; F Flush cock/Flush valve (IS : 9758 Mark) for WC of approved quality make : C.P. Brass concealed 25 mm</t>
  </si>
  <si>
    <t xml:space="preserve">P&amp;F bevelled edge mirror of special glass of approved make (Atul or equivalent) complete with 6 mm thick Asbestos Cement  sheet ground fixed to wooden screws &amp; washers sizes 600 x 450 mm x 4 mm thick. </t>
  </si>
  <si>
    <t>P &amp; F grating of approved/quality make : Cast iron.</t>
  </si>
  <si>
    <t xml:space="preserve">P &amp; F GI Pipes (Internal work) with G.I. fittings (IS : 1239 Mark) &amp; MS clamps, including cutting and making good the wall and floors : </t>
  </si>
  <si>
    <t>A.</t>
  </si>
  <si>
    <t>15 mm dia nominal bore `B’ Class.</t>
  </si>
  <si>
    <t>B.</t>
  </si>
  <si>
    <t xml:space="preserve">25 mm dia nominal bore `B’ Class </t>
  </si>
  <si>
    <t xml:space="preserve">P &amp; F GI Pipes (External work) with G.I. fittings (IS : 1239 Mark) , including  trenching and refilling earth etc. : </t>
  </si>
  <si>
    <t>25 mm dia nominal bore `B’ Class.</t>
  </si>
  <si>
    <t>Making connection of G.I. distribution branch with G.I. main including all fittings . (a) upto 25 mm  dia.</t>
  </si>
  <si>
    <t xml:space="preserve">P/F full way valve (IS:778 Mark) or wheel valve of approved make: gun metal  </t>
  </si>
  <si>
    <t>(A)  15 mm</t>
  </si>
  <si>
    <t>(B) 25 mm</t>
  </si>
  <si>
    <t>P &amp; F PVC Storage Tank confirming to IS standards of approved make with cover, 25 mm dia 1 M long C.I. over flow pipe &amp; 25 cm. long wash out pipe with plug and socket, including making connection, etc. complete of approved design:</t>
  </si>
  <si>
    <t>P &amp; F Ball Cock (IS : 1703 Mark) with Rod &amp; PVC Ball complete :</t>
  </si>
  <si>
    <t>(A)  Brass wt. 400 gram 15 mm.</t>
  </si>
  <si>
    <t>C.</t>
  </si>
  <si>
    <t>D.</t>
  </si>
  <si>
    <t>E.</t>
  </si>
  <si>
    <t>F.</t>
  </si>
  <si>
    <t>G.</t>
  </si>
  <si>
    <t xml:space="preserve">Providing and fixing Spun Cast Iron  (SCI ) Floor Trap (Nahni) of (IS : 3789mark) approved quality /make with socket down or hinged grating including cutting and making good the floor :- size 100x100 mm. </t>
  </si>
  <si>
    <t>(A) Depth upto 0.5 M</t>
  </si>
  <si>
    <t>(B) Depth 0.5 M to 1.0 M</t>
  </si>
  <si>
    <t>Supplying and fixing  C.I. cover with frame, C.I. gratings for chambers &amp; man holes.</t>
  </si>
  <si>
    <t>Kg.</t>
  </si>
  <si>
    <t>P Kg.</t>
  </si>
  <si>
    <t>Providing &amp; laying CC 1 : 5 : 10 (stone aggregate 40 nominal size) all around SW pipe incl. 15cm thick bed concrete as per Rajasthan PWD specifications (width W=dia of pipe in cm + 40 cm ). 100mm dia SW pipe</t>
  </si>
  <si>
    <t>Per Rm.</t>
  </si>
  <si>
    <t xml:space="preserve">G.F. </t>
  </si>
  <si>
    <t xml:space="preserve">P &amp; F GI Pipes (Internal work) with G.I. fittings (IS : 1239 Mark) &amp; MS clamps, including cutting and making good the walls and floors : </t>
  </si>
  <si>
    <t>W.C. Internal plumbing</t>
  </si>
  <si>
    <t>W.B. Internal plumbing</t>
  </si>
  <si>
    <t>Uptake pipes</t>
  </si>
  <si>
    <t>Down take for W.C.</t>
  </si>
  <si>
    <t>Ring main</t>
  </si>
  <si>
    <t>Toilets</t>
  </si>
  <si>
    <t>W.B.</t>
  </si>
  <si>
    <t>G.F. units</t>
  </si>
  <si>
    <t>Tanks</t>
  </si>
  <si>
    <t xml:space="preserve">Horizontal Internal </t>
  </si>
  <si>
    <t>S &amp; F C.I. cover with frame, C.I. gratings for chambers &amp; man holes.</t>
  </si>
  <si>
    <t>Horizontal External</t>
  </si>
  <si>
    <t>PART 'B'  SANITARY &amp; WATER SUPPLY  WORK</t>
  </si>
  <si>
    <t>GRAND TOTAL Rs.</t>
  </si>
  <si>
    <t>W2</t>
  </si>
  <si>
    <t>Staircase</t>
  </si>
  <si>
    <t>Slabs &amp; Beams</t>
  </si>
  <si>
    <t>P &amp; F 15 mm dia. Connection pipe of approved quality / make: PVC pipe 450 mm</t>
  </si>
  <si>
    <t xml:space="preserve">Finishing with  25 mm thick cement plaster on roofs in cement sand mortar 1:4 mix including water proofing compound @ 2% of cement used with neat cement finishing, curing etc. complete in all respects. </t>
  </si>
  <si>
    <t xml:space="preserve">P &amp; F Bib Cock (IS : 8931 Mark) superior quality of approved make : Brass 400 gram 15 mm </t>
  </si>
  <si>
    <t xml:space="preserve">P &amp; F Stop Cock (IS : 8931 Mark) superior quality of approved make : Brass 400 gram 15 mm </t>
  </si>
  <si>
    <t>TOTAL</t>
  </si>
  <si>
    <t>Parapet</t>
  </si>
  <si>
    <t>D6</t>
  </si>
  <si>
    <t>C.C. jali</t>
  </si>
  <si>
    <t>V3</t>
  </si>
  <si>
    <t>Net qty. in Ground floor</t>
  </si>
  <si>
    <t>Total qty. of brick masonry</t>
  </si>
  <si>
    <t>Net qty. of Internal Plaster in FF</t>
  </si>
  <si>
    <t>Net qty. of Internal Plaster in All floors</t>
  </si>
  <si>
    <t>soffits</t>
  </si>
  <si>
    <t>Total FF</t>
  </si>
  <si>
    <t>Staircase flights</t>
  </si>
  <si>
    <t>Staircase landing</t>
  </si>
  <si>
    <t>Total in FF</t>
  </si>
  <si>
    <t>Area Of Shuttering For Slab in FF</t>
  </si>
  <si>
    <t>P &amp; F Indian Type white glazed vitreous china Ist quality WC Orissa Pan (IS : 2556 Mark) with 100 mm vitreous china P or S trap including cutting and making good the wall and floor. Size 580x440 mm</t>
  </si>
  <si>
    <t>Applying priming coat with ready mix pink or Grey primer of approved brand and manufacture on wood work hard and soft wood.</t>
  </si>
  <si>
    <t>Center to center distances</t>
  </si>
  <si>
    <t>15 mm Dai nominal bore `B’ Class.</t>
  </si>
  <si>
    <t xml:space="preserve">25 mm Dai nominal bore `B’ Class </t>
  </si>
  <si>
    <t>25 mm Dai nominal bore `B’ Class.</t>
  </si>
  <si>
    <t>Making connection of G.I. distribution branch with G.I. main including all fittings . (a) upto 25 mm  Dai.</t>
  </si>
  <si>
    <t>P &amp; F PVC Storage Tank confirming to IS standards of approved make with cover, 25 mm Dai 1 M long C.I. over flow pipe &amp; 25 cm. long wash out pipe with plug and socket, including making connection, etc. complete of approved design:</t>
  </si>
  <si>
    <t>Providing &amp; laying CC 1 : 5 : 10 (stone aggregate 40 nominal size) all around SW pipe incl. 15cm thick bed concrete as per Rajasthan PWD specifications (width W=dia of pipe in cm + 40 cm ). 100mm Dai SW pipe</t>
  </si>
  <si>
    <t>P &amp; F 15 mm Dai. Connection pipe of approved quality / make: PVC pipe 450 mm</t>
  </si>
  <si>
    <t>Technical  Report</t>
  </si>
  <si>
    <t xml:space="preserve">1. Name of Work </t>
  </si>
  <si>
    <t>:</t>
  </si>
  <si>
    <t>2. Administrative Sanction</t>
  </si>
  <si>
    <t>3.Location</t>
  </si>
  <si>
    <t xml:space="preserve">4. Specifications </t>
  </si>
  <si>
    <t>The general specifications adopted for the work are in accordance with the P.W.D. detailed specifications.  Brief specifications are narrated below:-</t>
  </si>
  <si>
    <t>I  Foundation concrete</t>
  </si>
  <si>
    <t xml:space="preserve">II Masonry for Foundation </t>
  </si>
  <si>
    <t>Random rubble stone masonry in cement sand mortar 1:6</t>
  </si>
  <si>
    <t>III Damp proof coarse</t>
  </si>
  <si>
    <t>IV Super structure masonry</t>
  </si>
  <si>
    <t>Stone  masonry in cement sand mortar 1:6 walls.</t>
  </si>
  <si>
    <t xml:space="preserve">V Lintels </t>
  </si>
  <si>
    <t>R.C.C. M-15 with M.S. reinforcement.</t>
  </si>
  <si>
    <t xml:space="preserve">VI Partition </t>
  </si>
  <si>
    <t>Bricks class 75 in cement sand mortar 1:4 (115 mm thick)</t>
  </si>
  <si>
    <t>VII  Base of Flooring</t>
  </si>
  <si>
    <t xml:space="preserve">VIII Flooring  </t>
  </si>
  <si>
    <t>Hostel Building</t>
  </si>
  <si>
    <t>(c) White Glazed Tiles</t>
  </si>
  <si>
    <t xml:space="preserve">IX  Plaster </t>
  </si>
  <si>
    <t xml:space="preserve">X Joinery frames </t>
  </si>
  <si>
    <t>XI Door Shutters</t>
  </si>
  <si>
    <t>XII Finishing</t>
  </si>
  <si>
    <t xml:space="preserve">Sanitary work </t>
  </si>
  <si>
    <t>As per P.W.D. specification.</t>
  </si>
  <si>
    <t xml:space="preserve">5. Scope of work </t>
  </si>
  <si>
    <t>6. Basis of Estimate</t>
  </si>
  <si>
    <t>7. Estimated Cost</t>
  </si>
  <si>
    <t>8. Drawings</t>
  </si>
  <si>
    <t>Plan,  elevation &amp; section are enclosed.</t>
  </si>
  <si>
    <t>Plaster on new surface on walls in cement sand mortar 1:6 including raking of joints etc. complete fine finished : 20 mm thick.</t>
  </si>
  <si>
    <t>Colour  washing of all shades to give an even shade including all scaffolding: New work (two or more coats) with a base coat of white washing with lime.</t>
  </si>
  <si>
    <t>(A) 1000 (litres capacity).</t>
  </si>
  <si>
    <t>(B) 500 (litres capacity).</t>
  </si>
  <si>
    <t xml:space="preserve">(A) 110 mm dia. </t>
  </si>
  <si>
    <t>Providing and fixing Unplasticized Poly Vinyl Chloride (UPVC) SWR pipe fittings type B for soil and rain and waste discharge system (IS:13592 : 1992 marked) of approved quality/ make including jointing the pipes complete.</t>
  </si>
  <si>
    <t>110  mm dia. Offset</t>
  </si>
  <si>
    <t>100 mm dia. vent  Cowl</t>
  </si>
  <si>
    <t>110 mm dia. Coupler</t>
  </si>
  <si>
    <t>Court Yard</t>
  </si>
  <si>
    <t>D1</t>
  </si>
  <si>
    <t>Steel Shutter</t>
  </si>
  <si>
    <t>Single Leaf Shutter</t>
  </si>
  <si>
    <t>Double Leaf Shutter</t>
  </si>
  <si>
    <t>D5</t>
  </si>
  <si>
    <t>In 380 mm Wall</t>
  </si>
  <si>
    <t>In Partition Wall</t>
  </si>
  <si>
    <t>Size in MM</t>
  </si>
  <si>
    <t>W1</t>
  </si>
  <si>
    <t>1200x2100</t>
  </si>
  <si>
    <t>1050x2100</t>
  </si>
  <si>
    <t>900x2100</t>
  </si>
  <si>
    <t>750x2100</t>
  </si>
  <si>
    <t>1800x1700</t>
  </si>
  <si>
    <t>1200x1700</t>
  </si>
  <si>
    <t>900x1700</t>
  </si>
  <si>
    <t>Vents</t>
  </si>
  <si>
    <t>600x600</t>
  </si>
  <si>
    <t>900x600</t>
  </si>
  <si>
    <t>1200x600</t>
  </si>
  <si>
    <t xml:space="preserve"> C.C. jali Staircase</t>
  </si>
  <si>
    <t>Wall03</t>
  </si>
  <si>
    <t>GROUND FLOOR  INSIDE PLASTER</t>
  </si>
  <si>
    <t>Ent Hall</t>
  </si>
  <si>
    <t>Providing and laying cement concrete and RCC work  including curing, compaction, finishing with rendering in cement sand mortar 1:3 (1 cement , 3 : coarse sand) and making good the joints excluding cost of centering and shuttering and reinforcement. 'M-15 grade mix 1:2:4(1:cement, :2- coarse Sand: 4- graded stone aggregate 20 mm nominal size). (A) In suspended floors, roofs, girders, cantilevers,  staircases, landings,  balconies,   bands, copings, bed plates, anchor blocks, sill, and beams etc. upto 4.5 m height above plinth level.</t>
  </si>
  <si>
    <t>EXECUTIVE  ENGINEER,</t>
  </si>
  <si>
    <t>P.W.D. Div.- AMET</t>
  </si>
  <si>
    <t>ASSISTANT ENGINEER,</t>
  </si>
  <si>
    <t>P.W.D. Sub Div.- AMET</t>
  </si>
  <si>
    <t xml:space="preserve">Providing and fabrication steel reinforcement for R.C.C. work including cutting, bending, placing in  position and binding complete including cost of binding wire in foundations, Raft footing step Beams base of column etc. upto plinth level. Hot rolled deformed (IS : 1139) cold twisted (IS : 1786) bars. </t>
  </si>
  <si>
    <t xml:space="preserve">Down take </t>
  </si>
  <si>
    <t>110 mm dia. Single 'Y' with Door</t>
  </si>
  <si>
    <t>110 mm dia. Single 'Y'</t>
  </si>
  <si>
    <t>110 mm dia.  door  Bend</t>
  </si>
  <si>
    <t>110 mm dia.   Bend 87.5 degree.</t>
  </si>
  <si>
    <t>Left Line</t>
  </si>
  <si>
    <t>Back Line</t>
  </si>
  <si>
    <t>To Existing ST</t>
  </si>
  <si>
    <t>P &amp; F  1 st quality WVC Urinal (IS: 2556 mark), with 25mm dia G.I. waste pipe, couplings, concealed iron brackets or screws etc. : Flat Back (small) size 456 x 355 X 265 mm.</t>
  </si>
  <si>
    <t>Dismantling stone rubble masonry including stacking of serviceable material and disposal of unserviceable material within 50 m lead; In lime mortar</t>
  </si>
  <si>
    <t>Providing and fixing precast cement concrete coping 1:2:4 mix 50 mm thick complete as per specification 50 mm thick.</t>
  </si>
  <si>
    <t>Providing and fixing precast cement concrete coping 1:2:4 mix 50 mm thick complete as per specification .</t>
  </si>
  <si>
    <t xml:space="preserve">@' 0.25 M per Sqm </t>
  </si>
  <si>
    <t>@' 0.25 M per Sqm of Kharanja</t>
  </si>
  <si>
    <t>Qty. same as Brick Kharanja</t>
  </si>
  <si>
    <t>Construction of Police Station at AMET</t>
  </si>
  <si>
    <t>The proposed Hostels shall be constructed at AMET, Rajsamand</t>
  </si>
  <si>
    <t>P &amp; F square mouth gully trap `A’  grade (IS : marked) of approved make complete with CI grating frame &amp; cover, masonry chamber is CM 1:6, 100 mm thick CC 1:5:10 base concrete 40 mm thick CC M-15 grade coping, 12 mm thick cement plaster in CM 1:3 complete as per approved design and type: Internal chamber size 300 x 300 mm</t>
  </si>
  <si>
    <t>Providing laying and jointing glazed SW pipes Grade `A’ (IS : 651 marked) of approved make with spun yarn &amp; stiff mixture of cement mortar 1:1 excavation and refilling of earth in all types of soil upto 1.2m depth, SW fittings, including testing of joints etc. complete 100 mm dia.</t>
  </si>
  <si>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Dai. earth work etc. Complete as per approved drawing including disposal of surplus earth within a lead of 50 m.</t>
  </si>
  <si>
    <t xml:space="preserve">Providing and fixing Unplasticized Poly Vinyl Chloride (UPVC) SWR pipes type B for soil and rain and waste discharge system (IS:13592 : 1992 marked) of approved quality/ make including jointing the pipes complete. </t>
  </si>
  <si>
    <t xml:space="preserve">P &amp; F WVC wash basin (Ist quality, IS : 2556 Mark) of approved make with C.I. brackets duly painted 1 No. 15 mm C.P. Pillar cock (IS : 8934 Mark) &amp; 32 mm C.P. Brass waste coupling of approved make, 25 mm G.I. waste pipe complete including cutting and making good the wall size 580mmx450mm. </t>
  </si>
  <si>
    <t>P &amp; F Marble Urinal Partition slab both sides polished of approved design cut from marble size 900 X 600mm Makrana 'Adanga' or Raj Nagar 1st quality White or Andhi Indo-Italian marble. Trap size 150 x 100 mm, 7.20 Kg C.I. cover with frame .</t>
  </si>
  <si>
    <t>Construction of manhole in all types of soil inner size 90 x 60 Cm with 300 mm thick masonry in CM 1:6, 10 cm. thick cement concrete 1:5:10 in foundation, 20 mm thick inside plaster in CM 1:6, finished with floating neat cement, 50 mm thick M-15 grade CC  flooring, making channels, 80 mm thick stone slab covering with 40 mm thick M-15 grade C.C. flooring, 25 Kg CI cover with frame of 450 mm dia. earth work etc. Complete as per approved drawing including disposal of surplus earth within a lead of 50 m</t>
  </si>
  <si>
    <t>x'.</t>
  </si>
  <si>
    <t>Cement concrete 1:5:10  , 150 mm thick.</t>
  </si>
  <si>
    <t>75 mm thick P.C.C. M-15.</t>
  </si>
  <si>
    <t xml:space="preserve">100 mm thick in 1:5 :10 mix </t>
  </si>
  <si>
    <t>40 mm thick marble chips flooring.</t>
  </si>
  <si>
    <t>Main Walls</t>
  </si>
  <si>
    <t>Partition Walls</t>
  </si>
  <si>
    <t>Verandah Sum of all walls</t>
  </si>
  <si>
    <t>Second FLOOR  INSIDE PLASTER</t>
  </si>
  <si>
    <t>Jali</t>
  </si>
  <si>
    <t>Net qty. of External Plaster in FF</t>
  </si>
  <si>
    <t>= +</t>
  </si>
  <si>
    <t>Gross qty. of External Plaster (+)</t>
  </si>
  <si>
    <t xml:space="preserve">Polished Blue Kota stone flooring skirting laid over 20 mm thick base CM 1:4 and jointed with Grey cement slurry to match the shade of the slab including rubbing and polishing complete </t>
  </si>
  <si>
    <t>(a) for area of each slab from 901  to 2000 sq. cm 25 mm thick  slab.</t>
  </si>
  <si>
    <t>(b) for area of each slab from 2001  to 5000 sq. cm 25 mm thick  slab.</t>
  </si>
  <si>
    <t>Qty.  10% of total windows area</t>
  </si>
  <si>
    <t>Floor Area (103.10x100.20-85.88x79.71)</t>
  </si>
  <si>
    <t xml:space="preserve">Toilet </t>
  </si>
  <si>
    <t>Laboratory 11 x 5</t>
  </si>
  <si>
    <t xml:space="preserve">Coping FF Parapet  </t>
  </si>
  <si>
    <t>For Columns 2x(245+97)</t>
  </si>
  <si>
    <t>Spreading of hot blown bitumen (IS grade 85/25, 90/25 industrial grade) applied at 175 to 180 C @ rate of 1.75 Kg. per Sqm. complete.</t>
  </si>
  <si>
    <t>Providing, laying and fixing in position RCC Spun or Hume pipe ISI marked with proper joints in required slope, packed in the gasket of hume pipe or spun yarn and neatly finished with rich grout of  cement mortar 1 : 3 ( 1 cement : 3  sand )  and made perfectly air and water tight including testing of joints, for 150 mm Dia. NP3 pipe</t>
  </si>
  <si>
    <t>P&amp;F 1st quality white glazed tiles of approved make and size (Somani, Johnson etc.) 5 mm thick in wall, floors, steps, pillars etc. laid on bed of neat cement slurry finished with flush pointing in white cement (excluding the cost of cement plaster).</t>
  </si>
  <si>
    <t>P &amp; F glass boards</t>
  </si>
  <si>
    <t>NON BSR ITEM</t>
  </si>
  <si>
    <t>NAME OF WORK :- CONSTRUCTION OF COMMERCIAL COMPLEX FOR PANCHAYAT SAMITI GIRWA, UDAIPUR</t>
  </si>
  <si>
    <t>PART 'A'  CIVIL WORK BASEMENT, GROUND FLOOR AND FIRST FLOOR</t>
  </si>
  <si>
    <t>Add @ 5 % for Electric Fixtures On Civil Work Part 'A'</t>
  </si>
  <si>
    <t>Lacs.</t>
  </si>
  <si>
    <t>PART 'C'  ELECTRIC  WORK @ 12% OF Civil Work</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</si>
  <si>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within a lead of 50 meter.  All kinds of soil.</t>
  </si>
  <si>
    <t>Filling available excavated earth (excluding rock) in trenches, plinth side of foundation etc. in layers not exceeding 20 cm. in depth , consolidating  each deposited layer by ramming and watering including lead upto 50Mtr. and lift upto 1.5Mtr.</t>
  </si>
  <si>
    <t>Providing and injection Chloropyrifous Emulsifiable  concentrate 20 % with 1 % concentration for PRE-CONSGTRUCTIONAL Anti termite treatment as per IS 6313 part III and amended from time to time and creating a continous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t>
  </si>
  <si>
    <t>Providing and laying in position cement concrete including curing compaction etc. of specified grade excluding the cost of centering and shuttering =All up to plinth leve 1:4:8 (1Cement :4 Coarse  Sand :8 Graded stone aggregate 40 mm nominal size</t>
  </si>
  <si>
    <t>Providing and laying in position specified grade of reinforcement cement concrete all RCC structural elements upto plinth level  including curing compaction finishing with rendering in cement sand mortar 1:3 ( 1 cement : 3 coarse sand) and making good the joints excluding the cost of centering shuttering and reinforcementlevel. M25 grade Design mix</t>
  </si>
  <si>
    <t xml:space="preserve">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M25 grade Design mix </t>
  </si>
  <si>
    <t>Providing and layin in position specified grade of cement concrete for RCC Structure elements unto floor three level including curing, compaction, finishing with rendering in cement sand mortar 1:3 (1 cement ; 3 coarse sand) and making good the joints excluding the cost of centering shuttering and reinforcement forshuttering and reinforcement : Walls (any thickness) including attached pilasters, buttresses, plinth and string courses, fillets, columns,
pillars, piers, abutments, posts and struts etc. M20 grade Nominal Mix</t>
  </si>
  <si>
    <t>cum</t>
  </si>
  <si>
    <t>beams suspended floors roofs griders having slopes up to 15 digree C, landings balconies shelves chajjas lintels bands plain window sills staircases and spiral staircases  M20 grade nominal mix</t>
  </si>
  <si>
    <t>Centering and shuttering with plywood or steel sheets including strutting, propping, bracing both ways and removal of formwork for foundations in basements rafts, footings, strap beams, bases of columns , etc. up to plinth level.</t>
  </si>
  <si>
    <t>Centering &amp; shuttering with ply wood or steel sheets including shuttering , propping, barcing both waves with widen members and removal of form work up to floor three level for:</t>
  </si>
  <si>
    <t>Providing and fabricating reinforcement for R.C.C. work including straightening, cutting, bending, placing in position and binding (including cost of binding wire) all complete up to floor three level. Tremo Mechanically treated bars</t>
  </si>
  <si>
    <t>Provinding hoisting and fixing up to floor three level precast reinforced concrte work in nominal M20 grade mix including cost of required centering, shuttering finishing smooth with 6 mm thick cement plastr 1:3 ( 1 cement : 3 fine sand) on exposed surface complete excluding cost of reinforcement.Lintels, beams and bressumers including setting in cement mortar 1:3 (1 cement : 3 course sand) aggregate 20mm nominal size.</t>
  </si>
  <si>
    <t>Providing and fixing precast R.C.C.  slab in M15 nominal mix per design unto 30mm thick for shelves etc, including cost of reinforcement consisting of wire of mesh 100x100mmx4mm with fine finish.</t>
  </si>
  <si>
    <t>Brick masonry in foundation and plinth with bricks of class designation 75 in : Cement mortar 1 : 6 (1 cement : 6 coarse sand)</t>
  </si>
  <si>
    <t>Add extra over item No.5.1 for brick work in super structure upto third storey.</t>
  </si>
  <si>
    <t>Half brick masonry in foundation &amp; plinth using bricks of designation 75 in Cement mortar 1 : 4 (1 cement : 4 coarse sand)</t>
  </si>
  <si>
    <t>Add extra over item no 5.8 for half brick masonry in superstructure up to third storey.including cost of hoop reinforcement (2 nos 6 mm dia MS bars at every fourth course</t>
  </si>
  <si>
    <t>Random Rubble stone masonry for foundation and plinth in Cement Sand mortar above 30CM thick wall in: Cement Mortar 1:6 ( 1-Cement : 6-Sand).</t>
  </si>
  <si>
    <t>Supplying  and  fixing  dressed  sand  or  other  approved  stone  shelves,  tands  in  cement mortar 1:3 with fine dressed edges :</t>
  </si>
  <si>
    <t>35mm thick.</t>
  </si>
  <si>
    <t>50mm thick.</t>
  </si>
  <si>
    <t>Supplying and fixing in walls machine cut and polished stone shelves, tands and sills in CM 1:3 with machine cut edges : Kota Stone 25 to 30 mm thick.</t>
  </si>
  <si>
    <t>Marble stone flooring table rubbed, 18 mm thick over 20mm (Av.) thick base of CM 1:4 (1 cement : 4 coarse sand) jointing with white cement mortar 1:2 (1 white cement : 2 marble dust) with pigment to match the shade of the marble slab including grinding, rubbing and polishing complete.</t>
  </si>
  <si>
    <t>Rajnagar 1st quality with light spots. 1501 Cm2 to 3600 Cm2 Tiles</t>
  </si>
  <si>
    <t>Kesriaji (Rikhabdeo).1501 cm2 to 3600 cm2 tiles</t>
  </si>
  <si>
    <t>Add extra for doing mirror polishing.</t>
  </si>
  <si>
    <t xml:space="preserve">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 Green / Black / Other granite 1501 Cm2 to 3600 Cm2 Tiles. </t>
  </si>
  <si>
    <t xml:space="preserve">Providing and fixing Ist quality standard White Ivory Glazed Tiles ISI marked [IS:13753] of size 300mm x 200mm in walls, floors, steps, pillars etc. laid on a bed of neat cement slurry finished with flush pointing in white cement mixed with pigment to match the shade of tile complete (excluding the cost of cement plaster).  Category-I : Kajariya, Jhonson, Somani make etc. </t>
  </si>
  <si>
    <t>Providing and fixing Ist quality MAT finished ceremic tile size 300x300mm confirming to IS : 13753 colour such as white, grey, ivory, fume red brown in walls, floors, steps, pillars etc. laid on a bed of neat cement slsurry including nicely finished joints using water proof joint filler power (Untile or Roffe make) and finishing with flush pointing in white cement mixed with pigment to match the shade of tile complete (excluding the cost of cement plaster).  Category A: Kajaria, Jhonson,Somani make etc.</t>
  </si>
  <si>
    <t>sqm</t>
  </si>
  <si>
    <t>Extra for providing edge moulding (Full) to      18 mm thick marble stone counters, vantities etc. over item No. 7.1 &amp; 7.2 including machine polishing to edge to give high gloss finish etc. complete as per design approved by Engineer-in-Charge.</t>
  </si>
  <si>
    <t>Marble work</t>
  </si>
  <si>
    <t>Mtr</t>
  </si>
  <si>
    <t>Granite work.</t>
  </si>
  <si>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</si>
  <si>
    <t>Other Fitting. Providing and Fixing hydraulic door closure ISI marked.</t>
  </si>
  <si>
    <t>Providing and fixing external grade board solid core single leaf flush door shutters ISI 2202-67 marked using Phenol formal, dehydreresin in glue both sides with approved steel fittings complete as per Annexure ‘A’ 35 mm thick shutter,commercial veneer both side</t>
  </si>
  <si>
    <t xml:space="preserve">Add extra for Flush doors For External Teak Wood Lipping on flush doors 35mm x6mm </t>
  </si>
  <si>
    <t>R mtr</t>
  </si>
  <si>
    <t>Providing and fixing pressed steel mitred door frames manufactured from commercial mild steel sheet of 1.25 mm (16 gauge) thickness including hinges jamb, lock jamb, head and if required angle threshold of mild steel angle of section 50x25mm, or base ties of 1.25 mm pressed mild steel welded or rigidly fixed together by mechanical means, adjustable lugs with split end tail to each jamb including steel butt hinges 2.5 mm thick with mortar guards, lock strike-plate and shock absorbers as specified and applying a coat of approved steel primer after pre-treatment of the surface as directed by Engineer-in-charge. Profile 'C'</t>
  </si>
  <si>
    <t>Supply and fixing in cement mortar welded hand railing made out of M.S. round or square bars, flats etc. for staircase or verandah as per design complete in all respect (wooden or PVC hand railing to be paid extra) with priming coat of red oxide.</t>
  </si>
  <si>
    <t>Providing &amp; fixing steel glazed doors, windows and ventilators shutters of standred rolled steel section joint mitred and welded with steel 13x3mm lugs 10 Cm. long embedded in cement concrete blocks 15x10x10 Cm. of 1:3:6 (1-Cement:3-coarse sand:6-graded stone aggregate 20 mm nominal size) or with wooden plugs and screws or rawl plugs and screws or with fixing clips or with bolts and nuts as required, including providing and fixing of plain glass panes 4mm thick with copper glazing clips and special metal-sash putty of approved make, or metal beading with screws complete including priming coat of approved steel primer, excluding the cost of metal beading and other fittings except necessary hinges of pivots steel handles and peg stay etc. as required. Patially fixed and partially openable fixed area not exceed 33%</t>
  </si>
  <si>
    <t>Supplying and fixing fixed wire gauge of 14 mesh x 24 gauge to the metal frame of rolled section by metal beading 20x3mm with suitable screw at not exceeding 150 mm distance.</t>
  </si>
  <si>
    <t>Providing and fixing Square bars or other flat welded to window, ventilators etc.</t>
  </si>
  <si>
    <t>Providing batta (gola) 75mm x 75mm in cement concrete (1:2:4) including finished with cement mortar 1:3 as per standard design.</t>
  </si>
  <si>
    <t>Making khurras 450 x 450mm with average minimum thickness 50 mm cement concrete 1:2:4 over P.V.C. Sheet 1 Mtr. x 1 Mtr. x 40 micron finished with 12 mm cement plaster 1:3 and one coat of neat cement, rounding edges and making and finishing the out let complete.</t>
  </si>
  <si>
    <t>Providing &amp; laying broken glazed titles on roof ( broken glazed tiles  not less than 9 Kg/Sqm) on top of hot bitumen @ 1.7 Kg/Sqm. (1.40 Kg of  VG-40 (30/40 )grade and 0.30 Kg/Sqm. Of  VG-10 (80/100) grade) and joints filled with cement mortar 1 :2 (1 cement:2 marble dust mixed with water proofing compund all complete as per direction of Engineer-in-charge.</t>
  </si>
  <si>
    <t>Providing and Fixing at all height all false ceiling of 12.5 mm thick tapered edge Gypsum board conforming to IS : 2095 including providing and fixing of frame work made of special section power pressed from M.S. sheet and galvanized in accordance with zine coating 600 as per IS : 277 and consisting of angle cleats of thick 25 mm wide x 16 mm thick with flanges of 22 mm and 37 mm at 1200 mm center to center one flange fixed to the ceiling with dash fastner 12.5 mm dia x 40 mm long with 6 mm dia bolts to the hangers of 25x25x5mm of required length, and other end of angle hanger being fixed with nut and bolts to G.I. channels 45 mm x 15 mm x 0.9 mm running at the rate of 1200 mm center to center to which the ceiling section 0.5 mm thick bottom wedge of 80 mm with tapered flanges of 26 mm each having clips of 10.5 mm at 450 mm center to center shall be fixed in a direction perpendicular to G.I. channel with connecting clips made out of 2.64mm dia x 230mm long  G.I. wire at every junction including fixing the gypsum board with ceiling section and perimeter channels 0.5mm thick 27 mm high having flanges of 20 mm and 30 mm long, the perimeter of ceiling fixed to wall / partition with the help of rawl plugs at 450 mm center to center with 25 mm long drive-all screws @ 230mm interval including jointing and fixing to a flush finish of tapered and square edges of gypsum board with recommended filler paper tapes, finisher and two coats of primer suitable for gypsum board as per manufactures specifications and also including the cost of making openings for right fittings, grills, diffusers, cutouts made with frame of perimeter channels suitably fixed all complete as per drawing and specifications and direction of the Engineer-in-charge but the excluding the cost of painting.</t>
  </si>
  <si>
    <t xml:space="preserve">Filling of sunk portion of roof with earthen pots of required height including filling voids with 1:2:4 light concrete, using brick bats complete leveling  and dressing the surface by 50mm thick cement concrete 1:2:4 as per specification. </t>
  </si>
  <si>
    <t>Providing and laying Chequerred plain cement concrete embossed specially manufactured non-slipping tiles of approved make 20 mm thick laid on 20 mm thick bed of cement mortar 1:6 jointed with neat cement slurry complete.</t>
  </si>
  <si>
    <t>Polished Blue Kota Stone flooring skirting, laid over 20 mm thick base of C.M. 1:4 and jointed with grey cement slurry to match the shade of the slab including rubbing and polishing complete : For area of each slab up to 2001 to 5000  Sq. Cm : (A) 25 mm thick slab.</t>
  </si>
  <si>
    <t>Polished Blue Kota Stone slab in steps, walls, pillars having fine machine cut edges laid on 12mm (Av.) thick cement mortar 1:3 and jointed with grey cement slurry mixed with pigment to match the shade of the slab, including rubbing and polishing complete : 25 mm thick slab area upto 901 to 2000  Sq.Cm.</t>
  </si>
  <si>
    <t>Random rubble dry stone Kharanja under floor.</t>
  </si>
  <si>
    <t>Applying plaster of Paris or lime putty sandala (Bhilwara Practice) over cement plaster surface for making even surface.</t>
  </si>
  <si>
    <t>Plaster on new surface on walls in cement sand mortar 1:6 including racking of joint etc. complete fine finished:  20 mm thick.</t>
  </si>
  <si>
    <t>Add extra over item No. 12.1 to 12.12 for plaster work on exterior wall of height more than 4.5M. from plinth level of every additional height of 4.5 Mtr. or part thereof.</t>
  </si>
  <si>
    <t>Making grooves as per design in plaster 10mm to 20mm wide.</t>
  </si>
  <si>
    <t>rmt</t>
  </si>
  <si>
    <t xml:space="preserve">Providing and applying white cement based putty  over plastered surface to prepare the surface even and smooth complete  </t>
  </si>
  <si>
    <t xml:space="preserve">Distempering with 1st quality acrylic washable distemper (ready mixed) of approved manufacturer and of required shade and colour completeincluding all scaffolding as per manufacturer's specification. 
Two or more coats on new work  including prepartion of base with primer, putty, lippy etc complete in all respect.  </t>
  </si>
  <si>
    <t>Painting exterior surface of  Wall  with 100% acrylic exterior paint of approved brand and manufacture to give an even shade with two or more coats including prepartion of base with sand papering, primer, putty,  etc complete in all respect. New Work</t>
  </si>
  <si>
    <t>Applying priming coat:  With ready mix pink or gray primer of approved brand and manufacture on wood work hard and soft wood.</t>
  </si>
  <si>
    <t>Painting with enamel paint of approved brand and manufacture to give an even shade:  Two or more coats on new work.</t>
  </si>
  <si>
    <t>Providing &amp; fixing precast cement concrete coping 1:2:4 mix 50 mm thick complete as per specification :   --50mm--</t>
  </si>
  <si>
    <t>Grading roof water proofing treatment with : Cement concrete 1:2:4 (1-Cement:2-coarse sand :4-graded stone aggregate 20mm nominal size).with water proofing compound as per manufacturers specification</t>
  </si>
  <si>
    <t xml:space="preserve">Providing and fixing expansion joint board for building RCC column beams, walls, slab of Polyethylene foam of density 30 to 35 Kg/m3 of Armour Board. 40 mm Thick </t>
  </si>
  <si>
    <t xml:space="preserve">Providing and fixing 150 mm wide sheet covering over expansion joints with iron screws as per design to match the colour / shade  of  wall treatment.       Aluminum fluted strips 2 mm thick       </t>
  </si>
  <si>
    <t>Providing and fixing in CM 1:4 double paitam (rebated) stone door window and ventilator frames of approved quarry : Size 125 x 75mm.</t>
  </si>
  <si>
    <t>Providing and laying water proofing treatment to vertical and horizontal surface of depressed portions of W.C. kitchen and the like consisting of.
1st course of applying cement slurry @ 4.4 Kg./sqm' mixed with water proofing compound 'Impermo' of Snowcem or equivalent conforming to IS : 2645 in recommended proportions.
IInd course of 20mm cement plaster 1:3 (1-Cement:3-coarse sand) mixed with water proofing compound in recommended proportion.
IIIrd course of applying blown or residual bitumen applied hot a 1.7 Kg. Sqm. of area.
Ivth course of 400 micron thick PVC sheet (Overlaps at joints of PVC sheet should be 100mm wide and pasted to each other with bitumen @ Kg/Sam.).</t>
  </si>
  <si>
    <t>P&amp;F APP (Atactic Polypropylene Polymer) modified free fabricated five layer 2mm thick water proofing membrance, black finished reinforced with glass fibre matt manufactured by Bitumat Company Ltd. Soprema or Tamkoj, consisting of a coat of bitumen primer for bitumen mebrance @ 0.40 Qtl/ sqm by the sub-membrance manufactured of density of 25 degree C, 0.87-0.89Kg/ ltr and viscosity 70-160 CPS over the primer coat the layer of membrance shall be laid using butancetorch also sealing all joints etc. and preparing the surface complete. The vital physically and chemical parameters of the mebrance shall be as under- Joint strength in longitudinal and transverse direction at 23 degree C as 350/300 N/5cm. Tear strength in longitudinal and transverse direction as 60/80N. Softening point of membrane not less than 150 Degree C. Cold flexibility shall be upto 2 C when tested in accordance with ASTM, D-5147 (The laying of mebrane shall be got done through the authorized applicator of the manufacture of membrane). 2mm (for corrugated roof sheets)</t>
  </si>
  <si>
    <t>Extra for covering top membrane with Geotextile, 120gsm non woven, 100 % polyester of thickness 1 to 1.25mm bonded to the membrane with intermittent touch by heating the membrane by Butane Torch as per manufactures recommendation [for Item No. 15.53 to 15.55].</t>
  </si>
  <si>
    <t xml:space="preserve">Providing &amp; fixing anodizing alumium work (Anodizing to be got done from approved Anodizer) for doors, windows, ventilators and partition with extruded built up standard tubular and other sections of approved make confirming to IS : 733 and IS : 1285 anodised transparent 81 dyed to required shade according to IS : 1868 (Minimum anodic coating of grade AC 15), fixed with rawl plugs and screws or with fixing clips or with expansion hold fasteners including necessary filling up of gas at junctions, at top, bottom and sides with required PVC/neoprene felt etc. Aluminium section shall be smooth, rust free, straight, mitred and jointed mechanically wherever required inlcuding cleat angle Aluminum snap beading for glazing/paneling, C.P. Brass/ Stainless Steel screws, Al. Tower bolt &amp; Al. handle &amp; Al. Aldrop etc. all complete as per architectural drawings and the directions of Engineer-in-charge. (Glazing and peneling to be paid for separately).  </t>
  </si>
  <si>
    <t xml:space="preserve">For Fixed portion </t>
  </si>
  <si>
    <t>For shutters of doors, windows &amp; ventilators incl. providing and fixing hinges/ rollers etc. and making provision for fixing of fittings wherever reqd. (lockes shall be paid for separately).</t>
  </si>
  <si>
    <t>Providing and Fixing 12mm thick prelaminated three layer medium density (exterior grade) particle bonded formaldehyde synthetic resin of approved brand and manufacture in paneling fixed in aluminium doors, windows/ stainless steel screws etc. complete as per architectural drawings and direction of engineer-in-charge. Pre-laminated particle board with decorative lamination on both side.</t>
  </si>
  <si>
    <t>Providing and fixing glazing in aluminium door, window, vintilator shutters and partitions etc. with PVS/ neoprene gasket etc. complete as per the architectural drawings and the directions of engineer-in-charge (Cost. of aluminium snap beading shall be paid in basic item.) with glass panes of 5.0mm thickness (weight not less than 13.75 Kg/Sqm) as per IS : 2835</t>
  </si>
  <si>
    <t>P&amp;F double action hydraulic floor spring of approved brand and manufacture to aluminium door shutter confirming to IS : 6315 incl. costof cutting floors as reqd. embedding in floor and cover plate etc. complte as per direction of Engineer in charge. Approved brand like Hardwin Euro superior quality or equivalent for extra heavy doors.</t>
  </si>
  <si>
    <t>P&amp;F expanded grill made of anodised aluminium as per desing and drawing having members section of size 7.5mm x 6.0mm and opening of size 102mm x 99mm to aluminium window/ vent with reqd. screws, Y and H aluminium sec (as per drawing) at the ends and middle joints respectively complete in all respect as per direction of engineer in charge.</t>
  </si>
  <si>
    <t>Providing and fixing brass lock without handle for aluminium door, or approved quality, make &amp; design as directed by Engineer inc harge</t>
  </si>
  <si>
    <t>Polyester powder coating and electro colouring in various colour and shade approved by Engineer incharge (for item No.16.1.1) Section 63.00 x 38.00mm</t>
  </si>
  <si>
    <t>Rmt</t>
  </si>
  <si>
    <t xml:space="preserve">Polyster powder coating and electro colouring in various and shade approved by Engineer-in-charge </t>
  </si>
  <si>
    <t>S &amp; F fixed wire gauge of stainless steel of 14 mesh x 24 gauge to the aluminimum window by Aluminium beading 20x3mm with suitable screws at not exceeding 150 mm distance at all heights with all lead and left with scafolding</t>
  </si>
  <si>
    <t>Providing and fixing expansion joint board for building RCC column beams, walls, slab of Polyethylene foam of density 30 to 35 Kg/m3 of Armour Board. 20 mm thick</t>
  </si>
  <si>
    <t>Providing and fixing in position copper plate as per design for expansion joints.</t>
  </si>
  <si>
    <t>Providing and fixing Aluminium sheet 2.00 mm thick and 150 mm wide over expansion joint with fixing rowl plug and aluminium screws as per designs to match the colour shade of the distemper or wall treatment.</t>
  </si>
  <si>
    <t>6 mm cement plaster to ceiling of mix 1 : 3 ( 1 cement : 3 fine - sand )</t>
  </si>
  <si>
    <t>P &amp; F Indian type white glazed vitreous china Ist quality W.C. orissa pan (IS:2556 Mark) with 100 mm vitreous china P or S trap including cutting and making good the wall and floor : Size 580x440 mm.</t>
  </si>
  <si>
    <t>P&amp;F European type white glazed vitreous china 1st quality WC pan (IS:2556 Mark) with P or S trap including cutting and making good the wall and floor.</t>
  </si>
  <si>
    <t>P&amp;F water closet Seat Covers with brass hinges complete : Solid PVC (ISM marked) grade-I White for EWC.</t>
  </si>
  <si>
    <t>P &amp; F Ist quality WVC Urinal (IS:2556 mark) with 25 mm dia G.I. waste pipe, dome couplings, concealed iron brackets or screws etc. complete. Flat Back (large) or half stall size 610x400x80mm.</t>
  </si>
  <si>
    <t>P &amp; F W.V.C. Urinal Partition plate of approved standard make of size 630x315 mm including making good the wall.</t>
  </si>
  <si>
    <t>P &amp; F W.V.C. Half-Round Channel of approved make in C.M.1:3 joints finished in white cement of : Size 100 mm dia.</t>
  </si>
  <si>
    <t>P&amp;F Low level Flushing Cistern of 10 liters capacity (IS:2556 mark) of approved make with complete fittings C.I. brackets duly painted, brass ball cock with ball (IS: 1703 mark) complete including cutting and making good the wall. PVC with PVC bend as per IS:7231</t>
  </si>
  <si>
    <t>P &amp; F C.P. brass Urinal Flush pipe set complete with flanged brackets of approved make. For 3 Urinals.</t>
  </si>
  <si>
    <t xml:space="preserve">P &amp; F C.I. brackets duly painted including cutting &amp; making good the wall. </t>
  </si>
  <si>
    <t>P&amp;F WVC wash basin (1st quality IS:2556 Mark) of approved make with C.I. brackets duly painted, I No. 15mm C.P. Pillar cock (IS:8934 Mark) &amp; 32 mm C.P. brass waste coupling of approved make, 25mmG.I. waste pipe complete including cutting &amp; making good the wall: Size 550mm x 400mm</t>
  </si>
  <si>
    <t>P&amp;F Kitchen &amp; Lab. Sink of approved make with C.I. brackets duly painted, 40mm C.P. waste coupling, C.P. Brass chain with rubber plug, 40mm G.I. waste pipe up-to floor level complete including cutting and making good the wall &amp; floor. Fire clay glazed kitchen sink (IS Marked) size 600x450x250 mm.</t>
  </si>
  <si>
    <t>P&amp; F waste Coulping with fittings of approved quality /make: C.P Brass 40 mm dia</t>
  </si>
  <si>
    <t>P&amp;F Beveled edge Mirror of special glass of approved make  (Atul/equivalent) complete with 6mm thick asbestos cement sheet ground fixed to wooden screws &amp; washers. Size 600x450x4mm thick</t>
  </si>
  <si>
    <t>P&amp;F Towel Rail or Ring of approved quality/make:- C.P. Brass Towel Ring revolving type.</t>
  </si>
  <si>
    <t>P &amp; F G.I. Pipes (Internal work) with G.I. fittings (IS:1239 Mark) &amp; M.S. clamps including cutting and making good the walls and floors : 'B' Class 15 mm dia nominal bore.</t>
  </si>
  <si>
    <t>P &amp; F G.I. Pipes (Internal work) with G.I. fittings (IS:1239 Mark) &amp; M.S. clamps including cutting and making good the walls and floors : 'B' Class        25 mm dia nominal bore.</t>
  </si>
  <si>
    <t>P&amp;F G.I. Pipes (External work) with G.I. fittings (IS:1239 Mark) including trenching &amp;refilling earth etc.' B ' Class</t>
  </si>
  <si>
    <t>15mm dia nominal bore</t>
  </si>
  <si>
    <t>25mm dia nominal bore</t>
  </si>
  <si>
    <t>32mm dia nominal bore</t>
  </si>
  <si>
    <t>40mm dia nominal bore</t>
  </si>
  <si>
    <t>Making connection of G.I. distribution branch with G.I. main including all fitting. Upto 25mm dia</t>
  </si>
  <si>
    <t>P&amp;F Bib Cock (IS:8931 Mark), Superior quality of approved make : C.P. Brass bib cock, 15mm nominal bore.</t>
  </si>
  <si>
    <t>C.P. Brass swan neck, 15mm nominal bore long body, 15mm nominal bore weight not less than 690 gm.</t>
  </si>
  <si>
    <t>P&amp;F Sink Cocks of superior quality &amp; approved made : C.P. Casted spout 15mm.</t>
  </si>
  <si>
    <t>P&amp;F Ball Cock (IS: 1703 Mark) with Rod &amp; PVC Ball complete. Brass wt. 1000 gm, 25mm</t>
  </si>
  <si>
    <t>P&amp;F  Inlet Connection (Angle Valves) Superior quality, of approved make ,for Wash basin, Geyser etc. C.P. Inlet connection 15mm Brass (IS: 8931 Marked).</t>
  </si>
  <si>
    <t>P&amp;F 15mm. Dia Connection Pipe of approved quality/make : PVC pipe with C.P. Brass nuts upto length 450mm.</t>
  </si>
  <si>
    <t>P&amp;F Full-way valve (IS:778 Mark) or wheel valve of approved make :</t>
  </si>
  <si>
    <t>Gun-metal 25mm nominal bore</t>
  </si>
  <si>
    <t>Gun-metal 50mm nominal bore</t>
  </si>
  <si>
    <t>P&amp;F PVC Storage Tank (IS:1270 marked indicating the BIS license no), of approved make with cover, 25mm dia 1M long G.I. over-flow pipe &amp; 25 Cm long wash out pipe with plug &amp;socket, including making connection etc., complete of approved design : 500 litres capacity.</t>
  </si>
  <si>
    <t>Hoisting Charges for each floor : For items 2.26.1 to 2.26.4</t>
  </si>
  <si>
    <t>Providing Laying &amp; jointing glazed S.W. pipes grade ‘A’ (IS:651 marked) of approved make with spunyarn &amp; stiff mixture of cement mortar 1:1, excavation &amp; refilling of earth inall types of soil upto1.2m depth,S.W. fittings, including testing of joints etc. complete. 150mm dia</t>
  </si>
  <si>
    <t>Providing &amp; Laying C.C. 1:5:10 (Stone aggregate 40mm nominal size) upto haunches of S.W. pipes including 150mm thickbed concrete as per RajasthanPWD specifications : (Width W=Dia of pipe inCm+ 40 Cm.) concrete width to be reduced from width W at center of pipe to ‘O’ at top of pipe. (Excluding cost of pipe) 150mm dia S.W. pipe</t>
  </si>
  <si>
    <t>P&amp;F Square-mouth gully trap ‘A’ grade (IS : marked ) of approved make complete with C.I. grating, frame &amp; Cover masonry chamber in C.M. 1:6, 100mm thick C.C. 1:5:10 base concrete, 40mm thick C.C. M-15 grade coping, 12mm thick cement plaster in CM 1:3 complete as per approved design &amp; type. Trap size 150x100mm, 7.2 Kg. C.I. cover with frame. Internal Chamber size 300x300mm</t>
  </si>
  <si>
    <t>P&amp;F S.W. Master Trap (Inter-cepting) ‘A’ grade (IS:651 marked) of approved quality/make. 150mm dia</t>
  </si>
  <si>
    <t>Construction of manhole in all type of soil inner size 90x60 Cm thick masonry inCM1:6, 10 Cm. thick cement concrete 1:5 10 in foundation, 20mm thick inside plaster in CM 1:6, finished with floating neat cement, 50mm thick M-15 grade C.C. flooring, making channels, 80mm thick stone slab covering with 40mm thick M-15 grade C.C. flooring, 25 Kg. CI cover with frame of 450mm dia, earthwork etc. complete as per design including disposal of surplus earth within 50 mtr. lead. Depth upto 0.5 M</t>
  </si>
  <si>
    <t>Add extra over item 3.21.1 for every additional 0.10m depth above 0.5m depth.</t>
  </si>
  <si>
    <t>Construction of chamber in all type of soil with 300 mm thick masonry in CM 1:6m 100mm thick C.C. 1:5:10 in foundation, 20mm thick insider plaster in CM 1:6, finished with floating neat cement, 50mm thick M-15 grade C.C. flooring, earthwork etc. complete as per design including disposal of surplus earth within a lead of 50 mtr. Inside size 300x300mm depth upto 0.5 M &amp; 5 Kg. CI cover with frame.</t>
  </si>
  <si>
    <t>Construction of soakage well in all type of soil 300mm thickdry masonry, top and bottom 300mm course in CM 1:6 80mm thick stone slab, jointing of slab in CM 1:3, Ralthal, Kharanja, 40mm thick M-15 grade c.c. flooring, earthwork complete as per approved drawing including disposal of earth within a lead of 50 mtr. : Size 300 Cm . Dia outside &amp; 300 Cm. Depth.</t>
  </si>
  <si>
    <t>Construction of septic tank in all type sof soil with 40cm thick masonry in CM 1:6 15cm thick CC bed of 1:5:10 M-15 grade CC flooring &amp; over stone slab covering, 80mm thick slab jointing of slab in CM 1:3, Ralthal, Kharanja, 50mm thick stone partiton walls, 20mm thick plaster in CM 1:6 finished with neat floating cement, 4Nos C.I. foot rests of approved design, two No. 450mm dia 25Kg each C.I. cover with frame, earth work etc. complete as per approed drawing incl. disposal of surplus earth wtihin a lead of 50mtr. Size 400x140x150cm (for 50users)</t>
  </si>
  <si>
    <t>P &amp; F M.S. Foot Rests in with CM 1:3, standard design in 20mm square M.S. bar 50mm embedded in wall &amp; 10 cms. Projected out complete.</t>
  </si>
  <si>
    <t>Supplying and fixing Ferro-cement cover with CI frame for chambers &amp; man holes of size 450mm dia, 5 Kg. CI frame to with stand 3 MT center point load &amp; minimum unfractured load of 1 MT (Light duty).</t>
  </si>
  <si>
    <t>Construction of Cement Concrete Chamebr 125mm dia. with C.I. Grating.</t>
  </si>
  <si>
    <t>P&amp;F unplasticized Poly Vinyl Chloride UPVC) SWR Pipes Type B for sciland waste discharge system(IS:13592 : 1992 Marked) of approved quality/make.</t>
  </si>
  <si>
    <t>75mm dia</t>
  </si>
  <si>
    <t>110mm dia</t>
  </si>
  <si>
    <t>Providing and fixing unplasticized poly vinyl chloride (UPVC) SWR Pipes fittings type B for sciland waste discharge system (IS : 13592 : 1992 Marked) of approved quality / make.</t>
  </si>
  <si>
    <t xml:space="preserve">Coupler 110mm   </t>
  </si>
  <si>
    <t xml:space="preserve">Bend 87.5 Dg. 110mm   </t>
  </si>
  <si>
    <t xml:space="preserve">Door Bend 87.5 Dg. 110mm   </t>
  </si>
  <si>
    <t xml:space="preserve">Pipe Clip 110mm   </t>
  </si>
  <si>
    <t xml:space="preserve">W.C. Connector  (Bend) with ring 110mm   </t>
  </si>
  <si>
    <t xml:space="preserve">Single Tee with Door 110mm   </t>
  </si>
  <si>
    <t xml:space="preserve">Nahni Trap with Jali 4" 110mm   </t>
  </si>
  <si>
    <t xml:space="preserve">Vent Cowel  110mm   </t>
  </si>
  <si>
    <t>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Ordinary rock</t>
  </si>
  <si>
    <t xml:space="preserve">Earth work in excavation in foundation trenches or
drains including dressing of sides and ramming of
bottoms, lift up to 1.5 Mtr. including taking out the
excavated soil and depositing and refilling of jhiri with
watering &amp; ramming and disposal of surplus excavated
soil as directed with a lead in a 50 meter including
stacking of useful material if available : Hard rock (requiring blasting) useful material </t>
  </si>
  <si>
    <t>Filling available excavated earth (excluding rock) in
trenches, plinth side of foundation etc. in layers not
exceeding 20 cm. in depth, consolidating each
deposited layer by ramming and watering including
lead up to 50 meter and with all lift.</t>
  </si>
  <si>
    <t>Providing and laying in position cement concrete
including curing, compaction etc. complete in
specified grade excluding the cost of centering and
shuttering - All work up to plinth level. 1:4:8 (1 cement : 4 coarse sand : 8 graded stone
aggregate 40 mm nominal size).</t>
  </si>
  <si>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M25 grade Design mix</t>
  </si>
  <si>
    <t>Providing and laying in position specified grade of
cement concrete for all RCC structural elements
upto plinth level including curing, compaction,
finishing with rendering in cement sand mortar 1:3 (1
cement: 3 coarse sand) and making good the joints
excluding the cost of centering, shuttering and
reinforcement.  M20 Grade nominal mix (with graded stone aggregate 20mm nominal size)</t>
  </si>
  <si>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Walls (any thickness) including attached pilasters, buttresses, plinth and string courses, fillets, columns, pillars, piers, abutments, posts and struts etc. M25 grade Design Mix</t>
  </si>
  <si>
    <t>Providing and laying in position specified grade of
cement concrete for RCC structural elements upto
floor three level including curing, compaction,
finishing with rendering in cement sand mortar 1:3 (1
cement: 3 coarse sand) and making good the joints
excluding the cost of centering, shuttering and
reinforcement for :-  Beams, suspended floors, roofs, griders having slopes up to 15º, landings, balconies, shelves, chajjas, lintels, bands, plain windows sills, staircases and spiral staircases M20 grade Nominal Mix</t>
  </si>
  <si>
    <t>Centering and Shuttering with plywood or steel sheets
including strutting, propping bracing both ways and
removal of formwork for foundation in basements
rafts, footings, straps beams, bases of columns etc. up
to plinth level.</t>
  </si>
  <si>
    <t>Centering &amp; shuttering with plywood or steel sheets
including strutting, propping bracing both ways with
wooden members and removal of formwork for upto
floor three level for :  Columns, pillars, posts and struts etc.</t>
  </si>
  <si>
    <t>Centering &amp; shuttering with plywood or steel sheets
including strutting, propping bracing both ways with
wooden members and removal of formwork for upto
floor three level for :  Suspended floors, roofs landings staircases, balconies, girders, cantilevers, bands, coping bed plates, anchor blocks, sills, chhajjas, lintel, beam etc.</t>
  </si>
  <si>
    <t>Providing and fabricating reinforcement for R.C.C.
work including straightening, cutting, bending, placing
in position and binding (including cost of binding
wire) all complete up to floor three level. Mild steel and medium tensile bars (IS : 432).</t>
  </si>
  <si>
    <t xml:space="preserve">Brick masonry in Super structure  and plinth with bricks of
class designation 75 in : Cement mortar 1 : 6 (1 cement : 6 coarse sand) </t>
  </si>
  <si>
    <t>Half brick masonry in foundation &amp; plinth using bricks
of designation 75 Cement mortar 1 : 4 (1 cement : 4 coarse sand)</t>
  </si>
  <si>
    <t>Random Rubble stone masonry for foundation and
plinth in Cement Sand mortar above 30CM thick wall Cement Mortar 1:6 ( 1-Cement : 4-Sand).</t>
  </si>
  <si>
    <t>Filling of sunk portion of roof with earthen pots of
required height including filling voids with 1:2:4 light
concrete, using brick bats complete levelling and
dressing the surface by 50mm thick cement concrete
1:2:4 as per specification.</t>
  </si>
  <si>
    <t>Grading for roof water proofing treatment with Cement concrete 1 : 2 : 4 (1 cement : 2 coarse
sand : 4 graded stone aggregate 20mm nominal
size) with water proof compound as per manufacture's
specification.</t>
  </si>
  <si>
    <t>P/F tiles over roof fixed in 25 mm thick cement mortar 1 : 4 bed complete
20mm thick terrazo tile over roofing including cutting, grinding with mechine complete</t>
  </si>
  <si>
    <t>Providing batta (gola) 75mm x 75mm in cement
concrete (1 : 2 : 4) including finishing with cement
mortar 1 : 3 as per standard design.</t>
  </si>
  <si>
    <t>Plaster on new surface on walls in cement sand mortar
1:6 including racking of joints etc. complete fine
finish :  25 mm thick.</t>
  </si>
  <si>
    <t>Plaster on new surface on walls in cement sand mortar
1:6 including racking of joints etc. complete fine
finish :  20mm thick .</t>
  </si>
  <si>
    <t>6 mm thick cement plaster to ceiling of mix 1:3
(1cement : 3-fine sand)</t>
  </si>
  <si>
    <t>Making khurras 450 x 450mm with average minimum
thickness 50mm cement concrete 1 : 2:4 over P.V.C.
Sheet 1 Mtr. x 1 Mtr. x 40micron finished with 12mm
cement plaster 1 : 3 and one coat of neat cement,
rounding edges and making and finishing the out let
complete.</t>
  </si>
  <si>
    <t>Nos</t>
  </si>
  <si>
    <t>Providing &amp; fixing precast cement concrete coping
1 : 2 : 4 mix 50mm thick complete as per
specification : -- 50 mm—</t>
  </si>
  <si>
    <t>Distempering with oil bound washable distemper of
approved brand and manufacture to give an even shade
including all scaffolding: New work (two or more coats) over and including
scrapping and priming coat with cement primer.</t>
  </si>
  <si>
    <t>Finishing wall with water proofing cement paint of
approved brand and manufacture and or required shade
to give an even shade including all scaffolding: New Work (Three or more coats).</t>
  </si>
  <si>
    <t>Painting with enamel paint of approved brand and
manufacture to give an even shade : Two or more coats on new work.</t>
  </si>
  <si>
    <t>Providing and fixing steel glazed doors windows and
ventilator shutters of standard rolled steel section joints
mitred and welded with steel lugs 13x3mm, 10cm.
long embedded in cement concrete block
15x10x10cm. of 1:3:6 (1cement : 3 coarse sand : 6
graded stone aggregate 20mm nominal size) or with
wooden plugs and screws or rawl plugs and screws
with fixing clips or with bolts and nuts as required
including providing and fixing of plain glass panes
4mm thick with cooper glazing clips and special metal
sash putty of approved make or metal beading with
screws complete including priming coat of approval
steel primer, excluding the cost of metal beading and
other fitting except necessary hinges of pivots steel
handles peg stay etc. as required : Partly fixed and partly openable [ fixed area not to
exceed 33%]</t>
  </si>
  <si>
    <t>Providing brass handles/peg stays and fittings in place
of oxidized fitting</t>
  </si>
  <si>
    <t>Supplying and fixing fixed wire gauge of 14 mesh x
24 gauge to the metal frame of rolled section by metal
beading 20x3mm with suitable screw at not exceeding
150mm distance.</t>
  </si>
  <si>
    <t>Providing and fixing Square bars or other flat welded
to window, ventilatiors etc.</t>
  </si>
  <si>
    <t>Providing and fixing T -iron frames for doors,
windows and ventilators of mild steel Tee-sections, joints mitred and welded with 15x3 mm lugs 10cm long embedded in cement concrete blocks 15x10x10 cm of 1 :3:6 (1 cement: 3 coarse sand: 6 graded stone aggregate 20 mm nominal size) or with wooden plugs and screws or rawl plugs and screws or with fixing clips or with bolts and nuts as require including fixing of necessary butt hinges and screws and applying a priming coat of approved steel primer</t>
  </si>
  <si>
    <t xml:space="preserve">Kg </t>
  </si>
  <si>
    <t>Marble stone flooring table rubbed, 18 mm thick over
20mm (Av.) thick base of CM 1:4 (1 cement : 4 coarse
sand) jointing with white cement mortar 1:2 (1 white
cement : 2 marble dust) with pigment to match the
shade of the marble slab including grinding, rubbing
and polishing complete.GREEN MARBLE Kesriaji (Rikhabdeo).1501 Cm2 to 3600 Cm2 Tiles</t>
  </si>
  <si>
    <t>Providing and fixing Granite stone slab mirror
polished and machine edge cut in walls, pillars, steps,
Shelves, Sills Counters, Floors etc. laid on 12mm
(Av.) thick base of cement mortar 1:3 (1 cement : 3
coarse sand) jointing with white cement mortar 1:2 (1
white cement : 2 marble dust) with pigment to match
the shade of the granite slab complete including
rubbing and polishing of Green / Black / Other granite Above 3601 Cm2 Slabs</t>
  </si>
  <si>
    <t>Providing and fixing 1st quality MAT finished ceremic
tile size 300x300mm comfirming to IS : 13753 colour
such as white, grey, ivory, fume red brown, light
green, light blue and other light shades in floors, steps,
pillars etc. laid on a bed of neat cement slurry
including nicely finished joints using water proof joint
filler powder (Untile or Roffe make) and finishing
with flush pointing in white cement mixed with
pigment to match the shade of tile complete (including
the cost of cement mortar bed 1:4) Category-A : Kajaria, Jhonson, Somani make</t>
  </si>
  <si>
    <t>P &amp; F Vitrified Porcelain Polished tiles on floor,
skirting and steps etc. in different sizes (thickness
to be specified by manufacture) with water
absortion less than 0.08% and conforming to IS
15622 of approved make in all colour and shade,
laid with 20 mm thick CM 1:4 including grouting
the joints with white cement and matching
pigment etc complete (Oreva, Nitco and
equivalent as approved by Engineer-in-charge) Size 600 mm x 600 mm</t>
  </si>
  <si>
    <t>Extra for providing edge moulding to 18mm thick
marble stone counters, vantities etc. over item No. 7.1
&amp; 7.2 including machine polishing to edge to give high
gloss finish etc. complete as per design approved by
Engineer - in - Charge. Granite work</t>
  </si>
  <si>
    <t>Providing and fixing external grade board solid core
single leaf flush door shutters ISI 2202-67 marked
using Phenol formal dehyderesin in glue both sides
with approved steel fittings complete as per annexure
'A' : 30 mm thick . Decorative teak veneer both side</t>
  </si>
  <si>
    <t>Add extra in Flush doors : For external teak wood lipping on flush door. 35mm x 6 mm</t>
  </si>
  <si>
    <t>Supplying and fixing in walls machine cut and
polished stone shelves, tands and sills in CM 1:3 with
machine cut edges : Kota stone 25 to 30mm thick.</t>
  </si>
  <si>
    <t>Polished Blue Kota Stone flooring skirting, laid over
20mm thick base of C.M. 1:4 and jointed with grey
cement slurry to match the shade of the slab including
rubbing and polishing complete : For area of each slab from 901 to 2000 Sq.Cm : 25mm thick slab.</t>
  </si>
  <si>
    <t>Applying Birla / JK white cement based putty over
cement plaster surface for making even surface.</t>
  </si>
  <si>
    <t>Providing &amp; Laying POP moulding &amp; beading in
ceiling including nailing &amp; scafollding etc. complete of
size : 25mm x 25 mm</t>
  </si>
  <si>
    <t>Providing &amp; Laying POP Cornice of required
design &amp; pattern in ceiling including nailing &amp;
scafollding etc. complete with fine finishing of size: 75mm x 75mm</t>
  </si>
  <si>
    <t xml:space="preserve">Rmt </t>
  </si>
  <si>
    <t>Supplying &amp; fixing door, window, chowkhats and
other frames, including antitermite treatment, M.S.
flat, hold fasts of size 250 x 40 x 3mm fixed with M.S.
bolt 5mm dia 50mm long duly embedded in cement
concrete M-15 grade : Ghana teak wood Grade - I.</t>
  </si>
  <si>
    <t>Providing and fixing fully panelled double leaf shutter
for doors as per approved design and drawings with
approved ordinary C.P./ oxidised steel fittings as per
Annexure - 'A' and width of styles &amp; top rails of
100mm and lock rails width of 150mm and bottom
rails of 200mm width including teak wood beading of
size 19mm x 12mm on both faces complete : 25mm thick : Ghana teak wood grade-I 9mm thick
teak ply(bothfaces) panels</t>
  </si>
  <si>
    <t>French sprit polishing : Two or more coats on new work including a coat of
wood filler.</t>
  </si>
  <si>
    <t>Providing and Fixing Bearing Base door closure</t>
  </si>
  <si>
    <t>P&amp;FIndiantypewhiteglazedvitreouschina1stqualityW.C.orissapan(IS:2556Mark)with100mmvitreouschinaPorStrapincludingcuttingandmakinggood the wall and floor:Size 530x410mm.</t>
  </si>
  <si>
    <t>P&amp;FEuropeantypewhiteglazedvitreouschina1stqualityDoublesyphonicW.C(IS:2556Mark)withPorStrapincludingcuttingandmakinggoodthewalland floor</t>
  </si>
  <si>
    <t>P&amp;FWVCwashbasin(1stquality,I.S.:2556Mark)ofapprovedmakewithC.I.bracketsdulypainted,1No.15mmC.P.Pillarcock(IS:8934Mark)&amp;32mmC.P.brasswastecouplingofapprovedmake,25mmG.I.wastepipecompleteincludingcutting&amp;makinggood</t>
  </si>
  <si>
    <t>1.0mmthickSalemstainlesssteelAISI-304kitchensinkofapprovedmake(Nirali,Neel–kanth,Jaina,Faber-Castell ) with large waste coupling.</t>
  </si>
  <si>
    <t>P&amp;FBevellededgeMirrorofspecialglassofapprovedmake(Atul,ModiGuard,SaintGobinorequivalent)completewith6mmthickasbestoscementsheet ground fixed to wooden screws &amp; washers. Other sizes</t>
  </si>
  <si>
    <t>C.P.brassTowelRailelbowtypewithconcealedscrews size 600 mm (Heavy duty). C.P. brass towel rail with brackets 450 x 20mm.</t>
  </si>
  <si>
    <t>P &amp; F Grating of approved quality/make: StainlessSteelSheetsize125mmdia.HeavyQualityofapproved make</t>
  </si>
  <si>
    <t>P &amp; F Soap Dish or Tray of approved quality/make C.P. brass heavy and superior quality.</t>
  </si>
  <si>
    <t>P &amp; F Shower arm 15mm dia of approved C.P.brass heavy &amp; superior quality 300mm Projection.</t>
  </si>
  <si>
    <t>P &amp; F Bath Shower of approved quality/make. C.P.brassofHeavy&amp;superiorquality,revolvingwithadjustable key 150mm.</t>
  </si>
  <si>
    <t>P&amp;FG.I.pipes(InternalWork)withG.I.Fittingsexcludingunion(IS:1239Mark)&amp;MSclampsincluding cutting and making good the walls and floors: 15 mm dia nominal bore 'B' Class</t>
  </si>
  <si>
    <t>P&amp;FG.I.pipes(InternalWork)withG.I.Fittingsexcludingunion(IS:1239Mark)&amp;MSclampsincluding cutting and making good the walls and floors:  25mm dia nominal bore 'B' Class</t>
  </si>
  <si>
    <t>P&amp;FBibCock(IS:8931Mark),Superiorqualityofapproved make: C. P. Brass swan - neck, 15mm nominal bore.</t>
  </si>
  <si>
    <t>P &amp; F Push Cock superior quality, of approved make C.P. Brass 15 mm.</t>
  </si>
  <si>
    <t>P&amp;FBallCock(IS:1703Mark)withRod&amp;P.V.C.Ball complete : Brass wt.1000 gm, 25mm.</t>
  </si>
  <si>
    <t>P&amp;FInletConnection(AngleValves)Superiorquality, of approved make, for Wash basin, Gyser etc. C.P. Inlet connection 15mm.Brass (IS : 8931 marked)</t>
  </si>
  <si>
    <t>P&amp;FFlushCock/FlushValve(IS: 9758 Mark) for WC of approved quality make : CP brass push type 25mm nominal bore.</t>
  </si>
  <si>
    <t>P&amp;F 
FullwayValve(IS:778Mark)orwheelvalveofapproved make : Gun-metal 15mm nominal bore.</t>
  </si>
  <si>
    <t>P&amp;FPVCStorageTank(IS:12701markedindicatingtheBISlicenseNo),ofapprovedmakewithcover,25mmdia1MlongG.I.over-flowpipe&amp;25Cm.longwashoutpipewithplug&amp;socket,includingmakingconnection etc., complete of approved design: 500 litres capacity.</t>
  </si>
  <si>
    <t>P&amp;FrigidPVCPipe(IS:4985mark)classII/(4Kg./Cm2.)approvedquality/makeincludingjoiningthepipe with solvent cement rubber ring and lubricant. 110 mm dia</t>
  </si>
  <si>
    <t>P&amp;FrigidPVCpipefittings(IS:4985mark)ofapprovedquality/makeincludingjoiningthepipewithsolvent cement rubber ring and lubricant: Bend 87 .5 110mm dia</t>
  </si>
  <si>
    <t>P&amp;FrigidPVCpipefittings(IS:4985mark)ofapprovedquality/makeincludingjoiningthepipewithsolvent cement rubber ring and lubricant: Pipe Clip 110mm dia</t>
  </si>
  <si>
    <t>P&amp;FFull-wayValve(IS:778Mark)orwheelvalveofapproved make : 25mm nominal bore.</t>
  </si>
  <si>
    <t>ConstructionofsepticTankinalltypesofsoilwith40Cm.thickmasonryinCM1:6,15CmthickC.Cbedof1:5:10,M-15gradeC.Cflooring&amp;overstoneslabcovering,80mmthickslab,jointingofslabinCM1:3.Ralthal,Kharanja,50mmthickstonepartitionwalls,20mmthickplasterinCM1:6finishedwithne</t>
  </si>
  <si>
    <t>Construction of chamber in all type of soil with 300 mm thickmasonryinCM1:6m10cmthickC.C.1:5:10infoundation,20mmthickinsiderplasterinCm1:6,finishedwithfloatingneatcement,50mmthickM-15gradeC.C.flooring,earthworketc.completeasperdesignincludingdisposalofsur Insidesize300X300mmdepthupto0.5MCementcover with frame.</t>
  </si>
  <si>
    <t>Construction of man hole,in all types of soil, inner size1.5x1.2M, with 450mm thick masonry in CM1:6,10Cm.thick cement concrete1:5:10 infoundation,20mm thick inside plaster inCM1:6, finished with floating neat cement, 50mm thickM-15grade C.C.flooring making channels, 80mm thick stone slab  covering with 40mm thick M15 grade CC flooring ferro cement cover with frame of 450mm dia earth work etc. complete including disposal of surplus earth within 50m lead.as per design. Depth up to 1.50 M</t>
  </si>
  <si>
    <t>ProvidingLaying&amp;jointingglazedS.W.pipesgrade`A`(IS;651marked)ofapprovedmakewithspunyarn&amp;stiffmixtureofcementmortar1:1,excavation&amp;refillingofearthinalltypesofsoilupto1.2mdepth,S.W. fittings, including testing of joints etc, complete. 150mm dia</t>
  </si>
  <si>
    <t>Providing&amp;LayingC.C.1:5:10(Stoneaggregate40mmnominalsize)uptohaunchesofS.W.pipesincluding150mmthickbedconcrete(WidthW=DiaofpipeinCm+30Cm.)concretewidthtobereducedfromwidthWatcenterofpipeto`0`attopofpipe.(Excluding cost of pipe) 150mm dia S.W. pipe</t>
  </si>
  <si>
    <t>P&amp;F Square-mouth gully trap`A` grade (IS:marked) of approved make complete with C.I. grating, frame &amp; Cover masonary chamber inC.M.1:6,100mmthick C.C.1:5:10 baseconcrete,40mmthickC.C.M-15 grade coping,12mm thick cement plaster in CM 1:3 complete as per approved design &amp; type. Trap size 150x100mm 7.2kg CI cover with frame internal chamber size 300x300mm</t>
  </si>
  <si>
    <t>P &amp; F Grating of approved quality/make: Stainless Steel Sheet size 125mm dia.</t>
  </si>
  <si>
    <t xml:space="preserve">Ground Floor </t>
  </si>
  <si>
    <t>Back Side</t>
  </si>
  <si>
    <t>Left Side</t>
  </si>
  <si>
    <t>Front Side</t>
  </si>
  <si>
    <t>Right Side</t>
  </si>
  <si>
    <t>Lobby/ Shop</t>
  </si>
  <si>
    <t xml:space="preserve"> Main walls 230 mm th. in x and Y Direction</t>
  </si>
  <si>
    <r>
      <t xml:space="preserve">PART 'A' </t>
    </r>
    <r>
      <rPr>
        <sz val="11"/>
        <rFont val="Arial"/>
        <family val="2"/>
      </rPr>
      <t xml:space="preserve"> CIVIL WORK FIRST  FLOOR </t>
    </r>
  </si>
  <si>
    <r>
      <t>Lintels</t>
    </r>
    <r>
      <rPr>
        <sz val="11"/>
        <rFont val="Arial"/>
        <family val="2"/>
      </rPr>
      <t xml:space="preserve">      </t>
    </r>
  </si>
  <si>
    <r>
      <t xml:space="preserve">Centering &amp; shuttering with plywood or steel sheets including strutting propping, bracing both ways with wooden members and removal of form work for superstructure upto 4.5 Mtr. height above plinth level </t>
    </r>
    <r>
      <rPr>
        <b/>
        <sz val="11"/>
        <rFont val="Arial"/>
        <family val="2"/>
      </rPr>
      <t>(A) For Columns, Pillars, Posts and Struts etc.</t>
    </r>
  </si>
  <si>
    <t xml:space="preserve"> Brick Partition walls in X and Y Direction</t>
  </si>
  <si>
    <t>Shops 2,3</t>
  </si>
  <si>
    <t>Shops 6,7 in Y Direction</t>
  </si>
  <si>
    <t>Shops 6,1 in X Direction</t>
  </si>
  <si>
    <t>Shop 7 in X Direction</t>
  </si>
  <si>
    <t>Shop 4 in X Direction</t>
  </si>
  <si>
    <t>Shop 5 in X Direction</t>
  </si>
  <si>
    <t>Shop 8 in Y Direction</t>
  </si>
  <si>
    <t>Toilets in Y Direction</t>
  </si>
  <si>
    <t>Average Width (49.83+18.44)/2=34.14</t>
  </si>
  <si>
    <t xml:space="preserve">Area of Open Excavation </t>
  </si>
  <si>
    <t>Footing Area</t>
  </si>
  <si>
    <t>Net earth Filling Area</t>
  </si>
  <si>
    <t>Qty. in Filling</t>
  </si>
  <si>
    <t>C1</t>
  </si>
  <si>
    <t>C2</t>
  </si>
  <si>
    <t>C3</t>
  </si>
  <si>
    <t>C4</t>
  </si>
  <si>
    <t>C5</t>
  </si>
  <si>
    <t>C6</t>
  </si>
  <si>
    <t>C7</t>
  </si>
  <si>
    <t>C8</t>
  </si>
  <si>
    <t>C9</t>
  </si>
  <si>
    <t>C10</t>
  </si>
  <si>
    <t>C11</t>
  </si>
  <si>
    <t>C12</t>
  </si>
  <si>
    <t>C13</t>
  </si>
  <si>
    <t>C14</t>
  </si>
  <si>
    <t>C15</t>
  </si>
  <si>
    <t>C16</t>
  </si>
  <si>
    <t>C17</t>
  </si>
  <si>
    <t>C18</t>
  </si>
  <si>
    <t>FOOTING</t>
  </si>
  <si>
    <t>Total Qty.</t>
  </si>
  <si>
    <t xml:space="preserve">TOTAL QTY IN FOOTING </t>
  </si>
  <si>
    <t>Lift</t>
  </si>
  <si>
    <t>Stair Case Base Beam</t>
  </si>
  <si>
    <t>Stair slab</t>
  </si>
  <si>
    <t>Beam</t>
  </si>
  <si>
    <t>COLUMNS</t>
  </si>
  <si>
    <t>F1</t>
  </si>
  <si>
    <t>F2</t>
  </si>
  <si>
    <t>F3</t>
  </si>
  <si>
    <t>F4</t>
  </si>
  <si>
    <t>F5</t>
  </si>
  <si>
    <t>F6</t>
  </si>
  <si>
    <t>F7</t>
  </si>
  <si>
    <t>F8</t>
  </si>
  <si>
    <t>F9</t>
  </si>
  <si>
    <t>F10</t>
  </si>
  <si>
    <t>F11</t>
  </si>
  <si>
    <t>F12</t>
  </si>
  <si>
    <t>F13</t>
  </si>
  <si>
    <t>F14</t>
  </si>
  <si>
    <t>F15</t>
  </si>
  <si>
    <t>F16</t>
  </si>
  <si>
    <t>F17</t>
  </si>
  <si>
    <t>F18</t>
  </si>
  <si>
    <t>TOTAL QTY IN COLUMNS IN BASEMENT</t>
  </si>
  <si>
    <t>TOTAL QTY IN COLUMNS IN GROUND FLOOR</t>
  </si>
  <si>
    <t>TOTAL QTY IN COLUMNS IN FIRST FLOOR</t>
  </si>
  <si>
    <t>BEAMS</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</si>
  <si>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</si>
  <si>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</si>
  <si>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</si>
  <si>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</si>
  <si>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</si>
  <si>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</si>
  <si>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</si>
  <si>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</si>
  <si>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</si>
  <si>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</si>
  <si>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</si>
  <si>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</si>
  <si>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</si>
  <si>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</si>
  <si>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</si>
  <si>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</si>
  <si>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</si>
  <si>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</si>
  <si>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</si>
  <si>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</si>
  <si>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</si>
  <si>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</si>
  <si>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</si>
  <si>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</si>
  <si>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</si>
  <si>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</si>
  <si>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</si>
  <si>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</si>
  <si>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</si>
  <si>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</si>
  <si>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</si>
  <si>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</si>
  <si>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</si>
  <si>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</si>
  <si>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</si>
  <si>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</si>
  <si>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</si>
  <si>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</si>
  <si>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</si>
  <si>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</si>
  <si>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</si>
  <si>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</si>
  <si>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</si>
  <si>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</si>
  <si>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</si>
  <si>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</si>
  <si>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TOTAL QTY IN BEAMS IN BASEMENT</t>
  </si>
  <si>
    <t>TOTAL QTY IN BEAMS IN GROUND FLOOR</t>
  </si>
  <si>
    <t>TOTAL QTY IN BEAMS IN FIRST FLOOR</t>
  </si>
  <si>
    <t>Roof Slab</t>
  </si>
  <si>
    <t>Average Width (21.72+6.40)/2=14.06</t>
  </si>
  <si>
    <t>Qty. in Slab</t>
  </si>
  <si>
    <t>TOTAL QTY IN SLABS IN BASEMENT</t>
  </si>
  <si>
    <t>TOTAL QTY IN SLABS IN GROUND FLOOR</t>
  </si>
  <si>
    <t>TOTAL QTY IN SLABS IN FIRST FLOOR</t>
  </si>
  <si>
    <t>Footings</t>
  </si>
  <si>
    <t>Qty of Lift and Staircase in Basement</t>
  </si>
  <si>
    <t>Qty of Lift and Staircase in Ground Floor</t>
  </si>
  <si>
    <t>Qty of Lift and Staircase in First Floor</t>
  </si>
  <si>
    <t>Qty of Lift and Staircase in MUMTY</t>
  </si>
  <si>
    <t>(A) Suspended floors, roofs, landings, staircases, balconies, girders, cantilevers, bands , coping, bed plates, anchor blocks, sills, chhajjas lintel, beam etc.</t>
  </si>
  <si>
    <t xml:space="preserve">(B) Columns, pillars, posts and struts etc.  </t>
  </si>
  <si>
    <t>BASEMENT WALL</t>
  </si>
  <si>
    <t>Base Left Side</t>
  </si>
  <si>
    <t>Wall Left Side av width (250+350)/2= 300 mm</t>
  </si>
  <si>
    <t>Basement Wall</t>
  </si>
  <si>
    <t>TOTAL QTY IN BASEMENT WALL</t>
  </si>
  <si>
    <t>Basement Wall and Raft AREA</t>
  </si>
  <si>
    <t>Beams IN GF</t>
  </si>
  <si>
    <t>Slabs IN GF</t>
  </si>
  <si>
    <t>Columns IN GF</t>
  </si>
  <si>
    <t>Beams IN FF</t>
  </si>
  <si>
    <t>Slabs IN FF</t>
  </si>
  <si>
    <t>Columns IN FF</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</si>
</sst>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7" x14ac:knownFonts="1">
    <font>
      <sz val="12"/>
      <name val="Arial"/>
    </font>
    <font>
      <b/>
      <sz val="12"/>
      <name val="Arial"/>
    </font>
    <font>
      <i/>
      <sz val="12"/>
      <name val="Arial"/>
    </font>
    <font>
      <sz val="12"/>
      <name val="Arial"/>
      <family val="2"/>
    </font>
    <font>
      <sz val="12"/>
      <name val="Arial"/>
      <family val="2"/>
    </font>
    <font>
      <sz val="14"/>
      <name val="Arial"/>
      <family val="2"/>
    </font>
    <font>
      <sz val="10"/>
      <name val="Arial"/>
      <family val="2"/>
    </font>
    <font>
      <b/>
      <sz val="12"/>
      <name val="Arial"/>
      <family val="2"/>
    </font>
    <font>
      <sz val="14"/>
      <name val="Arial"/>
      <family val="2"/>
    </font>
    <font>
      <b/>
      <i/>
      <sz val="12"/>
      <name val="Arial"/>
      <family val="2"/>
    </font>
    <font>
      <sz val="11"/>
      <name val="Arial"/>
      <family val="2"/>
    </font>
    <font>
      <b/>
      <sz val="11"/>
      <name val="Arial"/>
      <family val="2"/>
    </font>
    <font>
      <b/>
      <i/>
      <u/>
      <sz val="11"/>
      <name val="Arial"/>
      <family val="2"/>
    </font>
    <font>
      <b/>
      <u/>
      <sz val="11"/>
      <name val="Arial"/>
      <family val="2"/>
    </font>
    <font>
      <i/>
      <u/>
      <sz val="11"/>
      <name val="Arial"/>
      <family val="2"/>
    </font>
    <font>
      <b/>
      <i/>
      <sz val="11"/>
      <name val="Arial"/>
      <family val="2"/>
    </font>
    <font>
      <sz val="11"/>
      <color rgb="FFFF0000"/>
      <name val="Arial"/>
      <family val="2"/>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3" fillId="0" borderId="0" applyFont="0" applyFill="0" applyBorder="0" applyAlignment="0" applyProtection="0"/>
  </cellStyleXfs>
  <cellXfs count="305">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Continuous"/>
    </xf>
    <xf numFmtId="2" fontId="0" fillId="0" borderId="0" xfId="0" applyNumberFormat="1"/>
    <xf numFmtId="2" fontId="0" fillId="0" borderId="0" xfId="0" applyNumberFormat="1" applyBorder="1"/>
    <xf numFmtId="0" fontId="0" fillId="0" borderId="0" xfId="0" quotePrefix="1" applyAlignment="1">
      <alignment horizontal="left"/>
    </xf>
    <xf numFmtId="0" fontId="0" fillId="0" borderId="1" xfId="0" applyBorder="1"/>
    <xf numFmtId="2" fontId="0" fillId="0" borderId="1" xfId="0" applyNumberFormat="1" applyBorder="1"/>
    <xf numFmtId="0" fontId="0" fillId="0" borderId="0" xfId="0" applyBorder="1"/>
    <xf numFmtId="0" fontId="4" fillId="0" borderId="0" xfId="0" applyFont="1" applyAlignment="1">
      <alignment vertical="top"/>
    </xf>
    <xf numFmtId="0" fontId="4" fillId="0" borderId="0" xfId="0" applyFont="1"/>
    <xf numFmtId="2" fontId="4" fillId="0" borderId="0" xfId="0" applyNumberFormat="1" applyFont="1"/>
    <xf numFmtId="0" fontId="4" fillId="0" borderId="0" xfId="0" applyFont="1" applyAlignment="1">
      <alignment horizontal="centerContinuous"/>
    </xf>
    <xf numFmtId="2" fontId="4" fillId="0" borderId="0" xfId="0" applyNumberFormat="1" applyFont="1" applyAlignment="1">
      <alignment horizontal="centerContinuous"/>
    </xf>
    <xf numFmtId="1" fontId="4" fillId="0" borderId="0" xfId="0" applyNumberFormat="1" applyFont="1" applyAlignment="1">
      <alignment horizontal="centerContinuous"/>
    </xf>
    <xf numFmtId="0" fontId="1" fillId="0" borderId="0" xfId="0" applyFont="1" applyAlignment="1">
      <alignment horizontal="centerContinuous"/>
    </xf>
    <xf numFmtId="0" fontId="0" fillId="0" borderId="0" xfId="0" applyAlignment="1">
      <alignment horizontal="justify" vertical="top" wrapText="1"/>
    </xf>
    <xf numFmtId="0" fontId="0" fillId="0" borderId="0" xfId="0" quotePrefix="1" applyAlignment="1">
      <alignment horizontal="left" vertical="top" wrapText="1"/>
    </xf>
    <xf numFmtId="0" fontId="4" fillId="0" borderId="0" xfId="0" quotePrefix="1" applyFont="1" applyAlignment="1">
      <alignment horizontal="left" vertical="top" wrapText="1"/>
    </xf>
    <xf numFmtId="0" fontId="0" fillId="0" borderId="0" xfId="0" quotePrefix="1" applyBorder="1" applyAlignment="1">
      <alignment horizontal="left"/>
    </xf>
    <xf numFmtId="0" fontId="0" fillId="0" borderId="0" xfId="0" applyAlignment="1">
      <alignment horizontal="left"/>
    </xf>
    <xf numFmtId="0" fontId="0" fillId="0" borderId="0" xfId="0" applyBorder="1" applyAlignment="1">
      <alignment horizontal="left"/>
    </xf>
    <xf numFmtId="2" fontId="0" fillId="0" borderId="0" xfId="0" applyNumberFormat="1" applyAlignment="1">
      <alignment horizontal="right"/>
    </xf>
    <xf numFmtId="2" fontId="0" fillId="0" borderId="0" xfId="0" applyNumberFormat="1" applyBorder="1" applyAlignment="1">
      <alignment horizontal="right"/>
    </xf>
    <xf numFmtId="1" fontId="0" fillId="0" borderId="0" xfId="0" applyNumberFormat="1"/>
    <xf numFmtId="0" fontId="4" fillId="0" borderId="2" xfId="0" applyFont="1" applyBorder="1" applyAlignment="1">
      <alignment horizontal="center" vertical="top" wrapText="1"/>
    </xf>
    <xf numFmtId="0" fontId="4" fillId="0" borderId="2" xfId="0" applyFont="1" applyBorder="1" applyAlignment="1">
      <alignment horizontal="center"/>
    </xf>
    <xf numFmtId="2" fontId="4" fillId="0" borderId="2" xfId="0" applyNumberFormat="1" applyFont="1" applyBorder="1" applyAlignment="1">
      <alignment horizontal="center"/>
    </xf>
    <xf numFmtId="0" fontId="4" fillId="0" borderId="0" xfId="0" quotePrefix="1" applyFont="1" applyAlignment="1">
      <alignment horizontal="centerContinuous" vertical="top"/>
    </xf>
    <xf numFmtId="0" fontId="4" fillId="0" borderId="2" xfId="0" applyFont="1" applyBorder="1" applyAlignment="1">
      <alignment horizontal="left"/>
    </xf>
    <xf numFmtId="2" fontId="4" fillId="0" borderId="2" xfId="0" applyNumberFormat="1" applyFont="1" applyBorder="1" applyAlignment="1">
      <alignment horizontal="right"/>
    </xf>
    <xf numFmtId="2" fontId="0" fillId="0" borderId="0" xfId="0" applyNumberFormat="1" applyAlignment="1">
      <alignment horizontal="left"/>
    </xf>
    <xf numFmtId="0" fontId="6" fillId="0" borderId="2" xfId="0" applyFont="1" applyBorder="1" applyAlignment="1">
      <alignment horizontal="center" vertical="top"/>
    </xf>
    <xf numFmtId="0" fontId="6" fillId="0" borderId="0" xfId="0" applyFont="1" applyAlignment="1">
      <alignment horizontal="left" vertical="top"/>
    </xf>
    <xf numFmtId="0" fontId="6" fillId="0" borderId="0" xfId="0" applyFont="1"/>
    <xf numFmtId="0" fontId="6" fillId="0" borderId="0" xfId="0" applyFont="1" applyAlignment="1">
      <alignment horizontal="left"/>
    </xf>
    <xf numFmtId="0" fontId="6" fillId="0" borderId="0" xfId="0" applyFont="1" applyBorder="1" applyAlignment="1">
      <alignment horizontal="left" vertical="top"/>
    </xf>
    <xf numFmtId="0" fontId="0" fillId="0" borderId="0" xfId="0" applyBorder="1" applyAlignment="1">
      <alignment horizontal="justify" vertical="top" wrapText="1"/>
    </xf>
    <xf numFmtId="0" fontId="6" fillId="0" borderId="0" xfId="0" quotePrefix="1" applyFont="1" applyAlignment="1">
      <alignment horizontal="left"/>
    </xf>
    <xf numFmtId="0" fontId="6" fillId="0" borderId="0" xfId="0" applyFont="1" applyAlignment="1">
      <alignment horizontal="centerContinuous"/>
    </xf>
    <xf numFmtId="0" fontId="6" fillId="0" borderId="0" xfId="0" applyFont="1" applyBorder="1"/>
    <xf numFmtId="0" fontId="4" fillId="0" borderId="0" xfId="0" applyFont="1" applyBorder="1" applyAlignment="1">
      <alignment horizontal="left"/>
    </xf>
    <xf numFmtId="2" fontId="4" fillId="0" borderId="0" xfId="0" applyNumberFormat="1" applyFont="1" applyBorder="1" applyAlignment="1">
      <alignment horizontal="right"/>
    </xf>
    <xf numFmtId="2" fontId="0" fillId="0" borderId="0" xfId="0" applyNumberFormat="1" applyAlignment="1">
      <alignment horizontal="centerContinuous"/>
    </xf>
    <xf numFmtId="0" fontId="4" fillId="0" borderId="0" xfId="0" applyFont="1" applyBorder="1"/>
    <xf numFmtId="0" fontId="6" fillId="0" borderId="2" xfId="0" applyFont="1" applyBorder="1" applyAlignment="1">
      <alignment horizontal="center"/>
    </xf>
    <xf numFmtId="2" fontId="6" fillId="0" borderId="0" xfId="0" applyNumberFormat="1" applyFont="1" applyAlignment="1">
      <alignment horizontal="centerContinuous"/>
    </xf>
    <xf numFmtId="0" fontId="7" fillId="0" borderId="0" xfId="0" applyFont="1" applyAlignment="1">
      <alignment horizontal="centerContinuous"/>
    </xf>
    <xf numFmtId="0" fontId="4" fillId="0" borderId="0" xfId="0" quotePrefix="1" applyFont="1" applyAlignment="1">
      <alignment horizontal="left" vertical="top"/>
    </xf>
    <xf numFmtId="0" fontId="4" fillId="0" borderId="0" xfId="0" applyFont="1" applyAlignment="1">
      <alignment horizontal="left" vertical="top"/>
    </xf>
    <xf numFmtId="0" fontId="4" fillId="0" borderId="0" xfId="0" applyFont="1" applyAlignment="1">
      <alignment vertical="top" wrapText="1"/>
    </xf>
    <xf numFmtId="2" fontId="4" fillId="0" borderId="0" xfId="0" applyNumberFormat="1" applyFont="1" applyAlignment="1"/>
    <xf numFmtId="0" fontId="1" fillId="0" borderId="0" xfId="0" quotePrefix="1" applyFont="1" applyAlignment="1">
      <alignment horizontal="left" vertical="top"/>
    </xf>
    <xf numFmtId="0" fontId="4" fillId="0" borderId="0" xfId="0" quotePrefix="1" applyFont="1" applyAlignment="1">
      <alignment horizontal="left"/>
    </xf>
    <xf numFmtId="0" fontId="5" fillId="0" borderId="0" xfId="0" applyFont="1" applyAlignment="1">
      <alignment horizontal="centerContinuous" vertical="top" wrapText="1"/>
    </xf>
    <xf numFmtId="0" fontId="8" fillId="0" borderId="0" xfId="0" applyFont="1" applyAlignment="1">
      <alignment horizontal="centerContinuous"/>
    </xf>
    <xf numFmtId="2" fontId="7" fillId="0" borderId="0" xfId="0" applyNumberFormat="1" applyFont="1" applyAlignment="1">
      <alignment horizontal="left"/>
    </xf>
    <xf numFmtId="0" fontId="4" fillId="0" borderId="0" xfId="0" applyFont="1" applyAlignment="1">
      <alignment horizontal="left" vertical="top" wrapText="1"/>
    </xf>
    <xf numFmtId="2" fontId="4" fillId="0" borderId="0" xfId="0" applyNumberFormat="1" applyFont="1" applyBorder="1"/>
    <xf numFmtId="2" fontId="4" fillId="0" borderId="0" xfId="0" applyNumberFormat="1" applyFont="1" applyAlignment="1">
      <alignment horizontal="right"/>
    </xf>
    <xf numFmtId="0" fontId="7" fillId="0" borderId="0" xfId="0" applyFont="1"/>
    <xf numFmtId="0" fontId="7" fillId="0" borderId="0" xfId="0" applyFont="1" applyAlignment="1">
      <alignment vertical="top"/>
    </xf>
    <xf numFmtId="0" fontId="0" fillId="0" borderId="0" xfId="0" quotePrefix="1" applyAlignment="1">
      <alignment horizontal="center"/>
    </xf>
    <xf numFmtId="0" fontId="7" fillId="0" borderId="0" xfId="0" quotePrefix="1" applyFont="1" applyAlignment="1">
      <alignment horizontal="left" vertical="top"/>
    </xf>
    <xf numFmtId="0" fontId="4" fillId="0" borderId="0" xfId="0" applyFont="1" applyBorder="1" applyAlignment="1">
      <alignment horizontal="left" vertical="top"/>
    </xf>
    <xf numFmtId="0" fontId="6" fillId="0" borderId="0" xfId="0" applyFont="1" applyAlignment="1">
      <alignment horizontal="right" vertical="top"/>
    </xf>
    <xf numFmtId="0" fontId="4" fillId="0" borderId="0" xfId="0" applyFont="1" applyAlignment="1">
      <alignment horizontal="center" vertical="top"/>
    </xf>
    <xf numFmtId="2" fontId="4" fillId="0" borderId="0" xfId="0" applyNumberFormat="1" applyFont="1" applyAlignment="1">
      <alignment horizontal="center"/>
    </xf>
    <xf numFmtId="1" fontId="4" fillId="0" borderId="0" xfId="0" applyNumberFormat="1" applyFont="1" applyAlignment="1">
      <alignment horizontal="center"/>
    </xf>
    <xf numFmtId="1" fontId="4" fillId="0" borderId="2" xfId="0" applyNumberFormat="1" applyFont="1" applyBorder="1" applyAlignment="1"/>
    <xf numFmtId="2" fontId="0" fillId="0" borderId="0" xfId="0" applyNumberFormat="1" applyAlignment="1"/>
    <xf numFmtId="0" fontId="0" fillId="0" borderId="0" xfId="0" applyAlignment="1"/>
    <xf numFmtId="2" fontId="0" fillId="0" borderId="0" xfId="0" applyNumberFormat="1" applyBorder="1" applyAlignment="1"/>
    <xf numFmtId="0" fontId="0" fillId="0" borderId="0" xfId="0" applyAlignment="1">
      <alignment horizontal="centerContinuous" vertical="top" wrapText="1"/>
    </xf>
    <xf numFmtId="0" fontId="0" fillId="0" borderId="0" xfId="0" applyAlignment="1">
      <alignment horizontal="right"/>
    </xf>
    <xf numFmtId="0" fontId="1" fillId="0" borderId="0" xfId="0" applyFont="1" applyAlignment="1">
      <alignment horizontal="left" vertical="top" wrapText="1"/>
    </xf>
    <xf numFmtId="0" fontId="0" fillId="0" borderId="1" xfId="0" quotePrefix="1" applyBorder="1" applyAlignment="1">
      <alignment horizontal="left"/>
    </xf>
    <xf numFmtId="1" fontId="0" fillId="0" borderId="1" xfId="0" applyNumberFormat="1" applyBorder="1"/>
    <xf numFmtId="1" fontId="4" fillId="0" borderId="1" xfId="0" applyNumberFormat="1" applyFont="1" applyBorder="1" applyAlignment="1">
      <alignment horizontal="right"/>
    </xf>
    <xf numFmtId="0" fontId="3" fillId="0" borderId="0" xfId="0" applyFont="1" applyAlignment="1">
      <alignment horizontal="centerContinuous"/>
    </xf>
    <xf numFmtId="1" fontId="0" fillId="0" borderId="0" xfId="0" applyNumberFormat="1" applyAlignment="1">
      <alignment horizontal="left"/>
    </xf>
    <xf numFmtId="1" fontId="0" fillId="0" borderId="0" xfId="0" applyNumberFormat="1" applyBorder="1"/>
    <xf numFmtId="0" fontId="2" fillId="0" borderId="0" xfId="0" quotePrefix="1" applyFont="1" applyAlignment="1">
      <alignment horizontal="left" vertical="top" wrapText="1"/>
    </xf>
    <xf numFmtId="0" fontId="4" fillId="0" borderId="0" xfId="0" applyFont="1" applyBorder="1" applyAlignment="1">
      <alignment horizontal="left" vertical="top" wrapText="1"/>
    </xf>
    <xf numFmtId="0" fontId="0" fillId="0" borderId="0" xfId="0" applyBorder="1" applyAlignment="1">
      <alignment horizontal="centerContinuous"/>
    </xf>
    <xf numFmtId="2" fontId="7" fillId="0" borderId="0" xfId="0" applyNumberFormat="1" applyFont="1" applyAlignment="1">
      <alignment horizontal="right"/>
    </xf>
    <xf numFmtId="0" fontId="7" fillId="0" borderId="0" xfId="0" applyFont="1" applyAlignment="1">
      <alignment horizontal="left" vertical="top"/>
    </xf>
    <xf numFmtId="0" fontId="4" fillId="0" borderId="0" xfId="0" applyFont="1" applyAlignment="1"/>
    <xf numFmtId="0" fontId="6" fillId="0" borderId="0" xfId="0" applyFont="1" applyAlignment="1">
      <alignment horizontal="center" vertical="top"/>
    </xf>
    <xf numFmtId="2" fontId="4" fillId="0" borderId="0" xfId="0" applyNumberFormat="1" applyFont="1" applyBorder="1" applyAlignment="1">
      <alignment horizontal="right" vertical="top" wrapText="1"/>
    </xf>
    <xf numFmtId="2" fontId="4" fillId="0" borderId="0" xfId="0" applyNumberFormat="1" applyFont="1" applyBorder="1" applyAlignment="1"/>
    <xf numFmtId="0" fontId="4" fillId="0" borderId="0" xfId="0" applyFont="1" applyAlignment="1">
      <alignment horizontal="centerContinuous" vertical="center" wrapText="1"/>
    </xf>
    <xf numFmtId="2" fontId="4" fillId="0" borderId="0" xfId="0" applyNumberFormat="1" applyFont="1" applyAlignment="1">
      <alignment horizontal="centerContinuous" vertical="top" wrapText="1"/>
    </xf>
    <xf numFmtId="0" fontId="5" fillId="0" borderId="0" xfId="0" quotePrefix="1" applyFont="1" applyAlignment="1">
      <alignment vertical="top"/>
    </xf>
    <xf numFmtId="0" fontId="4" fillId="0" borderId="0" xfId="0" applyFont="1" applyAlignment="1">
      <alignment vertical="center"/>
    </xf>
    <xf numFmtId="0" fontId="4" fillId="0" borderId="0" xfId="0" applyFont="1" applyAlignment="1">
      <alignment horizontal="centerContinuous" vertical="center"/>
    </xf>
    <xf numFmtId="0" fontId="1" fillId="0" borderId="0" xfId="0" applyFont="1" applyAlignment="1">
      <alignment horizontal="left" vertical="top"/>
    </xf>
    <xf numFmtId="0" fontId="1" fillId="0" borderId="0" xfId="0" applyFont="1" applyAlignment="1">
      <alignment vertical="top"/>
    </xf>
    <xf numFmtId="0" fontId="4" fillId="0" borderId="0" xfId="0" quotePrefix="1" applyFont="1" applyAlignment="1">
      <alignment vertical="top"/>
    </xf>
    <xf numFmtId="0" fontId="4" fillId="0" borderId="0" xfId="0" quotePrefix="1" applyFont="1" applyAlignment="1">
      <alignment vertical="top" wrapText="1"/>
    </xf>
    <xf numFmtId="0" fontId="4" fillId="0" borderId="0" xfId="0" quotePrefix="1" applyFont="1" applyAlignment="1">
      <alignment horizontal="center" vertical="top"/>
    </xf>
    <xf numFmtId="0" fontId="1" fillId="0" borderId="0" xfId="0" quotePrefix="1" applyFont="1" applyAlignment="1">
      <alignment horizontal="left" vertical="top" wrapText="1"/>
    </xf>
    <xf numFmtId="0" fontId="9" fillId="0" borderId="0" xfId="0" applyFont="1" applyAlignment="1">
      <alignment vertical="top"/>
    </xf>
    <xf numFmtId="0" fontId="4" fillId="0" borderId="0" xfId="0" applyFont="1" applyBorder="1" applyAlignment="1">
      <alignment vertical="center"/>
    </xf>
    <xf numFmtId="0" fontId="0" fillId="0" borderId="2" xfId="0" applyBorder="1"/>
    <xf numFmtId="2" fontId="0" fillId="0" borderId="2" xfId="0" applyNumberFormat="1" applyBorder="1"/>
    <xf numFmtId="2" fontId="4" fillId="0" borderId="2" xfId="0" applyNumberFormat="1" applyFont="1" applyBorder="1"/>
    <xf numFmtId="0" fontId="0" fillId="0" borderId="0" xfId="0" applyAlignment="1">
      <alignment vertical="top" wrapText="1"/>
    </xf>
    <xf numFmtId="0" fontId="0" fillId="0" borderId="0" xfId="0" applyAlignment="1">
      <alignment horizontal="center"/>
    </xf>
    <xf numFmtId="0" fontId="0" fillId="0" borderId="2" xfId="0" applyBorder="1" applyAlignment="1">
      <alignment horizontal="center" vertical="top" wrapText="1"/>
    </xf>
    <xf numFmtId="0" fontId="0" fillId="0" borderId="2" xfId="0" applyBorder="1" applyAlignment="1">
      <alignment vertical="top" wrapText="1"/>
    </xf>
    <xf numFmtId="0" fontId="0" fillId="0" borderId="2" xfId="0" applyBorder="1" applyAlignment="1">
      <alignment horizontal="right" vertical="top" wrapText="1"/>
    </xf>
    <xf numFmtId="2" fontId="0" fillId="0" borderId="0" xfId="0" applyNumberFormat="1" applyAlignment="1">
      <alignment horizontal="center"/>
    </xf>
    <xf numFmtId="0" fontId="4" fillId="0" borderId="0" xfId="0" applyNumberFormat="1" applyFont="1" applyAlignment="1">
      <alignment horizontal="justify" vertical="top" wrapText="1"/>
    </xf>
    <xf numFmtId="0" fontId="4" fillId="0" borderId="0" xfId="0" quotePrefix="1" applyNumberFormat="1" applyFont="1" applyAlignment="1">
      <alignment horizontal="justify" vertical="top" wrapText="1"/>
    </xf>
    <xf numFmtId="0" fontId="4" fillId="0" borderId="0" xfId="0" applyNumberFormat="1" applyFont="1" applyBorder="1" applyAlignment="1">
      <alignment horizontal="justify" vertical="top" wrapText="1"/>
    </xf>
    <xf numFmtId="0" fontId="3" fillId="0" borderId="0" xfId="0" applyNumberFormat="1" applyFont="1" applyAlignment="1">
      <alignment horizontal="justify" vertical="top" wrapText="1"/>
    </xf>
    <xf numFmtId="0" fontId="0" fillId="0" borderId="0" xfId="0" quotePrefix="1" applyAlignment="1">
      <alignment horizontal="justify" vertical="top" wrapText="1"/>
    </xf>
    <xf numFmtId="1" fontId="0" fillId="0" borderId="0" xfId="0" applyNumberFormat="1" applyAlignment="1">
      <alignment horizontal="left" vertical="top"/>
    </xf>
    <xf numFmtId="0" fontId="7" fillId="0" borderId="0" xfId="0" applyFont="1" applyAlignment="1">
      <alignment horizontal="justify" vertical="top"/>
    </xf>
    <xf numFmtId="2" fontId="4" fillId="0" borderId="2" xfId="0" applyNumberFormat="1" applyFont="1" applyBorder="1" applyAlignment="1"/>
    <xf numFmtId="1" fontId="0" fillId="0" borderId="2" xfId="0" applyNumberFormat="1" applyBorder="1"/>
    <xf numFmtId="0" fontId="0" fillId="0" borderId="2" xfId="0" quotePrefix="1" applyBorder="1" applyAlignment="1">
      <alignment horizontal="left"/>
    </xf>
    <xf numFmtId="0" fontId="0" fillId="0" borderId="2" xfId="0" applyBorder="1" applyAlignment="1">
      <alignment horizontal="left"/>
    </xf>
    <xf numFmtId="0" fontId="7" fillId="0" borderId="0" xfId="0" applyFont="1" applyAlignment="1"/>
    <xf numFmtId="0" fontId="7" fillId="0" borderId="0" xfId="0" applyFont="1" applyAlignment="1">
      <alignment horizontal="right" vertical="top"/>
    </xf>
    <xf numFmtId="2" fontId="0" fillId="0" borderId="2" xfId="0" applyNumberFormat="1" applyBorder="1" applyAlignment="1">
      <alignment horizontal="right"/>
    </xf>
    <xf numFmtId="2" fontId="0" fillId="0" borderId="2" xfId="0" applyNumberFormat="1" applyBorder="1" applyAlignment="1"/>
    <xf numFmtId="0" fontId="0" fillId="0" borderId="0" xfId="0" applyAlignment="1">
      <alignment horizontal="justify"/>
    </xf>
    <xf numFmtId="0" fontId="4" fillId="0" borderId="2" xfId="0" applyFont="1" applyBorder="1" applyAlignment="1">
      <alignment horizontal="justify" vertical="top" wrapText="1"/>
    </xf>
    <xf numFmtId="0" fontId="4" fillId="0" borderId="0" xfId="0" quotePrefix="1" applyFont="1" applyAlignment="1">
      <alignment horizontal="justify" vertical="top" wrapText="1"/>
    </xf>
    <xf numFmtId="0" fontId="4" fillId="0" borderId="0" xfId="0" applyFont="1" applyAlignment="1">
      <alignment horizontal="justify" vertical="top" wrapText="1"/>
    </xf>
    <xf numFmtId="2" fontId="0" fillId="0" borderId="0" xfId="0" applyNumberFormat="1" applyAlignment="1">
      <alignment vertical="top" wrapText="1"/>
    </xf>
    <xf numFmtId="2" fontId="4" fillId="0" borderId="0" xfId="0" applyNumberFormat="1" applyFont="1" applyAlignment="1">
      <alignment vertical="top" wrapText="1"/>
    </xf>
    <xf numFmtId="0" fontId="0" fillId="0" borderId="0" xfId="0" applyAlignment="1">
      <alignment horizontal="center" vertical="top"/>
    </xf>
    <xf numFmtId="0" fontId="4" fillId="0" borderId="0" xfId="0" quotePrefix="1" applyFont="1" applyBorder="1" applyAlignment="1">
      <alignment horizontal="left" vertical="top" wrapText="1"/>
    </xf>
    <xf numFmtId="2" fontId="1" fillId="0" borderId="0" xfId="0" applyNumberFormat="1" applyFont="1" applyAlignment="1">
      <alignment horizontal="center"/>
    </xf>
    <xf numFmtId="1" fontId="4" fillId="0" borderId="0" xfId="0" applyNumberFormat="1" applyFont="1" applyAlignment="1">
      <alignment horizontal="right" vertical="top"/>
    </xf>
    <xf numFmtId="2" fontId="4" fillId="0" borderId="0" xfId="0" applyNumberFormat="1" applyFont="1" applyAlignment="1">
      <alignment horizontal="right" vertical="top"/>
    </xf>
    <xf numFmtId="1" fontId="4" fillId="0" borderId="0" xfId="0" applyNumberFormat="1" applyFont="1" applyAlignment="1">
      <alignment vertical="top"/>
    </xf>
    <xf numFmtId="1" fontId="4" fillId="0" borderId="0" xfId="0" applyNumberFormat="1" applyFont="1" applyBorder="1" applyAlignment="1">
      <alignment horizontal="right" vertical="top"/>
    </xf>
    <xf numFmtId="0" fontId="0" fillId="0" borderId="2" xfId="0" applyBorder="1" applyAlignment="1">
      <alignment vertical="top"/>
    </xf>
    <xf numFmtId="2" fontId="0" fillId="0" borderId="2" xfId="0" applyNumberFormat="1" applyBorder="1" applyAlignment="1">
      <alignment vertical="top"/>
    </xf>
    <xf numFmtId="0" fontId="10" fillId="0" borderId="2" xfId="0" applyFont="1" applyBorder="1" applyAlignment="1">
      <alignment horizontal="center" vertical="top"/>
    </xf>
    <xf numFmtId="1" fontId="10" fillId="0" borderId="0" xfId="0" applyNumberFormat="1" applyFont="1" applyAlignment="1">
      <alignment horizontal="left" vertical="top"/>
    </xf>
    <xf numFmtId="0" fontId="10" fillId="0" borderId="0" xfId="0" quotePrefix="1" applyNumberFormat="1" applyFont="1" applyAlignment="1">
      <alignment horizontal="justify" vertical="top" wrapText="1"/>
    </xf>
    <xf numFmtId="0" fontId="10" fillId="0" borderId="0" xfId="0" applyNumberFormat="1" applyFont="1" applyAlignment="1">
      <alignment horizontal="justify" vertical="top" wrapText="1"/>
    </xf>
    <xf numFmtId="0" fontId="10" fillId="0" borderId="0" xfId="0" applyFont="1" applyAlignment="1">
      <alignment horizontal="left" vertical="top"/>
    </xf>
    <xf numFmtId="0" fontId="10" fillId="0" borderId="0" xfId="0" quotePrefix="1" applyFont="1" applyAlignment="1">
      <alignment horizontal="justify" vertical="top" wrapText="1"/>
    </xf>
    <xf numFmtId="0" fontId="10" fillId="0" borderId="0" xfId="0" applyFont="1" applyAlignment="1">
      <alignment horizontal="justify" vertical="top" wrapText="1"/>
    </xf>
    <xf numFmtId="0" fontId="10" fillId="0" borderId="2" xfId="0" applyFont="1" applyFill="1" applyBorder="1" applyAlignment="1">
      <alignment horizontal="center" vertical="top"/>
    </xf>
    <xf numFmtId="0" fontId="10" fillId="0" borderId="2" xfId="0" applyFont="1" applyFill="1" applyBorder="1" applyAlignment="1">
      <alignment horizontal="center" vertical="top" wrapText="1"/>
    </xf>
    <xf numFmtId="2" fontId="10" fillId="0" borderId="2" xfId="0" applyNumberFormat="1" applyFont="1" applyFill="1" applyBorder="1" applyAlignment="1">
      <alignment horizontal="center"/>
    </xf>
    <xf numFmtId="0" fontId="10" fillId="0" borderId="2" xfId="0" applyFont="1" applyFill="1" applyBorder="1" applyAlignment="1">
      <alignment horizontal="center"/>
    </xf>
    <xf numFmtId="1" fontId="10" fillId="0" borderId="2" xfId="0" applyNumberFormat="1" applyFont="1" applyFill="1" applyBorder="1" applyAlignment="1">
      <alignment horizontal="center"/>
    </xf>
    <xf numFmtId="0" fontId="10" fillId="0" borderId="3" xfId="0" applyFont="1" applyFill="1" applyBorder="1" applyAlignment="1">
      <alignment horizontal="center" vertical="top"/>
    </xf>
    <xf numFmtId="0" fontId="10" fillId="0" borderId="3" xfId="0" applyFont="1" applyFill="1" applyBorder="1" applyAlignment="1">
      <alignment vertical="top"/>
    </xf>
    <xf numFmtId="49" fontId="10" fillId="0" borderId="3" xfId="0" applyNumberFormat="1" applyFont="1" applyFill="1" applyBorder="1" applyAlignment="1">
      <alignment horizontal="center" vertical="top"/>
    </xf>
    <xf numFmtId="2" fontId="10" fillId="0" borderId="3" xfId="0" applyNumberFormat="1" applyFont="1" applyFill="1" applyBorder="1" applyAlignment="1">
      <alignment vertical="top"/>
    </xf>
    <xf numFmtId="0" fontId="10" fillId="0" borderId="4" xfId="0" applyFont="1" applyFill="1" applyBorder="1" applyAlignment="1">
      <alignment vertical="top" wrapText="1"/>
    </xf>
    <xf numFmtId="0" fontId="10" fillId="0" borderId="4" xfId="0" applyFont="1" applyFill="1" applyBorder="1" applyAlignment="1">
      <alignment horizontal="justify" vertical="top" wrapText="1"/>
    </xf>
    <xf numFmtId="0" fontId="10" fillId="0" borderId="4" xfId="0" applyFont="1" applyFill="1" applyBorder="1" applyAlignment="1">
      <alignment horizontal="center" vertical="top" wrapText="1"/>
    </xf>
    <xf numFmtId="1" fontId="10" fillId="0" borderId="4" xfId="0" applyNumberFormat="1" applyFont="1" applyFill="1" applyBorder="1" applyAlignment="1">
      <alignment horizontal="center" vertical="top" wrapText="1"/>
    </xf>
    <xf numFmtId="2" fontId="10" fillId="0" borderId="4" xfId="0" applyNumberFormat="1" applyFont="1" applyFill="1" applyBorder="1" applyAlignment="1">
      <alignment horizontal="center" vertical="top" wrapText="1"/>
    </xf>
    <xf numFmtId="1" fontId="10" fillId="0" borderId="0" xfId="0" applyNumberFormat="1" applyFont="1" applyFill="1" applyAlignment="1">
      <alignment horizontal="left" vertical="top"/>
    </xf>
    <xf numFmtId="0" fontId="10" fillId="0" borderId="0" xfId="0" quotePrefix="1" applyNumberFormat="1" applyFont="1" applyFill="1" applyAlignment="1">
      <alignment horizontal="justify" vertical="top" wrapText="1"/>
    </xf>
    <xf numFmtId="2" fontId="10" fillId="0" borderId="0" xfId="0" applyNumberFormat="1" applyFont="1" applyFill="1"/>
    <xf numFmtId="0" fontId="10" fillId="0" borderId="0" xfId="0" applyFont="1" applyFill="1"/>
    <xf numFmtId="2" fontId="10" fillId="0" borderId="0" xfId="0" applyNumberFormat="1" applyFont="1" applyFill="1" applyAlignment="1">
      <alignment horizontal="right"/>
    </xf>
    <xf numFmtId="0" fontId="10" fillId="0" borderId="0" xfId="0" quotePrefix="1" applyFont="1" applyFill="1" applyAlignment="1">
      <alignment horizontal="left"/>
    </xf>
    <xf numFmtId="0" fontId="10" fillId="0" borderId="0" xfId="0" applyNumberFormat="1" applyFont="1" applyFill="1" applyAlignment="1">
      <alignment horizontal="justify" vertical="top" wrapText="1"/>
    </xf>
    <xf numFmtId="0" fontId="10" fillId="0" borderId="0" xfId="0" applyFont="1" applyFill="1" applyAlignment="1">
      <alignment horizontal="left" vertical="top"/>
    </xf>
    <xf numFmtId="0" fontId="10" fillId="0" borderId="0" xfId="0" quotePrefix="1" applyFont="1" applyFill="1" applyAlignment="1">
      <alignment horizontal="justify" vertical="top" wrapText="1"/>
    </xf>
    <xf numFmtId="0" fontId="10" fillId="0" borderId="0" xfId="0" applyFont="1" applyFill="1" applyAlignment="1">
      <alignment horizontal="justify" vertical="top" wrapText="1"/>
    </xf>
    <xf numFmtId="1" fontId="10" fillId="0" borderId="0" xfId="0" applyNumberFormat="1" applyFont="1" applyFill="1"/>
    <xf numFmtId="0" fontId="10" fillId="0" borderId="3" xfId="0" applyFont="1" applyFill="1" applyBorder="1" applyAlignment="1">
      <alignment horizontal="justify" vertical="top" wrapText="1"/>
    </xf>
    <xf numFmtId="0" fontId="7" fillId="0" borderId="0" xfId="0" applyFont="1" applyAlignment="1">
      <alignment horizontal="justify"/>
    </xf>
    <xf numFmtId="2" fontId="4" fillId="0" borderId="0" xfId="0" applyNumberFormat="1" applyFont="1" applyAlignment="1">
      <alignment vertical="top"/>
    </xf>
    <xf numFmtId="0" fontId="10" fillId="0" borderId="0" xfId="0" applyFont="1" applyAlignment="1">
      <alignment vertical="top"/>
    </xf>
    <xf numFmtId="0" fontId="10" fillId="0" borderId="0" xfId="0" applyFont="1" applyAlignment="1">
      <alignment horizontal="center" vertical="top"/>
    </xf>
    <xf numFmtId="0" fontId="10" fillId="0" borderId="2" xfId="0" applyNumberFormat="1" applyFont="1" applyBorder="1" applyAlignment="1">
      <alignment horizontal="center" vertical="top" wrapText="1"/>
    </xf>
    <xf numFmtId="2" fontId="10" fillId="0" borderId="2" xfId="0" applyNumberFormat="1" applyFont="1" applyBorder="1" applyAlignment="1">
      <alignment horizontal="center" vertical="top"/>
    </xf>
    <xf numFmtId="0" fontId="12" fillId="0" borderId="0" xfId="0" applyNumberFormat="1" applyFont="1" applyAlignment="1">
      <alignment horizontal="justify" vertical="top" wrapText="1"/>
    </xf>
    <xf numFmtId="2" fontId="10" fillId="0" borderId="0" xfId="0" applyNumberFormat="1" applyFont="1" applyAlignment="1">
      <alignment vertical="top"/>
    </xf>
    <xf numFmtId="2" fontId="10" fillId="0" borderId="0" xfId="0" applyNumberFormat="1" applyFont="1" applyAlignment="1">
      <alignment horizontal="right" vertical="top"/>
    </xf>
    <xf numFmtId="0" fontId="13" fillId="0" borderId="0" xfId="0" applyNumberFormat="1" applyFont="1" applyAlignment="1">
      <alignment horizontal="justify" vertical="top" wrapText="1"/>
    </xf>
    <xf numFmtId="0" fontId="10" fillId="0" borderId="0" xfId="0" quotePrefix="1" applyFont="1" applyAlignment="1">
      <alignment horizontal="left" vertical="top"/>
    </xf>
    <xf numFmtId="0" fontId="10" fillId="0" borderId="0" xfId="0" quotePrefix="1" applyFont="1" applyAlignment="1">
      <alignment vertical="top"/>
    </xf>
    <xf numFmtId="2" fontId="10" fillId="0" borderId="2" xfId="0" applyNumberFormat="1" applyFont="1" applyBorder="1" applyAlignment="1">
      <alignment vertical="top"/>
    </xf>
    <xf numFmtId="0" fontId="10" fillId="0" borderId="2" xfId="0" quotePrefix="1" applyFont="1" applyBorder="1" applyAlignment="1">
      <alignment vertical="top"/>
    </xf>
    <xf numFmtId="0" fontId="10" fillId="0" borderId="2" xfId="0" applyFont="1" applyBorder="1" applyAlignment="1">
      <alignment horizontal="left" vertical="top"/>
    </xf>
    <xf numFmtId="0" fontId="11" fillId="0" borderId="0" xfId="0" applyNumberFormat="1" applyFont="1" applyAlignment="1">
      <alignment horizontal="justify" vertical="top" wrapText="1"/>
    </xf>
    <xf numFmtId="2" fontId="10" fillId="0" borderId="0" xfId="0" quotePrefix="1" applyNumberFormat="1" applyFont="1" applyAlignment="1">
      <alignment horizontal="centerContinuous" vertical="top"/>
    </xf>
    <xf numFmtId="2" fontId="10" fillId="0" borderId="0" xfId="0" applyNumberFormat="1" applyFont="1" applyAlignment="1">
      <alignment horizontal="centerContinuous" vertical="top"/>
    </xf>
    <xf numFmtId="0" fontId="10" fillId="0" borderId="0" xfId="0" applyFont="1" applyAlignment="1">
      <alignment horizontal="centerContinuous" vertical="top"/>
    </xf>
    <xf numFmtId="0" fontId="11" fillId="0" borderId="0" xfId="0" quotePrefix="1" applyFont="1" applyAlignment="1">
      <alignment vertical="top"/>
    </xf>
    <xf numFmtId="2" fontId="11" fillId="0" borderId="0" xfId="0" applyNumberFormat="1" applyFont="1" applyAlignment="1">
      <alignment vertical="top"/>
    </xf>
    <xf numFmtId="0" fontId="11" fillId="0" borderId="0" xfId="0" applyFont="1" applyAlignment="1">
      <alignment horizontal="left" vertical="top"/>
    </xf>
    <xf numFmtId="2" fontId="10" fillId="0" borderId="0" xfId="0" applyNumberFormat="1" applyFont="1" applyBorder="1" applyAlignment="1">
      <alignment vertical="top"/>
    </xf>
    <xf numFmtId="0" fontId="10" fillId="0" borderId="0" xfId="0" quotePrefix="1" applyFont="1" applyBorder="1" applyAlignment="1">
      <alignment vertical="top"/>
    </xf>
    <xf numFmtId="0" fontId="10" fillId="0" borderId="0" xfId="0" quotePrefix="1" applyFont="1" applyBorder="1" applyAlignment="1">
      <alignment horizontal="left" vertical="top"/>
    </xf>
    <xf numFmtId="0" fontId="10" fillId="0" borderId="2" xfId="0" applyFont="1" applyBorder="1" applyAlignment="1">
      <alignment vertical="top"/>
    </xf>
    <xf numFmtId="2" fontId="10" fillId="0" borderId="2" xfId="0" applyNumberFormat="1" applyFont="1" applyBorder="1" applyAlignment="1">
      <alignment horizontal="right" vertical="top"/>
    </xf>
    <xf numFmtId="0" fontId="10" fillId="0" borderId="2" xfId="0" quotePrefix="1" applyFont="1" applyBorder="1" applyAlignment="1">
      <alignment horizontal="left" vertical="top"/>
    </xf>
    <xf numFmtId="2" fontId="10" fillId="0" borderId="0" xfId="0" applyNumberFormat="1" applyFont="1" applyBorder="1" applyAlignment="1">
      <alignment horizontal="right" vertical="top"/>
    </xf>
    <xf numFmtId="0" fontId="10" fillId="0" borderId="0" xfId="0" applyFont="1" applyBorder="1" applyAlignment="1">
      <alignment vertical="top"/>
    </xf>
    <xf numFmtId="0" fontId="12" fillId="0" borderId="0" xfId="0" quotePrefix="1" applyNumberFormat="1" applyFont="1" applyAlignment="1">
      <alignment horizontal="justify" vertical="top" wrapText="1"/>
    </xf>
    <xf numFmtId="0" fontId="11" fillId="0" borderId="0" xfId="0" quotePrefix="1" applyFont="1" applyAlignment="1">
      <alignment horizontal="left" vertical="top"/>
    </xf>
    <xf numFmtId="0" fontId="11" fillId="0" borderId="0" xfId="0" applyFont="1" applyAlignment="1">
      <alignment vertical="top"/>
    </xf>
    <xf numFmtId="2" fontId="11" fillId="0" borderId="0" xfId="0" applyNumberFormat="1" applyFont="1" applyAlignment="1">
      <alignment horizontal="right" vertical="top"/>
    </xf>
    <xf numFmtId="0" fontId="11" fillId="0" borderId="0" xfId="0" quotePrefix="1" applyNumberFormat="1" applyFont="1" applyAlignment="1">
      <alignment horizontal="justify" vertical="top" wrapText="1"/>
    </xf>
    <xf numFmtId="0" fontId="10" fillId="0" borderId="0" xfId="0" applyNumberFormat="1" applyFont="1" applyBorder="1" applyAlignment="1">
      <alignment horizontal="justify" vertical="top" wrapText="1"/>
    </xf>
    <xf numFmtId="0" fontId="14" fillId="0" borderId="0" xfId="0" applyNumberFormat="1" applyFont="1" applyAlignment="1">
      <alignment horizontal="justify" vertical="top" wrapText="1"/>
    </xf>
    <xf numFmtId="0" fontId="11" fillId="0" borderId="2" xfId="0" applyFont="1" applyBorder="1" applyAlignment="1">
      <alignment vertical="top"/>
    </xf>
    <xf numFmtId="2" fontId="11" fillId="0" borderId="2" xfId="0" applyNumberFormat="1" applyFont="1" applyBorder="1" applyAlignment="1">
      <alignment horizontal="right" vertical="top"/>
    </xf>
    <xf numFmtId="2" fontId="11" fillId="0" borderId="2" xfId="0" applyNumberFormat="1" applyFont="1" applyBorder="1" applyAlignment="1">
      <alignment vertical="top"/>
    </xf>
    <xf numFmtId="0" fontId="11" fillId="0" borderId="2" xfId="0" applyFont="1" applyBorder="1" applyAlignment="1">
      <alignment horizontal="left" vertical="top"/>
    </xf>
    <xf numFmtId="2" fontId="10" fillId="0" borderId="0" xfId="0" applyNumberFormat="1" applyFont="1" applyAlignment="1">
      <alignment horizontal="right" vertical="top" wrapText="1"/>
    </xf>
    <xf numFmtId="0" fontId="15" fillId="0" borderId="0" xfId="0" applyNumberFormat="1" applyFont="1" applyAlignment="1">
      <alignment horizontal="justify" vertical="top" wrapText="1"/>
    </xf>
    <xf numFmtId="0" fontId="10" fillId="0" borderId="0" xfId="0" applyNumberFormat="1" applyFont="1" applyAlignment="1">
      <alignment vertical="top" wrapText="1"/>
    </xf>
    <xf numFmtId="0" fontId="14" fillId="0" borderId="0" xfId="0" quotePrefix="1" applyNumberFormat="1" applyFont="1" applyAlignment="1">
      <alignment horizontal="justify" vertical="top" wrapText="1"/>
    </xf>
    <xf numFmtId="0" fontId="10" fillId="0" borderId="0" xfId="0" applyNumberFormat="1" applyFont="1" applyAlignment="1">
      <alignment horizontal="left" vertical="top" wrapText="1"/>
    </xf>
    <xf numFmtId="2" fontId="10" fillId="0" borderId="0" xfId="0" applyNumberFormat="1" applyFont="1" applyAlignment="1">
      <alignment horizontal="justify" vertical="top" wrapText="1"/>
    </xf>
    <xf numFmtId="2" fontId="11" fillId="0" borderId="0" xfId="0" applyNumberFormat="1" applyFont="1" applyAlignment="1">
      <alignment horizontal="centerContinuous" vertical="top"/>
    </xf>
    <xf numFmtId="0" fontId="11" fillId="0" borderId="0" xfId="0" applyFont="1" applyAlignment="1">
      <alignment horizontal="centerContinuous" vertical="top"/>
    </xf>
    <xf numFmtId="2" fontId="11" fillId="0" borderId="0" xfId="0" applyNumberFormat="1" applyFont="1" applyBorder="1" applyAlignment="1">
      <alignment horizontal="right" vertical="top"/>
    </xf>
    <xf numFmtId="0" fontId="11" fillId="0" borderId="0" xfId="0" applyFont="1" applyBorder="1" applyAlignment="1">
      <alignment vertical="top"/>
    </xf>
    <xf numFmtId="2" fontId="11" fillId="0" borderId="0" xfId="0" applyNumberFormat="1" applyFont="1" applyBorder="1" applyAlignment="1">
      <alignment vertical="top"/>
    </xf>
    <xf numFmtId="0" fontId="10" fillId="0" borderId="0" xfId="0" quotePrefix="1" applyFont="1" applyAlignment="1">
      <alignment horizontal="left" vertical="top" wrapText="1"/>
    </xf>
    <xf numFmtId="1" fontId="10" fillId="0" borderId="0" xfId="0" applyNumberFormat="1" applyFont="1" applyAlignment="1">
      <alignment horizontal="right" vertical="top"/>
    </xf>
    <xf numFmtId="0" fontId="10" fillId="0" borderId="0" xfId="0" applyFont="1" applyAlignment="1">
      <alignment horizontal="right" vertical="top"/>
    </xf>
    <xf numFmtId="0" fontId="10" fillId="0" borderId="0" xfId="0" applyFont="1" applyBorder="1" applyAlignment="1">
      <alignment horizontal="right" vertical="top"/>
    </xf>
    <xf numFmtId="0" fontId="10" fillId="0" borderId="0" xfId="0" quotePrefix="1" applyFont="1" applyBorder="1" applyAlignment="1">
      <alignment horizontal="right" vertical="top"/>
    </xf>
    <xf numFmtId="0" fontId="11" fillId="0" borderId="2" xfId="0" quotePrefix="1" applyFont="1" applyBorder="1" applyAlignment="1">
      <alignment horizontal="left" vertical="top"/>
    </xf>
    <xf numFmtId="1" fontId="10" fillId="0" borderId="0" xfId="0" applyNumberFormat="1" applyFont="1" applyAlignment="1">
      <alignment vertical="top"/>
    </xf>
    <xf numFmtId="2" fontId="10" fillId="0" borderId="0" xfId="0" applyNumberFormat="1" applyFont="1" applyAlignment="1">
      <alignment horizontal="center" vertical="top"/>
    </xf>
    <xf numFmtId="1" fontId="10" fillId="0" borderId="0" xfId="0" applyNumberFormat="1" applyFont="1" applyBorder="1" applyAlignment="1">
      <alignment horizontal="right" vertical="top"/>
    </xf>
    <xf numFmtId="1" fontId="10" fillId="0" borderId="0" xfId="0" applyNumberFormat="1" applyFont="1" applyBorder="1" applyAlignment="1">
      <alignment vertical="top"/>
    </xf>
    <xf numFmtId="1" fontId="10" fillId="0" borderId="2" xfId="0" applyNumberFormat="1" applyFont="1" applyBorder="1" applyAlignment="1">
      <alignment vertical="top"/>
    </xf>
    <xf numFmtId="2" fontId="10" fillId="0" borderId="1" xfId="0" applyNumberFormat="1" applyFont="1" applyBorder="1" applyAlignment="1">
      <alignment vertical="top"/>
    </xf>
    <xf numFmtId="0" fontId="10" fillId="0" borderId="1" xfId="0" applyFont="1" applyBorder="1" applyAlignment="1">
      <alignment vertical="top"/>
    </xf>
    <xf numFmtId="0" fontId="10" fillId="0" borderId="1" xfId="0" quotePrefix="1" applyFont="1" applyBorder="1" applyAlignment="1">
      <alignment vertical="top"/>
    </xf>
    <xf numFmtId="0" fontId="10" fillId="0" borderId="1" xfId="0" applyFont="1" applyBorder="1" applyAlignment="1">
      <alignment horizontal="left" vertical="top"/>
    </xf>
    <xf numFmtId="2" fontId="10" fillId="0" borderId="2" xfId="0" quotePrefix="1" applyNumberFormat="1" applyFont="1" applyBorder="1" applyAlignment="1">
      <alignment horizontal="center" vertical="top"/>
    </xf>
    <xf numFmtId="2" fontId="10" fillId="0" borderId="0" xfId="0" quotePrefix="1" applyNumberFormat="1" applyFont="1" applyAlignment="1">
      <alignment horizontal="center" vertical="top"/>
    </xf>
    <xf numFmtId="2" fontId="11" fillId="0" borderId="0" xfId="0" quotePrefix="1" applyNumberFormat="1" applyFont="1" applyAlignment="1">
      <alignment horizontal="left" vertical="top"/>
    </xf>
    <xf numFmtId="0" fontId="10" fillId="0" borderId="0" xfId="0" applyFont="1" applyBorder="1" applyAlignment="1">
      <alignment horizontal="left" vertical="top"/>
    </xf>
    <xf numFmtId="2" fontId="11" fillId="0" borderId="0" xfId="0" quotePrefix="1" applyNumberFormat="1" applyFont="1" applyAlignment="1">
      <alignment horizontal="right" vertical="top"/>
    </xf>
    <xf numFmtId="0" fontId="10" fillId="0" borderId="1" xfId="0" quotePrefix="1" applyFont="1" applyBorder="1" applyAlignment="1">
      <alignment horizontal="left" vertical="top"/>
    </xf>
    <xf numFmtId="0" fontId="10" fillId="0" borderId="0" xfId="0" quotePrefix="1" applyFont="1" applyAlignment="1">
      <alignment horizontal="centerContinuous" vertical="top"/>
    </xf>
    <xf numFmtId="2" fontId="10" fillId="0" borderId="1" xfId="0" applyNumberFormat="1" applyFont="1" applyBorder="1" applyAlignment="1">
      <alignment horizontal="right" vertical="top"/>
    </xf>
    <xf numFmtId="2" fontId="10" fillId="0" borderId="0" xfId="0" quotePrefix="1" applyNumberFormat="1" applyFont="1" applyBorder="1" applyAlignment="1">
      <alignment horizontal="center" vertical="top"/>
    </xf>
    <xf numFmtId="2" fontId="10" fillId="0" borderId="1" xfId="0" quotePrefix="1" applyNumberFormat="1" applyFont="1" applyBorder="1" applyAlignment="1">
      <alignment horizontal="center" vertical="top"/>
    </xf>
    <xf numFmtId="43" fontId="10" fillId="0" borderId="0" xfId="1" quotePrefix="1" applyFont="1" applyAlignment="1">
      <alignment horizontal="left" vertical="top"/>
    </xf>
    <xf numFmtId="0" fontId="10" fillId="0" borderId="0" xfId="0" applyFont="1" applyAlignment="1">
      <alignment horizontal="left" vertical="top" wrapText="1"/>
    </xf>
    <xf numFmtId="0" fontId="10" fillId="0" borderId="0" xfId="0" applyNumberFormat="1" applyFont="1" applyAlignment="1">
      <alignment horizontal="right" vertical="top" wrapText="1"/>
    </xf>
    <xf numFmtId="0" fontId="10" fillId="0" borderId="0" xfId="0" quotePrefix="1" applyFont="1" applyAlignment="1">
      <alignment horizontal="center" vertical="top"/>
    </xf>
    <xf numFmtId="0" fontId="10" fillId="0" borderId="0" xfId="0" quotePrefix="1" applyFont="1" applyFill="1" applyBorder="1" applyAlignment="1">
      <alignment vertical="top"/>
    </xf>
    <xf numFmtId="2" fontId="16" fillId="0" borderId="0" xfId="0" applyNumberFormat="1" applyFont="1" applyBorder="1" applyAlignment="1">
      <alignment horizontal="right" vertical="top"/>
    </xf>
    <xf numFmtId="2" fontId="16" fillId="0" borderId="0" xfId="0" applyNumberFormat="1" applyFont="1" applyAlignment="1">
      <alignment horizontal="right" vertical="top"/>
    </xf>
    <xf numFmtId="0" fontId="0" fillId="0" borderId="0" xfId="0" applyBorder="1" applyAlignment="1">
      <alignment wrapText="1"/>
    </xf>
    <xf numFmtId="2" fontId="0" fillId="0" borderId="0" xfId="0" applyNumberFormat="1" applyBorder="1" applyAlignment="1">
      <alignment wrapText="1"/>
    </xf>
    <xf numFmtId="2" fontId="0" fillId="0" borderId="0" xfId="0" applyNumberFormat="1" applyBorder="1" applyAlignment="1">
      <alignment vertical="top" wrapText="1"/>
    </xf>
    <xf numFmtId="0" fontId="11" fillId="0" borderId="0" xfId="0" applyFont="1" applyAlignment="1">
      <alignment horizontal="right" vertical="top"/>
    </xf>
    <xf numFmtId="0" fontId="3" fillId="0" borderId="0" xfId="0" applyFont="1" applyBorder="1" applyAlignment="1">
      <alignment wrapText="1"/>
    </xf>
    <xf numFmtId="0" fontId="0" fillId="0" borderId="0" xfId="0" applyBorder="1" applyAlignment="1">
      <alignment horizontal="center" wrapText="1"/>
    </xf>
    <xf numFmtId="0" fontId="3" fillId="0" borderId="0" xfId="0" applyFont="1"/>
    <xf numFmtId="0" fontId="16" fillId="0" borderId="0" xfId="0" applyFont="1" applyAlignment="1">
      <alignment horizontal="left" vertical="top"/>
    </xf>
    <xf numFmtId="0" fontId="16" fillId="0" borderId="0" xfId="0" applyNumberFormat="1" applyFont="1" applyAlignment="1">
      <alignment horizontal="justify" vertical="top" wrapText="1"/>
    </xf>
    <xf numFmtId="1" fontId="16" fillId="0" borderId="0" xfId="0" applyNumberFormat="1" applyFont="1" applyAlignment="1">
      <alignment vertical="top"/>
    </xf>
    <xf numFmtId="0" fontId="16" fillId="0" borderId="0" xfId="0" applyFont="1" applyAlignment="1">
      <alignment vertical="top"/>
    </xf>
    <xf numFmtId="2" fontId="16" fillId="0" borderId="0" xfId="0" applyNumberFormat="1" applyFont="1" applyAlignment="1">
      <alignment vertical="top"/>
    </xf>
    <xf numFmtId="0" fontId="16" fillId="0" borderId="0" xfId="0" quotePrefix="1" applyFont="1" applyAlignment="1">
      <alignment horizontal="left" vertical="top"/>
    </xf>
    <xf numFmtId="2" fontId="16" fillId="0" borderId="0" xfId="0" applyNumberFormat="1" applyFont="1" applyAlignment="1">
      <alignment horizontal="centerContinuous" vertical="top"/>
    </xf>
    <xf numFmtId="1" fontId="16" fillId="0" borderId="0" xfId="0" applyNumberFormat="1" applyFont="1" applyAlignment="1">
      <alignment horizontal="right" vertical="top"/>
    </xf>
    <xf numFmtId="0" fontId="16" fillId="0" borderId="0" xfId="0" quotePrefix="1" applyFont="1" applyAlignment="1">
      <alignment vertical="top"/>
    </xf>
    <xf numFmtId="1" fontId="16" fillId="0" borderId="0" xfId="0" applyNumberFormat="1" applyFont="1" applyBorder="1" applyAlignment="1">
      <alignment horizontal="right" vertical="top"/>
    </xf>
    <xf numFmtId="0" fontId="16" fillId="0" borderId="0" xfId="0" quotePrefix="1" applyFont="1" applyBorder="1" applyAlignment="1">
      <alignment horizontal="left" vertical="top"/>
    </xf>
    <xf numFmtId="0" fontId="16" fillId="0" borderId="0" xfId="0" applyFont="1" applyBorder="1" applyAlignment="1">
      <alignment vertical="top"/>
    </xf>
    <xf numFmtId="0" fontId="16" fillId="0" borderId="0" xfId="0" quotePrefix="1" applyFont="1" applyBorder="1" applyAlignment="1">
      <alignment vertical="top"/>
    </xf>
    <xf numFmtId="1" fontId="16" fillId="0" borderId="0" xfId="0" applyNumberFormat="1" applyFont="1" applyBorder="1" applyAlignment="1">
      <alignment vertical="top"/>
    </xf>
    <xf numFmtId="2" fontId="16" fillId="0" borderId="2" xfId="0" applyNumberFormat="1" applyFont="1" applyBorder="1" applyAlignment="1">
      <alignment horizontal="right" vertical="top"/>
    </xf>
    <xf numFmtId="0" fontId="16" fillId="0" borderId="2" xfId="0" applyFont="1" applyBorder="1" applyAlignment="1">
      <alignment vertical="top"/>
    </xf>
    <xf numFmtId="2" fontId="16" fillId="0" borderId="2" xfId="0" applyNumberFormat="1" applyFont="1" applyBorder="1" applyAlignment="1">
      <alignment vertical="top"/>
    </xf>
    <xf numFmtId="1" fontId="16" fillId="0" borderId="2" xfId="0" applyNumberFormat="1" applyFont="1" applyBorder="1" applyAlignment="1">
      <alignment vertical="top"/>
    </xf>
    <xf numFmtId="2" fontId="16" fillId="0" borderId="0" xfId="0" applyNumberFormat="1" applyFont="1" applyAlignment="1">
      <alignment horizontal="left" vertical="top"/>
    </xf>
    <xf numFmtId="2" fontId="16" fillId="0" borderId="0" xfId="0" applyNumberFormat="1" applyFont="1" applyBorder="1" applyAlignment="1">
      <alignment vertical="top"/>
    </xf>
    <xf numFmtId="1" fontId="10" fillId="0" borderId="3" xfId="0" applyNumberFormat="1" applyFont="1" applyFill="1" applyBorder="1" applyAlignment="1">
      <alignment vertical="top"/>
    </xf>
    <xf numFmtId="0" fontId="0" fillId="0" borderId="2" xfId="0" applyBorder="1" applyAlignment="1">
      <alignment horizontal="right"/>
    </xf>
    <xf numFmtId="0" fontId="7" fillId="0" borderId="0" xfId="0" applyFont="1" applyAlignment="1">
      <alignment horizontal="center" vertical="top"/>
    </xf>
    <xf numFmtId="0" fontId="3" fillId="0" borderId="0" xfId="0" applyFont="1" applyAlignment="1">
      <alignment horizontal="left" vertical="top" wrapText="1"/>
    </xf>
    <xf numFmtId="0" fontId="4" fillId="0" borderId="0" xfId="0" quotePrefix="1" applyFont="1" applyAlignment="1">
      <alignment horizontal="left" vertical="top" wrapText="1"/>
    </xf>
    <xf numFmtId="0" fontId="10" fillId="0" borderId="0" xfId="0" applyFont="1" applyFill="1" applyAlignment="1">
      <alignment horizontal="center" vertical="top" wrapText="1"/>
    </xf>
    <xf numFmtId="0" fontId="10" fillId="0" borderId="0" xfId="0" applyFont="1" applyFill="1" applyAlignment="1">
      <alignment horizontal="center"/>
    </xf>
    <xf numFmtId="0" fontId="11" fillId="0" borderId="0" xfId="0" applyFont="1" applyFill="1" applyAlignment="1">
      <alignment horizontal="center"/>
    </xf>
    <xf numFmtId="2" fontId="16" fillId="0" borderId="0" xfId="0" applyNumberFormat="1" applyFont="1" applyAlignment="1">
      <alignment horizontal="center" vertical="top"/>
    </xf>
    <xf numFmtId="2" fontId="10" fillId="0" borderId="0" xfId="0" applyNumberFormat="1" applyFont="1" applyAlignment="1">
      <alignment horizontal="center" vertical="top"/>
    </xf>
    <xf numFmtId="2" fontId="11" fillId="0" borderId="0" xfId="0" applyNumberFormat="1" applyFont="1" applyAlignment="1">
      <alignment horizontal="center" vertical="top"/>
    </xf>
    <xf numFmtId="0" fontId="10" fillId="0" borderId="0" xfId="0" applyFont="1" applyAlignment="1">
      <alignment horizontal="center" vertical="top" wrapText="1"/>
    </xf>
    <xf numFmtId="0" fontId="11" fillId="0" borderId="0" xfId="0" applyFont="1" applyAlignment="1">
      <alignment horizontal="center" vertical="top"/>
    </xf>
    <xf numFmtId="0" fontId="10" fillId="0" borderId="0" xfId="0" applyFont="1" applyAlignment="1">
      <alignment horizontal="center" vertical="top"/>
    </xf>
    <xf numFmtId="0" fontId="5" fillId="0" borderId="0" xfId="0" applyFont="1" applyAlignment="1">
      <alignment horizontal="center" vertical="top" wrapText="1"/>
    </xf>
    <xf numFmtId="0" fontId="3" fillId="0" borderId="0" xfId="0" applyFont="1" applyAlignment="1">
      <alignment horizontal="center"/>
    </xf>
    <xf numFmtId="0" fontId="3" fillId="0" borderId="1" xfId="0" applyFont="1" applyBorder="1" applyAlignment="1">
      <alignment horizontal="center"/>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238</xdr:row>
      <xdr:rowOff>0</xdr:rowOff>
    </xdr:from>
    <xdr:to>
      <xdr:col>2</xdr:col>
      <xdr:colOff>0</xdr:colOff>
      <xdr:row>238</xdr:row>
      <xdr:rowOff>0</xdr:rowOff>
    </xdr:to>
    <xdr:sp macro="" textlink="">
      <xdr:nvSpPr>
        <xdr:cNvPr id="1055" name="Text 31"/>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56" name="Text 32"/>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057" name="Text 33"/>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232</xdr:row>
      <xdr:rowOff>0</xdr:rowOff>
    </xdr:from>
    <xdr:to>
      <xdr:col>2</xdr:col>
      <xdr:colOff>0</xdr:colOff>
      <xdr:row>232</xdr:row>
      <xdr:rowOff>0</xdr:rowOff>
    </xdr:to>
    <xdr:sp macro="" textlink="">
      <xdr:nvSpPr>
        <xdr:cNvPr id="1074" name="Text 50"/>
        <xdr:cNvSpPr txBox="1">
          <a:spLocks noChangeArrowheads="1"/>
        </xdr:cNvSpPr>
      </xdr:nvSpPr>
      <xdr:spPr bwMode="auto">
        <a:xfrm>
          <a:off x="314325" y="1155382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226</xdr:row>
      <xdr:rowOff>0</xdr:rowOff>
    </xdr:from>
    <xdr:to>
      <xdr:col>1</xdr:col>
      <xdr:colOff>3000375</xdr:colOff>
      <xdr:row>226</xdr:row>
      <xdr:rowOff>0</xdr:rowOff>
    </xdr:to>
    <xdr:sp macro="" textlink="">
      <xdr:nvSpPr>
        <xdr:cNvPr id="1075" name="Text 51"/>
        <xdr:cNvSpPr txBox="1">
          <a:spLocks noChangeArrowheads="1"/>
        </xdr:cNvSpPr>
      </xdr:nvSpPr>
      <xdr:spPr bwMode="auto">
        <a:xfrm>
          <a:off x="314325" y="32004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78" name="Text 54"/>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79" name="Text 55"/>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238</xdr:row>
      <xdr:rowOff>0</xdr:rowOff>
    </xdr:from>
    <xdr:to>
      <xdr:col>2</xdr:col>
      <xdr:colOff>0</xdr:colOff>
      <xdr:row>238</xdr:row>
      <xdr:rowOff>0</xdr:rowOff>
    </xdr:to>
    <xdr:sp macro="" textlink="">
      <xdr:nvSpPr>
        <xdr:cNvPr id="1080" name="Text 56"/>
        <xdr:cNvSpPr txBox="1">
          <a:spLocks noChangeArrowheads="1"/>
        </xdr:cNvSpPr>
      </xdr:nvSpPr>
      <xdr:spPr bwMode="auto">
        <a:xfrm>
          <a:off x="333375" y="22659975"/>
          <a:ext cx="29813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238</xdr:row>
      <xdr:rowOff>0</xdr:rowOff>
    </xdr:from>
    <xdr:to>
      <xdr:col>1</xdr:col>
      <xdr:colOff>3000375</xdr:colOff>
      <xdr:row>238</xdr:row>
      <xdr:rowOff>0</xdr:rowOff>
    </xdr:to>
    <xdr:sp macro="" textlink="">
      <xdr:nvSpPr>
        <xdr:cNvPr id="1082" name="Text 58"/>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83" name="Text 59"/>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085" name="Text 61"/>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226</xdr:row>
      <xdr:rowOff>0</xdr:rowOff>
    </xdr:from>
    <xdr:to>
      <xdr:col>1</xdr:col>
      <xdr:colOff>3000375</xdr:colOff>
      <xdr:row>226</xdr:row>
      <xdr:rowOff>0</xdr:rowOff>
    </xdr:to>
    <xdr:sp macro="" textlink="">
      <xdr:nvSpPr>
        <xdr:cNvPr id="1087" name="Text 63"/>
        <xdr:cNvSpPr txBox="1">
          <a:spLocks noChangeArrowheads="1"/>
        </xdr:cNvSpPr>
      </xdr:nvSpPr>
      <xdr:spPr bwMode="auto">
        <a:xfrm>
          <a:off x="314325" y="32004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228</xdr:row>
      <xdr:rowOff>0</xdr:rowOff>
    </xdr:from>
    <xdr:to>
      <xdr:col>2</xdr:col>
      <xdr:colOff>0</xdr:colOff>
      <xdr:row>228</xdr:row>
      <xdr:rowOff>0</xdr:rowOff>
    </xdr:to>
    <xdr:sp macro="" textlink="">
      <xdr:nvSpPr>
        <xdr:cNvPr id="1089" name="Text 65"/>
        <xdr:cNvSpPr txBox="1">
          <a:spLocks noChangeArrowheads="1"/>
        </xdr:cNvSpPr>
      </xdr:nvSpPr>
      <xdr:spPr bwMode="auto">
        <a:xfrm>
          <a:off x="314325" y="55816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228</xdr:row>
      <xdr:rowOff>0</xdr:rowOff>
    </xdr:from>
    <xdr:to>
      <xdr:col>1</xdr:col>
      <xdr:colOff>3000375</xdr:colOff>
      <xdr:row>228</xdr:row>
      <xdr:rowOff>0</xdr:rowOff>
    </xdr:to>
    <xdr:sp macro="" textlink="">
      <xdr:nvSpPr>
        <xdr:cNvPr id="1095" name="Text 71"/>
        <xdr:cNvSpPr txBox="1">
          <a:spLocks noChangeArrowheads="1"/>
        </xdr:cNvSpPr>
      </xdr:nvSpPr>
      <xdr:spPr bwMode="auto">
        <a:xfrm>
          <a:off x="314325" y="55816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96" name="Text 72"/>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xdr:col>
      <xdr:colOff>0</xdr:colOff>
      <xdr:row>229</xdr:row>
      <xdr:rowOff>0</xdr:rowOff>
    </xdr:from>
    <xdr:to>
      <xdr:col>2</xdr:col>
      <xdr:colOff>0</xdr:colOff>
      <xdr:row>229</xdr:row>
      <xdr:rowOff>0</xdr:rowOff>
    </xdr:to>
    <xdr:sp macro="" textlink="">
      <xdr:nvSpPr>
        <xdr:cNvPr id="1097" name="Text 73"/>
        <xdr:cNvSpPr txBox="1">
          <a:spLocks noChangeArrowheads="1"/>
        </xdr:cNvSpPr>
      </xdr:nvSpPr>
      <xdr:spPr bwMode="auto">
        <a:xfrm>
          <a:off x="314325" y="84772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228</xdr:row>
      <xdr:rowOff>0</xdr:rowOff>
    </xdr:from>
    <xdr:to>
      <xdr:col>2</xdr:col>
      <xdr:colOff>0</xdr:colOff>
      <xdr:row>228</xdr:row>
      <xdr:rowOff>0</xdr:rowOff>
    </xdr:to>
    <xdr:sp macro="" textlink="">
      <xdr:nvSpPr>
        <xdr:cNvPr id="1098" name="Text 74"/>
        <xdr:cNvSpPr txBox="1">
          <a:spLocks noChangeArrowheads="1"/>
        </xdr:cNvSpPr>
      </xdr:nvSpPr>
      <xdr:spPr bwMode="auto">
        <a:xfrm>
          <a:off x="314325" y="55816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09" name="Text 85"/>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3" name="Text 89"/>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14" name="Text 90"/>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115" name="Text 91"/>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6" name="Text 92"/>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242</xdr:row>
      <xdr:rowOff>0</xdr:rowOff>
    </xdr:from>
    <xdr:to>
      <xdr:col>1</xdr:col>
      <xdr:colOff>2962275</xdr:colOff>
      <xdr:row>242</xdr:row>
      <xdr:rowOff>0</xdr:rowOff>
    </xdr:to>
    <xdr:sp macro="" textlink="">
      <xdr:nvSpPr>
        <xdr:cNvPr id="1117" name="Text 93"/>
        <xdr:cNvSpPr txBox="1">
          <a:spLocks noChangeArrowheads="1"/>
        </xdr:cNvSpPr>
      </xdr:nvSpPr>
      <xdr:spPr bwMode="auto">
        <a:xfrm>
          <a:off x="323850" y="248793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18" name="Text 94"/>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244</xdr:row>
      <xdr:rowOff>0</xdr:rowOff>
    </xdr:from>
    <xdr:to>
      <xdr:col>2</xdr:col>
      <xdr:colOff>9525</xdr:colOff>
      <xdr:row>244</xdr:row>
      <xdr:rowOff>0</xdr:rowOff>
    </xdr:to>
    <xdr:sp macro="" textlink="">
      <xdr:nvSpPr>
        <xdr:cNvPr id="1119" name="Text 9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30" name="Text 106"/>
        <xdr:cNvSpPr txBox="1">
          <a:spLocks noChangeArrowheads="1"/>
        </xdr:cNvSpPr>
      </xdr:nvSpPr>
      <xdr:spPr bwMode="auto">
        <a:xfrm>
          <a:off x="314325" y="22659975"/>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238</xdr:row>
      <xdr:rowOff>0</xdr:rowOff>
    </xdr:from>
    <xdr:to>
      <xdr:col>2</xdr:col>
      <xdr:colOff>0</xdr:colOff>
      <xdr:row>238</xdr:row>
      <xdr:rowOff>0</xdr:rowOff>
    </xdr:to>
    <xdr:sp macro="" textlink="">
      <xdr:nvSpPr>
        <xdr:cNvPr id="1134" name="Text 110"/>
        <xdr:cNvSpPr txBox="1">
          <a:spLocks noChangeArrowheads="1"/>
        </xdr:cNvSpPr>
      </xdr:nvSpPr>
      <xdr:spPr bwMode="auto">
        <a:xfrm>
          <a:off x="314325" y="22659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0</xdr:col>
      <xdr:colOff>714375</xdr:colOff>
      <xdr:row>238</xdr:row>
      <xdr:rowOff>0</xdr:rowOff>
    </xdr:from>
    <xdr:to>
      <xdr:col>2</xdr:col>
      <xdr:colOff>9525</xdr:colOff>
      <xdr:row>238</xdr:row>
      <xdr:rowOff>0</xdr:rowOff>
    </xdr:to>
    <xdr:sp macro="" textlink="">
      <xdr:nvSpPr>
        <xdr:cNvPr id="1135" name="Text 111"/>
        <xdr:cNvSpPr txBox="1">
          <a:spLocks noChangeArrowheads="1"/>
        </xdr:cNvSpPr>
      </xdr:nvSpPr>
      <xdr:spPr bwMode="auto">
        <a:xfrm>
          <a:off x="314325" y="22659975"/>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36" name="Text 112"/>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242</xdr:row>
      <xdr:rowOff>0</xdr:rowOff>
    </xdr:from>
    <xdr:to>
      <xdr:col>1</xdr:col>
      <xdr:colOff>2962275</xdr:colOff>
      <xdr:row>242</xdr:row>
      <xdr:rowOff>0</xdr:rowOff>
    </xdr:to>
    <xdr:sp macro="" textlink="">
      <xdr:nvSpPr>
        <xdr:cNvPr id="1137" name="Text 113"/>
        <xdr:cNvSpPr txBox="1">
          <a:spLocks noChangeArrowheads="1"/>
        </xdr:cNvSpPr>
      </xdr:nvSpPr>
      <xdr:spPr bwMode="auto">
        <a:xfrm>
          <a:off x="323850" y="248793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242</xdr:row>
      <xdr:rowOff>0</xdr:rowOff>
    </xdr:from>
    <xdr:to>
      <xdr:col>2</xdr:col>
      <xdr:colOff>0</xdr:colOff>
      <xdr:row>242</xdr:row>
      <xdr:rowOff>0</xdr:rowOff>
    </xdr:to>
    <xdr:sp macro="" textlink="">
      <xdr:nvSpPr>
        <xdr:cNvPr id="1138" name="Text 114"/>
        <xdr:cNvSpPr txBox="1">
          <a:spLocks noChangeArrowheads="1"/>
        </xdr:cNvSpPr>
      </xdr:nvSpPr>
      <xdr:spPr bwMode="auto">
        <a:xfrm>
          <a:off x="314325" y="248793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244</xdr:row>
      <xdr:rowOff>0</xdr:rowOff>
    </xdr:from>
    <xdr:to>
      <xdr:col>2</xdr:col>
      <xdr:colOff>9525</xdr:colOff>
      <xdr:row>244</xdr:row>
      <xdr:rowOff>0</xdr:rowOff>
    </xdr:to>
    <xdr:sp macro="" textlink="">
      <xdr:nvSpPr>
        <xdr:cNvPr id="1139" name="Text 115"/>
        <xdr:cNvSpPr txBox="1">
          <a:spLocks noChangeArrowheads="1"/>
        </xdr:cNvSpPr>
      </xdr:nvSpPr>
      <xdr:spPr bwMode="auto">
        <a:xfrm>
          <a:off x="323850" y="2976562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255</xdr:row>
      <xdr:rowOff>0</xdr:rowOff>
    </xdr:from>
    <xdr:to>
      <xdr:col>2</xdr:col>
      <xdr:colOff>0</xdr:colOff>
      <xdr:row>255</xdr:row>
      <xdr:rowOff>0</xdr:rowOff>
    </xdr:to>
    <xdr:sp macro="" textlink="">
      <xdr:nvSpPr>
        <xdr:cNvPr id="1152" name="Text 85"/>
        <xdr:cNvSpPr txBox="1">
          <a:spLocks noChangeArrowheads="1"/>
        </xdr:cNvSpPr>
      </xdr:nvSpPr>
      <xdr:spPr bwMode="auto">
        <a:xfrm>
          <a:off x="314325" y="4198620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4" name="Text 90"/>
        <xdr:cNvSpPr txBox="1">
          <a:spLocks noChangeArrowheads="1"/>
        </xdr:cNvSpPr>
      </xdr:nvSpPr>
      <xdr:spPr bwMode="auto">
        <a:xfrm>
          <a:off x="314325" y="237553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239</xdr:row>
      <xdr:rowOff>0</xdr:rowOff>
    </xdr:from>
    <xdr:to>
      <xdr:col>2</xdr:col>
      <xdr:colOff>9525</xdr:colOff>
      <xdr:row>239</xdr:row>
      <xdr:rowOff>0</xdr:rowOff>
    </xdr:to>
    <xdr:sp macro="" textlink="">
      <xdr:nvSpPr>
        <xdr:cNvPr id="1165" name="Text 91"/>
        <xdr:cNvSpPr txBox="1">
          <a:spLocks noChangeArrowheads="1"/>
        </xdr:cNvSpPr>
      </xdr:nvSpPr>
      <xdr:spPr bwMode="auto">
        <a:xfrm>
          <a:off x="314325" y="23755350"/>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6" name="Text 106"/>
        <xdr:cNvSpPr txBox="1">
          <a:spLocks noChangeArrowheads="1"/>
        </xdr:cNvSpPr>
      </xdr:nvSpPr>
      <xdr:spPr bwMode="auto">
        <a:xfrm>
          <a:off x="314325" y="23755350"/>
          <a:ext cx="30003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239</xdr:row>
      <xdr:rowOff>0</xdr:rowOff>
    </xdr:from>
    <xdr:to>
      <xdr:col>2</xdr:col>
      <xdr:colOff>0</xdr:colOff>
      <xdr:row>239</xdr:row>
      <xdr:rowOff>0</xdr:rowOff>
    </xdr:to>
    <xdr:sp macro="" textlink="">
      <xdr:nvSpPr>
        <xdr:cNvPr id="1167" name="Text 110"/>
        <xdr:cNvSpPr txBox="1">
          <a:spLocks noChangeArrowheads="1"/>
        </xdr:cNvSpPr>
      </xdr:nvSpPr>
      <xdr:spPr bwMode="auto">
        <a:xfrm>
          <a:off x="314325" y="23755350"/>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0</xdr:col>
      <xdr:colOff>714375</xdr:colOff>
      <xdr:row>239</xdr:row>
      <xdr:rowOff>0</xdr:rowOff>
    </xdr:from>
    <xdr:to>
      <xdr:col>2</xdr:col>
      <xdr:colOff>9525</xdr:colOff>
      <xdr:row>239</xdr:row>
      <xdr:rowOff>0</xdr:rowOff>
    </xdr:to>
    <xdr:sp macro="" textlink="">
      <xdr:nvSpPr>
        <xdr:cNvPr id="1168" name="Text 111"/>
        <xdr:cNvSpPr txBox="1">
          <a:spLocks noChangeArrowheads="1"/>
        </xdr:cNvSpPr>
      </xdr:nvSpPr>
      <xdr:spPr bwMode="auto">
        <a:xfrm>
          <a:off x="314325" y="23755350"/>
          <a:ext cx="30099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513</xdr:row>
      <xdr:rowOff>0</xdr:rowOff>
    </xdr:from>
    <xdr:to>
      <xdr:col>2</xdr:col>
      <xdr:colOff>0</xdr:colOff>
      <xdr:row>513</xdr:row>
      <xdr:rowOff>0</xdr:rowOff>
    </xdr:to>
    <xdr:sp macro="" textlink="">
      <xdr:nvSpPr>
        <xdr:cNvPr id="2072" name="Text 24"/>
        <xdr:cNvSpPr txBox="1">
          <a:spLocks noChangeArrowheads="1"/>
        </xdr:cNvSpPr>
      </xdr:nvSpPr>
      <xdr:spPr bwMode="auto">
        <a:xfrm>
          <a:off x="314325" y="85915500"/>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3" name="Text 25"/>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74" name="Text 26"/>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5" name="Text 27"/>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6" name="Text 28"/>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77" name="Text 29"/>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513</xdr:row>
      <xdr:rowOff>0</xdr:rowOff>
    </xdr:from>
    <xdr:to>
      <xdr:col>2</xdr:col>
      <xdr:colOff>0</xdr:colOff>
      <xdr:row>513</xdr:row>
      <xdr:rowOff>0</xdr:rowOff>
    </xdr:to>
    <xdr:sp macro="" textlink="">
      <xdr:nvSpPr>
        <xdr:cNvPr id="2078" name="Text 30"/>
        <xdr:cNvSpPr txBox="1">
          <a:spLocks noChangeArrowheads="1"/>
        </xdr:cNvSpPr>
      </xdr:nvSpPr>
      <xdr:spPr bwMode="auto">
        <a:xfrm>
          <a:off x="314325" y="85915500"/>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0" name="Text 32"/>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1" name="Text 33"/>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3" name="Text 35"/>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4" name="Text 36"/>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513</xdr:row>
      <xdr:rowOff>0</xdr:rowOff>
    </xdr:from>
    <xdr:to>
      <xdr:col>1</xdr:col>
      <xdr:colOff>2828925</xdr:colOff>
      <xdr:row>513</xdr:row>
      <xdr:rowOff>0</xdr:rowOff>
    </xdr:to>
    <xdr:sp macro="" textlink="">
      <xdr:nvSpPr>
        <xdr:cNvPr id="2085" name="Text 37"/>
        <xdr:cNvSpPr txBox="1">
          <a:spLocks noChangeArrowheads="1"/>
        </xdr:cNvSpPr>
      </xdr:nvSpPr>
      <xdr:spPr bwMode="auto">
        <a:xfrm>
          <a:off x="295275" y="859155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6" name="Text 38"/>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513</xdr:row>
      <xdr:rowOff>0</xdr:rowOff>
    </xdr:from>
    <xdr:to>
      <xdr:col>2</xdr:col>
      <xdr:colOff>0</xdr:colOff>
      <xdr:row>513</xdr:row>
      <xdr:rowOff>0</xdr:rowOff>
    </xdr:to>
    <xdr:sp macro="" textlink="">
      <xdr:nvSpPr>
        <xdr:cNvPr id="2087" name="Text 39"/>
        <xdr:cNvSpPr txBox="1">
          <a:spLocks noChangeArrowheads="1"/>
        </xdr:cNvSpPr>
      </xdr:nvSpPr>
      <xdr:spPr bwMode="auto">
        <a:xfrm>
          <a:off x="295275" y="859155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88" name="Text 40"/>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89" name="Text 41"/>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466</xdr:row>
      <xdr:rowOff>0</xdr:rowOff>
    </xdr:from>
    <xdr:to>
      <xdr:col>2</xdr:col>
      <xdr:colOff>9525</xdr:colOff>
      <xdr:row>466</xdr:row>
      <xdr:rowOff>0</xdr:rowOff>
    </xdr:to>
    <xdr:sp macro="" textlink="">
      <xdr:nvSpPr>
        <xdr:cNvPr id="2090" name="Text 42"/>
        <xdr:cNvSpPr txBox="1">
          <a:spLocks noChangeArrowheads="1"/>
        </xdr:cNvSpPr>
      </xdr:nvSpPr>
      <xdr:spPr bwMode="auto">
        <a:xfrm>
          <a:off x="295275" y="65655825"/>
          <a:ext cx="2838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397</xdr:row>
      <xdr:rowOff>0</xdr:rowOff>
    </xdr:from>
    <xdr:to>
      <xdr:col>2</xdr:col>
      <xdr:colOff>0</xdr:colOff>
      <xdr:row>397</xdr:row>
      <xdr:rowOff>0</xdr:rowOff>
    </xdr:to>
    <xdr:sp macro="" textlink="">
      <xdr:nvSpPr>
        <xdr:cNvPr id="2092" name="Text 44"/>
        <xdr:cNvSpPr txBox="1">
          <a:spLocks noChangeArrowheads="1"/>
        </xdr:cNvSpPr>
      </xdr:nvSpPr>
      <xdr:spPr bwMode="auto">
        <a:xfrm>
          <a:off x="295275" y="4270057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95" name="Text 47"/>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096" name="Text 48"/>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466</xdr:row>
      <xdr:rowOff>0</xdr:rowOff>
    </xdr:from>
    <xdr:to>
      <xdr:col>2</xdr:col>
      <xdr:colOff>0</xdr:colOff>
      <xdr:row>466</xdr:row>
      <xdr:rowOff>0</xdr:rowOff>
    </xdr:to>
    <xdr:sp macro="" textlink="">
      <xdr:nvSpPr>
        <xdr:cNvPr id="2097" name="Text 49"/>
        <xdr:cNvSpPr txBox="1">
          <a:spLocks noChangeArrowheads="1"/>
        </xdr:cNvSpPr>
      </xdr:nvSpPr>
      <xdr:spPr bwMode="auto">
        <a:xfrm>
          <a:off x="314325" y="65655825"/>
          <a:ext cx="28098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466</xdr:row>
      <xdr:rowOff>0</xdr:rowOff>
    </xdr:from>
    <xdr:to>
      <xdr:col>1</xdr:col>
      <xdr:colOff>2828925</xdr:colOff>
      <xdr:row>466</xdr:row>
      <xdr:rowOff>0</xdr:rowOff>
    </xdr:to>
    <xdr:sp macro="" textlink="">
      <xdr:nvSpPr>
        <xdr:cNvPr id="2098" name="Text 50"/>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099" name="Text 51"/>
        <xdr:cNvSpPr txBox="1">
          <a:spLocks noChangeArrowheads="1"/>
        </xdr:cNvSpPr>
      </xdr:nvSpPr>
      <xdr:spPr bwMode="auto">
        <a:xfrm>
          <a:off x="295275" y="6565582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466</xdr:row>
      <xdr:rowOff>0</xdr:rowOff>
    </xdr:from>
    <xdr:to>
      <xdr:col>2</xdr:col>
      <xdr:colOff>0</xdr:colOff>
      <xdr:row>466</xdr:row>
      <xdr:rowOff>0</xdr:rowOff>
    </xdr:to>
    <xdr:sp macro="" textlink="">
      <xdr:nvSpPr>
        <xdr:cNvPr id="2100" name="Text 52"/>
        <xdr:cNvSpPr txBox="1">
          <a:spLocks noChangeArrowheads="1"/>
        </xdr:cNvSpPr>
      </xdr:nvSpPr>
      <xdr:spPr bwMode="auto">
        <a:xfrm>
          <a:off x="295275" y="65655825"/>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109" name="Text 61"/>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xdr:col>
      <xdr:colOff>0</xdr:colOff>
      <xdr:row>359</xdr:row>
      <xdr:rowOff>0</xdr:rowOff>
    </xdr:from>
    <xdr:to>
      <xdr:col>2</xdr:col>
      <xdr:colOff>0</xdr:colOff>
      <xdr:row>359</xdr:row>
      <xdr:rowOff>0</xdr:rowOff>
    </xdr:to>
    <xdr:sp macro="" textlink="">
      <xdr:nvSpPr>
        <xdr:cNvPr id="2110" name="Text 62"/>
        <xdr:cNvSpPr txBox="1">
          <a:spLocks noChangeArrowheads="1"/>
        </xdr:cNvSpPr>
      </xdr:nvSpPr>
      <xdr:spPr bwMode="auto">
        <a:xfrm>
          <a:off x="295275" y="32518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2" name="Text 64"/>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6" name="Text 68"/>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7" name="Text 6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19" name="Text 7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481</xdr:row>
      <xdr:rowOff>0</xdr:rowOff>
    </xdr:from>
    <xdr:to>
      <xdr:col>1</xdr:col>
      <xdr:colOff>2828925</xdr:colOff>
      <xdr:row>481</xdr:row>
      <xdr:rowOff>0</xdr:rowOff>
    </xdr:to>
    <xdr:sp macro="" textlink="">
      <xdr:nvSpPr>
        <xdr:cNvPr id="2120" name="Text 7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1" name="Text 7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22" name="Text 74"/>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7" name="Text 79"/>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 (Av.)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29" name="Text 81"/>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481</xdr:row>
      <xdr:rowOff>0</xdr:rowOff>
    </xdr:from>
    <xdr:to>
      <xdr:col>1</xdr:col>
      <xdr:colOff>2828925</xdr:colOff>
      <xdr:row>481</xdr:row>
      <xdr:rowOff>0</xdr:rowOff>
    </xdr:to>
    <xdr:sp macro="" textlink="">
      <xdr:nvSpPr>
        <xdr:cNvPr id="2130" name="Text 82"/>
        <xdr:cNvSpPr txBox="1">
          <a:spLocks noChangeArrowheads="1"/>
        </xdr:cNvSpPr>
      </xdr:nvSpPr>
      <xdr:spPr bwMode="auto">
        <a:xfrm>
          <a:off x="304800" y="70104000"/>
          <a:ext cx="28194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131" name="Text 83"/>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2" name="Text 84"/>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5" name="Text 87"/>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136" name="Text 88"/>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38" name="Text 90"/>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40" name="Text 92"/>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3</xdr:col>
      <xdr:colOff>0</xdr:colOff>
      <xdr:row>359</xdr:row>
      <xdr:rowOff>0</xdr:rowOff>
    </xdr:from>
    <xdr:to>
      <xdr:col>4</xdr:col>
      <xdr:colOff>0</xdr:colOff>
      <xdr:row>359</xdr:row>
      <xdr:rowOff>0</xdr:rowOff>
    </xdr:to>
    <xdr:sp macro="" textlink="">
      <xdr:nvSpPr>
        <xdr:cNvPr id="2141" name="Text 93"/>
        <xdr:cNvSpPr txBox="1">
          <a:spLocks noChangeArrowheads="1"/>
        </xdr:cNvSpPr>
      </xdr:nvSpPr>
      <xdr:spPr bwMode="auto">
        <a:xfrm>
          <a:off x="3590925" y="32518350"/>
          <a:ext cx="2190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3"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4"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5"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0"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1"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2"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3"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4"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5"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5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16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295A3DD-D49B-4609-A1EA-CDE7285CE0C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2"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3"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4"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5"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6" name="Text 11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7"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8"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69" name="Text 12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0" name="Text 12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1" name="Text 12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11</xdr:col>
      <xdr:colOff>714375</xdr:colOff>
      <xdr:row>273</xdr:row>
      <xdr:rowOff>0</xdr:rowOff>
    </xdr:from>
    <xdr:to>
      <xdr:col>12</xdr:col>
      <xdr:colOff>0</xdr:colOff>
      <xdr:row>273</xdr:row>
      <xdr:rowOff>0</xdr:rowOff>
    </xdr:to>
    <xdr:sp macro="" textlink="">
      <xdr:nvSpPr>
        <xdr:cNvPr id="2172" name="Text 12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3" name="Text 12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4" name="Text 12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5" name="Text 12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6" name="Text 12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7" name="Text 12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7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0" name="Text 13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1" name="Text 13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Blue Kota stone slab in steps, walls, pillars having fine machine cut edges laid on 12 mm(Av.) thick  CM 1:3 and jointed with Grey cement slurry mixed with pigment to match the shade of the slab including rubbing and polishing complete </a:t>
          </a:r>
        </a:p>
        <a:p>
          <a:pPr algn="l" rtl="0">
            <a:defRPr sz="1000"/>
          </a:pPr>
          <a:r>
            <a:rPr lang="en-US" sz="1200" b="0" i="0" strike="noStrike">
              <a:solidFill>
                <a:srgbClr val="000000"/>
              </a:solidFill>
              <a:latin typeface="Arial"/>
              <a:cs typeface="Arial"/>
            </a:rPr>
            <a:t> 25 mm thick  slab area 901 to 2000 Sq. cm.</a:t>
          </a:r>
        </a:p>
      </xdr:txBody>
    </xdr:sp>
    <xdr:clientData/>
  </xdr:twoCellAnchor>
  <xdr:twoCellAnchor>
    <xdr:from>
      <xdr:col>11</xdr:col>
      <xdr:colOff>714375</xdr:colOff>
      <xdr:row>273</xdr:row>
      <xdr:rowOff>0</xdr:rowOff>
    </xdr:from>
    <xdr:to>
      <xdr:col>12</xdr:col>
      <xdr:colOff>0</xdr:colOff>
      <xdr:row>273</xdr:row>
      <xdr:rowOff>0</xdr:rowOff>
    </xdr:to>
    <xdr:sp macro="" textlink="">
      <xdr:nvSpPr>
        <xdr:cNvPr id="2182" name="Text 13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3" name="Text 13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4" name="Text 13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5" name="Text 13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6" name="Text 13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7" name="Text 13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glass strips in joints of terrazzo/ cement concrete floors</a:t>
          </a:r>
        </a:p>
        <a:p>
          <a:pPr algn="l" rtl="0">
            <a:defRPr sz="1000"/>
          </a:pPr>
          <a:r>
            <a:rPr lang="en-US" sz="1200" b="0" i="0" strike="noStrike">
              <a:solidFill>
                <a:srgbClr val="000000"/>
              </a:solidFill>
              <a:latin typeface="Arial"/>
              <a:cs typeface="Arial"/>
            </a:rPr>
            <a:t>40 mm wide and 4 mm thick.</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8" name="Text 14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White washing with lime to give an even shade including all scaffolding:</a:t>
          </a:r>
        </a:p>
        <a:p>
          <a:pPr algn="l" rtl="0">
            <a:defRPr sz="1000"/>
          </a:pPr>
          <a:r>
            <a:rPr lang="en-US" sz="1200" b="0" i="0" strike="noStrike">
              <a:solidFill>
                <a:srgbClr val="000000"/>
              </a:solidFill>
              <a:latin typeface="Arial"/>
              <a:cs typeface="Arial"/>
            </a:rPr>
            <a:t>New work (two or more coats).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89" name="Text 14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0" name="Text 14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1" name="Text 14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192"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xdr:col>
      <xdr:colOff>0</xdr:colOff>
      <xdr:row>304</xdr:row>
      <xdr:rowOff>0</xdr:rowOff>
    </xdr:from>
    <xdr:to>
      <xdr:col>2</xdr:col>
      <xdr:colOff>0</xdr:colOff>
      <xdr:row>304</xdr:row>
      <xdr:rowOff>0</xdr:rowOff>
    </xdr:to>
    <xdr:sp macro="" textlink="">
      <xdr:nvSpPr>
        <xdr:cNvPr id="2193" name="Text 145"/>
        <xdr:cNvSpPr txBox="1">
          <a:spLocks noChangeArrowheads="1"/>
        </xdr:cNvSpPr>
      </xdr:nvSpPr>
      <xdr:spPr bwMode="auto">
        <a:xfrm>
          <a:off x="295275" y="164496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xdr:col>
      <xdr:colOff>0</xdr:colOff>
      <xdr:row>304</xdr:row>
      <xdr:rowOff>0</xdr:rowOff>
    </xdr:from>
    <xdr:to>
      <xdr:col>2</xdr:col>
      <xdr:colOff>0</xdr:colOff>
      <xdr:row>304</xdr:row>
      <xdr:rowOff>0</xdr:rowOff>
    </xdr:to>
    <xdr:sp macro="" textlink="">
      <xdr:nvSpPr>
        <xdr:cNvPr id="2194" name="Text 146"/>
        <xdr:cNvSpPr txBox="1">
          <a:spLocks noChangeArrowheads="1"/>
        </xdr:cNvSpPr>
      </xdr:nvSpPr>
      <xdr:spPr bwMode="auto">
        <a:xfrm>
          <a:off x="295275" y="164496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196" name="Text 148"/>
        <xdr:cNvSpPr txBox="1">
          <a:spLocks noChangeArrowheads="1"/>
        </xdr:cNvSpPr>
      </xdr:nvSpPr>
      <xdr:spPr bwMode="auto">
        <a:xfrm>
          <a:off x="295275" y="294703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197" name="Text 149"/>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200" name="Text 152"/>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204" name="Text 156"/>
        <xdr:cNvSpPr txBox="1">
          <a:spLocks noChangeArrowheads="1"/>
        </xdr:cNvSpPr>
      </xdr:nvSpPr>
      <xdr:spPr bwMode="auto">
        <a:xfrm>
          <a:off x="295275" y="7010400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481</xdr:row>
      <xdr:rowOff>0</xdr:rowOff>
    </xdr:from>
    <xdr:to>
      <xdr:col>2</xdr:col>
      <xdr:colOff>0</xdr:colOff>
      <xdr:row>481</xdr:row>
      <xdr:rowOff>0</xdr:rowOff>
    </xdr:to>
    <xdr:sp macro="" textlink="">
      <xdr:nvSpPr>
        <xdr:cNvPr id="2205" name="Text 157"/>
        <xdr:cNvSpPr txBox="1">
          <a:spLocks noChangeArrowheads="1"/>
        </xdr:cNvSpPr>
      </xdr:nvSpPr>
      <xdr:spPr bwMode="auto">
        <a:xfrm>
          <a:off x="295275" y="7010400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21 mm thick with under layer of 15 mm thick cement plaster 1:3 (1 cement : 3 coarse sand)</a:t>
          </a:r>
        </a:p>
        <a:p>
          <a:pPr algn="l" rtl="0">
            <a:defRPr sz="1000"/>
          </a:pPr>
          <a:r>
            <a:rPr lang="en-US" sz="1200" b="0" i="0" strike="noStrike">
              <a:solidFill>
                <a:srgbClr val="000000"/>
              </a:solidFill>
              <a:latin typeface="Arial"/>
              <a:cs typeface="Arial"/>
            </a:rPr>
            <a:t>Light shade pigment with ordinary cement.</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9525</xdr:colOff>
      <xdr:row>490</xdr:row>
      <xdr:rowOff>0</xdr:rowOff>
    </xdr:from>
    <xdr:to>
      <xdr:col>2</xdr:col>
      <xdr:colOff>0</xdr:colOff>
      <xdr:row>490</xdr:row>
      <xdr:rowOff>0</xdr:rowOff>
    </xdr:to>
    <xdr:sp macro="" textlink="">
      <xdr:nvSpPr>
        <xdr:cNvPr id="2206" name="Text 158"/>
        <xdr:cNvSpPr txBox="1">
          <a:spLocks noChangeArrowheads="1"/>
        </xdr:cNvSpPr>
      </xdr:nvSpPr>
      <xdr:spPr bwMode="auto">
        <a:xfrm>
          <a:off x="304800" y="76447650"/>
          <a:ext cx="28194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xdr:col>
      <xdr:colOff>0</xdr:colOff>
      <xdr:row>537</xdr:row>
      <xdr:rowOff>0</xdr:rowOff>
    </xdr:from>
    <xdr:to>
      <xdr:col>2</xdr:col>
      <xdr:colOff>0</xdr:colOff>
      <xdr:row>537</xdr:row>
      <xdr:rowOff>0</xdr:rowOff>
    </xdr:to>
    <xdr:sp macro="" textlink="">
      <xdr:nvSpPr>
        <xdr:cNvPr id="2208" name="Text 160"/>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0</xdr:colOff>
      <xdr:row>537</xdr:row>
      <xdr:rowOff>0</xdr:rowOff>
    </xdr:from>
    <xdr:to>
      <xdr:col>2</xdr:col>
      <xdr:colOff>0</xdr:colOff>
      <xdr:row>537</xdr:row>
      <xdr:rowOff>0</xdr:rowOff>
    </xdr:to>
    <xdr:sp macro="" textlink="">
      <xdr:nvSpPr>
        <xdr:cNvPr id="2209" name="Text 161"/>
        <xdr:cNvSpPr txBox="1">
          <a:spLocks noChangeArrowheads="1"/>
        </xdr:cNvSpPr>
      </xdr:nvSpPr>
      <xdr:spPr bwMode="auto">
        <a:xfrm>
          <a:off x="295275" y="960310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fixing steel doors with frame of hollow metal pressed section (80 x 50 mm ) of 1.25 mm thick with single sheet shutter having thickness of 0.80 mm M.S. sheet to be spot welded and embossed with rib type design front vertical including hold fast of ( 15 x 3 mm), M.S. oxidised fittings such as hinges, sliding bolts etc. complete in all respect as per drawing and specifications including applying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1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A533C3D8-4B02-441E-BB42-9C552DA4AB55}"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19"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2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3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4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DF1273F-8A96-447B-9CB5-97CEA2FDF170}"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4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62445A3-BEF8-4813-8350-4EAF976C5449}"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4"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5"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6"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0"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1"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2"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3"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4"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5"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5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5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F6BDDA1-D5FC-4918-8A9D-10AFDF319DE9}"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0"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1"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2"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3"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4"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5"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6"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7"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8"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69"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7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9A8FF561-7D00-4874-AFBE-4BFE34C89D5C}"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8"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79"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0"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1"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8"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89"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0"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1"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29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9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D29535B-14AB-42DB-A416-307434B32E1B}"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29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2AF3789-FF6C-4035-B424-D0C6A1E302BD}"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0"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1"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2"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3"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4"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6"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8"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09"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0"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1"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2"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1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1B59CD0-4C7E-430F-B3B3-EE1E5AB6A1CB}"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1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2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3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A24A7BD9-BBC7-4F19-87D8-8B52B17305C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3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4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5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05502BB-3945-4BD9-9A74-C912AEF95152}"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5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0DC39D6-BBBD-45A5-B076-6129B49BA465}"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7"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59"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0"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1"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2"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6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5CA43A3-58F4-4F23-B1E0-815C408FFDAD}"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4"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5"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6"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7"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8"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6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3"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37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3940D40-77A5-4327-AE46-2D307F7468B6}"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79"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8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2"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3"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4"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5"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39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0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6B6D055-9329-48D8-95E9-FC795ACB7EB0}"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0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46F0078-4D41-43B4-977A-5A4E8B81F524}"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5"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8"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09"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0"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1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68EEE772-E36D-4C91-8FD0-303EC6BE9234}"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2"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3"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4"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5"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6"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7"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8"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19"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0"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1"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2"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3"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4"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5"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2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039E5AC-719A-4C9B-89AA-8208CC894547}"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7"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2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3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4"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5"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6"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7"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8"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4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9051FCF-DC7F-4025-AF7D-D915A95F3B3D}"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AF7E5C8E-B00B-42F3-A8DC-C32F712547D2}"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2"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3" name="Text 10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4"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5" name="Text 103"/>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277</xdr:row>
      <xdr:rowOff>0</xdr:rowOff>
    </xdr:from>
    <xdr:to>
      <xdr:col>12</xdr:col>
      <xdr:colOff>0</xdr:colOff>
      <xdr:row>278</xdr:row>
      <xdr:rowOff>0</xdr:rowOff>
    </xdr:to>
    <xdr:sp macro="" textlink="">
      <xdr:nvSpPr>
        <xdr:cNvPr id="2456" name="Text 108"/>
        <xdr:cNvSpPr txBox="1">
          <a:spLocks noChangeArrowheads="1"/>
        </xdr:cNvSpPr>
      </xdr:nvSpPr>
      <xdr:spPr bwMode="auto">
        <a:xfrm>
          <a:off x="7562850" y="10467975"/>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7" name="Text 10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58" name="Text 110"/>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59"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92C8F2A8-9B03-42D2-A42F-7A7FDBCF9C87}"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0" name="Text 11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1" name="Text 11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2" name="Text 115"/>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3" name="Text 116"/>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4" name="Text 117"/>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5"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6"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7"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8"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69" name="Text 14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0"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1"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2"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3"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74"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A11F794E-82A9-42EB-8B43-89C0E83CAEB4}"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5" name="Text 11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6"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7"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8"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79"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0"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1"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2"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3"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4"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5"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6"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7"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8" name="Text 119"/>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89" name="Text 12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0" name="Text 130"/>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1" name="Text 13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2" name="Text 16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3" name="Text 163"/>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4" name="Text 164"/>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495" name="Text 165"/>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278</xdr:row>
      <xdr:rowOff>0</xdr:rowOff>
    </xdr:from>
    <xdr:to>
      <xdr:col>12</xdr:col>
      <xdr:colOff>0</xdr:colOff>
      <xdr:row>278</xdr:row>
      <xdr:rowOff>0</xdr:rowOff>
    </xdr:to>
    <xdr:sp macro="" textlink="">
      <xdr:nvSpPr>
        <xdr:cNvPr id="2496" name="Text 99"/>
        <xdr:cNvSpPr txBox="1">
          <a:spLocks noChangeArrowheads="1"/>
        </xdr:cNvSpPr>
      </xdr:nvSpPr>
      <xdr:spPr bwMode="auto">
        <a:xfrm>
          <a:off x="7562850" y="106680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278</xdr:row>
      <xdr:rowOff>0</xdr:rowOff>
    </xdr:from>
    <xdr:to>
      <xdr:col>12</xdr:col>
      <xdr:colOff>0</xdr:colOff>
      <xdr:row>278</xdr:row>
      <xdr:rowOff>0</xdr:rowOff>
    </xdr:to>
    <xdr:sp macro="" textlink="">
      <xdr:nvSpPr>
        <xdr:cNvPr id="2497" name="Text 101"/>
        <xdr:cNvSpPr txBox="1">
          <a:spLocks noChangeArrowheads="1"/>
        </xdr:cNvSpPr>
      </xdr:nvSpPr>
      <xdr:spPr bwMode="auto">
        <a:xfrm>
          <a:off x="7562850" y="106680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98"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B9A3A499-EB98-46F0-9BAA-9AA2439BA9CB}"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499"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611DC8B7-1FE2-49E7-8426-A62F0D58EF2A}"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0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4B737FA-C246-42AD-9D27-197010FEF256}" type="TxLink">
            <a:rPr lang="en-US"/>
            <a:t>​</a:t>
          </a:fld>
          <a:endParaRPr lang="en-US"/>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1" name="Text 95"/>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2" name="Text 96"/>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3" name="Text 97"/>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4" name="Text 102"/>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5" name="Text 104"/>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6" name="Text 105"/>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7" name="Text 106"/>
        <xdr:cNvSpPr txBox="1">
          <a:spLocks noChangeArrowheads="1"/>
        </xdr:cNvSpPr>
      </xdr:nvSpPr>
      <xdr:spPr bwMode="auto">
        <a:xfrm>
          <a:off x="7562850" y="15078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297</xdr:row>
      <xdr:rowOff>0</xdr:rowOff>
    </xdr:from>
    <xdr:to>
      <xdr:col>12</xdr:col>
      <xdr:colOff>0</xdr:colOff>
      <xdr:row>297</xdr:row>
      <xdr:rowOff>0</xdr:rowOff>
    </xdr:to>
    <xdr:sp macro="" textlink="">
      <xdr:nvSpPr>
        <xdr:cNvPr id="2508" name="Text 107"/>
        <xdr:cNvSpPr txBox="1">
          <a:spLocks noChangeArrowheads="1"/>
        </xdr:cNvSpPr>
      </xdr:nvSpPr>
      <xdr:spPr bwMode="auto">
        <a:xfrm>
          <a:off x="7562850" y="15078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402</xdr:row>
      <xdr:rowOff>0</xdr:rowOff>
    </xdr:from>
    <xdr:to>
      <xdr:col>12</xdr:col>
      <xdr:colOff>0</xdr:colOff>
      <xdr:row>402</xdr:row>
      <xdr:rowOff>0</xdr:rowOff>
    </xdr:to>
    <xdr:sp macro="" textlink="">
      <xdr:nvSpPr>
        <xdr:cNvPr id="2509" name="Text 143"/>
        <xdr:cNvSpPr txBox="1">
          <a:spLocks noChangeArrowheads="1"/>
        </xdr:cNvSpPr>
      </xdr:nvSpPr>
      <xdr:spPr bwMode="auto">
        <a:xfrm>
          <a:off x="7562850" y="444246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0"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1" name="Text 10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2"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3" name="Text 103"/>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4" name="Text 10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5" name="Text 110"/>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16"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F5238C91-8503-4B3E-A408-D47FEA93245C}" type="TxLink">
            <a:rPr lang="en-US"/>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7" name="Text 11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8" name="Text 11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19" name="Text 115"/>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0" name="Text 116"/>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1" name="Text 117"/>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2"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3"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4"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5"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6" name="Text 14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7"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8"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29"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0"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31"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11FE1AFE-735D-405E-9E62-B2CDF8DB0775}" type="TxLink">
            <a:rPr lang="en-US"/>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2" name="Text 11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3"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4"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5"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6"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7"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8"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39"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0"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1"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2"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3" name="Text 99"/>
        <xdr:cNvSpPr txBox="1">
          <a:spLocks noChangeArrowheads="1"/>
        </xdr:cNvSpPr>
      </xdr:nvSpPr>
      <xdr:spPr bwMode="auto">
        <a:xfrm>
          <a:off x="7562850" y="207549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4" name="Text 10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5" name="Text 119"/>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6" name="Text 12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7" name="Text 130"/>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8" name="Text 131"/>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49" name="Text 16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0" name="Text 163"/>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1" name="Text 164"/>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313</xdr:row>
      <xdr:rowOff>0</xdr:rowOff>
    </xdr:from>
    <xdr:to>
      <xdr:col>12</xdr:col>
      <xdr:colOff>0</xdr:colOff>
      <xdr:row>313</xdr:row>
      <xdr:rowOff>0</xdr:rowOff>
    </xdr:to>
    <xdr:sp macro="" textlink="">
      <xdr:nvSpPr>
        <xdr:cNvPr id="2552" name="Text 165"/>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53"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83789C07-02FB-4EF1-8620-D8A023567516}" type="TxLink">
            <a:rPr lang="en-US"/>
            <a:t>​</a:t>
          </a:fld>
          <a:endParaRPr lang="en-US"/>
        </a:p>
      </xdr:txBody>
    </xdr:sp>
    <xdr:clientData/>
  </xdr:twoCellAnchor>
  <xdr:twoCellAnchor>
    <xdr:from>
      <xdr:col>12</xdr:col>
      <xdr:colOff>0</xdr:colOff>
      <xdr:row>313</xdr:row>
      <xdr:rowOff>0</xdr:rowOff>
    </xdr:from>
    <xdr:to>
      <xdr:col>12</xdr:col>
      <xdr:colOff>0</xdr:colOff>
      <xdr:row>313</xdr:row>
      <xdr:rowOff>0</xdr:rowOff>
    </xdr:to>
    <xdr:sp macro="" textlink="#REF!">
      <xdr:nvSpPr>
        <xdr:cNvPr id="2554" name="Text 112"/>
        <xdr:cNvSpPr txBox="1">
          <a:spLocks noChangeArrowheads="1"/>
        </xdr:cNvSpPr>
      </xdr:nvSpPr>
      <xdr:spPr bwMode="auto">
        <a:xfrm>
          <a:off x="7562850" y="20754975"/>
          <a:ext cx="0" cy="0"/>
        </a:xfrm>
        <a:prstGeom prst="rect">
          <a:avLst/>
        </a:prstGeom>
        <a:solidFill>
          <a:srgbClr val="FFFFFF"/>
        </a:solidFill>
        <a:ln w="1">
          <a:noFill/>
          <a:miter lim="800000"/>
          <a:headEnd/>
          <a:tailEnd/>
        </a:ln>
      </xdr:spPr>
      <xdr:txBody>
        <a:bodyPr/>
        <a:lstStyle/>
        <a:p>
          <a:fld id="{493FF3B4-336C-4342-9330-7B377D8984F4}"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8"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59"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0"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1"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2"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3"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6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573E439-9DDA-402D-96D7-08DF031C0D9D}"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6"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7"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8"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69"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0"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1"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2"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3"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4"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5"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6"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7"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78"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57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D5F6FE74-D5C5-43B7-A3DE-7D2EA299190B}"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0"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7"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8"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89"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0"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7"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8"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599"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0"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60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A9F3E75E-6832-4034-A18D-FCFDA8A486C7}"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60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4F43881-824D-4F23-80F8-0A30F52C0E9D}"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5" name="Text 9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6" name="Text 9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7" name="Text 97"/>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8" name="Text 102"/>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09" name="Text 10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0" name="Text 10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1" name="Text 106"/>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612" name="Text 10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538</xdr:row>
      <xdr:rowOff>0</xdr:rowOff>
    </xdr:from>
    <xdr:to>
      <xdr:col>2</xdr:col>
      <xdr:colOff>0</xdr:colOff>
      <xdr:row>538</xdr:row>
      <xdr:rowOff>0</xdr:rowOff>
    </xdr:to>
    <xdr:sp macro="" textlink="">
      <xdr:nvSpPr>
        <xdr:cNvPr id="2920" name="Text 85"/>
        <xdr:cNvSpPr txBox="1">
          <a:spLocks noChangeArrowheads="1"/>
        </xdr:cNvSpPr>
      </xdr:nvSpPr>
      <xdr:spPr bwMode="auto">
        <a:xfrm>
          <a:off x="295275" y="96231075"/>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White Marble Banswara</a:t>
          </a:r>
        </a:p>
        <a:p>
          <a:pPr algn="l" rtl="0">
            <a:defRPr sz="1000"/>
          </a:pPr>
          <a:r>
            <a:rPr lang="en-US" sz="1200" b="0" i="0" strike="noStrike">
              <a:solidFill>
                <a:srgbClr val="000000"/>
              </a:solidFill>
              <a:latin typeface="Arial"/>
              <a:cs typeface="Arial"/>
            </a:rPr>
            <a:t> Above 3601 Sq. cm. </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922" name="Text 87"/>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490</xdr:row>
      <xdr:rowOff>0</xdr:rowOff>
    </xdr:from>
    <xdr:to>
      <xdr:col>2</xdr:col>
      <xdr:colOff>9525</xdr:colOff>
      <xdr:row>490</xdr:row>
      <xdr:rowOff>0</xdr:rowOff>
    </xdr:to>
    <xdr:sp macro="" textlink="">
      <xdr:nvSpPr>
        <xdr:cNvPr id="2923" name="Text 88"/>
        <xdr:cNvSpPr txBox="1">
          <a:spLocks noChangeArrowheads="1"/>
        </xdr:cNvSpPr>
      </xdr:nvSpPr>
      <xdr:spPr bwMode="auto">
        <a:xfrm>
          <a:off x="304800" y="764476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xdr:col>
      <xdr:colOff>9525</xdr:colOff>
      <xdr:row>540</xdr:row>
      <xdr:rowOff>0</xdr:rowOff>
    </xdr:from>
    <xdr:to>
      <xdr:col>2</xdr:col>
      <xdr:colOff>9525</xdr:colOff>
      <xdr:row>540</xdr:row>
      <xdr:rowOff>0</xdr:rowOff>
    </xdr:to>
    <xdr:sp macro="" textlink="">
      <xdr:nvSpPr>
        <xdr:cNvPr id="2924" name="Text 87"/>
        <xdr:cNvSpPr txBox="1">
          <a:spLocks noChangeArrowheads="1"/>
        </xdr:cNvSpPr>
      </xdr:nvSpPr>
      <xdr:spPr bwMode="auto">
        <a:xfrm>
          <a:off x="304800" y="978217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xdr:col>
      <xdr:colOff>9525</xdr:colOff>
      <xdr:row>540</xdr:row>
      <xdr:rowOff>0</xdr:rowOff>
    </xdr:from>
    <xdr:to>
      <xdr:col>2</xdr:col>
      <xdr:colOff>9525</xdr:colOff>
      <xdr:row>540</xdr:row>
      <xdr:rowOff>0</xdr:rowOff>
    </xdr:to>
    <xdr:sp macro="" textlink="">
      <xdr:nvSpPr>
        <xdr:cNvPr id="169320" name="Text 88"/>
        <xdr:cNvSpPr txBox="1">
          <a:spLocks noChangeArrowheads="1"/>
        </xdr:cNvSpPr>
      </xdr:nvSpPr>
      <xdr:spPr bwMode="auto">
        <a:xfrm>
          <a:off x="304800" y="156038550"/>
          <a:ext cx="282892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12</xdr:col>
      <xdr:colOff>0</xdr:colOff>
      <xdr:row>273</xdr:row>
      <xdr:rowOff>0</xdr:rowOff>
    </xdr:from>
    <xdr:to>
      <xdr:col>12</xdr:col>
      <xdr:colOff>0</xdr:colOff>
      <xdr:row>273</xdr:row>
      <xdr:rowOff>0</xdr:rowOff>
    </xdr:to>
    <xdr:sp macro="" textlink="">
      <xdr:nvSpPr>
        <xdr:cNvPr id="293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3"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4"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5"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6"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7"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38"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3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1DE7ACAF-58A3-4A9E-862D-DC5A11CF9F98}"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
      <xdr:nvSpPr>
        <xdr:cNvPr id="2940"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1"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2"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3"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4"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5"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6"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7"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8"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49"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5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251A44F-DC48-4E48-AF14-7E0E1A1B199C}"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5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5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C82E81A8-75BB-4360-88C0-B7C49C1042AF}"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5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612A0E3A-2D99-48BD-B557-29887EE33E3B}"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
      <xdr:nvSpPr>
        <xdr:cNvPr id="2959" name="Text 113"/>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60494BF-549A-4DDA-9567-B2D366988D9A}"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8F0E317-B06A-4666-B0D6-93A88C5B63F1}"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3"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75D450A-DF60-4E9E-85B4-AAF64B4B0E3B}"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5"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7BE84FA-4394-4996-A30B-D44058892147}"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967"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968"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56EC318F-099C-40F7-BDE7-1B097EA0641A}"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6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99D974C0-7B00-41C8-B87D-F5DCC69CD397}"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365B27D-E44B-4E6E-9839-1500C5FB13ED}"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1"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2A822E6-4747-4CA9-B879-54B2E2ABC6E9}"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9C4E1730-9F08-4693-93AC-BFDB4C19A3F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6AE13CDE-E64A-4861-8A22-FAB4C093154A}"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9EE165C4-28DF-42A6-843D-050ED9FF53C0}"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97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48FF0FD-6FF4-4535-A49D-10BD3471FCA7}"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7" name="Text 108"/>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8"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79"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0"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857DB45C-0B14-406A-9CE4-E72CD15A4C24}"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1"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8937E862-2C9D-42F6-9F7D-DB930FAF3E05}"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2" name="Text 108"/>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3" name="Text 99"/>
        <xdr:cNvSpPr txBox="1">
          <a:spLocks noChangeArrowheads="1"/>
        </xdr:cNvSpPr>
      </xdr:nvSpPr>
      <xdr:spPr bwMode="auto">
        <a:xfrm>
          <a:off x="7562850" y="135445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293</xdr:row>
      <xdr:rowOff>0</xdr:rowOff>
    </xdr:from>
    <xdr:to>
      <xdr:col>12</xdr:col>
      <xdr:colOff>0</xdr:colOff>
      <xdr:row>293</xdr:row>
      <xdr:rowOff>0</xdr:rowOff>
    </xdr:to>
    <xdr:sp macro="" textlink="">
      <xdr:nvSpPr>
        <xdr:cNvPr id="2984" name="Text 101"/>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5"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AB1522CE-B4E2-4390-BF1A-A4B6D610DE9E}" type="TxLink">
            <a:rPr lang="en-US"/>
            <a:t>​</a:t>
          </a:fld>
          <a:endParaRPr lang="en-US"/>
        </a:p>
      </xdr:txBody>
    </xdr:sp>
    <xdr:clientData/>
  </xdr:twoCellAnchor>
  <xdr:twoCellAnchor>
    <xdr:from>
      <xdr:col>12</xdr:col>
      <xdr:colOff>0</xdr:colOff>
      <xdr:row>293</xdr:row>
      <xdr:rowOff>0</xdr:rowOff>
    </xdr:from>
    <xdr:to>
      <xdr:col>12</xdr:col>
      <xdr:colOff>0</xdr:colOff>
      <xdr:row>293</xdr:row>
      <xdr:rowOff>0</xdr:rowOff>
    </xdr:to>
    <xdr:sp macro="" textlink="#REF!">
      <xdr:nvSpPr>
        <xdr:cNvPr id="2986" name="Text 112"/>
        <xdr:cNvSpPr txBox="1">
          <a:spLocks noChangeArrowheads="1"/>
        </xdr:cNvSpPr>
      </xdr:nvSpPr>
      <xdr:spPr bwMode="auto">
        <a:xfrm>
          <a:off x="7562850" y="13544550"/>
          <a:ext cx="0" cy="0"/>
        </a:xfrm>
        <a:prstGeom prst="rect">
          <a:avLst/>
        </a:prstGeom>
        <a:solidFill>
          <a:srgbClr val="FFFFFF"/>
        </a:solidFill>
        <a:ln w="1">
          <a:noFill/>
          <a:miter lim="800000"/>
          <a:headEnd/>
          <a:tailEnd/>
        </a:ln>
      </xdr:spPr>
      <xdr:txBody>
        <a:bodyPr/>
        <a:lstStyle/>
        <a:p>
          <a:fld id="{70D4A2E6-10D4-4AEE-A996-74FE734C0380}" type="TxLink">
            <a:rPr lang="en-US"/>
            <a:t>​</a:t>
          </a:fld>
          <a:endParaRPr lang="en-US"/>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7" name="Text 95"/>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8" name="Text 96"/>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89" name="Text 97"/>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0" name="Text 102"/>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1" name="Text 104"/>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2" name="Text 105"/>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3" name="Text 106"/>
        <xdr:cNvSpPr txBox="1">
          <a:spLocks noChangeArrowheads="1"/>
        </xdr:cNvSpPr>
      </xdr:nvSpPr>
      <xdr:spPr bwMode="auto">
        <a:xfrm>
          <a:off x="7562850" y="162496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303</xdr:row>
      <xdr:rowOff>0</xdr:rowOff>
    </xdr:from>
    <xdr:to>
      <xdr:col>12</xdr:col>
      <xdr:colOff>0</xdr:colOff>
      <xdr:row>303</xdr:row>
      <xdr:rowOff>0</xdr:rowOff>
    </xdr:to>
    <xdr:sp macro="" textlink="">
      <xdr:nvSpPr>
        <xdr:cNvPr id="2994" name="Text 107"/>
        <xdr:cNvSpPr txBox="1">
          <a:spLocks noChangeArrowheads="1"/>
        </xdr:cNvSpPr>
      </xdr:nvSpPr>
      <xdr:spPr bwMode="auto">
        <a:xfrm>
          <a:off x="7562850" y="162496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5"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6" name="Text 10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7"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8" name="Text 103"/>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999" name="Text 10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0" name="Text 110"/>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01"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B77C1FF9-F9CE-4BEA-8BF8-81C55194FA08}" type="TxLink">
            <a:rPr lang="en-US"/>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2" name="Text 11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3" name="Text 11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4" name="Text 115"/>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5" name="Text 116"/>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6" name="Text 117"/>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7"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8"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09"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0"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1" name="Text 14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2"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3"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4"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5"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16"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73B50AEA-1204-423F-B73B-80F8BA4A4020}" type="TxLink">
            <a:rPr lang="en-US"/>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7" name="Text 11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8"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19"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0"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1"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2"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3"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4"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5"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6"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7"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8" name="Text 99"/>
        <xdr:cNvSpPr txBox="1">
          <a:spLocks noChangeArrowheads="1"/>
        </xdr:cNvSpPr>
      </xdr:nvSpPr>
      <xdr:spPr bwMode="auto">
        <a:xfrm>
          <a:off x="7562850" y="288702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29" name="Text 10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0" name="Text 119"/>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1" name="Text 12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2" name="Text 130"/>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3" name="Text 131"/>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4" name="Text 16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5" name="Text 16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6" name="Text 164"/>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3037" name="Text 165"/>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38"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8FC9EFA3-BBC1-4D72-9987-A87519272E20}" type="TxLink">
            <a:rPr lang="en-US"/>
            <a:t>​</a:t>
          </a:fld>
          <a:endParaRPr lang="en-US"/>
        </a:p>
      </xdr:txBody>
    </xdr:sp>
    <xdr:clientData/>
  </xdr:twoCellAnchor>
  <xdr:twoCellAnchor>
    <xdr:from>
      <xdr:col>12</xdr:col>
      <xdr:colOff>0</xdr:colOff>
      <xdr:row>355</xdr:row>
      <xdr:rowOff>0</xdr:rowOff>
    </xdr:from>
    <xdr:to>
      <xdr:col>12</xdr:col>
      <xdr:colOff>0</xdr:colOff>
      <xdr:row>355</xdr:row>
      <xdr:rowOff>0</xdr:rowOff>
    </xdr:to>
    <xdr:sp macro="" textlink="#REF!">
      <xdr:nvSpPr>
        <xdr:cNvPr id="3039" name="Text 112"/>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a:lstStyle/>
        <a:p>
          <a:fld id="{73BCFC0A-0117-4DE5-BC52-76276AC842E5}" type="TxLink">
            <a:rPr lang="en-US"/>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0"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1" name="Text 10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2"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3" name="Text 103"/>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4" name="Text 10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5" name="Text 110"/>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3046"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B2BDA85C-FDB6-4CC1-9E64-27C53AF2B080}" type="TxLink">
            <a:rPr lang="en-US"/>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7" name="Text 11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8" name="Text 11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49" name="Text 115"/>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0" name="Text 116"/>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1" name="Text 117"/>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2"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3"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4"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5"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6" name="Text 14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7"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8"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59"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0"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3061"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8AC5DD11-BE4D-490C-998A-C47746164E02}" type="TxLink">
            <a:rPr lang="en-US"/>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2" name="Text 11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3"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4"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5"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6"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7"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8"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69"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70"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3071"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6"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7" name="Text 99"/>
        <xdr:cNvSpPr txBox="1">
          <a:spLocks noChangeArrowheads="1"/>
        </xdr:cNvSpPr>
      </xdr:nvSpPr>
      <xdr:spPr bwMode="auto">
        <a:xfrm>
          <a:off x="7562850" y="292703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8" name="Text 10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79" name="Text 119"/>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0" name="Text 12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1" name="Text 130"/>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2" name="Text 131"/>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3" name="Text 16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4" name="Text 163"/>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5" name="Text 164"/>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357</xdr:row>
      <xdr:rowOff>0</xdr:rowOff>
    </xdr:from>
    <xdr:to>
      <xdr:col>12</xdr:col>
      <xdr:colOff>0</xdr:colOff>
      <xdr:row>357</xdr:row>
      <xdr:rowOff>0</xdr:rowOff>
    </xdr:to>
    <xdr:sp macro="" textlink="">
      <xdr:nvSpPr>
        <xdr:cNvPr id="24586" name="Text 165"/>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24587"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0A7EBC99-0985-4259-9FCA-D1DBDB6B1C00}" type="TxLink">
            <a:rPr lang="en-US"/>
            <a:t>​</a:t>
          </a:fld>
          <a:endParaRPr lang="en-US"/>
        </a:p>
      </xdr:txBody>
    </xdr:sp>
    <xdr:clientData/>
  </xdr:twoCellAnchor>
  <xdr:twoCellAnchor>
    <xdr:from>
      <xdr:col>12</xdr:col>
      <xdr:colOff>0</xdr:colOff>
      <xdr:row>357</xdr:row>
      <xdr:rowOff>0</xdr:rowOff>
    </xdr:from>
    <xdr:to>
      <xdr:col>12</xdr:col>
      <xdr:colOff>0</xdr:colOff>
      <xdr:row>357</xdr:row>
      <xdr:rowOff>0</xdr:rowOff>
    </xdr:to>
    <xdr:sp macro="" textlink="#REF!">
      <xdr:nvSpPr>
        <xdr:cNvPr id="24588" name="Text 112"/>
        <xdr:cNvSpPr txBox="1">
          <a:spLocks noChangeArrowheads="1"/>
        </xdr:cNvSpPr>
      </xdr:nvSpPr>
      <xdr:spPr bwMode="auto">
        <a:xfrm>
          <a:off x="7562850" y="29270325"/>
          <a:ext cx="0" cy="0"/>
        </a:xfrm>
        <a:prstGeom prst="rect">
          <a:avLst/>
        </a:prstGeom>
        <a:solidFill>
          <a:srgbClr val="FFFFFF"/>
        </a:solidFill>
        <a:ln w="1">
          <a:noFill/>
          <a:miter lim="800000"/>
          <a:headEnd/>
          <a:tailEnd/>
        </a:ln>
      </xdr:spPr>
      <xdr:txBody>
        <a:bodyPr/>
        <a:lstStyle/>
        <a:p>
          <a:fld id="{8DA94435-B287-4146-92BC-98D3E6988A7C}"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89"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0"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2"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59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CE74859-D791-4F5A-A65A-DF5E74A9515B}"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59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0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1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16842D6-DB4F-4AD9-8A94-9D68F197ABA6}"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1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2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3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9A15804D-EF5F-423C-BF65-602ADB1AB6A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3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D526446-C548-4623-B4E6-DA6C90D8132D}"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5"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6"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7"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8"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39"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4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D3FBA15-5ECA-485A-A092-EE70F8B8C0CD}"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2"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3"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4"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5"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4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0"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1"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2"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3"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4"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5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648247C4-A45C-43A3-93E8-6AA387439891}"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5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3"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4"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5"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6"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7"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8"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69"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0"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1"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2"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3"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4"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5"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6"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7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0DD5FC83-1698-40C8-B0ED-AA58F59F1C1B}"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7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120EA65-4E11-4699-90B3-84B798ED812E}"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79"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0"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1"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2"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3"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4"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685"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7E58155-1B29-4E17-A64C-636FCFD76824}"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6"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7"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8"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89"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0"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1"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2"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3"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4"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5"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6"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7"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8"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699"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0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E831A322-3127-4671-A448-6E09408C05BC}"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1"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0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2"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3"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4"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5"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6"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7"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1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2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72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2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66A45735-D3DF-4A06-B629-A346E6CE77BC}"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72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949871D1-8B7F-414A-B3DE-BFEC38064B84}"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4"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5" name="Text 10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6"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7" name="Text 103"/>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8" name="Text 10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29" name="Text 110"/>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30"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3FCBB89F-AB6C-43A5-8601-DA271B66AB55}"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1"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2" name="Text 11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3" name="Text 115"/>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4" name="Text 116"/>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5" name="Text 117"/>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6"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7"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8"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39"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0" name="Text 14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1"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2"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3"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4"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45"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B98ADDB9-8E0E-4BA5-B17A-6048BA253673}"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6"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8"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4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3"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4"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5"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6"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8"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5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3"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4"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5"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766"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67"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D3E2AB48-E851-4703-87F4-F70947380878}"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768"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77EE5DC4-C783-42A0-9EB4-CDCBF6264401}"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69"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0"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1"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2"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3"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4"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775"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BF3F90BC-9961-4FBC-9C2B-AAA0AA3DE4FE}"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6"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7"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8"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79"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0"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1"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2"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3"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4"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5"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6"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7"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8"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89"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790"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55E34A8-136E-461B-A1A5-2421DB947712}"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1"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3"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4"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5"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6"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7"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8"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799"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0"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1"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3"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4"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5"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6"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7"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8"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09"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0"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1"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1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AE5B8135-027D-4C17-A619-3842E9B97C8B}"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13"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0B3FFB2-2C7B-40AB-8A1C-0A25BDC2CC99}"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4"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5"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6"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7"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8"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19"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20"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B0962EC6-289C-4599-8D3D-8AFC9AB1CBE1}"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1"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2"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3"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4"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5"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6"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7"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8"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29"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0"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1"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2"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3"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4"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35"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A71DA84D-0188-44F0-A2A5-67721913604E}"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6"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7"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8"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39"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0"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1"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2"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3"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4"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5"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6"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7"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8"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49"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0"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1"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2"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3"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4"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5"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856"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57"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A1CBF809-8E08-44A3-83DD-49F025C2B186}"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858"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4BEA3D2F-4A46-4FA6-A4AD-4763518DFAAF}" type="TxLink">
            <a:rPr lang="en-US"/>
            <a:t>​</a:t>
          </a:fld>
          <a:endParaRPr lang="en-US"/>
        </a:p>
      </xdr:txBody>
    </xdr:sp>
    <xdr:clientData/>
  </xdr:twoCellAnchor>
  <xdr:twoCellAnchor>
    <xdr:from>
      <xdr:col>1</xdr:col>
      <xdr:colOff>0</xdr:colOff>
      <xdr:row>358</xdr:row>
      <xdr:rowOff>0</xdr:rowOff>
    </xdr:from>
    <xdr:to>
      <xdr:col>2</xdr:col>
      <xdr:colOff>0</xdr:colOff>
      <xdr:row>358</xdr:row>
      <xdr:rowOff>0</xdr:rowOff>
    </xdr:to>
    <xdr:sp macro="" textlink="">
      <xdr:nvSpPr>
        <xdr:cNvPr id="24859" name="Text 65"/>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358</xdr:row>
      <xdr:rowOff>0</xdr:rowOff>
    </xdr:from>
    <xdr:to>
      <xdr:col>1</xdr:col>
      <xdr:colOff>2828925</xdr:colOff>
      <xdr:row>358</xdr:row>
      <xdr:rowOff>0</xdr:rowOff>
    </xdr:to>
    <xdr:sp macro="" textlink="">
      <xdr:nvSpPr>
        <xdr:cNvPr id="24860" name="Text 71"/>
        <xdr:cNvSpPr txBox="1">
          <a:spLocks noChangeArrowheads="1"/>
        </xdr:cNvSpPr>
      </xdr:nvSpPr>
      <xdr:spPr bwMode="auto">
        <a:xfrm>
          <a:off x="295275" y="294703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358</xdr:row>
      <xdr:rowOff>0</xdr:rowOff>
    </xdr:from>
    <xdr:to>
      <xdr:col>2</xdr:col>
      <xdr:colOff>0</xdr:colOff>
      <xdr:row>358</xdr:row>
      <xdr:rowOff>0</xdr:rowOff>
    </xdr:to>
    <xdr:sp macro="" textlink="">
      <xdr:nvSpPr>
        <xdr:cNvPr id="24861" name="Text 74"/>
        <xdr:cNvSpPr txBox="1">
          <a:spLocks noChangeArrowheads="1"/>
        </xdr:cNvSpPr>
      </xdr:nvSpPr>
      <xdr:spPr bwMode="auto">
        <a:xfrm>
          <a:off x="295275" y="294703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3"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A70D1BE6-9BED-40A1-ADE1-1B3B7A0261BD}"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4"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9EB0E314-73A7-4CC6-837D-4FF2844A46B3}"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5"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74A7BBE0-03B1-467F-B7F4-643C8FD72F18}"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6"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937D4A40-DC37-4068-AFA3-157B23D446F1}"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6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50B0E06-FF7D-42EA-B198-C945D9D1547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6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D1DBB50-90B0-40CF-95BE-8492C7C5BA8E}"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4869"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1EE95B51-E628-499B-B3A0-77051DEDA22B}"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70"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18F4D5C4-75FB-4B04-95D0-6B0D77AB716A}"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2" name="Text 12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3" name="Text 12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4" name="Text 13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(A) M.P. teakwood grade I 35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5" name="Text 13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6" name="Text 14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9 mm thick shuttering ply both faces panels.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7" name="Text 14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a:t>
          </a:r>
        </a:p>
        <a:p>
          <a:pPr algn="l" rtl="0">
            <a:defRPr sz="1000"/>
          </a:pPr>
          <a:r>
            <a:rPr lang="en-US" sz="1200" b="0" i="0" strike="noStrike">
              <a:solidFill>
                <a:srgbClr val="000000"/>
              </a:solidFill>
              <a:latin typeface="Arial"/>
              <a:cs typeface="Arial"/>
            </a:rPr>
            <a:t>M.P. teakwood grade I 30 mm thick . Panels 12 mm thick shuttering ply (both faces).</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78" name="Text 12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finish  under layer 34 mm thick cement concrete 1:2:4 ( 1 cement : 2 coarse sand : 4 graded stone aggregate 12.5 mm nominal size )  including fixing of dividing strips ( excluding cost of the strips) and top layer 6 mm thick with marble chips of approved colour, and 1 mm to 4 mm nominal size laid in cement marble powder mix 3: 1 (  3 cement : 1 marble powder ) by weight in proportion of 4 : 7 ( 4 cement marble powder : 7 marble chips ) by volume including cement slurry etc. complete.</a:t>
          </a:r>
        </a:p>
        <a:p>
          <a:pPr algn="l" rtl="0">
            <a:defRPr sz="1000"/>
          </a:pPr>
          <a:r>
            <a:rPr lang="en-US" sz="1200" b="0" i="1" strike="noStrike">
              <a:solidFill>
                <a:srgbClr val="000000"/>
              </a:solidFill>
              <a:latin typeface="Arial"/>
              <a:cs typeface="Arial"/>
            </a:rPr>
            <a:t>Ordinary  cement. without any pigment</a:t>
          </a: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0"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1" name="Text 10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3" name="Text 103"/>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4"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5" name="Text 10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6" name="Text 110"/>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88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F223FA8E-5A22-4395-8AE7-CBD0AE23E6E1}"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8"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89" name="Text 11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0" name="Text 115"/>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1" name="Text 116"/>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2" name="Text 117"/>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3"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4"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5"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6"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7" name="Text 14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8"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899"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0"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1"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02"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153DD5A-FDDC-449D-90D0-FF687C6FD163}"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3" name="Text 11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0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6" name="Text 119"/>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7" name="Text 12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8" name="Text 130"/>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19" name="Text 13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0" name="Text 16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1" name="Text 163"/>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2" name="Text 164"/>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3" name="Text 165"/>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4"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25"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6"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4B808DD7-CE9D-4245-9342-51A4797B85CA}"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7"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5EA1B29D-5A6C-48F6-99FA-0A71119A1809}"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78D6FDB1-AF71-49AE-BCED-E25C5ADE9080}"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2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8D119C09-CCAD-4AFE-A493-D086ABD2CBBA}"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0"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1"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2"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3"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20382C71-6849-45C9-908E-3DD5F54C16F6}"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4"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A31C38A4-AC4D-4D61-A448-6A3AEB36BA75}"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5"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6" name="Text 99"/>
        <xdr:cNvSpPr txBox="1">
          <a:spLocks noChangeArrowheads="1"/>
        </xdr:cNvSpPr>
      </xdr:nvSpPr>
      <xdr:spPr bwMode="auto">
        <a:xfrm>
          <a:off x="7562850" y="89154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37" name="Text 101"/>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8"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AC734860-E80B-405E-A58E-E4ADF450C8FF}" type="TxLink">
            <a:rPr lang="en-US"/>
            <a:t>​</a:t>
          </a:fld>
          <a:endParaRPr lang="en-US"/>
        </a:p>
      </xdr:txBody>
    </xdr:sp>
    <xdr:clientData/>
  </xdr:twoCellAnchor>
  <xdr:twoCellAnchor>
    <xdr:from>
      <xdr:col>12</xdr:col>
      <xdr:colOff>0</xdr:colOff>
      <xdr:row>273</xdr:row>
      <xdr:rowOff>0</xdr:rowOff>
    </xdr:from>
    <xdr:to>
      <xdr:col>12</xdr:col>
      <xdr:colOff>0</xdr:colOff>
      <xdr:row>273</xdr:row>
      <xdr:rowOff>0</xdr:rowOff>
    </xdr:to>
    <xdr:sp macro="" textlink="#REF!">
      <xdr:nvSpPr>
        <xdr:cNvPr id="24939" name="Text 112"/>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a:lstStyle/>
        <a:p>
          <a:fld id="{33293921-F1D4-4ECA-A536-EB82BA66282A}" type="TxLink">
            <a:rPr lang="en-US"/>
            <a:t>​</a:t>
          </a:fld>
          <a:endParaRPr lang="en-US"/>
        </a:p>
      </xdr:txBody>
    </xdr:sp>
    <xdr:clientData/>
  </xdr:twoCellAnchor>
  <xdr:twoCellAnchor>
    <xdr:from>
      <xdr:col>12</xdr:col>
      <xdr:colOff>0</xdr:colOff>
      <xdr:row>275</xdr:row>
      <xdr:rowOff>0</xdr:rowOff>
    </xdr:from>
    <xdr:to>
      <xdr:col>12</xdr:col>
      <xdr:colOff>0</xdr:colOff>
      <xdr:row>276</xdr:row>
      <xdr:rowOff>0</xdr:rowOff>
    </xdr:to>
    <xdr:sp macro="" textlink="">
      <xdr:nvSpPr>
        <xdr:cNvPr id="24940" name="Text 108"/>
        <xdr:cNvSpPr txBox="1">
          <a:spLocks noChangeArrowheads="1"/>
        </xdr:cNvSpPr>
      </xdr:nvSpPr>
      <xdr:spPr bwMode="auto">
        <a:xfrm>
          <a:off x="7562850" y="10067925"/>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273</xdr:row>
      <xdr:rowOff>0</xdr:rowOff>
    </xdr:from>
    <xdr:to>
      <xdr:col>12</xdr:col>
      <xdr:colOff>0</xdr:colOff>
      <xdr:row>273</xdr:row>
      <xdr:rowOff>0</xdr:rowOff>
    </xdr:to>
    <xdr:sp macro="" textlink="">
      <xdr:nvSpPr>
        <xdr:cNvPr id="24941" name="Text 108"/>
        <xdr:cNvSpPr txBox="1">
          <a:spLocks noChangeArrowheads="1"/>
        </xdr:cNvSpPr>
      </xdr:nvSpPr>
      <xdr:spPr bwMode="auto">
        <a:xfrm>
          <a:off x="7562850" y="89154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403</xdr:row>
      <xdr:rowOff>0</xdr:rowOff>
    </xdr:from>
    <xdr:to>
      <xdr:col>12</xdr:col>
      <xdr:colOff>0</xdr:colOff>
      <xdr:row>403</xdr:row>
      <xdr:rowOff>0</xdr:rowOff>
    </xdr:to>
    <xdr:sp macro="" textlink="">
      <xdr:nvSpPr>
        <xdr:cNvPr id="24942" name="Text 143"/>
        <xdr:cNvSpPr txBox="1">
          <a:spLocks noChangeArrowheads="1"/>
        </xdr:cNvSpPr>
      </xdr:nvSpPr>
      <xdr:spPr bwMode="auto">
        <a:xfrm>
          <a:off x="7562850" y="44624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355</xdr:row>
      <xdr:rowOff>0</xdr:rowOff>
    </xdr:from>
    <xdr:to>
      <xdr:col>12</xdr:col>
      <xdr:colOff>0</xdr:colOff>
      <xdr:row>355</xdr:row>
      <xdr:rowOff>0</xdr:rowOff>
    </xdr:to>
    <xdr:sp macro="" textlink="">
      <xdr:nvSpPr>
        <xdr:cNvPr id="24943" name="Text 143"/>
        <xdr:cNvSpPr txBox="1">
          <a:spLocks noChangeArrowheads="1"/>
        </xdr:cNvSpPr>
      </xdr:nvSpPr>
      <xdr:spPr bwMode="auto">
        <a:xfrm>
          <a:off x="7562850" y="288702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4" name="Text 148"/>
        <xdr:cNvSpPr txBox="1">
          <a:spLocks noChangeArrowheads="1"/>
        </xdr:cNvSpPr>
      </xdr:nvSpPr>
      <xdr:spPr bwMode="auto">
        <a:xfrm>
          <a:off x="295275" y="346519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5" name="Text 149"/>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4946" name="Text 152"/>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7"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8" name="Text 10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49"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0" name="Text 103"/>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1" name="Text 10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2" name="Text 110"/>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53"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9A9680BF-7FF8-4430-85A6-BCB90490F1DC}"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4"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5" name="Text 11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6" name="Text 115"/>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7" name="Text 116"/>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8" name="Text 117"/>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59"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0"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1"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2"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3" name="Text 14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4"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5"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6"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7"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68"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C755BFDC-DB1D-4980-8CDA-EF57BC493DC6}"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69" name="Text 11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0"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1"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2"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3"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4"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5"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6"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7"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8"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79"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0" name="Text 99"/>
        <xdr:cNvSpPr txBox="1">
          <a:spLocks noChangeArrowheads="1"/>
        </xdr:cNvSpPr>
      </xdr:nvSpPr>
      <xdr:spPr bwMode="auto">
        <a:xfrm>
          <a:off x="7562850" y="396716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1" name="Text 10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2" name="Text 119"/>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3" name="Text 12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4" name="Text 130"/>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5" name="Text 131"/>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6" name="Text 16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7" name="Text 163"/>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8" name="Text 164"/>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390</xdr:row>
      <xdr:rowOff>0</xdr:rowOff>
    </xdr:from>
    <xdr:to>
      <xdr:col>12</xdr:col>
      <xdr:colOff>0</xdr:colOff>
      <xdr:row>390</xdr:row>
      <xdr:rowOff>0</xdr:rowOff>
    </xdr:to>
    <xdr:sp macro="" textlink="">
      <xdr:nvSpPr>
        <xdr:cNvPr id="24989" name="Text 165"/>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90"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C843B88D-BA2D-49B5-ABFB-5DB5671B0834}" type="TxLink">
            <a:rPr lang="en-US"/>
            <a:t>​</a:t>
          </a:fld>
          <a:endParaRPr lang="en-US"/>
        </a:p>
      </xdr:txBody>
    </xdr:sp>
    <xdr:clientData/>
  </xdr:twoCellAnchor>
  <xdr:twoCellAnchor>
    <xdr:from>
      <xdr:col>12</xdr:col>
      <xdr:colOff>0</xdr:colOff>
      <xdr:row>390</xdr:row>
      <xdr:rowOff>0</xdr:rowOff>
    </xdr:from>
    <xdr:to>
      <xdr:col>12</xdr:col>
      <xdr:colOff>0</xdr:colOff>
      <xdr:row>390</xdr:row>
      <xdr:rowOff>0</xdr:rowOff>
    </xdr:to>
    <xdr:sp macro="" textlink="#REF!">
      <xdr:nvSpPr>
        <xdr:cNvPr id="24991" name="Text 112"/>
        <xdr:cNvSpPr txBox="1">
          <a:spLocks noChangeArrowheads="1"/>
        </xdr:cNvSpPr>
      </xdr:nvSpPr>
      <xdr:spPr bwMode="auto">
        <a:xfrm>
          <a:off x="7562850" y="39671625"/>
          <a:ext cx="0" cy="0"/>
        </a:xfrm>
        <a:prstGeom prst="rect">
          <a:avLst/>
        </a:prstGeom>
        <a:solidFill>
          <a:srgbClr val="FFFFFF"/>
        </a:solidFill>
        <a:ln w="1">
          <a:noFill/>
          <a:miter lim="800000"/>
          <a:headEnd/>
          <a:tailEnd/>
        </a:ln>
      </xdr:spPr>
      <xdr:txBody>
        <a:bodyPr/>
        <a:lstStyle/>
        <a:p>
          <a:fld id="{57D6CECA-E656-4945-9556-BB57C3CFAE99}"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2"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3"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4"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5"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6" name="Text 108"/>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7"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4998"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499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2380DB4D-7C26-4552-9B65-00FF7192468A}"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1"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2"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3"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4"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5"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6"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7"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8"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09"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0"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1"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2"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3"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1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1C1149B2-E30A-4D1A-BD73-76BBCD6B575B}"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1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2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3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38"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2AAB7E9F-1B2B-4F30-9891-C24AB630C4F4}"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03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9EC69DDC-579C-4AE8-97D7-9938F83F5299}"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0" name="Text 9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1" name="Text 9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2" name="Text 97"/>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3" name="Text 102"/>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4" name="Text 10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5" name="Text 10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6" name="Text 106"/>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047" name="Text 10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48"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49" name="Text 10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0"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1" name="Text 103"/>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2" name="Text 10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3" name="Text 110"/>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54"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C770387E-875D-4479-8076-1EFF3F272EBB}"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5"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6" name="Text 11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7" name="Text 115"/>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8" name="Text 116"/>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59" name="Text 117"/>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0"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1"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2"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3"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4" name="Text 14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5"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6"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7"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68"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69"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E891C02A-E12A-46DA-87E5-D2A9B859FA0B}"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0"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1"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2"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3"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4"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5"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6"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7"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8"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79"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0"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1"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2"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3"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4"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5"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6"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7"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8"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89"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0"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1"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1A22925B-1F55-4C52-B324-0FAE8251F85B}"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2"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5AA687DF-61D4-489D-B1C0-E482594A1434}"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3"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4" name="Text 10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5"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6" name="Text 103"/>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7" name="Text 10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098" name="Text 110"/>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099"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8C4DD311-8658-40FE-AC9E-FE4D0C893F8A}"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0"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1" name="Text 11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2" name="Text 115"/>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3" name="Text 116"/>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4" name="Text 117"/>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5"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6"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7"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8"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09" name="Text 14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0"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1"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2"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3"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14"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78A99A0F-6D58-414A-8603-30199AED6556}"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5" name="Text 11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6"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7"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8"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19"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0"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1"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2"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3"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4"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5"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6" name="Text 99"/>
        <xdr:cNvSpPr txBox="1">
          <a:spLocks noChangeArrowheads="1"/>
        </xdr:cNvSpPr>
      </xdr:nvSpPr>
      <xdr:spPr bwMode="auto">
        <a:xfrm>
          <a:off x="7562850" y="346519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7" name="Text 10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8" name="Text 119"/>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29" name="Text 12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0" name="Text 130"/>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1" name="Text 131"/>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2" name="Text 16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3" name="Text 163"/>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4" name="Text 164"/>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370</xdr:row>
      <xdr:rowOff>0</xdr:rowOff>
    </xdr:from>
    <xdr:to>
      <xdr:col>12</xdr:col>
      <xdr:colOff>0</xdr:colOff>
      <xdr:row>370</xdr:row>
      <xdr:rowOff>0</xdr:rowOff>
    </xdr:to>
    <xdr:sp macro="" textlink="">
      <xdr:nvSpPr>
        <xdr:cNvPr id="25135" name="Text 165"/>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36"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9FA1E1CB-910D-47F0-B1AE-C6CEF57096F1}" type="TxLink">
            <a:rPr lang="en-US"/>
            <a:t>​</a:t>
          </a:fld>
          <a:endParaRPr lang="en-US"/>
        </a:p>
      </xdr:txBody>
    </xdr:sp>
    <xdr:clientData/>
  </xdr:twoCellAnchor>
  <xdr:twoCellAnchor>
    <xdr:from>
      <xdr:col>12</xdr:col>
      <xdr:colOff>0</xdr:colOff>
      <xdr:row>370</xdr:row>
      <xdr:rowOff>0</xdr:rowOff>
    </xdr:from>
    <xdr:to>
      <xdr:col>12</xdr:col>
      <xdr:colOff>0</xdr:colOff>
      <xdr:row>370</xdr:row>
      <xdr:rowOff>0</xdr:rowOff>
    </xdr:to>
    <xdr:sp macro="" textlink="#REF!">
      <xdr:nvSpPr>
        <xdr:cNvPr id="25137" name="Text 112"/>
        <xdr:cNvSpPr txBox="1">
          <a:spLocks noChangeArrowheads="1"/>
        </xdr:cNvSpPr>
      </xdr:nvSpPr>
      <xdr:spPr bwMode="auto">
        <a:xfrm>
          <a:off x="7562850" y="34651950"/>
          <a:ext cx="0" cy="0"/>
        </a:xfrm>
        <a:prstGeom prst="rect">
          <a:avLst/>
        </a:prstGeom>
        <a:solidFill>
          <a:srgbClr val="FFFFFF"/>
        </a:solidFill>
        <a:ln w="1">
          <a:noFill/>
          <a:miter lim="800000"/>
          <a:headEnd/>
          <a:tailEnd/>
        </a:ln>
      </xdr:spPr>
      <xdr:txBody>
        <a:bodyPr/>
        <a:lstStyle/>
        <a:p>
          <a:fld id="{1532D621-2048-4F3D-A0E6-EB4A25DD1044}"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38"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39"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0"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1"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2"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3"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4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2C3F0C11-F8C6-4ED6-B3F4-1331E35DF157}"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6"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7"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8"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49"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0"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1"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2"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3"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4"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5"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6"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7"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58"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5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B6044301-2790-4B78-8D5C-D250D60446D7}"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6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7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1"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30F81F3C-45CD-402A-AD64-296FD501E1F0}"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E46847BE-5004-4F04-A619-BE699D7DFCEC}"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3"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4"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5"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6"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7"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88"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18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FE0DD4EE-2DF7-4FBA-A459-1EDC17170B7A}"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1"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2"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3"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4"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5"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6"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7"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8"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199"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0"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1"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2"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3"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0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A2FF7C4B-C8B3-4BA5-896F-245DC8B12D24}"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0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6"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7"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8"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19"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0"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1"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2"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3"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4"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5"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26"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901EDEE1-FE97-4407-8390-F309EE846AC4}"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27"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FE2FA8E6-63D3-48AD-8852-C9F9C192BAEB}"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8"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29" name="Text 10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0"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1" name="Text 103"/>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2" name="Text 10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3" name="Text 110"/>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34"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F3F5701B-C860-452E-9EBB-6D01C1883174}"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5"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6" name="Text 11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7" name="Text 115"/>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8" name="Text 116"/>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39" name="Text 117"/>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0"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1"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2"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3"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4" name="Text 14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5"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6"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7"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48"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49"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B5EF33F0-F7AB-42CC-B2F5-7E76B8B2E737}"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0" name="Text 11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5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1" name="Text 99"/>
        <xdr:cNvSpPr txBox="1">
          <a:spLocks noChangeArrowheads="1"/>
        </xdr:cNvSpPr>
      </xdr:nvSpPr>
      <xdr:spPr bwMode="auto">
        <a:xfrm>
          <a:off x="7562850" y="3986212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2" name="Text 10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3" name="Text 119"/>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4" name="Text 12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5" name="Text 130"/>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6" name="Text 131"/>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7" name="Text 16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8" name="Text 163"/>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69" name="Text 164"/>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391</xdr:row>
      <xdr:rowOff>0</xdr:rowOff>
    </xdr:from>
    <xdr:to>
      <xdr:col>12</xdr:col>
      <xdr:colOff>0</xdr:colOff>
      <xdr:row>391</xdr:row>
      <xdr:rowOff>0</xdr:rowOff>
    </xdr:to>
    <xdr:sp macro="" textlink="">
      <xdr:nvSpPr>
        <xdr:cNvPr id="25270" name="Text 165"/>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71"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5296FC69-972B-4FF3-B970-F1E5DA39E12D}" type="TxLink">
            <a:rPr lang="en-US"/>
            <a:t>​</a:t>
          </a:fld>
          <a:endParaRPr lang="en-US"/>
        </a:p>
      </xdr:txBody>
    </xdr:sp>
    <xdr:clientData/>
  </xdr:twoCellAnchor>
  <xdr:twoCellAnchor>
    <xdr:from>
      <xdr:col>12</xdr:col>
      <xdr:colOff>0</xdr:colOff>
      <xdr:row>391</xdr:row>
      <xdr:rowOff>0</xdr:rowOff>
    </xdr:from>
    <xdr:to>
      <xdr:col>12</xdr:col>
      <xdr:colOff>0</xdr:colOff>
      <xdr:row>391</xdr:row>
      <xdr:rowOff>0</xdr:rowOff>
    </xdr:to>
    <xdr:sp macro="" textlink="#REF!">
      <xdr:nvSpPr>
        <xdr:cNvPr id="25272" name="Text 112"/>
        <xdr:cNvSpPr txBox="1">
          <a:spLocks noChangeArrowheads="1"/>
        </xdr:cNvSpPr>
      </xdr:nvSpPr>
      <xdr:spPr bwMode="auto">
        <a:xfrm>
          <a:off x="7562850" y="39862125"/>
          <a:ext cx="0" cy="0"/>
        </a:xfrm>
        <a:prstGeom prst="rect">
          <a:avLst/>
        </a:prstGeom>
        <a:solidFill>
          <a:srgbClr val="FFFFFF"/>
        </a:solidFill>
        <a:ln w="1">
          <a:noFill/>
          <a:miter lim="800000"/>
          <a:headEnd/>
          <a:tailEnd/>
        </a:ln>
      </xdr:spPr>
      <xdr:txBody>
        <a:bodyPr/>
        <a:lstStyle/>
        <a:p>
          <a:fld id="{C67FF36B-E472-4A51-81DF-4FDB4367A0F1}" type="TxLink">
            <a:rPr lang="en-US"/>
            <a:t>​</a:t>
          </a:fld>
          <a:endParaRPr lang="en-US"/>
        </a:p>
      </xdr:txBody>
    </xdr:sp>
    <xdr:clientData/>
  </xdr:twoCellAnchor>
  <xdr:twoCellAnchor>
    <xdr:from>
      <xdr:col>1</xdr:col>
      <xdr:colOff>0</xdr:colOff>
      <xdr:row>370</xdr:row>
      <xdr:rowOff>0</xdr:rowOff>
    </xdr:from>
    <xdr:to>
      <xdr:col>2</xdr:col>
      <xdr:colOff>0</xdr:colOff>
      <xdr:row>370</xdr:row>
      <xdr:rowOff>0</xdr:rowOff>
    </xdr:to>
    <xdr:sp macro="" textlink="">
      <xdr:nvSpPr>
        <xdr:cNvPr id="25273" name="Text 65"/>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370</xdr:row>
      <xdr:rowOff>0</xdr:rowOff>
    </xdr:from>
    <xdr:to>
      <xdr:col>1</xdr:col>
      <xdr:colOff>2828925</xdr:colOff>
      <xdr:row>370</xdr:row>
      <xdr:rowOff>0</xdr:rowOff>
    </xdr:to>
    <xdr:sp macro="" textlink="">
      <xdr:nvSpPr>
        <xdr:cNvPr id="25274" name="Text 71"/>
        <xdr:cNvSpPr txBox="1">
          <a:spLocks noChangeArrowheads="1"/>
        </xdr:cNvSpPr>
      </xdr:nvSpPr>
      <xdr:spPr bwMode="auto">
        <a:xfrm>
          <a:off x="295275" y="346519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370</xdr:row>
      <xdr:rowOff>0</xdr:rowOff>
    </xdr:from>
    <xdr:to>
      <xdr:col>2</xdr:col>
      <xdr:colOff>0</xdr:colOff>
      <xdr:row>370</xdr:row>
      <xdr:rowOff>0</xdr:rowOff>
    </xdr:to>
    <xdr:sp macro="" textlink="">
      <xdr:nvSpPr>
        <xdr:cNvPr id="25275" name="Text 74"/>
        <xdr:cNvSpPr txBox="1">
          <a:spLocks noChangeArrowheads="1"/>
        </xdr:cNvSpPr>
      </xdr:nvSpPr>
      <xdr:spPr bwMode="auto">
        <a:xfrm>
          <a:off x="295275" y="346519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367</xdr:row>
      <xdr:rowOff>0</xdr:rowOff>
    </xdr:from>
    <xdr:to>
      <xdr:col>12</xdr:col>
      <xdr:colOff>0</xdr:colOff>
      <xdr:row>367</xdr:row>
      <xdr:rowOff>0</xdr:rowOff>
    </xdr:to>
    <xdr:sp macro="" textlink="">
      <xdr:nvSpPr>
        <xdr:cNvPr id="25276" name="Text 143"/>
        <xdr:cNvSpPr txBox="1">
          <a:spLocks noChangeArrowheads="1"/>
        </xdr:cNvSpPr>
      </xdr:nvSpPr>
      <xdr:spPr bwMode="auto">
        <a:xfrm>
          <a:off x="7562850" y="340518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in position Collapsible steel shutters with vertical M.S. channels 20 x 10 x 2 mm and bracket with flat iron diagonals 20 x 5 mm size with top and bottom rail of T-iron 40 x 40 x 6 mm  with 40 mm Dai steel pulleys/ball bearing complete with bolts, nuts locking arrangements inside and outside stoppers, handles etc. as per specifications including applying of a priming coat of approved steel primer.( To be measured and paid as per outer dimension).</a:t>
          </a:r>
        </a:p>
        <a:p>
          <a:pPr algn="l" rtl="0">
            <a:defRPr sz="1000"/>
          </a:pPr>
          <a:r>
            <a:rPr lang="en-US" sz="1200" b="0" i="0" strike="noStrike">
              <a:solidFill>
                <a:srgbClr val="000000"/>
              </a:solidFill>
              <a:latin typeface="Arial"/>
              <a:cs typeface="Arial"/>
            </a:rPr>
            <a:t>With 75 mm opening when closed.</a:t>
          </a:r>
        </a:p>
      </xdr:txBody>
    </xdr:sp>
    <xdr:clientData/>
  </xdr:twoCellAnchor>
  <xdr:twoCellAnchor>
    <xdr:from>
      <xdr:col>12</xdr:col>
      <xdr:colOff>0</xdr:colOff>
      <xdr:row>21</xdr:row>
      <xdr:rowOff>0</xdr:rowOff>
    </xdr:from>
    <xdr:to>
      <xdr:col>12</xdr:col>
      <xdr:colOff>0</xdr:colOff>
      <xdr:row>22</xdr:row>
      <xdr:rowOff>0</xdr:rowOff>
    </xdr:to>
    <xdr:sp macro="" textlink="#REF!">
      <xdr:nvSpPr>
        <xdr:cNvPr id="25860" name="Text 112"/>
        <xdr:cNvSpPr txBox="1">
          <a:spLocks noChangeArrowheads="1"/>
        </xdr:cNvSpPr>
      </xdr:nvSpPr>
      <xdr:spPr bwMode="auto">
        <a:xfrm>
          <a:off x="7562850" y="3162300"/>
          <a:ext cx="0" cy="190500"/>
        </a:xfrm>
        <a:prstGeom prst="rect">
          <a:avLst/>
        </a:prstGeom>
        <a:solidFill>
          <a:srgbClr val="FFFFFF"/>
        </a:solidFill>
        <a:ln w="1">
          <a:noFill/>
          <a:miter lim="800000"/>
          <a:headEnd/>
          <a:tailEnd/>
        </a:ln>
      </xdr:spPr>
      <xdr:txBody>
        <a:bodyPr/>
        <a:lstStyle/>
        <a:p>
          <a:fld id="{39EB307B-142B-46A3-924E-7E00CD5694CE}" type="TxLink">
            <a:rPr lang="en-US"/>
            <a:t>​</a:t>
          </a:fld>
          <a:endParaRPr lang="en-US"/>
        </a:p>
      </xdr:txBody>
    </xdr:sp>
    <xdr:clientData/>
  </xdr:twoCellAnchor>
  <xdr:twoCellAnchor>
    <xdr:from>
      <xdr:col>12</xdr:col>
      <xdr:colOff>0</xdr:colOff>
      <xdr:row>37</xdr:row>
      <xdr:rowOff>0</xdr:rowOff>
    </xdr:from>
    <xdr:to>
      <xdr:col>12</xdr:col>
      <xdr:colOff>0</xdr:colOff>
      <xdr:row>37</xdr:row>
      <xdr:rowOff>0</xdr:rowOff>
    </xdr:to>
    <xdr:sp macro="" textlink="#REF!">
      <xdr:nvSpPr>
        <xdr:cNvPr id="25861" name="Text 112"/>
        <xdr:cNvSpPr txBox="1">
          <a:spLocks noChangeArrowheads="1"/>
        </xdr:cNvSpPr>
      </xdr:nvSpPr>
      <xdr:spPr bwMode="auto">
        <a:xfrm>
          <a:off x="7562850" y="5629275"/>
          <a:ext cx="0" cy="0"/>
        </a:xfrm>
        <a:prstGeom prst="rect">
          <a:avLst/>
        </a:prstGeom>
        <a:solidFill>
          <a:srgbClr val="FFFFFF"/>
        </a:solidFill>
        <a:ln w="1">
          <a:noFill/>
          <a:miter lim="800000"/>
          <a:headEnd/>
          <a:tailEnd/>
        </a:ln>
      </xdr:spPr>
      <xdr:txBody>
        <a:bodyPr/>
        <a:lstStyle/>
        <a:p>
          <a:fld id="{957947A5-D19D-4C8A-84D0-99A522FF2EF4}" type="TxLink">
            <a:rPr lang="en-US"/>
            <a:t>​</a:t>
          </a:fld>
          <a:endParaRPr lang="en-US"/>
        </a:p>
      </xdr:txBody>
    </xdr:sp>
    <xdr:clientData/>
  </xdr:twoCellAnchor>
  <xdr:twoCellAnchor>
    <xdr:from>
      <xdr:col>12</xdr:col>
      <xdr:colOff>0</xdr:colOff>
      <xdr:row>265</xdr:row>
      <xdr:rowOff>0</xdr:rowOff>
    </xdr:from>
    <xdr:to>
      <xdr:col>12</xdr:col>
      <xdr:colOff>0</xdr:colOff>
      <xdr:row>266</xdr:row>
      <xdr:rowOff>0</xdr:rowOff>
    </xdr:to>
    <xdr:sp macro="" textlink="#REF!">
      <xdr:nvSpPr>
        <xdr:cNvPr id="25862" name="Text 112"/>
        <xdr:cNvSpPr txBox="1">
          <a:spLocks noChangeArrowheads="1"/>
        </xdr:cNvSpPr>
      </xdr:nvSpPr>
      <xdr:spPr bwMode="auto">
        <a:xfrm>
          <a:off x="7562850" y="7343775"/>
          <a:ext cx="0" cy="190500"/>
        </a:xfrm>
        <a:prstGeom prst="rect">
          <a:avLst/>
        </a:prstGeom>
        <a:solidFill>
          <a:srgbClr val="FFFFFF"/>
        </a:solidFill>
        <a:ln w="1">
          <a:noFill/>
          <a:miter lim="800000"/>
          <a:headEnd/>
          <a:tailEnd/>
        </a:ln>
      </xdr:spPr>
      <xdr:txBody>
        <a:bodyPr/>
        <a:lstStyle/>
        <a:p>
          <a:fld id="{0CB76E50-AA26-4FE4-973B-2A9DAC6DD76F}" type="TxLink">
            <a:rPr lang="en-US"/>
            <a:t>​</a:t>
          </a:fld>
          <a:endParaRPr lang="en-US"/>
        </a:p>
      </xdr:txBody>
    </xdr:sp>
    <xdr:clientData/>
  </xdr:twoCellAnchor>
  <xdr:twoCellAnchor>
    <xdr:from>
      <xdr:col>12</xdr:col>
      <xdr:colOff>0</xdr:colOff>
      <xdr:row>272</xdr:row>
      <xdr:rowOff>0</xdr:rowOff>
    </xdr:from>
    <xdr:to>
      <xdr:col>12</xdr:col>
      <xdr:colOff>0</xdr:colOff>
      <xdr:row>273</xdr:row>
      <xdr:rowOff>0</xdr:rowOff>
    </xdr:to>
    <xdr:sp macro="" textlink="#REF!">
      <xdr:nvSpPr>
        <xdr:cNvPr id="25863" name="Text 112"/>
        <xdr:cNvSpPr txBox="1">
          <a:spLocks noChangeArrowheads="1"/>
        </xdr:cNvSpPr>
      </xdr:nvSpPr>
      <xdr:spPr bwMode="auto">
        <a:xfrm>
          <a:off x="7562850" y="8724900"/>
          <a:ext cx="0" cy="190500"/>
        </a:xfrm>
        <a:prstGeom prst="rect">
          <a:avLst/>
        </a:prstGeom>
        <a:solidFill>
          <a:srgbClr val="FFFFFF"/>
        </a:solidFill>
        <a:ln w="1">
          <a:noFill/>
          <a:miter lim="800000"/>
          <a:headEnd/>
          <a:tailEnd/>
        </a:ln>
      </xdr:spPr>
      <xdr:txBody>
        <a:bodyPr/>
        <a:lstStyle/>
        <a:p>
          <a:fld id="{DCD40D4E-3F7D-4711-8025-74AC81D08A2B}" type="TxLink">
            <a:rPr lang="en-US"/>
            <a:t>​</a:t>
          </a:fld>
          <a:endParaRPr lang="en-US"/>
        </a:p>
      </xdr:txBody>
    </xdr:sp>
    <xdr:clientData/>
  </xdr:twoCellAnchor>
  <xdr:twoCellAnchor>
    <xdr:from>
      <xdr:col>12</xdr:col>
      <xdr:colOff>0</xdr:colOff>
      <xdr:row>276</xdr:row>
      <xdr:rowOff>0</xdr:rowOff>
    </xdr:from>
    <xdr:to>
      <xdr:col>12</xdr:col>
      <xdr:colOff>0</xdr:colOff>
      <xdr:row>277</xdr:row>
      <xdr:rowOff>0</xdr:rowOff>
    </xdr:to>
    <xdr:sp macro="" textlink="">
      <xdr:nvSpPr>
        <xdr:cNvPr id="25864" name="Text 108"/>
        <xdr:cNvSpPr txBox="1">
          <a:spLocks noChangeArrowheads="1"/>
        </xdr:cNvSpPr>
      </xdr:nvSpPr>
      <xdr:spPr bwMode="auto">
        <a:xfrm>
          <a:off x="7562850" y="10267950"/>
          <a:ext cx="0" cy="20002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a:t>
          </a:r>
        </a:p>
        <a:p>
          <a:pPr algn="l" rtl="0">
            <a:defRPr sz="1000"/>
          </a:pPr>
          <a:r>
            <a:rPr lang="en-US" sz="1200" b="0" i="0" strike="noStrike">
              <a:solidFill>
                <a:srgbClr val="000000"/>
              </a:solidFill>
              <a:latin typeface="Arial"/>
              <a:cs typeface="Arial"/>
            </a:rPr>
            <a:t>Columns, pillars, posts and struts etc.</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5"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6" name="Text 10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7"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8" name="Text 103"/>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69" name="Text 10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0" name="Text 110"/>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871"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34DECB95-797C-4A62-9D61-EE06B001FA80}" type="TxLink">
            <a:rPr lang="en-US"/>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2" name="Text 11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3" name="Text 11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4" name="Text 115"/>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5" name="Text 116"/>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6" name="Text 117"/>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7"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8"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79"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0"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1" name="Text 14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2"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3"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4"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5"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886"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A6D26344-1556-46C9-A330-0205838EEEB1}" type="TxLink">
            <a:rPr lang="en-US"/>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7" name="Text 11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8"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89"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0"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1"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2"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3"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4"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5"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6"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7"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8" name="Text 99"/>
        <xdr:cNvSpPr txBox="1">
          <a:spLocks noChangeArrowheads="1"/>
        </xdr:cNvSpPr>
      </xdr:nvSpPr>
      <xdr:spPr bwMode="auto">
        <a:xfrm>
          <a:off x="7562850" y="1824990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899" name="Text 10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0" name="Text 119"/>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1" name="Text 12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2" name="Text 130"/>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3" name="Text 131"/>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4" name="Text 16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5" name="Text 163"/>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6" name="Text 164"/>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307</xdr:row>
      <xdr:rowOff>0</xdr:rowOff>
    </xdr:from>
    <xdr:to>
      <xdr:col>12</xdr:col>
      <xdr:colOff>0</xdr:colOff>
      <xdr:row>307</xdr:row>
      <xdr:rowOff>0</xdr:rowOff>
    </xdr:to>
    <xdr:sp macro="" textlink="">
      <xdr:nvSpPr>
        <xdr:cNvPr id="25907" name="Text 165"/>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908"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828E68AE-B921-4ED1-83BB-D386C75334B5}" type="TxLink">
            <a:rPr lang="en-US"/>
            <a:t>​</a:t>
          </a:fld>
          <a:endParaRPr lang="en-US"/>
        </a:p>
      </xdr:txBody>
    </xdr:sp>
    <xdr:clientData/>
  </xdr:twoCellAnchor>
  <xdr:twoCellAnchor>
    <xdr:from>
      <xdr:col>12</xdr:col>
      <xdr:colOff>0</xdr:colOff>
      <xdr:row>307</xdr:row>
      <xdr:rowOff>0</xdr:rowOff>
    </xdr:from>
    <xdr:to>
      <xdr:col>12</xdr:col>
      <xdr:colOff>0</xdr:colOff>
      <xdr:row>307</xdr:row>
      <xdr:rowOff>0</xdr:rowOff>
    </xdr:to>
    <xdr:sp macro="" textlink="#REF!">
      <xdr:nvSpPr>
        <xdr:cNvPr id="25909" name="Text 112"/>
        <xdr:cNvSpPr txBox="1">
          <a:spLocks noChangeArrowheads="1"/>
        </xdr:cNvSpPr>
      </xdr:nvSpPr>
      <xdr:spPr bwMode="auto">
        <a:xfrm>
          <a:off x="7562850" y="18249900"/>
          <a:ext cx="0" cy="0"/>
        </a:xfrm>
        <a:prstGeom prst="rect">
          <a:avLst/>
        </a:prstGeom>
        <a:solidFill>
          <a:srgbClr val="FFFFFF"/>
        </a:solidFill>
        <a:ln w="1">
          <a:noFill/>
          <a:miter lim="800000"/>
          <a:headEnd/>
          <a:tailEnd/>
        </a:ln>
      </xdr:spPr>
      <xdr:txBody>
        <a:bodyPr/>
        <a:lstStyle/>
        <a:p>
          <a:fld id="{86D73C11-67BA-48D7-9BCA-466F45FA9F95}" type="TxLink">
            <a:rPr lang="en-US"/>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0"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1" name="Text 10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2"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3" name="Text 103"/>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4" name="Text 10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5" name="Text 110"/>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16"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02ACB586-109C-4330-B999-6E2221031FE3}" type="TxLink">
            <a:rPr lang="en-US"/>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7" name="Text 11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8" name="Text 11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19" name="Text 115"/>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0" name="Text 116"/>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1" name="Text 117"/>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2"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3"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4"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5"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6" name="Text 14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7"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8"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29"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0"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31"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E2C5B155-3384-4504-8CA8-6638F8DC1153}" type="TxLink">
            <a:rPr lang="en-US"/>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2" name="Text 11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3"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4"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5"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6"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7"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8"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39"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0"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1"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2"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3" name="Text 99"/>
        <xdr:cNvSpPr txBox="1">
          <a:spLocks noChangeArrowheads="1"/>
        </xdr:cNvSpPr>
      </xdr:nvSpPr>
      <xdr:spPr bwMode="auto">
        <a:xfrm>
          <a:off x="7562850" y="38319075"/>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4" name="Text 10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5" name="Text 119"/>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6" name="Text 12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7" name="Text 130"/>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8" name="Text 131"/>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49" name="Text 16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0" name="Text 163"/>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1" name="Text 164"/>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383</xdr:row>
      <xdr:rowOff>0</xdr:rowOff>
    </xdr:from>
    <xdr:to>
      <xdr:col>12</xdr:col>
      <xdr:colOff>0</xdr:colOff>
      <xdr:row>383</xdr:row>
      <xdr:rowOff>0</xdr:rowOff>
    </xdr:to>
    <xdr:sp macro="" textlink="">
      <xdr:nvSpPr>
        <xdr:cNvPr id="25952" name="Text 165"/>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53"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E4798D29-BA4F-4DB2-98B6-C6120FBCA4DB}" type="TxLink">
            <a:rPr lang="en-US"/>
            <a:t>​</a:t>
          </a:fld>
          <a:endParaRPr lang="en-US"/>
        </a:p>
      </xdr:txBody>
    </xdr:sp>
    <xdr:clientData/>
  </xdr:twoCellAnchor>
  <xdr:twoCellAnchor>
    <xdr:from>
      <xdr:col>12</xdr:col>
      <xdr:colOff>0</xdr:colOff>
      <xdr:row>383</xdr:row>
      <xdr:rowOff>0</xdr:rowOff>
    </xdr:from>
    <xdr:to>
      <xdr:col>12</xdr:col>
      <xdr:colOff>0</xdr:colOff>
      <xdr:row>383</xdr:row>
      <xdr:rowOff>0</xdr:rowOff>
    </xdr:to>
    <xdr:sp macro="" textlink="#REF!">
      <xdr:nvSpPr>
        <xdr:cNvPr id="25954" name="Text 112"/>
        <xdr:cNvSpPr txBox="1">
          <a:spLocks noChangeArrowheads="1"/>
        </xdr:cNvSpPr>
      </xdr:nvSpPr>
      <xdr:spPr bwMode="auto">
        <a:xfrm>
          <a:off x="7562850" y="38319075"/>
          <a:ext cx="0" cy="0"/>
        </a:xfrm>
        <a:prstGeom prst="rect">
          <a:avLst/>
        </a:prstGeom>
        <a:solidFill>
          <a:srgbClr val="FFFFFF"/>
        </a:solidFill>
        <a:ln w="1">
          <a:noFill/>
          <a:miter lim="800000"/>
          <a:headEnd/>
          <a:tailEnd/>
        </a:ln>
      </xdr:spPr>
      <xdr:txBody>
        <a:bodyPr/>
        <a:lstStyle/>
        <a:p>
          <a:fld id="{41DA1EC6-EBE5-4A5B-9DCD-CC993E132471}"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5"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6"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7"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8"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59"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0"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6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47FE850D-7396-43EF-9BD6-B198DE7198DA}"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3"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4"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5"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6"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7"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8"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69"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0"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1"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2"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3"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4"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5"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7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179BD3BE-A38C-419B-91BB-2FC1B79EEE9E}"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7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8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599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98"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FC83B57A-32E5-4B1D-B84A-6DA2A4A71BE3}"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5999"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8E49662-A265-42D8-BB20-24D8293837D9}"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0"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1"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2"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3"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4"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5"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0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C9C97898-14CC-47B8-A3B8-28DE9DEE5B4F}"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8"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09"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0"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1"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2"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3"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4"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5"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6"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7"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8"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19"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0"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2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2A16F68C-828D-4C27-BF46-4EF12FA6825D}"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3"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4"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5"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6"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7"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8"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29"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0"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1"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2"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3"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4"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5"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6"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7"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8"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39"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0"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1"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2"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43"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0A95FEB9-C263-446A-8369-796A88C988B4}"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44"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5557766F-972E-407F-A0F9-9E89E04D3E15}"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5"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6" name="Text 10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7"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8" name="Text 103"/>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49" name="Text 10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0" name="Text 110"/>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51"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CCF2BC41-EB8C-435A-9126-5AC17C0FD8EA}"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2"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3" name="Text 11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4" name="Text 115"/>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5" name="Text 116"/>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6" name="Text 117"/>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7"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8"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59"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0"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1" name="Text 14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2"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3"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4"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5"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66"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FF42E4A4-489B-47A7-94F8-050C3C9B19A3}"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7" name="Text 11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6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8" name="Text 99"/>
        <xdr:cNvSpPr txBox="1">
          <a:spLocks noChangeArrowheads="1"/>
        </xdr:cNvSpPr>
      </xdr:nvSpPr>
      <xdr:spPr bwMode="auto">
        <a:xfrm>
          <a:off x="7562850" y="408622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79" name="Text 10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0" name="Text 119"/>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1" name="Text 12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2" name="Text 130"/>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3" name="Text 131"/>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4" name="Text 16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5" name="Text 163"/>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6" name="Text 164"/>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395</xdr:row>
      <xdr:rowOff>0</xdr:rowOff>
    </xdr:from>
    <xdr:to>
      <xdr:col>12</xdr:col>
      <xdr:colOff>0</xdr:colOff>
      <xdr:row>395</xdr:row>
      <xdr:rowOff>0</xdr:rowOff>
    </xdr:to>
    <xdr:sp macro="" textlink="">
      <xdr:nvSpPr>
        <xdr:cNvPr id="26087" name="Text 165"/>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88"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84D9F9D8-46AF-498A-9A4C-BD51D33F23D2}" type="TxLink">
            <a:rPr lang="en-US"/>
            <a:t>​</a:t>
          </a:fld>
          <a:endParaRPr lang="en-US"/>
        </a:p>
      </xdr:txBody>
    </xdr:sp>
    <xdr:clientData/>
  </xdr:twoCellAnchor>
  <xdr:twoCellAnchor>
    <xdr:from>
      <xdr:col>12</xdr:col>
      <xdr:colOff>0</xdr:colOff>
      <xdr:row>395</xdr:row>
      <xdr:rowOff>0</xdr:rowOff>
    </xdr:from>
    <xdr:to>
      <xdr:col>12</xdr:col>
      <xdr:colOff>0</xdr:colOff>
      <xdr:row>395</xdr:row>
      <xdr:rowOff>0</xdr:rowOff>
    </xdr:to>
    <xdr:sp macro="" textlink="#REF!">
      <xdr:nvSpPr>
        <xdr:cNvPr id="26089" name="Text 112"/>
        <xdr:cNvSpPr txBox="1">
          <a:spLocks noChangeArrowheads="1"/>
        </xdr:cNvSpPr>
      </xdr:nvSpPr>
      <xdr:spPr bwMode="auto">
        <a:xfrm>
          <a:off x="7562850" y="40862250"/>
          <a:ext cx="0" cy="0"/>
        </a:xfrm>
        <a:prstGeom prst="rect">
          <a:avLst/>
        </a:prstGeom>
        <a:solidFill>
          <a:srgbClr val="FFFFFF"/>
        </a:solidFill>
        <a:ln w="1">
          <a:noFill/>
          <a:miter lim="800000"/>
          <a:headEnd/>
          <a:tailEnd/>
        </a:ln>
      </xdr:spPr>
      <xdr:txBody>
        <a:bodyPr/>
        <a:lstStyle/>
        <a:p>
          <a:fld id="{7F27FD86-2A64-476A-BE25-153E1E8E2C59}" type="TxLink">
            <a:rPr lang="en-US"/>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0"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1" name="Text 10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and removal of form work for foundations in basements, rafts, footings, strap beams, bases of columns, etc. upto plinth level.</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2"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3" name="Text 103"/>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4" name="Text 10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graded stone aggregate 20 mm nominal size).</a:t>
          </a:r>
        </a:p>
        <a:p>
          <a:pPr algn="l" rtl="0">
            <a:defRPr sz="1000"/>
          </a:pPr>
          <a:r>
            <a:rPr lang="en-US" sz="1200" b="0" i="0" strike="noStrike">
              <a:solidFill>
                <a:srgbClr val="000000"/>
              </a:solidFill>
              <a:latin typeface="Arial"/>
              <a:cs typeface="Arial"/>
            </a:rPr>
            <a:t>(A) In suspended floors, roofs, girders, cantilevers,  staircases, landings,  balconies,   bands, copings, bed plates, anchor blocks, sill, and beams etc. upto 4.5 m height above plinth level</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5" name="Text 110"/>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096"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275D8F8F-6DB9-47AC-92FD-3F95896F1250}" type="TxLink">
            <a:rPr lang="en-US"/>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7" name="Text 11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8" name="Text 11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099" name="Text 115"/>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suspended floors, roofs, cantilevers, staircases, landings, balconies, bands, copings, bed plates, anchor blocks, sill and beams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0" name="Text 116"/>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a:t>
          </a:r>
          <a:r>
            <a:rPr lang="en-US" sz="1200" b="0" i="1" strike="noStrike">
              <a:solidFill>
                <a:srgbClr val="000000"/>
              </a:solidFill>
              <a:latin typeface="Arial"/>
              <a:cs typeface="Arial"/>
            </a:rPr>
            <a:t>for 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1" name="Text 117"/>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2"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3"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4"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5"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6" name="Text 14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a:t>
          </a:r>
        </a:p>
        <a:p>
          <a:pPr algn="l" rtl="0">
            <a:defRPr sz="1000"/>
          </a:pPr>
          <a:r>
            <a:rPr lang="en-US" sz="1200" b="0" i="0" strike="noStrike">
              <a:solidFill>
                <a:srgbClr val="000000"/>
              </a:solidFill>
              <a:latin typeface="Arial"/>
              <a:cs typeface="Arial"/>
            </a:rPr>
            <a:t>(A) For suspended floors, roofs, landing staircases, landing balconies, girders, cantilevers, bands, copings, bed plates, anchor blocks, sills, chajjas etc.</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7"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8"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09"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0"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11"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A888FDF0-5BEC-4160-9BE7-FDE0BDE48A0F}" type="TxLink">
            <a:rPr lang="en-US"/>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2" name="Text 11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Carriage of earth including loading , unloading complete with lead 1 KM.</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3"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4"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5"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6"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7"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8"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19"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0"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1"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2"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3" name="Text 99"/>
        <xdr:cNvSpPr txBox="1">
          <a:spLocks noChangeArrowheads="1"/>
        </xdr:cNvSpPr>
      </xdr:nvSpPr>
      <xdr:spPr bwMode="auto">
        <a:xfrm>
          <a:off x="7562850" y="40671750"/>
          <a:ext cx="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4" name="Text 10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27432" tIns="18288" rIns="0" bIns="0" anchor="t" upright="1"/>
        <a:lstStyle/>
        <a:p>
          <a:pPr algn="l" rtl="0">
            <a:defRPr sz="1000"/>
          </a:pPr>
          <a:r>
            <a:rPr lang="en-US" sz="1200" b="1" i="0" strike="noStrike">
              <a:solidFill>
                <a:srgbClr val="000000"/>
              </a:solidFill>
              <a:latin typeface="Arial"/>
              <a:cs typeface="Arial"/>
            </a:rPr>
            <a:t>Labour charges for cutting, bending for  fabrication and binding  reinforcement (plain or tor/ ribbed steel) as per drawing and design for RCC and R.B.  work  including cost of binding wire with all lead and lift complete.</a:t>
          </a:r>
        </a:p>
        <a:p>
          <a:pPr algn="l" rtl="0">
            <a:defRPr sz="1000"/>
          </a:pPr>
          <a:endParaRPr lang="en-US" sz="1200" b="1"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5" name="Text 119"/>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6" name="Text 12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7" name="Text 130"/>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a:t>
          </a:r>
        </a:p>
        <a:p>
          <a:pPr algn="l" rtl="0">
            <a:defRPr sz="1000"/>
          </a:pPr>
          <a:endParaRPr lang="en-US" sz="1200" b="0" i="0" strike="noStrike">
            <a:solidFill>
              <a:srgbClr val="000000"/>
            </a:solidFill>
            <a:latin typeface="Arial"/>
            <a:cs typeface="Arial"/>
          </a:endParaRP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8" name="Text 131"/>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29" name="Text 16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0" name="Text 163"/>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1" name="Text 164"/>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12</xdr:col>
      <xdr:colOff>0</xdr:colOff>
      <xdr:row>394</xdr:row>
      <xdr:rowOff>0</xdr:rowOff>
    </xdr:from>
    <xdr:to>
      <xdr:col>12</xdr:col>
      <xdr:colOff>0</xdr:colOff>
      <xdr:row>394</xdr:row>
      <xdr:rowOff>0</xdr:rowOff>
    </xdr:to>
    <xdr:sp macro="" textlink="">
      <xdr:nvSpPr>
        <xdr:cNvPr id="26132" name="Text 165"/>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handles peg stay etc. as required</a:t>
          </a:r>
        </a:p>
        <a:p>
          <a:pPr algn="l" rtl="0">
            <a:defRPr sz="1000"/>
          </a:pPr>
          <a:r>
            <a:rPr lang="en-US" sz="1200" b="0" i="0" strike="noStrike">
              <a:solidFill>
                <a:srgbClr val="000000"/>
              </a:solidFill>
              <a:latin typeface="Arial"/>
              <a:cs typeface="Arial"/>
            </a:rPr>
            <a:t> Partly  fixed and partly openable .( Fixed area not to exceed 33%)</a:t>
          </a:r>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33"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BFB39FA3-18B8-4BD8-933F-C88325BBC2E9}" type="TxLink">
            <a:rPr lang="en-US"/>
            <a:t>​</a:t>
          </a:fld>
          <a:endParaRPr lang="en-US"/>
        </a:p>
      </xdr:txBody>
    </xdr:sp>
    <xdr:clientData/>
  </xdr:twoCellAnchor>
  <xdr:twoCellAnchor>
    <xdr:from>
      <xdr:col>12</xdr:col>
      <xdr:colOff>0</xdr:colOff>
      <xdr:row>394</xdr:row>
      <xdr:rowOff>0</xdr:rowOff>
    </xdr:from>
    <xdr:to>
      <xdr:col>12</xdr:col>
      <xdr:colOff>0</xdr:colOff>
      <xdr:row>394</xdr:row>
      <xdr:rowOff>0</xdr:rowOff>
    </xdr:to>
    <xdr:sp macro="" textlink="#REF!">
      <xdr:nvSpPr>
        <xdr:cNvPr id="26134" name="Text 112"/>
        <xdr:cNvSpPr txBox="1">
          <a:spLocks noChangeArrowheads="1"/>
        </xdr:cNvSpPr>
      </xdr:nvSpPr>
      <xdr:spPr bwMode="auto">
        <a:xfrm>
          <a:off x="7562850" y="40671750"/>
          <a:ext cx="0" cy="0"/>
        </a:xfrm>
        <a:prstGeom prst="rect">
          <a:avLst/>
        </a:prstGeom>
        <a:solidFill>
          <a:srgbClr val="FFFFFF"/>
        </a:solidFill>
        <a:ln w="1">
          <a:noFill/>
          <a:miter lim="800000"/>
          <a:headEnd/>
          <a:tailEnd/>
        </a:ln>
      </xdr:spPr>
      <xdr:txBody>
        <a:bodyPr/>
        <a:lstStyle/>
        <a:p>
          <a:fld id="{D820C7C6-95EC-4753-BC85-E509CFD6F0AB}" type="TxLink">
            <a:rPr lang="en-US"/>
            <a:t>​</a:t>
          </a:fld>
          <a:endParaRPr lang="en-US"/>
        </a:p>
      </xdr:txBody>
    </xdr:sp>
    <xdr:clientData/>
  </xdr:twoCellAnchor>
  <xdr:twoCellAnchor>
    <xdr:from>
      <xdr:col>12</xdr:col>
      <xdr:colOff>0</xdr:colOff>
      <xdr:row>35</xdr:row>
      <xdr:rowOff>0</xdr:rowOff>
    </xdr:from>
    <xdr:to>
      <xdr:col>12</xdr:col>
      <xdr:colOff>0</xdr:colOff>
      <xdr:row>36</xdr:row>
      <xdr:rowOff>0</xdr:rowOff>
    </xdr:to>
    <xdr:sp macro="" textlink="#REF!">
      <xdr:nvSpPr>
        <xdr:cNvPr id="1618" name="Text 112"/>
        <xdr:cNvSpPr txBox="1">
          <a:spLocks noChangeArrowheads="1"/>
        </xdr:cNvSpPr>
      </xdr:nvSpPr>
      <xdr:spPr bwMode="auto">
        <a:xfrm>
          <a:off x="7572375" y="4127500"/>
          <a:ext cx="0" cy="190500"/>
        </a:xfrm>
        <a:prstGeom prst="rect">
          <a:avLst/>
        </a:prstGeom>
        <a:solidFill>
          <a:srgbClr val="FFFFFF"/>
        </a:solidFill>
        <a:ln w="1">
          <a:noFill/>
          <a:miter lim="800000"/>
          <a:headEnd/>
          <a:tailEnd/>
        </a:ln>
      </xdr:spPr>
      <xdr:txBody>
        <a:bodyPr/>
        <a:lstStyle/>
        <a:p>
          <a:fld id="{2B5E77EE-1689-42F9-BDDD-756477DF7F29}" type="TxLink">
            <a:rPr lang="en-US"/>
            <a:t>​</a:t>
          </a:fld>
          <a:endParaRPr lang="en-US"/>
        </a:p>
      </xdr:txBody>
    </xdr:sp>
    <xdr:clientData/>
  </xdr:twoCellAnchor>
  <xdr:twoCellAnchor>
    <xdr:from>
      <xdr:col>12</xdr:col>
      <xdr:colOff>0</xdr:colOff>
      <xdr:row>74</xdr:row>
      <xdr:rowOff>0</xdr:rowOff>
    </xdr:from>
    <xdr:to>
      <xdr:col>12</xdr:col>
      <xdr:colOff>0</xdr:colOff>
      <xdr:row>75</xdr:row>
      <xdr:rowOff>0</xdr:rowOff>
    </xdr:to>
    <xdr:sp macro="" textlink="#REF!">
      <xdr:nvSpPr>
        <xdr:cNvPr id="1676" name="Text 112"/>
        <xdr:cNvSpPr txBox="1">
          <a:spLocks noChangeArrowheads="1"/>
        </xdr:cNvSpPr>
      </xdr:nvSpPr>
      <xdr:spPr bwMode="auto">
        <a:xfrm>
          <a:off x="7562850" y="17868900"/>
          <a:ext cx="0" cy="180975"/>
        </a:xfrm>
        <a:prstGeom prst="rect">
          <a:avLst/>
        </a:prstGeom>
        <a:solidFill>
          <a:srgbClr val="FFFFFF"/>
        </a:solidFill>
        <a:ln w="1">
          <a:noFill/>
          <a:miter lim="800000"/>
          <a:headEnd/>
          <a:tailEnd/>
        </a:ln>
      </xdr:spPr>
      <xdr:txBody>
        <a:bodyPr/>
        <a:lstStyle/>
        <a:p>
          <a:fld id="{3C0659FF-F2D7-42BA-86E8-0FFCA6B9F446}" type="TxLink">
            <a:rPr lang="en-US"/>
            <a:t>​</a:t>
          </a:fld>
          <a:endParaRPr lang="en-US"/>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7" name="Text 148"/>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8" name="Text 149"/>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679" name="Text 152"/>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770" name="Text 65"/>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upto 4.5 m height above plinth level</a:t>
          </a:r>
          <a:r>
            <a:rPr lang="en-US" sz="1200" b="0" i="0" strike="noStrike">
              <a:solidFill>
                <a:srgbClr val="000000"/>
              </a:solidFill>
              <a:latin typeface="Arial"/>
              <a:cs typeface="Arial"/>
            </a:rPr>
            <a:t>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254</xdr:row>
      <xdr:rowOff>0</xdr:rowOff>
    </xdr:from>
    <xdr:to>
      <xdr:col>1</xdr:col>
      <xdr:colOff>2828925</xdr:colOff>
      <xdr:row>254</xdr:row>
      <xdr:rowOff>0</xdr:rowOff>
    </xdr:to>
    <xdr:sp macro="" textlink="">
      <xdr:nvSpPr>
        <xdr:cNvPr id="1771" name="Text 71"/>
        <xdr:cNvSpPr txBox="1">
          <a:spLocks noChangeArrowheads="1"/>
        </xdr:cNvSpPr>
      </xdr:nvSpPr>
      <xdr:spPr bwMode="auto">
        <a:xfrm>
          <a:off x="295275" y="51606450"/>
          <a:ext cx="2828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strutting propping, bracing both ways with wooden members and removal of form work for superstructure upto 4.5 Mtr. height above plinth level for Grid roofing with panel area less than 2.5 Sqm (contact area to be measured ).</a:t>
          </a:r>
        </a:p>
      </xdr:txBody>
    </xdr:sp>
    <xdr:clientData/>
  </xdr:twoCellAnchor>
  <xdr:twoCellAnchor>
    <xdr:from>
      <xdr:col>1</xdr:col>
      <xdr:colOff>0</xdr:colOff>
      <xdr:row>254</xdr:row>
      <xdr:rowOff>0</xdr:rowOff>
    </xdr:from>
    <xdr:to>
      <xdr:col>2</xdr:col>
      <xdr:colOff>0</xdr:colOff>
      <xdr:row>254</xdr:row>
      <xdr:rowOff>0</xdr:rowOff>
    </xdr:to>
    <xdr:sp macro="" textlink="">
      <xdr:nvSpPr>
        <xdr:cNvPr id="1772" name="Text 74"/>
        <xdr:cNvSpPr txBox="1">
          <a:spLocks noChangeArrowheads="1"/>
        </xdr:cNvSpPr>
      </xdr:nvSpPr>
      <xdr:spPr bwMode="auto">
        <a:xfrm>
          <a:off x="295275" y="51606450"/>
          <a:ext cx="28289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bases of columns etc. including curing, compaction, finishing with rendering in cement sand mortar 1:3 (1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graded stone aggregate 20 mm nominal size).</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0</xdr:rowOff>
    </xdr:from>
    <xdr:to>
      <xdr:col>2</xdr:col>
      <xdr:colOff>0</xdr:colOff>
      <xdr:row>4</xdr:row>
      <xdr:rowOff>0</xdr:rowOff>
    </xdr:to>
    <xdr:sp macro="" textlink="">
      <xdr:nvSpPr>
        <xdr:cNvPr id="9218" name="Text 17"/>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19" name="Text 19"/>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0" name="Text 20"/>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1" name="Text 21"/>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22" name="Text 22"/>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a:t>
          </a:r>
          <a:r>
            <a:rPr lang="en-US" sz="1200" b="0" i="1" strike="noStrike">
              <a:solidFill>
                <a:srgbClr val="000000"/>
              </a:solidFill>
              <a:latin typeface="Arial"/>
              <a:cs typeface="Arial"/>
            </a:rPr>
            <a:t>in first floor </a:t>
          </a:r>
          <a:r>
            <a:rPr lang="en-US" sz="1200" b="0" i="0" strike="noStrike">
              <a:solidFill>
                <a:srgbClr val="000000"/>
              </a:solidFill>
              <a:latin typeface="Arial"/>
              <a:cs typeface="Arial"/>
            </a:rPr>
            <a:t>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23" name="Text 23"/>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&amp; fixing 2nd quality white glazed tiles of approved make and size (Somani, Johnson etc.) 5 mm thick in walls, floors, steps, pillars etc. laid on a bed of neat cement slurry finished with flush pointing in white cement (excluding the cost of cement plaster).</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4" name="Text 24"/>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5" name="Text 25"/>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6" name="Text 26"/>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27" name="Text 27"/>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9228" name="Text 28"/>
        <xdr:cNvSpPr txBox="1">
          <a:spLocks noChangeArrowheads="1"/>
        </xdr:cNvSpPr>
      </xdr:nvSpPr>
      <xdr:spPr bwMode="auto">
        <a:xfrm>
          <a:off x="381000" y="1143000"/>
          <a:ext cx="31337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29" name="Text 29"/>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9230" name="Text 30"/>
        <xdr:cNvSpPr txBox="1">
          <a:spLocks noChangeArrowheads="1"/>
        </xdr:cNvSpPr>
      </xdr:nvSpPr>
      <xdr:spPr bwMode="auto">
        <a:xfrm>
          <a:off x="400050" y="1143000"/>
          <a:ext cx="31051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9231" name="Text 31"/>
        <xdr:cNvSpPr txBox="1">
          <a:spLocks noChangeArrowheads="1"/>
        </xdr:cNvSpPr>
      </xdr:nvSpPr>
      <xdr:spPr bwMode="auto">
        <a:xfrm>
          <a:off x="381000" y="1143000"/>
          <a:ext cx="30194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2" name="Text 32"/>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9233" name="Text 34"/>
        <xdr:cNvSpPr txBox="1">
          <a:spLocks noChangeArrowheads="1"/>
        </xdr:cNvSpPr>
      </xdr:nvSpPr>
      <xdr:spPr bwMode="auto">
        <a:xfrm>
          <a:off x="390525"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a:t>
          </a:r>
        </a:p>
        <a:p>
          <a:pPr algn="l" rtl="0">
            <a:defRPr sz="1000"/>
          </a:pPr>
          <a:r>
            <a:rPr lang="en-US" sz="1200" b="0" i="0" strike="noStrike">
              <a:solidFill>
                <a:srgbClr val="000000"/>
              </a:solidFill>
              <a:latin typeface="Arial"/>
              <a:cs typeface="Arial"/>
            </a:rPr>
            <a:t> M.P. teakwood grade I 35 mm thick . 12 mm thick teak ply both faces panels.</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4" name="Text 35"/>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damp proof course with cement concrete grade M-15 (1:2:4) prepared with 1% solution of water proofing compound ( including two coats of hot blown bitumen @2Kg / Sqm ; complete as per specifications with 3 mm thick glass strips at a distance of 1 M ; 75 mm thick DPC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5" name="Text 36"/>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stone veneer facing in cement sand mortar 1:4 including cement pointing 1:3 in white cement with admixture of pigment matching the stone shade, upto 4.5 M height above plinth level, in Chittor/Nimbahera or similar stone facing polished, 18 to 25 mm thick.</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6" name="Text 37"/>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7" name="Text 38"/>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9238" name="Text 39"/>
        <xdr:cNvSpPr txBox="1">
          <a:spLocks noChangeArrowheads="1"/>
        </xdr:cNvSpPr>
      </xdr:nvSpPr>
      <xdr:spPr bwMode="auto">
        <a:xfrm>
          <a:off x="381000" y="1143000"/>
          <a:ext cx="31337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39" name="Text 40"/>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xdr:row>
      <xdr:rowOff>0</xdr:rowOff>
    </xdr:from>
    <xdr:to>
      <xdr:col>1</xdr:col>
      <xdr:colOff>2962275</xdr:colOff>
      <xdr:row>4</xdr:row>
      <xdr:rowOff>0</xdr:rowOff>
    </xdr:to>
    <xdr:sp macro="" textlink="">
      <xdr:nvSpPr>
        <xdr:cNvPr id="9240" name="Text 41"/>
        <xdr:cNvSpPr txBox="1">
          <a:spLocks noChangeArrowheads="1"/>
        </xdr:cNvSpPr>
      </xdr:nvSpPr>
      <xdr:spPr bwMode="auto">
        <a:xfrm>
          <a:off x="390525" y="11430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xdr:row>
      <xdr:rowOff>0</xdr:rowOff>
    </xdr:from>
    <xdr:to>
      <xdr:col>2</xdr:col>
      <xdr:colOff>0</xdr:colOff>
      <xdr:row>4</xdr:row>
      <xdr:rowOff>0</xdr:rowOff>
    </xdr:to>
    <xdr:sp macro="" textlink="">
      <xdr:nvSpPr>
        <xdr:cNvPr id="9241" name="Text 42"/>
        <xdr:cNvSpPr txBox="1">
          <a:spLocks noChangeArrowheads="1"/>
        </xdr:cNvSpPr>
      </xdr:nvSpPr>
      <xdr:spPr bwMode="auto">
        <a:xfrm>
          <a:off x="381000"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9242" name="Text 43"/>
        <xdr:cNvSpPr txBox="1">
          <a:spLocks noChangeArrowheads="1"/>
        </xdr:cNvSpPr>
      </xdr:nvSpPr>
      <xdr:spPr bwMode="auto">
        <a:xfrm>
          <a:off x="390525" y="1143000"/>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Dai 0.56 mm panels.</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9243" name="Text 46"/>
        <xdr:cNvSpPr txBox="1">
          <a:spLocks noChangeArrowheads="1"/>
        </xdr:cNvSpPr>
      </xdr:nvSpPr>
      <xdr:spPr bwMode="auto">
        <a:xfrm>
          <a:off x="400050" y="1143000"/>
          <a:ext cx="31146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a:t>
          </a:r>
        </a:p>
        <a:p>
          <a:pPr algn="l" rtl="0">
            <a:defRPr sz="1000"/>
          </a:pPr>
          <a:r>
            <a:rPr lang="en-US" sz="1200" b="0" i="0" strike="noStrike">
              <a:solidFill>
                <a:srgbClr val="000000"/>
              </a:solidFill>
              <a:latin typeface="Arial"/>
              <a:cs typeface="Arial"/>
            </a:rPr>
            <a:t> (a) Steel windows Partly fixed and  Partly Openable (fixed area not to exceed 33%).</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9244" name="Text 48"/>
        <xdr:cNvSpPr txBox="1">
          <a:spLocks noChangeArrowheads="1"/>
        </xdr:cNvSpPr>
      </xdr:nvSpPr>
      <xdr:spPr bwMode="auto">
        <a:xfrm>
          <a:off x="400050" y="1143000"/>
          <a:ext cx="31146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M.S. sheet door shutters in angle iron frame 35x35x6 mm suitably braced with 25x3 mm flat iron, beading extra including all fittings, but excluding cost of chowkhats using: M.S. sheet 20 S.W.G.</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45" name="Text 49"/>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tube-well upto 100 Meter depth and above in all type of rocks by DTH system and over burden, to accommodate casing pipe of following sizes in all types of soils and over-burden including lowering of casing pipes, but excluding cost of casing pipes as per IS :2800 (Part-I &amp; II)1979 specifications. The work would be completed after obtaining sand free water. The tube well should have a throughout bore as per nominal Dai of casing pipe :</a:t>
          </a:r>
        </a:p>
        <a:p>
          <a:pPr algn="l" rtl="0">
            <a:defRPr sz="1000"/>
          </a:pPr>
          <a:r>
            <a:rPr lang="en-US" sz="1200" b="0" i="0" strike="noStrike">
              <a:solidFill>
                <a:srgbClr val="000000"/>
              </a:solidFill>
              <a:latin typeface="Arial"/>
              <a:cs typeface="Arial"/>
            </a:rPr>
            <a:t>150mm Dai nominal bore.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9246" name="Text 50"/>
        <xdr:cNvSpPr txBox="1">
          <a:spLocks noChangeArrowheads="1"/>
        </xdr:cNvSpPr>
      </xdr:nvSpPr>
      <xdr:spPr bwMode="auto">
        <a:xfrm>
          <a:off x="381000" y="1143000"/>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installation of submersible pumping motor pump sets ISI Marked (IS:8034-1989) of approved make like K.S.B., KIRLOSKAR, Calama etc. or equivalent, making connection suitable for T.W./D.C.B./Open well. The job includes screwing and welding of flanges on G.I. riser pipes, installation of complete fitting and accessories, with riser pipes, jointing of electrical cables and other connections, making Switch Board Electrical connections, all labour for testing of submersible pump set and supply of water to water mains, complete in all respect.</a:t>
          </a:r>
        </a:p>
        <a:p>
          <a:pPr algn="l" rtl="0">
            <a:defRPr sz="1000"/>
          </a:pPr>
          <a:r>
            <a:rPr lang="en-US" sz="1200" b="0" i="0" strike="noStrike">
              <a:solidFill>
                <a:srgbClr val="000000"/>
              </a:solidFill>
              <a:latin typeface="Arial"/>
              <a:cs typeface="Arial"/>
            </a:rPr>
            <a:t>7.5 H.P., Head (M)34-55, Discharge 35-20 cum/Hr. </a:t>
          </a:r>
        </a:p>
      </xdr:txBody>
    </xdr:sp>
    <xdr:clientData/>
  </xdr:twoCellAnchor>
  <xdr:twoCellAnchor>
    <xdr:from>
      <xdr:col>1</xdr:col>
      <xdr:colOff>9525</xdr:colOff>
      <xdr:row>35</xdr:row>
      <xdr:rowOff>0</xdr:rowOff>
    </xdr:from>
    <xdr:to>
      <xdr:col>2</xdr:col>
      <xdr:colOff>0</xdr:colOff>
      <xdr:row>35</xdr:row>
      <xdr:rowOff>0</xdr:rowOff>
    </xdr:to>
    <xdr:sp macro="" textlink="">
      <xdr:nvSpPr>
        <xdr:cNvPr id="142949" name="Text 52"/>
        <xdr:cNvSpPr txBox="1">
          <a:spLocks noChangeArrowheads="1"/>
        </xdr:cNvSpPr>
      </xdr:nvSpPr>
      <xdr:spPr bwMode="auto">
        <a:xfrm>
          <a:off x="390525" y="18459450"/>
          <a:ext cx="3114675" cy="0"/>
        </a:xfrm>
        <a:prstGeom prst="rect">
          <a:avLst/>
        </a:prstGeom>
        <a:solidFill>
          <a:srgbClr val="FFFFFF"/>
        </a:solidFill>
        <a:ln>
          <a:noFill/>
        </a:ln>
        <a:extLst>
          <a:ext uri="{91240B29-F687-4F45-9708-019B960494DF}">
            <a14:hiddenLine xmlns:a14="http://schemas.microsoft.com/office/drawing/2010/main" w="1">
              <a:solidFill>
                <a:srgbClr val="000000"/>
              </a:solidFill>
              <a:miter lim="800000"/>
              <a:headEnd/>
              <a:tailEnd/>
            </a14:hiddenLine>
          </a:ext>
        </a:extLst>
      </xdr:spPr>
    </xdr:sp>
    <xdr:clientData/>
  </xdr:twoCellAnchor>
  <xdr:twoCellAnchor>
    <xdr:from>
      <xdr:col>1</xdr:col>
      <xdr:colOff>0</xdr:colOff>
      <xdr:row>23</xdr:row>
      <xdr:rowOff>0</xdr:rowOff>
    </xdr:from>
    <xdr:to>
      <xdr:col>2</xdr:col>
      <xdr:colOff>9525</xdr:colOff>
      <xdr:row>23</xdr:row>
      <xdr:rowOff>0</xdr:rowOff>
    </xdr:to>
    <xdr:sp macro="" textlink="">
      <xdr:nvSpPr>
        <xdr:cNvPr id="9248" name="Text 53"/>
        <xdr:cNvSpPr txBox="1">
          <a:spLocks noChangeArrowheads="1"/>
        </xdr:cNvSpPr>
      </xdr:nvSpPr>
      <xdr:spPr bwMode="auto">
        <a:xfrm>
          <a:off x="381000" y="13458825"/>
          <a:ext cx="31337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a:t>
          </a:r>
        </a:p>
      </xdr:txBody>
    </xdr:sp>
    <xdr:clientData/>
  </xdr:twoCellAnchor>
  <xdr:twoCellAnchor>
    <xdr:from>
      <xdr:col>1</xdr:col>
      <xdr:colOff>0</xdr:colOff>
      <xdr:row>40</xdr:row>
      <xdr:rowOff>0</xdr:rowOff>
    </xdr:from>
    <xdr:to>
      <xdr:col>2</xdr:col>
      <xdr:colOff>0</xdr:colOff>
      <xdr:row>40</xdr:row>
      <xdr:rowOff>0</xdr:rowOff>
    </xdr:to>
    <xdr:sp macro="" textlink="">
      <xdr:nvSpPr>
        <xdr:cNvPr id="9249" name="Text 54"/>
        <xdr:cNvSpPr txBox="1">
          <a:spLocks noChangeArrowheads="1"/>
        </xdr:cNvSpPr>
      </xdr:nvSpPr>
      <xdr:spPr bwMode="auto">
        <a:xfrm>
          <a:off x="381000" y="23040975"/>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Construction of chamber  in all types of soil with 300 mm thick masonry in CM 1:6, 100 mm thick cement concrete 1:5:10 in foundation, 20 mm thick inside plaster in CM 1:6, finished with floating neat cement, 50 mm thick M-15 grade CC  flooring, earth work etc. complete as per design including disposal of surplus earth within a lead of 5o m. :</a:t>
          </a:r>
        </a:p>
        <a:p>
          <a:pPr algn="l" rtl="0">
            <a:defRPr sz="1000"/>
          </a:pPr>
          <a:r>
            <a:rPr lang="en-US" sz="1200" b="0" i="0" strike="noStrike">
              <a:solidFill>
                <a:srgbClr val="000000"/>
              </a:solidFill>
              <a:latin typeface="Arial"/>
              <a:cs typeface="Arial"/>
            </a:rPr>
            <a:t>Inside  size300 x 300 mm depth upto 0.5 M &amp; 5 kg CI cover with frame.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40</xdr:row>
      <xdr:rowOff>0</xdr:rowOff>
    </xdr:from>
    <xdr:to>
      <xdr:col>1</xdr:col>
      <xdr:colOff>3019425</xdr:colOff>
      <xdr:row>40</xdr:row>
      <xdr:rowOff>0</xdr:rowOff>
    </xdr:to>
    <xdr:sp macro="" textlink="">
      <xdr:nvSpPr>
        <xdr:cNvPr id="9250" name="Text 55"/>
        <xdr:cNvSpPr txBox="1">
          <a:spLocks noChangeArrowheads="1"/>
        </xdr:cNvSpPr>
      </xdr:nvSpPr>
      <xdr:spPr bwMode="auto">
        <a:xfrm>
          <a:off x="400050" y="23040975"/>
          <a:ext cx="30003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Kitchen &amp; Lab Sink of approved make with C.I. brackets duly painted, 40 mm C.P. waste coupling C.P. brass chain with rubber plug, 40 mm G.I. waste pipe upto floor level complete including cutting and making good the wall &amp; Floor : Stainless steel of approved make with large waste coupling: Overall size 24" x 18" x 8" Bowl size 20" x 16" x 8" without drain board.</a:t>
          </a:r>
        </a:p>
      </xdr:txBody>
    </xdr:sp>
    <xdr:clientData/>
  </xdr:twoCellAnchor>
  <xdr:twoCellAnchor>
    <xdr:from>
      <xdr:col>1</xdr:col>
      <xdr:colOff>0</xdr:colOff>
      <xdr:row>23</xdr:row>
      <xdr:rowOff>0</xdr:rowOff>
    </xdr:from>
    <xdr:to>
      <xdr:col>2</xdr:col>
      <xdr:colOff>0</xdr:colOff>
      <xdr:row>23</xdr:row>
      <xdr:rowOff>0</xdr:rowOff>
    </xdr:to>
    <xdr:sp macro="" textlink="">
      <xdr:nvSpPr>
        <xdr:cNvPr id="9255" name="Text 60"/>
        <xdr:cNvSpPr txBox="1">
          <a:spLocks noChangeArrowheads="1"/>
        </xdr:cNvSpPr>
      </xdr:nvSpPr>
      <xdr:spPr bwMode="auto">
        <a:xfrm>
          <a:off x="381000" y="13458825"/>
          <a:ext cx="31242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septic tank in all types of soil with 40 cm. thick masonry in CM 1:6 , 15 cm thick CC bed of 1:5:10, M-15 grade CC flooring &amp; over stone slab covering, 80 mm thick slab, jointing of slab, in CM 1:3 Ralthal, Kharanja, 50 mm thick stone partition wall 20 mm thick plaster in 1:6 CM finished with neat floating cement four nos. CI foot rests of approved design , 2 Nos. 450 mm Dai 25 Kg each CI cover with frame, earth work etc.</a:t>
          </a:r>
        </a:p>
        <a:p>
          <a:pPr algn="l" rtl="0">
            <a:defRPr sz="1000"/>
          </a:pPr>
          <a:r>
            <a:rPr lang="en-US" sz="1200" b="0" i="0" strike="noStrike">
              <a:solidFill>
                <a:srgbClr val="000000"/>
              </a:solidFill>
              <a:latin typeface="Arial"/>
              <a:cs typeface="Arial"/>
            </a:rPr>
            <a:t>Complete as per approved drawing including disposal of surplus earth within a lead of 5o m</a:t>
          </a:r>
        </a:p>
        <a:p>
          <a:pPr algn="l" rtl="0">
            <a:defRPr sz="1000"/>
          </a:pPr>
          <a:r>
            <a:rPr lang="en-US" sz="1200" b="0" i="0" strike="noStrike">
              <a:solidFill>
                <a:srgbClr val="000000"/>
              </a:solidFill>
              <a:latin typeface="Arial"/>
              <a:cs typeface="Arial"/>
            </a:rPr>
            <a:t>Size 400 X 140 x 150 Cm ( for 50 users)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44</xdr:row>
      <xdr:rowOff>0</xdr:rowOff>
    </xdr:from>
    <xdr:to>
      <xdr:col>2</xdr:col>
      <xdr:colOff>0</xdr:colOff>
      <xdr:row>44</xdr:row>
      <xdr:rowOff>0</xdr:rowOff>
    </xdr:to>
    <xdr:sp macro="" textlink="">
      <xdr:nvSpPr>
        <xdr:cNvPr id="9257" name="Text 27"/>
        <xdr:cNvSpPr txBox="1">
          <a:spLocks noChangeArrowheads="1"/>
        </xdr:cNvSpPr>
      </xdr:nvSpPr>
      <xdr:spPr bwMode="auto">
        <a:xfrm>
          <a:off x="381000" y="28051125"/>
          <a:ext cx="312420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Open Surface Drain with 112mm thick brick masonry in CM 1:4, 100mm thick base concrete 1:5:10, 37mm thick M-15 grade C-C flooring, 12mm 1:4 cement plaster on all exposed faces of walls including top surface excavation &amp; disposal of earth complete as per approved design/drawings :250 mm drains, 300 mm Av. depth.</a:t>
          </a:r>
        </a:p>
        <a:p>
          <a:pPr algn="l" rtl="0">
            <a:defRPr sz="1000"/>
          </a:pPr>
          <a:endParaRPr lang="en-US" sz="1200" b="0"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2</xdr:col>
      <xdr:colOff>0</xdr:colOff>
      <xdr:row>0</xdr:row>
      <xdr:rowOff>0</xdr:rowOff>
    </xdr:to>
    <xdr:sp macro="" textlink="">
      <xdr:nvSpPr>
        <xdr:cNvPr id="10241" name="Text 1"/>
        <xdr:cNvSpPr txBox="1">
          <a:spLocks noChangeArrowheads="1"/>
        </xdr:cNvSpPr>
      </xdr:nvSpPr>
      <xdr:spPr bwMode="auto">
        <a:xfrm>
          <a:off x="361950" y="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a:t>
          </a:r>
        </a:p>
      </xdr:txBody>
    </xdr:sp>
    <xdr:clientData/>
  </xdr:twoCellAnchor>
  <xdr:twoCellAnchor>
    <xdr:from>
      <xdr:col>1</xdr:col>
      <xdr:colOff>0</xdr:colOff>
      <xdr:row>0</xdr:row>
      <xdr:rowOff>0</xdr:rowOff>
    </xdr:from>
    <xdr:to>
      <xdr:col>2</xdr:col>
      <xdr:colOff>0</xdr:colOff>
      <xdr:row>0</xdr:row>
      <xdr:rowOff>0</xdr:rowOff>
    </xdr:to>
    <xdr:sp macro="" textlink="">
      <xdr:nvSpPr>
        <xdr:cNvPr id="10242" name="Text 2"/>
        <xdr:cNvSpPr txBox="1">
          <a:spLocks noChangeArrowheads="1"/>
        </xdr:cNvSpPr>
      </xdr:nvSpPr>
      <xdr:spPr bwMode="auto">
        <a:xfrm>
          <a:off x="361950" y="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a:p>
          <a:pPr algn="l" rtl="0">
            <a:defRPr sz="1000"/>
          </a:pPr>
          <a:r>
            <a:rPr lang="en-US" sz="1200" b="0" i="0" strike="noStrike">
              <a:solidFill>
                <a:srgbClr val="000000"/>
              </a:solidFill>
              <a:latin typeface="Arial"/>
              <a:cs typeface="Arial"/>
            </a:rPr>
            <a:t> </a:t>
          </a:r>
        </a:p>
        <a:p>
          <a:pPr algn="l" rtl="0">
            <a:defRPr sz="1000"/>
          </a:pPr>
          <a:endParaRPr lang="en-US" sz="1200" b="0" i="0" strike="noStrike">
            <a:solidFill>
              <a:srgbClr val="000000"/>
            </a:solidFill>
            <a:latin typeface="Arial"/>
            <a:cs typeface="Arial"/>
          </a:endParaRPr>
        </a:p>
      </xdr:txBody>
    </xdr:sp>
    <xdr:clientData/>
  </xdr:twoCellAnchor>
  <xdr:twoCellAnchor>
    <xdr:from>
      <xdr:col>0</xdr:col>
      <xdr:colOff>400050</xdr:colOff>
      <xdr:row>0</xdr:row>
      <xdr:rowOff>0</xdr:rowOff>
    </xdr:from>
    <xdr:to>
      <xdr:col>2</xdr:col>
      <xdr:colOff>9525</xdr:colOff>
      <xdr:row>0</xdr:row>
      <xdr:rowOff>0</xdr:rowOff>
    </xdr:to>
    <xdr:sp macro="" textlink="">
      <xdr:nvSpPr>
        <xdr:cNvPr id="10243" name="Text 3"/>
        <xdr:cNvSpPr txBox="1">
          <a:spLocks noChangeArrowheads="1"/>
        </xdr:cNvSpPr>
      </xdr:nvSpPr>
      <xdr:spPr bwMode="auto">
        <a:xfrm>
          <a:off x="361950" y="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ships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0</xdr:col>
      <xdr:colOff>409575</xdr:colOff>
      <xdr:row>0</xdr:row>
      <xdr:rowOff>0</xdr:rowOff>
    </xdr:from>
    <xdr:to>
      <xdr:col>2</xdr:col>
      <xdr:colOff>0</xdr:colOff>
      <xdr:row>0</xdr:row>
      <xdr:rowOff>0</xdr:rowOff>
    </xdr:to>
    <xdr:sp macro="" textlink="">
      <xdr:nvSpPr>
        <xdr:cNvPr id="10244" name="Text 4"/>
        <xdr:cNvSpPr txBox="1">
          <a:spLocks noChangeArrowheads="1"/>
        </xdr:cNvSpPr>
      </xdr:nvSpPr>
      <xdr:spPr bwMode="auto">
        <a:xfrm>
          <a:off x="361950" y="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Ist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6 mm thick area upto 400 Sq. Cm.</a:t>
          </a:r>
        </a:p>
      </xdr:txBody>
    </xdr:sp>
    <xdr:clientData/>
  </xdr:twoCellAnchor>
  <xdr:twoCellAnchor>
    <xdr:from>
      <xdr:col>1</xdr:col>
      <xdr:colOff>9525</xdr:colOff>
      <xdr:row>9</xdr:row>
      <xdr:rowOff>9525</xdr:rowOff>
    </xdr:from>
    <xdr:to>
      <xdr:col>2</xdr:col>
      <xdr:colOff>0</xdr:colOff>
      <xdr:row>10</xdr:row>
      <xdr:rowOff>0</xdr:rowOff>
    </xdr:to>
    <xdr:sp macro="" textlink="">
      <xdr:nvSpPr>
        <xdr:cNvPr id="10245" name="Text 22"/>
        <xdr:cNvSpPr txBox="1">
          <a:spLocks noChangeArrowheads="1"/>
        </xdr:cNvSpPr>
      </xdr:nvSpPr>
      <xdr:spPr bwMode="auto">
        <a:xfrm>
          <a:off x="371475" y="2981325"/>
          <a:ext cx="3600450" cy="18097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WVC wash basin (Ist quality, IS : 2556 Mark) of approved make with C.I. brackets duly painted 1 No. 15 mm C.P. Pillar cock (IS : 8934 Mark) &amp; 32 mm C.P. Brass waste coupling of approved make, 25 mm G.I. waste pipe complete including cutting and making good the wall size 580mmx450mm   </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47" name="Text 34"/>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Filling in plinth with sand under floors including watering, ramming, consolidating and dressing complete including cost of sand.</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48" name="Text 3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fabricating steel reinforcement for RCC work including cutting, bending, placing in position and binding complete including cost of binding wire in foundations and super structure upto 4.5 M height above plinth level.</a:t>
          </a:r>
        </a:p>
        <a:p>
          <a:pPr algn="l" rtl="0">
            <a:defRPr sz="1000"/>
          </a:pPr>
          <a:r>
            <a:rPr lang="en-US" sz="1200" b="0" i="0" strike="noStrike">
              <a:solidFill>
                <a:srgbClr val="000000"/>
              </a:solidFill>
              <a:latin typeface="Arial"/>
              <a:cs typeface="Arial"/>
            </a:rPr>
            <a:t>Hot rolled deformed (IS : 1139 ), cold twisted (IS : 1786) bars.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49" name="Text 37"/>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50 mm thick cement flooring with Metallic concrete hardener topping, under layer of 38 mm thick cement concrete 1:2:4 (1cement : 2 Coarse sand : 4 graded stone aggregate 20 mm nominal size.) and top layer of 12 mm thick metallic concrete hardener consisting of mix 1:2 (1 cement : 2 stone aggregate 6 mm nominal size) by volume and mixed with metallic hardening compound of approved quality @ 2kg/sqm including cement slurry, rounding off edges etc. but excluding the cost of nosing etc. complete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50" name="Text 38"/>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51" name="Text 39"/>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a:t>
          </a:r>
          <a:r>
            <a:rPr lang="en-US" sz="1200" b="0" i="1" strike="noStrike">
              <a:solidFill>
                <a:srgbClr val="000000"/>
              </a:solidFill>
              <a:latin typeface="Arial"/>
              <a:cs typeface="Arial"/>
            </a:rPr>
            <a:t>in first floor </a:t>
          </a:r>
          <a:r>
            <a:rPr lang="en-US" sz="1200" b="0" i="0" strike="noStrike">
              <a:solidFill>
                <a:srgbClr val="000000"/>
              </a:solidFill>
              <a:latin typeface="Arial"/>
              <a:cs typeface="Arial"/>
            </a:rPr>
            <a:t>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52" name="Text 40"/>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&amp; fixing 2nd quality white glazed tiles of approved make and size (Somani, Johnson etc.) 5 mm thick in walls, floors, steps, pillars etc. laid on a bed of neat cement slurry finished with flush pointing in white cement (excluding the cost of cement plaster).</a:t>
          </a:r>
        </a:p>
        <a:p>
          <a:pPr algn="l" rtl="0">
            <a:defRPr sz="1000"/>
          </a:pPr>
          <a:endParaRPr lang="en-US" sz="1200" b="0" i="0" strike="noStrike">
            <a:solidFill>
              <a:srgbClr val="000000"/>
            </a:solidFill>
            <a:latin typeface="Arial"/>
            <a:cs typeface="Arial"/>
          </a:endParaRP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3" name="Text 41"/>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suspended floors, roofs, girders, cantilevers,  staircases, landings,  balconies,   bands, copings, bed plates, anchor blocks, sills, and beams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1:2:4(1:cement, :2- coarse Sand: 4-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4" name="Text 42"/>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a:t>
          </a:r>
          <a:r>
            <a:rPr lang="en-US" sz="1200" b="0" i="1" strike="noStrike">
              <a:solidFill>
                <a:srgbClr val="000000"/>
              </a:solidFill>
              <a:latin typeface="Arial"/>
              <a:cs typeface="Arial"/>
            </a:rPr>
            <a:t>pillars, columns, piers, abutments, posts and struts etc. </a:t>
          </a:r>
          <a:r>
            <a:rPr lang="en-US" sz="1200" b="1" i="1" strike="noStrike">
              <a:solidFill>
                <a:srgbClr val="000000"/>
              </a:solidFill>
              <a:latin typeface="Arial"/>
              <a:cs typeface="Arial"/>
            </a:rPr>
            <a:t>in first floor</a:t>
          </a:r>
          <a:r>
            <a:rPr lang="en-US" sz="1200" b="0" i="0" strike="noStrike">
              <a:solidFill>
                <a:srgbClr val="000000"/>
              </a:solidFill>
              <a:latin typeface="Arial"/>
              <a:cs typeface="Arial"/>
            </a:rPr>
            <a:t>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M-20 grade mix 1:1.5:3 (1:cement, 1.5: coarse Sand: 3- grade stone) aggregate 20 mm nominal size.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5" name="Text 43"/>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in RCC work in foundation, rafts footings, strap beam, bases of columns etc. including curing, compaction, finishing with rendering in cement sand mortar 1:3 (1 cement : 3 coarse sand) and making good the joints, excluding cost of centering and shuttering and reinforcement for suspended floor, roofs, girders cantilevers stair cases landings, balcony bands, copings, bad palates, anchor blocks, sill and beams etc. upto 4.5 Mtr. height above plinth level. M-15 grade mix 1:2:4 (1:cement, 2: coarse Sand 4: grade stone) aggregate 20 mm nominal size.</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56" name="Text 44"/>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cement concrete and RCC work in Foundations rafts footing  strap beam, basis of columns etc. including curing, compaction, finishing with rendering in cement sand mortar 1:3 (a cement , 3 : coarse sand) and making good the joints excluding cost of centering and shuttering and reinforcement. </a:t>
          </a:r>
        </a:p>
        <a:p>
          <a:pPr algn="l" rtl="0">
            <a:defRPr sz="1000"/>
          </a:pPr>
          <a:r>
            <a:rPr lang="en-US" sz="1200" b="0" i="0" strike="noStrike">
              <a:solidFill>
                <a:srgbClr val="000000"/>
              </a:solidFill>
              <a:latin typeface="Arial"/>
              <a:cs typeface="Arial"/>
            </a:rPr>
            <a:t>M-15 grade mix 1:2:4 (1:cement, 2: coarse Sand 4: grade stone) aggregate 20 mm nominal size.</a:t>
          </a:r>
        </a:p>
        <a:p>
          <a:pPr algn="l" rtl="0">
            <a:defRPr sz="1000"/>
          </a:pPr>
          <a:r>
            <a:rPr lang="en-US" sz="1200" b="0" i="0" strike="noStrike">
              <a:solidFill>
                <a:srgbClr val="000000"/>
              </a:solidFill>
              <a:latin typeface="Arial"/>
              <a:cs typeface="Arial"/>
            </a:rPr>
            <a:t>for respective rate of RCC work in lintels , chajjas, shelves, vertical and horizontal individually are forming box louvers, bands and facias and finds etc. </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10257" name="Text 45"/>
        <xdr:cNvSpPr txBox="1">
          <a:spLocks noChangeArrowheads="1"/>
        </xdr:cNvSpPr>
      </xdr:nvSpPr>
      <xdr:spPr bwMode="auto">
        <a:xfrm>
          <a:off x="361950" y="106680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40 mm thick marble chips flooring rubbed and polished to granolithic under layer 28 mm thick cement concrete 1:2:4 ( 1 cement : 2 coarse sand : 4 graded stone aggregate 12.5 mm nominal size )  including fixing of dividing strips ( excluding cost of the strip) and top layer 12 mm thick with marble ships of approved colour, 7 mm to 10 mm nominal size laid in cement marble powder mix 3: 1 (  3 cement : 1 marble powder ) by weight in proportion of 2 : 3 ( 2 cement marble powder : 3 marble chips ) by volume including cement slurry etc. complete.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58" name="Text 4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MAT Finished Ceramic Tiles of approved make &amp; size (Kajaria, Spartek Regency and bell make) in walls, floors, steps, pillars etc. laid on a bed of neat cement slurry including nicely finished joints using water proof joint filler powder ( Unitile or Roffe make)  and finishing with flush pointing with white cement mixed with pigment to match the shade of tile complete ( excluding cost of cement plaster 7 mm thick area 400 to 950 Sq. Cm.</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10259" name="Text 47"/>
        <xdr:cNvSpPr txBox="1">
          <a:spLocks noChangeArrowheads="1"/>
        </xdr:cNvSpPr>
      </xdr:nvSpPr>
      <xdr:spPr bwMode="auto">
        <a:xfrm>
          <a:off x="381000" y="1066800"/>
          <a:ext cx="3590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Earth work in excavation in foundation trenches or drains including dressing of sides and ramming of bottoms, lift upto 1.5 Mtr. including taking out the excavated soil and depositing and refilling of Jhiri with watering and ramming and disposal of surplus excavated soil as directed within a lead of 50 m.</a:t>
          </a:r>
        </a:p>
      </xdr:txBody>
    </xdr:sp>
    <xdr:clientData/>
  </xdr:twoCellAnchor>
  <xdr:twoCellAnchor>
    <xdr:from>
      <xdr:col>1</xdr:col>
      <xdr:colOff>0</xdr:colOff>
      <xdr:row>4</xdr:row>
      <xdr:rowOff>0</xdr:rowOff>
    </xdr:from>
    <xdr:to>
      <xdr:col>1</xdr:col>
      <xdr:colOff>3038475</xdr:colOff>
      <xdr:row>4</xdr:row>
      <xdr:rowOff>0</xdr:rowOff>
    </xdr:to>
    <xdr:sp macro="" textlink="">
      <xdr:nvSpPr>
        <xdr:cNvPr id="10260" name="Text 48"/>
        <xdr:cNvSpPr txBox="1">
          <a:spLocks noChangeArrowheads="1"/>
        </xdr:cNvSpPr>
      </xdr:nvSpPr>
      <xdr:spPr bwMode="auto">
        <a:xfrm>
          <a:off x="361950" y="1066800"/>
          <a:ext cx="30384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Centering &amp; shuttering with plywood or steel sheets including shuttering propping, bracing both ways with wooden members and removal of form work for superstructure upto 4.5 Mtr. height above plinth level for suspended floors, roofs, landing staircases, landing balconies, girders, cantilevers, bands, coping, bed plates, anchor blocks, sills, chajjas etc.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1" name="Text 49"/>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 or rawl plugs and screws or with fixing clips and screws or with bolt and nuts as required including fixing of necessary butt hinges and screws and applying a priming coat of approved steel primer.</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10262" name="Text 50"/>
        <xdr:cNvSpPr txBox="1">
          <a:spLocks noChangeArrowheads="1"/>
        </xdr:cNvSpPr>
      </xdr:nvSpPr>
      <xdr:spPr bwMode="auto">
        <a:xfrm>
          <a:off x="371475"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single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a:t>
          </a:r>
        </a:p>
        <a:p>
          <a:pPr algn="l" rtl="0">
            <a:defRPr sz="1000"/>
          </a:pPr>
          <a:r>
            <a:rPr lang="en-US" sz="1200" b="0" i="0" strike="noStrike">
              <a:solidFill>
                <a:srgbClr val="000000"/>
              </a:solidFill>
              <a:latin typeface="Arial"/>
              <a:cs typeface="Arial"/>
            </a:rPr>
            <a:t> M.P. teakwood grade I 35 mm thick . 12 mm thick teak ply both faces panels.</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3" name="Text 51"/>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laying damp proof course with cement concrete grade M-15 (1:2:4) prepared with 1% solution of water proofing compound ( including two coats of hot blown bitumen @2Kg / Sqm ; complete as per specifications with 3 mm thick glass strips at a distance of 1 M ; 75 mm thick DPC</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4" name="Text 52"/>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stone veneer facing in cement sand mortar 1:4 including cement pointing 1:3 in white cement with admixture of pigment matching the stone shade, upto 4.5 M height above plinth level, in Chittor/Nimbahera or similar stone facing polished, 18 to 25 mm thick.</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5" name="Text 53"/>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stone flooring  table rubbed 18 to 20 mm thick laid on 20 mm ( Av. ) thick base of mortar 1 : 4 , jointing with white cement mortar 1 : 2 ( 1 white cement ; 2 Marble  dust ) With pigment to match the shade of the marble slab complete including grinding, rubbing and polishing.</a:t>
          </a:r>
        </a:p>
        <a:p>
          <a:pPr algn="l" rtl="0">
            <a:defRPr sz="1000"/>
          </a:pPr>
          <a:r>
            <a:rPr lang="en-US" sz="1200" b="0" i="0" strike="noStrike">
              <a:solidFill>
                <a:srgbClr val="000000"/>
              </a:solidFill>
              <a:latin typeface="Arial"/>
              <a:cs typeface="Arial"/>
            </a:rPr>
            <a:t>Rajnagar Ist quality with light spots</a:t>
          </a:r>
        </a:p>
        <a:p>
          <a:pPr algn="l" rtl="0">
            <a:defRPr sz="1000"/>
          </a:pPr>
          <a:r>
            <a:rPr lang="en-US" sz="1200" b="0" i="0" strike="noStrike">
              <a:solidFill>
                <a:srgbClr val="000000"/>
              </a:solidFill>
              <a:latin typeface="Arial"/>
              <a:cs typeface="Arial"/>
            </a:rPr>
            <a:t> Upto 901 to 1500 Sq. cm. </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6" name="Text 54"/>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Polished Grey/Green Kota stone slab in steps, walls, pillars having fine machine cut edges laid on 12 mm thick  CM 1:3 and jointed with Grey cement slurry mixed with pigment to match the shade of the slab including rubbing and polishing complete  20 mm thick  slab.</a:t>
          </a:r>
        </a:p>
      </xdr:txBody>
    </xdr:sp>
    <xdr:clientData/>
  </xdr:twoCellAnchor>
  <xdr:twoCellAnchor>
    <xdr:from>
      <xdr:col>0</xdr:col>
      <xdr:colOff>714375</xdr:colOff>
      <xdr:row>4</xdr:row>
      <xdr:rowOff>0</xdr:rowOff>
    </xdr:from>
    <xdr:to>
      <xdr:col>2</xdr:col>
      <xdr:colOff>9525</xdr:colOff>
      <xdr:row>4</xdr:row>
      <xdr:rowOff>0</xdr:rowOff>
    </xdr:to>
    <xdr:sp macro="" textlink="">
      <xdr:nvSpPr>
        <xdr:cNvPr id="10267" name="Text 55"/>
        <xdr:cNvSpPr txBox="1">
          <a:spLocks noChangeArrowheads="1"/>
        </xdr:cNvSpPr>
      </xdr:nvSpPr>
      <xdr:spPr bwMode="auto">
        <a:xfrm>
          <a:off x="361950" y="1066800"/>
          <a:ext cx="361950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Marble chips skirting/dado  rubbed and polished to granolithic finish 6 mm thick  with white marble ships of approved colour and size from smallest to 4 mm nominal size laid in cement marble powder mix 3: 1 (  3 cement : 1 marble powder ) by weight in proportion of 4 : 7 ( 4 cement marble powder : 7 marble chips ) by volume including  fixing of dividing strips ( excluding the cost of strips )  complete in all respects. </a:t>
          </a:r>
        </a:p>
        <a:p>
          <a:pPr algn="l" rtl="0">
            <a:defRPr sz="1000"/>
          </a:pPr>
          <a:r>
            <a:rPr lang="en-US" sz="1200" b="0" i="0" strike="noStrike">
              <a:solidFill>
                <a:srgbClr val="000000"/>
              </a:solidFill>
              <a:latin typeface="Arial"/>
              <a:cs typeface="Arial"/>
            </a:rPr>
            <a:t>Ordinary cement without any pigment</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68" name="Text 56"/>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IInd quality white Glazed  Tiles of approved make &amp; size (Somani, Johnson etc.)  5 mm thick in walls, floors, steps, pillars etc. laid on a bed of neat cement slurry  finished with flush pointing with white cement  ( excluding cost of cement plaster)</a:t>
          </a:r>
        </a:p>
      </xdr:txBody>
    </xdr:sp>
    <xdr:clientData/>
  </xdr:twoCellAnchor>
  <xdr:twoCellAnchor>
    <xdr:from>
      <xdr:col>1</xdr:col>
      <xdr:colOff>9525</xdr:colOff>
      <xdr:row>4</xdr:row>
      <xdr:rowOff>0</xdr:rowOff>
    </xdr:from>
    <xdr:to>
      <xdr:col>1</xdr:col>
      <xdr:colOff>2962275</xdr:colOff>
      <xdr:row>4</xdr:row>
      <xdr:rowOff>0</xdr:rowOff>
    </xdr:to>
    <xdr:sp macro="" textlink="">
      <xdr:nvSpPr>
        <xdr:cNvPr id="10269" name="Text 57"/>
        <xdr:cNvSpPr txBox="1">
          <a:spLocks noChangeArrowheads="1"/>
        </xdr:cNvSpPr>
      </xdr:nvSpPr>
      <xdr:spPr bwMode="auto">
        <a:xfrm>
          <a:off x="371475" y="1066800"/>
          <a:ext cx="2952750"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hoisting and fixing upto 4.5 Mtr. height precast  Reinforced cement concrete nominal mix 1:2 :4 (1:cement, 2: coarse Sand 4: grade stone) aggregate 12.5 mm nominal size in string courses, coping, bed plate, anchor block, mouldings as in cornices etc. including finishing and  rendering in cement mortar 1:3 (1 cement : 3: fine sand) on exposed surface, including centering and shuttering and all T&amp;P, curing etc. complete. but excluding cost of steel.</a:t>
          </a:r>
        </a:p>
      </xdr:txBody>
    </xdr:sp>
    <xdr:clientData/>
  </xdr:twoCellAnchor>
  <xdr:twoCellAnchor>
    <xdr:from>
      <xdr:col>1</xdr:col>
      <xdr:colOff>0</xdr:colOff>
      <xdr:row>4</xdr:row>
      <xdr:rowOff>0</xdr:rowOff>
    </xdr:from>
    <xdr:to>
      <xdr:col>2</xdr:col>
      <xdr:colOff>0</xdr:colOff>
      <xdr:row>4</xdr:row>
      <xdr:rowOff>0</xdr:rowOff>
    </xdr:to>
    <xdr:sp macro="" textlink="">
      <xdr:nvSpPr>
        <xdr:cNvPr id="10270" name="Text 58"/>
        <xdr:cNvSpPr txBox="1">
          <a:spLocks noChangeArrowheads="1"/>
        </xdr:cNvSpPr>
      </xdr:nvSpPr>
      <xdr:spPr bwMode="auto">
        <a:xfrm>
          <a:off x="361950"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stone slab table rubbed 18 to 20 mm thick in walls, steps, pillars, counters, jambs, shelves, sills etc. laid on 12 mm ( Av. ) thick base of mortar 1 : 3 , jointing with white cement mortar 1 : 2 ( 1 white cement ; 2 Marble  dust ) With pigment to match the shade of the marble slab complete including grinding, rubbing and polishing. Upto 1501 to 3600 Sq. cm. </a:t>
          </a:r>
        </a:p>
        <a:p>
          <a:pPr algn="l" rtl="0">
            <a:defRPr sz="1000"/>
          </a:pPr>
          <a:r>
            <a:rPr lang="en-US" sz="1200" b="0" i="0" strike="noStrike">
              <a:solidFill>
                <a:srgbClr val="000000"/>
              </a:solidFill>
              <a:latin typeface="Arial"/>
              <a:cs typeface="Arial"/>
            </a:rPr>
            <a:t>Rajnagar - II quality with light spots and streaks.</a:t>
          </a:r>
        </a:p>
      </xdr:txBody>
    </xdr:sp>
    <xdr:clientData/>
  </xdr:twoCellAnchor>
  <xdr:twoCellAnchor>
    <xdr:from>
      <xdr:col>1</xdr:col>
      <xdr:colOff>9525</xdr:colOff>
      <xdr:row>4</xdr:row>
      <xdr:rowOff>0</xdr:rowOff>
    </xdr:from>
    <xdr:to>
      <xdr:col>2</xdr:col>
      <xdr:colOff>9525</xdr:colOff>
      <xdr:row>4</xdr:row>
      <xdr:rowOff>0</xdr:rowOff>
    </xdr:to>
    <xdr:sp macro="" textlink="">
      <xdr:nvSpPr>
        <xdr:cNvPr id="10271" name="Text 59"/>
        <xdr:cNvSpPr txBox="1">
          <a:spLocks noChangeArrowheads="1"/>
        </xdr:cNvSpPr>
      </xdr:nvSpPr>
      <xdr:spPr bwMode="auto">
        <a:xfrm>
          <a:off x="371475" y="1066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fully panelled double</a:t>
          </a:r>
        </a:p>
        <a:p>
          <a:pPr algn="l" rtl="0">
            <a:defRPr sz="1000"/>
          </a:pPr>
          <a:r>
            <a:rPr lang="en-US" sz="1200" b="0" i="0" strike="noStrike">
              <a:solidFill>
                <a:srgbClr val="000000"/>
              </a:solidFill>
              <a:latin typeface="Arial"/>
              <a:cs typeface="Arial"/>
            </a:rPr>
            <a:t> leaf shutter for doors as per approved design and drawings with approved ordinary C.P./oxidised steel fittings as per Annexure `A’ and width of styles &amp; top rails of 100 mm and bottom &amp; lock rails width of 150 mm and intermediate styles including teak wood mouldings and beading to 25x5 mm size on both face complete . M.P. teakwood grade I 30 mm thick .  Wire gauge 24 gauge 14 mesh of IS designation 85 gauze wire of dia 0.56 mm panels.</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2" name="Text 60"/>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 steel windows side hung  Partly openable partly fixed.</a:t>
          </a: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3" name="Text 61"/>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steel glazed doors windows and ventilator shutters of standard rolled steel section joints mitered and welded with steel lugs 13x3 mm, 10 cm long embedded in cement concrete block 15x10x10 cm. of 1:3:6 (1 cement : 3 coarse sand : 6 graded stone aggregate 20 mm nominal size) or with wooden plugs and screw or rawl plugs and screws or with fixing clips and screws or with bolt and nuts as required including providing &amp;  fixing of plain glass panes 3 mm thick with glazing clips and special metals sash putty of approved make or metal beading with screws complete including priming coat of approved steel primer excluding cost of metal beading and other fixing except necessary hinges of pivots</a:t>
          </a:r>
        </a:p>
        <a:p>
          <a:pPr algn="l" rtl="0">
            <a:defRPr sz="1000"/>
          </a:pPr>
          <a:r>
            <a:rPr lang="en-US" sz="1200" b="0" i="0" strike="noStrike">
              <a:solidFill>
                <a:srgbClr val="000000"/>
              </a:solidFill>
              <a:latin typeface="Arial"/>
              <a:cs typeface="Arial"/>
            </a:rPr>
            <a:t> (a) Steel windows Partly fixed and  Partly openable (fixed area not to exceed 33%).</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19050</xdr:colOff>
      <xdr:row>4</xdr:row>
      <xdr:rowOff>0</xdr:rowOff>
    </xdr:from>
    <xdr:to>
      <xdr:col>2</xdr:col>
      <xdr:colOff>9525</xdr:colOff>
      <xdr:row>4</xdr:row>
      <xdr:rowOff>0</xdr:rowOff>
    </xdr:to>
    <xdr:sp macro="" textlink="">
      <xdr:nvSpPr>
        <xdr:cNvPr id="10274" name="Text 62"/>
        <xdr:cNvSpPr txBox="1">
          <a:spLocks noChangeArrowheads="1"/>
        </xdr:cNvSpPr>
      </xdr:nvSpPr>
      <xdr:spPr bwMode="auto">
        <a:xfrm>
          <a:off x="381000" y="1066800"/>
          <a:ext cx="3600450"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M.S. sheet door shutters in angle iron frame 35x35x6 mm suitably braced with 25x3 mm flat iron, beading extra including all fittings, but excluding cost of chowkhats using: M.S. sheet 20 S.W.G.</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54</xdr:row>
      <xdr:rowOff>9525</xdr:rowOff>
    </xdr:from>
    <xdr:to>
      <xdr:col>2</xdr:col>
      <xdr:colOff>0</xdr:colOff>
      <xdr:row>55</xdr:row>
      <xdr:rowOff>0</xdr:rowOff>
    </xdr:to>
    <xdr:sp macro="" textlink="">
      <xdr:nvSpPr>
        <xdr:cNvPr id="10275" name="Text 65"/>
        <xdr:cNvSpPr txBox="1">
          <a:spLocks noChangeArrowheads="1"/>
        </xdr:cNvSpPr>
      </xdr:nvSpPr>
      <xdr:spPr bwMode="auto">
        <a:xfrm>
          <a:off x="361950" y="14792325"/>
          <a:ext cx="3609975" cy="180975"/>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Providing and fixing Unplasticized Poly Vinyl Chloride (UPVC) SWR pipes type B for soil and rain and waste discharge system (IS:13592 : 1992 marked) of approved quality/ make including jointing the pipes complete. </a:t>
          </a:r>
        </a:p>
      </xdr:txBody>
    </xdr:sp>
    <xdr:clientData/>
  </xdr:twoCellAnchor>
  <xdr:twoCellAnchor>
    <xdr:from>
      <xdr:col>1</xdr:col>
      <xdr:colOff>0</xdr:colOff>
      <xdr:row>4</xdr:row>
      <xdr:rowOff>0</xdr:rowOff>
    </xdr:from>
    <xdr:to>
      <xdr:col>1</xdr:col>
      <xdr:colOff>3019425</xdr:colOff>
      <xdr:row>4</xdr:row>
      <xdr:rowOff>0</xdr:rowOff>
    </xdr:to>
    <xdr:sp macro="" textlink="">
      <xdr:nvSpPr>
        <xdr:cNvPr id="10278" name="Text 72"/>
        <xdr:cNvSpPr txBox="1">
          <a:spLocks noChangeArrowheads="1"/>
        </xdr:cNvSpPr>
      </xdr:nvSpPr>
      <xdr:spPr bwMode="auto">
        <a:xfrm>
          <a:off x="361950" y="1066800"/>
          <a:ext cx="30194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tube-well upto 100 Meter depth and above in all type of rocks by DTH system and over burden, to accommodate casing pipe of following sizes in all types of soils and over-burden including lowering of casing pipes, but excluding cost of casing pipes as per IS :2800 (Part-I &amp; II)1979 specifications. The work would be completed after obtaining sand free water. The tube well should have a throughout bore as per nominal dia of casing pipe :</a:t>
          </a:r>
        </a:p>
        <a:p>
          <a:pPr algn="l" rtl="0">
            <a:defRPr sz="1000"/>
          </a:pPr>
          <a:r>
            <a:rPr lang="en-US" sz="1200" b="0" i="0" strike="noStrike">
              <a:solidFill>
                <a:srgbClr val="000000"/>
              </a:solidFill>
              <a:latin typeface="Arial"/>
              <a:cs typeface="Arial"/>
            </a:rPr>
            <a:t>150mm dia nominal bore.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4</xdr:row>
      <xdr:rowOff>0</xdr:rowOff>
    </xdr:from>
    <xdr:to>
      <xdr:col>2</xdr:col>
      <xdr:colOff>0</xdr:colOff>
      <xdr:row>4</xdr:row>
      <xdr:rowOff>0</xdr:rowOff>
    </xdr:to>
    <xdr:sp macro="" textlink="">
      <xdr:nvSpPr>
        <xdr:cNvPr id="10279" name="Text 73"/>
        <xdr:cNvSpPr txBox="1">
          <a:spLocks noChangeArrowheads="1"/>
        </xdr:cNvSpPr>
      </xdr:nvSpPr>
      <xdr:spPr bwMode="auto">
        <a:xfrm>
          <a:off x="361950" y="10668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Supplying and installation of submersible pumping motor pump sets I.S.I. Marked (IS:8034-1989) of approved make like K.S.B., KIRLOSKAR, Calama etc. or equivalent, making connection suitable for T.W./D.C.B./Open well. The job includes screwing and welding of flanges on G.I. riser pipes, installation of complete fitting and accessories, with riser pipes, jointing of electrical cables and other connections, making Switch Board Electrical connections, all labour for testing of submersible pump set and supply of water to water mains, complete in all respect.</a:t>
          </a:r>
        </a:p>
        <a:p>
          <a:pPr algn="l" rtl="0">
            <a:defRPr sz="1000"/>
          </a:pPr>
          <a:r>
            <a:rPr lang="en-US" sz="1200" b="0" i="0" strike="noStrike">
              <a:solidFill>
                <a:srgbClr val="000000"/>
              </a:solidFill>
              <a:latin typeface="Arial"/>
              <a:cs typeface="Arial"/>
            </a:rPr>
            <a:t>7.5 H.P., Head (M)34-55, Discharge 35-20 cum/Hr. </a:t>
          </a:r>
        </a:p>
      </xdr:txBody>
    </xdr:sp>
    <xdr:clientData/>
  </xdr:twoCellAnchor>
  <xdr:twoCellAnchor>
    <xdr:from>
      <xdr:col>1</xdr:col>
      <xdr:colOff>19050</xdr:colOff>
      <xdr:row>73</xdr:row>
      <xdr:rowOff>0</xdr:rowOff>
    </xdr:from>
    <xdr:to>
      <xdr:col>2</xdr:col>
      <xdr:colOff>0</xdr:colOff>
      <xdr:row>73</xdr:row>
      <xdr:rowOff>0</xdr:rowOff>
    </xdr:to>
    <xdr:sp macro="" textlink="">
      <xdr:nvSpPr>
        <xdr:cNvPr id="10280" name="Text 74"/>
        <xdr:cNvSpPr txBox="1">
          <a:spLocks noChangeArrowheads="1"/>
        </xdr:cNvSpPr>
      </xdr:nvSpPr>
      <xdr:spPr bwMode="auto">
        <a:xfrm>
          <a:off x="381000" y="21831300"/>
          <a:ext cx="359092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P &amp; F Kitchen &amp; Lab Sink of approved make with C.I. brackets duly painted, 40 mm C.P. waste coupling C.P. brass chain with rubber plug, 40 mm G.I. waste pipe upto floor level complete including cutting and making good the wall &amp; Floor : Stainless steel of approved make with large waste coupling: Overall size 24" x 18" x 8" Bowl size 20" x 16" x 8" without drain board.</a:t>
          </a:r>
        </a:p>
      </xdr:txBody>
    </xdr:sp>
    <xdr:clientData/>
  </xdr:twoCellAnchor>
  <xdr:twoCellAnchor>
    <xdr:from>
      <xdr:col>1</xdr:col>
      <xdr:colOff>0</xdr:colOff>
      <xdr:row>73</xdr:row>
      <xdr:rowOff>0</xdr:rowOff>
    </xdr:from>
    <xdr:to>
      <xdr:col>1</xdr:col>
      <xdr:colOff>3019425</xdr:colOff>
      <xdr:row>73</xdr:row>
      <xdr:rowOff>0</xdr:rowOff>
    </xdr:to>
    <xdr:sp macro="" textlink="">
      <xdr:nvSpPr>
        <xdr:cNvPr id="10281" name="Text 76"/>
        <xdr:cNvSpPr txBox="1">
          <a:spLocks noChangeArrowheads="1"/>
        </xdr:cNvSpPr>
      </xdr:nvSpPr>
      <xdr:spPr bwMode="auto">
        <a:xfrm>
          <a:off x="361950" y="21831300"/>
          <a:ext cx="301942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 Construction of chamber  in all types of soil with 300 mm thick masonry in CM 1:6, 100 mm thick cement concrete 1:5:10 in foundation, 20 mm thick inside plaster in CM 1:6, finished with floating neat cement, 50 mm thick M-15 grade CC  flooring, earth work etc. complete as per design including disposal of surplus earth within a lead of 5o m. :</a:t>
          </a:r>
        </a:p>
        <a:p>
          <a:pPr algn="l" rtl="0">
            <a:defRPr sz="1000"/>
          </a:pPr>
          <a:r>
            <a:rPr lang="en-US" sz="1200" b="0" i="0" strike="noStrike">
              <a:solidFill>
                <a:srgbClr val="000000"/>
              </a:solidFill>
              <a:latin typeface="Arial"/>
              <a:cs typeface="Arial"/>
            </a:rPr>
            <a:t>Inside  size300 x 300 mm depth upto 0.5 M &amp; 5 kg CI cover with frame.</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82</xdr:row>
      <xdr:rowOff>0</xdr:rowOff>
    </xdr:from>
    <xdr:to>
      <xdr:col>2</xdr:col>
      <xdr:colOff>0</xdr:colOff>
      <xdr:row>82</xdr:row>
      <xdr:rowOff>0</xdr:rowOff>
    </xdr:to>
    <xdr:sp macro="" textlink="">
      <xdr:nvSpPr>
        <xdr:cNvPr id="10282" name="Text 60"/>
        <xdr:cNvSpPr txBox="1">
          <a:spLocks noChangeArrowheads="1"/>
        </xdr:cNvSpPr>
      </xdr:nvSpPr>
      <xdr:spPr bwMode="auto">
        <a:xfrm>
          <a:off x="361950" y="26593800"/>
          <a:ext cx="3609975" cy="0"/>
        </a:xfrm>
        <a:prstGeom prst="rect">
          <a:avLst/>
        </a:prstGeom>
        <a:solidFill>
          <a:srgbClr val="FFFFFF"/>
        </a:solid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septic tank in all types of soil with 40 cm. thick masonry in CM 1:6 , 15 cm thick CC bed of 1:5:10, M-15 grade CC flooring &amp; over stone slab covering, 80 mm thick slab, jointing of slab, in CM 1:3 Ralthal, Kharanja, 50 mm thick stone partition wall 20 mm thick plaster in 1:6 CM finished with neat floating cement four nos. CI foot rests of approved design , 2 Nos. 450 mm dia 25 Kg each CI cover with frame, earth work etc.</a:t>
          </a:r>
        </a:p>
        <a:p>
          <a:pPr algn="l" rtl="0">
            <a:defRPr sz="1000"/>
          </a:pPr>
          <a:r>
            <a:rPr lang="en-US" sz="1200" b="0" i="0" strike="noStrike">
              <a:solidFill>
                <a:srgbClr val="000000"/>
              </a:solidFill>
              <a:latin typeface="Arial"/>
              <a:cs typeface="Arial"/>
            </a:rPr>
            <a:t>Complete as per approved drawing including disposal of surplus earth within a lead of 5o m</a:t>
          </a:r>
        </a:p>
        <a:p>
          <a:pPr algn="l" rtl="0">
            <a:defRPr sz="1000"/>
          </a:pPr>
          <a:r>
            <a:rPr lang="en-US" sz="1200" b="0" i="0" strike="noStrike">
              <a:solidFill>
                <a:srgbClr val="000000"/>
              </a:solidFill>
              <a:latin typeface="Arial"/>
              <a:cs typeface="Arial"/>
            </a:rPr>
            <a:t>Size 400 X 140 x 150 Cm ( for 50 users)</a:t>
          </a:r>
        </a:p>
        <a:p>
          <a:pPr algn="l" rtl="0">
            <a:defRPr sz="1000"/>
          </a:pPr>
          <a:endParaRPr lang="en-US" sz="1200" b="0" i="0" strike="noStrike">
            <a:solidFill>
              <a:srgbClr val="000000"/>
            </a:solidFill>
            <a:latin typeface="Arial"/>
            <a:cs typeface="Arial"/>
          </a:endParaRPr>
        </a:p>
      </xdr:txBody>
    </xdr:sp>
    <xdr:clientData/>
  </xdr:twoCellAnchor>
  <xdr:twoCellAnchor>
    <xdr:from>
      <xdr:col>1</xdr:col>
      <xdr:colOff>0</xdr:colOff>
      <xdr:row>84</xdr:row>
      <xdr:rowOff>0</xdr:rowOff>
    </xdr:from>
    <xdr:to>
      <xdr:col>2</xdr:col>
      <xdr:colOff>0</xdr:colOff>
      <xdr:row>84</xdr:row>
      <xdr:rowOff>0</xdr:rowOff>
    </xdr:to>
    <xdr:sp macro="" textlink="">
      <xdr:nvSpPr>
        <xdr:cNvPr id="10283" name="Text 27"/>
        <xdr:cNvSpPr txBox="1">
          <a:spLocks noChangeArrowheads="1"/>
        </xdr:cNvSpPr>
      </xdr:nvSpPr>
      <xdr:spPr bwMode="auto">
        <a:xfrm>
          <a:off x="361950" y="27165300"/>
          <a:ext cx="3609975" cy="0"/>
        </a:xfrm>
        <a:prstGeom prst="rect">
          <a:avLst/>
        </a:prstGeom>
        <a:noFill/>
        <a:ln w="1">
          <a:noFill/>
          <a:miter lim="800000"/>
          <a:headEnd/>
          <a:tailEnd/>
        </a:ln>
      </xdr:spPr>
      <xdr:txBody>
        <a:bodyPr vertOverflow="clip" wrap="square" lIns="36576" tIns="22860" rIns="0" bIns="0" anchor="t" upright="1"/>
        <a:lstStyle/>
        <a:p>
          <a:pPr algn="l" rtl="0">
            <a:defRPr sz="1000"/>
          </a:pPr>
          <a:r>
            <a:rPr lang="en-US" sz="1200" b="0" i="0" strike="noStrike">
              <a:solidFill>
                <a:srgbClr val="000000"/>
              </a:solidFill>
              <a:latin typeface="Arial"/>
              <a:cs typeface="Arial"/>
            </a:rPr>
            <a:t>Construction of  Open Surface Drain with 112mm thick brick masonry in CM 1:4, 100mm thick base concrete 1:5:10, 37mm thick M-15 grade C-C flooring, 12mm 1:4 cement plaster on all exposed faces of walls including top surface excavation &amp; disposal of earth complete as per approved design/drawings :250 mm drains, 300 mm Av. depth.</a:t>
          </a:r>
        </a:p>
        <a:p>
          <a:pPr algn="l" rtl="0">
            <a:defRPr sz="1000"/>
          </a:pPr>
          <a:endParaRPr lang="en-US" sz="12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H26"/>
  <sheetViews>
    <sheetView topLeftCell="A13" zoomScale="75" workbookViewId="0">
      <selection activeCell="E29" sqref="E29"/>
    </sheetView>
    <sheetView tabSelected="1" workbookViewId="1">
      <selection activeCell="A2" sqref="A2"/>
    </sheetView>
  </sheetViews>
  <sheetFormatPr defaultRowHeight="15" x14ac:dyDescent="0.2"/>
  <cols>
    <col min="1" max="1" width="4.44140625" customWidth="1"/>
    <col min="5" max="5" width="18.109375" customWidth="1"/>
    <col min="6" max="6" width="11.44140625" customWidth="1"/>
    <col min="7" max="7" width="12.5546875" style="4" customWidth="1"/>
  </cols>
  <sheetData>
    <row r="2" spans="1:7" s="11" customFormat="1" ht="36" x14ac:dyDescent="0.2">
      <c r="A2" s="55" t="s">
        <v>336</v>
      </c>
      <c r="B2" s="13"/>
      <c r="C2" s="13"/>
      <c r="D2" s="13"/>
      <c r="E2" s="14"/>
      <c r="F2" s="13"/>
      <c r="G2" s="14"/>
    </row>
    <row r="3" spans="1:7" s="11" customFormat="1" x14ac:dyDescent="0.2">
      <c r="A3" s="29"/>
      <c r="B3" s="13"/>
      <c r="C3" s="13"/>
      <c r="D3" s="13"/>
      <c r="E3" s="14"/>
      <c r="F3" s="13"/>
      <c r="G3" s="14"/>
    </row>
    <row r="4" spans="1:7" x14ac:dyDescent="0.2">
      <c r="A4" s="3"/>
      <c r="B4" s="3"/>
      <c r="C4" s="3"/>
      <c r="D4" s="3"/>
      <c r="E4" s="3"/>
      <c r="F4" s="3"/>
      <c r="G4" s="44"/>
    </row>
    <row r="5" spans="1:7" ht="15.75" x14ac:dyDescent="0.25">
      <c r="A5" s="16" t="s">
        <v>49</v>
      </c>
      <c r="B5" s="3"/>
      <c r="C5" s="3"/>
      <c r="D5" s="3"/>
      <c r="E5" s="3"/>
      <c r="F5" s="3"/>
      <c r="G5" s="44"/>
    </row>
    <row r="6" spans="1:7" x14ac:dyDescent="0.2">
      <c r="A6" s="3"/>
      <c r="B6" s="3"/>
      <c r="C6" s="3"/>
      <c r="D6" s="3"/>
      <c r="E6" s="3"/>
      <c r="F6" s="3"/>
      <c r="G6" s="44"/>
    </row>
    <row r="7" spans="1:7" s="11" customFormat="1" ht="45" customHeight="1" x14ac:dyDescent="0.2">
      <c r="B7" s="291" t="s">
        <v>337</v>
      </c>
      <c r="C7" s="292"/>
      <c r="D7" s="292"/>
      <c r="E7" s="292"/>
      <c r="F7" s="138" t="s">
        <v>50</v>
      </c>
      <c r="G7" s="139" t="e">
        <f>GF1_ABS!G263</f>
        <v>#REF!</v>
      </c>
    </row>
    <row r="8" spans="1:7" s="11" customFormat="1" x14ac:dyDescent="0.2">
      <c r="F8" s="140"/>
      <c r="G8" s="139"/>
    </row>
    <row r="9" spans="1:7" s="11" customFormat="1" x14ac:dyDescent="0.2">
      <c r="B9" s="49" t="s">
        <v>179</v>
      </c>
      <c r="C9" s="58"/>
      <c r="D9" s="58"/>
      <c r="E9" s="84"/>
      <c r="F9" s="141" t="s">
        <v>50</v>
      </c>
      <c r="G9" s="90">
        <f>'sanitary-abs'!G47</f>
        <v>81418</v>
      </c>
    </row>
    <row r="10" spans="1:7" s="11" customFormat="1" x14ac:dyDescent="0.2">
      <c r="B10" s="49"/>
      <c r="C10" s="58"/>
      <c r="D10" s="58"/>
      <c r="E10" s="84"/>
      <c r="F10" s="141"/>
      <c r="G10" s="90"/>
    </row>
    <row r="11" spans="1:7" s="11" customFormat="1" x14ac:dyDescent="0.2">
      <c r="B11" s="49" t="s">
        <v>340</v>
      </c>
      <c r="C11" s="58"/>
      <c r="D11" s="58"/>
      <c r="E11" s="136"/>
      <c r="F11" s="141" t="s">
        <v>50</v>
      </c>
      <c r="G11" s="90" t="e">
        <f>G7*0.12</f>
        <v>#REF!</v>
      </c>
    </row>
    <row r="12" spans="1:7" s="11" customFormat="1" x14ac:dyDescent="0.2">
      <c r="B12" s="49"/>
      <c r="C12" s="58"/>
      <c r="D12" s="58"/>
      <c r="E12" s="84"/>
      <c r="F12" s="141"/>
      <c r="G12" s="90"/>
    </row>
    <row r="13" spans="1:7" x14ac:dyDescent="0.2">
      <c r="F13" s="142" t="s">
        <v>51</v>
      </c>
      <c r="G13" s="143" t="e">
        <f>SUM(G7:G11)</f>
        <v>#REF!</v>
      </c>
    </row>
    <row r="15" spans="1:7" x14ac:dyDescent="0.2">
      <c r="B15" s="21" t="s">
        <v>338</v>
      </c>
      <c r="E15" s="9"/>
      <c r="G15"/>
    </row>
    <row r="16" spans="1:7" x14ac:dyDescent="0.2">
      <c r="C16" s="75" t="s">
        <v>52</v>
      </c>
      <c r="D16" s="44" t="e">
        <f>G7</f>
        <v>#REF!</v>
      </c>
      <c r="E16" s="85"/>
      <c r="F16" s="79" t="s">
        <v>50</v>
      </c>
      <c r="G16" s="8" t="e">
        <f>ROUNDUP(D16*0.05,0)</f>
        <v>#REF!</v>
      </c>
    </row>
    <row r="17" spans="1:8" x14ac:dyDescent="0.2">
      <c r="C17" s="75"/>
      <c r="D17" s="44"/>
      <c r="E17" s="289" t="s">
        <v>180</v>
      </c>
      <c r="F17" s="289"/>
      <c r="G17" s="106" t="e">
        <f>SUM(G13:G16)</f>
        <v>#REF!</v>
      </c>
    </row>
    <row r="19" spans="1:8" ht="15.75" x14ac:dyDescent="0.25">
      <c r="F19" s="75" t="s">
        <v>53</v>
      </c>
      <c r="G19" s="137" t="e">
        <f>ROUNDUP(G17/1000000,2)*10</f>
        <v>#REF!</v>
      </c>
    </row>
    <row r="20" spans="1:8" ht="15.75" x14ac:dyDescent="0.25">
      <c r="D20" s="6"/>
      <c r="E20" s="32"/>
      <c r="F20" s="63"/>
      <c r="G20" s="86" t="s">
        <v>339</v>
      </c>
    </row>
    <row r="21" spans="1:8" ht="15.75" x14ac:dyDescent="0.25">
      <c r="G21" s="57"/>
    </row>
    <row r="22" spans="1:8" s="125" customFormat="1" ht="15.75" x14ac:dyDescent="0.25">
      <c r="A22" s="62"/>
      <c r="B22"/>
      <c r="C22"/>
      <c r="D22" s="6"/>
      <c r="E22" s="290" t="s">
        <v>9</v>
      </c>
      <c r="F22" s="290"/>
      <c r="G22" s="290"/>
      <c r="H22" s="88"/>
    </row>
    <row r="23" spans="1:8" s="125" customFormat="1" ht="15.75" x14ac:dyDescent="0.25">
      <c r="A23" s="62"/>
      <c r="B23"/>
      <c r="C23"/>
      <c r="D23"/>
      <c r="E23" s="290" t="s">
        <v>10</v>
      </c>
      <c r="F23" s="290"/>
      <c r="G23" s="290"/>
      <c r="H23" s="88"/>
    </row>
    <row r="25" spans="1:8" ht="15.75" x14ac:dyDescent="0.2">
      <c r="E25" s="64"/>
    </row>
    <row r="26" spans="1:8" ht="15.75" x14ac:dyDescent="0.2">
      <c r="E26" s="62"/>
    </row>
  </sheetData>
  <mergeCells count="4">
    <mergeCell ref="E17:F17"/>
    <mergeCell ref="E22:G22"/>
    <mergeCell ref="E23:G23"/>
    <mergeCell ref="B7:E7"/>
  </mergeCells>
  <phoneticPr fontId="0" type="noConversion"/>
  <printOptions horizontalCentered="1"/>
  <pageMargins left="0.75" right="0.75" top="1" bottom="1" header="0.5" footer="0.5"/>
  <pageSetup paperSize="9" fitToHeight="11" orientation="portrait" horizontalDpi="180" verticalDpi="180" r:id="rId1"/>
  <headerFooter alignWithMargins="0">
    <oddFooter>&amp;LGIRLS PHARMACY BNI&amp;R&amp;P&amp;D&amp;T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83"/>
  <sheetViews>
    <sheetView topLeftCell="A17" zoomScale="75" zoomScaleNormal="100" workbookViewId="0">
      <selection activeCell="C21" sqref="C21"/>
    </sheetView>
    <sheetView topLeftCell="A2" workbookViewId="1">
      <selection activeCell="G7" sqref="G7"/>
    </sheetView>
  </sheetViews>
  <sheetFormatPr defaultRowHeight="15" x14ac:dyDescent="0.2"/>
  <cols>
    <col min="1" max="1" width="3.6640625" style="1" customWidth="1"/>
    <col min="2" max="2" width="35" style="17" customWidth="1"/>
    <col min="3" max="3" width="9.5546875" style="12" customWidth="1"/>
    <col min="4" max="4" width="5.109375" style="11" customWidth="1"/>
    <col min="5" max="5" width="8.77734375" style="12" customWidth="1"/>
    <col min="6" max="6" width="6" style="11" customWidth="1"/>
    <col min="7" max="7" width="12.21875" style="11" customWidth="1"/>
  </cols>
  <sheetData>
    <row r="1" spans="1:7" s="11" customFormat="1" x14ac:dyDescent="0.2">
      <c r="A1" s="293" t="str">
        <f>'gen-abstract'!A2</f>
        <v>NAME OF WORK :- CONSTRUCTION OF COMMERCIAL COMPLEX FOR PANCHAYAT SAMITI GIRWA, UDAIPUR</v>
      </c>
      <c r="B1" s="293"/>
      <c r="C1" s="293"/>
      <c r="D1" s="293"/>
      <c r="E1" s="293"/>
      <c r="F1" s="293"/>
      <c r="G1" s="293"/>
    </row>
    <row r="2" spans="1:7" s="11" customFormat="1" x14ac:dyDescent="0.2">
      <c r="A2" s="294" t="s">
        <v>337</v>
      </c>
      <c r="B2" s="294"/>
      <c r="C2" s="294"/>
      <c r="D2" s="294"/>
      <c r="E2" s="294"/>
      <c r="F2" s="294"/>
      <c r="G2" s="294"/>
    </row>
    <row r="3" spans="1:7" s="11" customFormat="1" ht="15.75" x14ac:dyDescent="0.25">
      <c r="A3" s="295" t="s">
        <v>54</v>
      </c>
      <c r="B3" s="295"/>
      <c r="C3" s="295"/>
      <c r="D3" s="295"/>
      <c r="E3" s="295"/>
      <c r="F3" s="295"/>
      <c r="G3" s="295"/>
    </row>
    <row r="4" spans="1:7" s="11" customFormat="1" x14ac:dyDescent="0.2">
      <c r="A4" s="151" t="s">
        <v>55</v>
      </c>
      <c r="B4" s="152" t="s">
        <v>56</v>
      </c>
      <c r="C4" s="153" t="s">
        <v>57</v>
      </c>
      <c r="D4" s="154"/>
      <c r="E4" s="153" t="s">
        <v>58</v>
      </c>
      <c r="F4" s="154" t="s">
        <v>59</v>
      </c>
      <c r="G4" s="155" t="s">
        <v>60</v>
      </c>
    </row>
    <row r="5" spans="1:7" s="9" customFormat="1" ht="108.75" customHeight="1" x14ac:dyDescent="0.2">
      <c r="A5" s="156">
        <v>1</v>
      </c>
      <c r="B5" s="176" t="s">
        <v>341</v>
      </c>
      <c r="C5" s="159">
        <f>GF1_MES!K51</f>
        <v>1548.5903999999998</v>
      </c>
      <c r="D5" s="158" t="s">
        <v>61</v>
      </c>
      <c r="E5" s="156">
        <v>92</v>
      </c>
      <c r="F5" s="158" t="s">
        <v>62</v>
      </c>
      <c r="G5" s="159">
        <f t="shared" ref="G5:G68" si="0">C5*E5</f>
        <v>142470.31679999997</v>
      </c>
    </row>
    <row r="6" spans="1:7" ht="111" customHeight="1" x14ac:dyDescent="0.2">
      <c r="A6" s="156">
        <v>2</v>
      </c>
      <c r="B6" s="176" t="s">
        <v>342</v>
      </c>
      <c r="C6" s="159">
        <f>GF1_MES!K80</f>
        <v>1168.5819999999999</v>
      </c>
      <c r="D6" s="158" t="s">
        <v>61</v>
      </c>
      <c r="E6" s="156">
        <v>44</v>
      </c>
      <c r="F6" s="158" t="s">
        <v>62</v>
      </c>
      <c r="G6" s="159">
        <f t="shared" si="0"/>
        <v>51417.607999999993</v>
      </c>
    </row>
    <row r="7" spans="1:7" ht="205.5" customHeight="1" x14ac:dyDescent="0.2">
      <c r="A7" s="156">
        <v>3</v>
      </c>
      <c r="B7" s="176" t="s">
        <v>343</v>
      </c>
      <c r="C7" s="159">
        <f>GF1_MES!K84</f>
        <v>1290.492</v>
      </c>
      <c r="D7" s="158" t="s">
        <v>64</v>
      </c>
      <c r="E7" s="156">
        <v>180</v>
      </c>
      <c r="F7" s="156"/>
      <c r="G7" s="159">
        <f t="shared" si="0"/>
        <v>232288.56</v>
      </c>
    </row>
    <row r="8" spans="1:7" ht="85.5" x14ac:dyDescent="0.2">
      <c r="A8" s="156">
        <v>4</v>
      </c>
      <c r="B8" s="176" t="s">
        <v>344</v>
      </c>
      <c r="C8" s="159">
        <f>GF1_MES!K107</f>
        <v>211.8603</v>
      </c>
      <c r="D8" s="158" t="s">
        <v>61</v>
      </c>
      <c r="E8" s="156">
        <v>2346</v>
      </c>
      <c r="F8" s="158" t="s">
        <v>62</v>
      </c>
      <c r="G8" s="159">
        <f t="shared" si="0"/>
        <v>497024.26380000002</v>
      </c>
    </row>
    <row r="9" spans="1:7" ht="114" x14ac:dyDescent="0.2">
      <c r="A9" s="156">
        <v>5</v>
      </c>
      <c r="B9" s="176" t="s">
        <v>345</v>
      </c>
      <c r="C9" s="159">
        <f>GF1_MES!K219</f>
        <v>467.71620249999995</v>
      </c>
      <c r="D9" s="158" t="s">
        <v>61</v>
      </c>
      <c r="E9" s="156">
        <v>4912</v>
      </c>
      <c r="F9" s="158" t="s">
        <v>62</v>
      </c>
      <c r="G9" s="159">
        <f t="shared" si="0"/>
        <v>2297421.9866799996</v>
      </c>
    </row>
    <row r="10" spans="1:7" ht="135" customHeight="1" x14ac:dyDescent="0.2">
      <c r="A10" s="156">
        <v>6</v>
      </c>
      <c r="B10" s="176" t="s">
        <v>346</v>
      </c>
      <c r="C10" s="159">
        <f>GF1_MES!K230</f>
        <v>188.103105</v>
      </c>
      <c r="D10" s="158" t="s">
        <v>61</v>
      </c>
      <c r="E10" s="156">
        <v>5240</v>
      </c>
      <c r="F10" s="158" t="s">
        <v>62</v>
      </c>
      <c r="G10" s="159">
        <f t="shared" si="0"/>
        <v>985660.27020000003</v>
      </c>
    </row>
    <row r="11" spans="1:7" ht="185.25" x14ac:dyDescent="0.2">
      <c r="A11" s="156">
        <v>7</v>
      </c>
      <c r="B11" s="176" t="s">
        <v>347</v>
      </c>
      <c r="C11" s="157">
        <v>97</v>
      </c>
      <c r="D11" s="158" t="s">
        <v>348</v>
      </c>
      <c r="E11" s="156">
        <v>4319</v>
      </c>
      <c r="F11" s="158" t="s">
        <v>62</v>
      </c>
      <c r="G11" s="159">
        <f t="shared" si="0"/>
        <v>418943</v>
      </c>
    </row>
    <row r="12" spans="1:7" ht="71.25" x14ac:dyDescent="0.2">
      <c r="A12" s="156">
        <v>9</v>
      </c>
      <c r="B12" s="176" t="s">
        <v>349</v>
      </c>
      <c r="C12" s="157">
        <v>1993</v>
      </c>
      <c r="D12" s="158" t="s">
        <v>61</v>
      </c>
      <c r="E12" s="156">
        <v>4300</v>
      </c>
      <c r="F12" s="158" t="s">
        <v>62</v>
      </c>
      <c r="G12" s="159">
        <f t="shared" si="0"/>
        <v>8569900</v>
      </c>
    </row>
    <row r="13" spans="1:7" ht="85.5" x14ac:dyDescent="0.2">
      <c r="A13" s="156">
        <v>8</v>
      </c>
      <c r="B13" s="176" t="s">
        <v>350</v>
      </c>
      <c r="C13" s="157">
        <v>3598</v>
      </c>
      <c r="D13" s="158" t="s">
        <v>64</v>
      </c>
      <c r="E13" s="156">
        <v>85</v>
      </c>
      <c r="F13" s="156"/>
      <c r="G13" s="159">
        <f t="shared" si="0"/>
        <v>305830</v>
      </c>
    </row>
    <row r="14" spans="1:7" ht="57" x14ac:dyDescent="0.2">
      <c r="A14" s="156">
        <v>9</v>
      </c>
      <c r="B14" s="176" t="s">
        <v>351</v>
      </c>
      <c r="C14" s="157"/>
      <c r="D14" s="158"/>
      <c r="E14" s="156"/>
      <c r="F14" s="156"/>
      <c r="G14" s="159"/>
    </row>
    <row r="15" spans="1:7" ht="65.25" customHeight="1" x14ac:dyDescent="0.2">
      <c r="A15" s="156"/>
      <c r="B15" s="176" t="s">
        <v>699</v>
      </c>
      <c r="C15" s="157">
        <v>13607</v>
      </c>
      <c r="D15" s="158" t="s">
        <v>64</v>
      </c>
      <c r="E15" s="156">
        <v>164</v>
      </c>
      <c r="F15" s="156"/>
      <c r="G15" s="159">
        <f t="shared" si="0"/>
        <v>2231548</v>
      </c>
    </row>
    <row r="16" spans="1:7" x14ac:dyDescent="0.2">
      <c r="A16" s="156"/>
      <c r="B16" s="176" t="s">
        <v>700</v>
      </c>
      <c r="C16" s="157">
        <v>2574</v>
      </c>
      <c r="D16" s="158" t="s">
        <v>64</v>
      </c>
      <c r="E16" s="156">
        <v>156</v>
      </c>
      <c r="F16" s="156"/>
      <c r="G16" s="159">
        <f t="shared" si="0"/>
        <v>401544</v>
      </c>
    </row>
    <row r="17" spans="1:7" ht="103.5" customHeight="1" x14ac:dyDescent="0.2">
      <c r="A17" s="156">
        <v>12</v>
      </c>
      <c r="B17" s="176" t="s">
        <v>352</v>
      </c>
      <c r="C17" s="288">
        <f>GF1_MES!K247</f>
        <v>84030.25959999999</v>
      </c>
      <c r="D17" s="158" t="s">
        <v>67</v>
      </c>
      <c r="E17" s="156">
        <v>56</v>
      </c>
      <c r="F17" s="156"/>
      <c r="G17" s="159">
        <f t="shared" si="0"/>
        <v>4705694.5375999995</v>
      </c>
    </row>
    <row r="18" spans="1:7" ht="142.5" x14ac:dyDescent="0.2">
      <c r="A18" s="156">
        <v>13</v>
      </c>
      <c r="B18" s="176" t="s">
        <v>353</v>
      </c>
      <c r="C18" s="157">
        <v>5</v>
      </c>
      <c r="D18" s="158" t="s">
        <v>348</v>
      </c>
      <c r="E18" s="156">
        <v>3618</v>
      </c>
      <c r="F18" s="158" t="s">
        <v>62</v>
      </c>
      <c r="G18" s="159">
        <f t="shared" si="0"/>
        <v>18090</v>
      </c>
    </row>
    <row r="19" spans="1:7" ht="71.25" x14ac:dyDescent="0.2">
      <c r="A19" s="156">
        <v>14</v>
      </c>
      <c r="B19" s="176" t="s">
        <v>354</v>
      </c>
      <c r="C19" s="157">
        <v>35</v>
      </c>
      <c r="D19" s="158" t="s">
        <v>64</v>
      </c>
      <c r="E19" s="156">
        <v>284</v>
      </c>
      <c r="F19" s="156"/>
      <c r="G19" s="159">
        <f t="shared" si="0"/>
        <v>9940</v>
      </c>
    </row>
    <row r="20" spans="1:7" ht="42.75" x14ac:dyDescent="0.2">
      <c r="A20" s="156">
        <v>15</v>
      </c>
      <c r="B20" s="176" t="s">
        <v>355</v>
      </c>
      <c r="C20" s="157">
        <v>1105</v>
      </c>
      <c r="D20" s="158" t="s">
        <v>61</v>
      </c>
      <c r="E20" s="156">
        <v>2530</v>
      </c>
      <c r="F20" s="158" t="s">
        <v>62</v>
      </c>
      <c r="G20" s="159">
        <f t="shared" si="0"/>
        <v>2795650</v>
      </c>
    </row>
    <row r="21" spans="1:7" ht="36.75" customHeight="1" x14ac:dyDescent="0.2">
      <c r="A21" s="156">
        <v>16</v>
      </c>
      <c r="B21" s="176" t="s">
        <v>356</v>
      </c>
      <c r="C21" s="157">
        <v>1105</v>
      </c>
      <c r="D21" s="158" t="s">
        <v>61</v>
      </c>
      <c r="E21" s="156">
        <v>140</v>
      </c>
      <c r="F21" s="158" t="s">
        <v>62</v>
      </c>
      <c r="G21" s="159">
        <f t="shared" si="0"/>
        <v>154700</v>
      </c>
    </row>
    <row r="22" spans="1:7" ht="42.75" x14ac:dyDescent="0.2">
      <c r="A22" s="156">
        <v>17</v>
      </c>
      <c r="B22" s="176" t="s">
        <v>357</v>
      </c>
      <c r="C22" s="157">
        <v>4067</v>
      </c>
      <c r="D22" s="158" t="s">
        <v>64</v>
      </c>
      <c r="E22" s="156">
        <v>293</v>
      </c>
      <c r="F22" s="156"/>
      <c r="G22" s="159">
        <f t="shared" si="0"/>
        <v>1191631</v>
      </c>
    </row>
    <row r="23" spans="1:7" ht="57" x14ac:dyDescent="0.2">
      <c r="A23" s="156">
        <v>18</v>
      </c>
      <c r="B23" s="176" t="s">
        <v>358</v>
      </c>
      <c r="C23" s="157">
        <v>4067</v>
      </c>
      <c r="D23" s="158" t="s">
        <v>64</v>
      </c>
      <c r="E23" s="156">
        <v>48</v>
      </c>
      <c r="F23" s="156"/>
      <c r="G23" s="159">
        <f t="shared" si="0"/>
        <v>195216</v>
      </c>
    </row>
    <row r="24" spans="1:7" ht="54.75" customHeight="1" x14ac:dyDescent="0.2">
      <c r="A24" s="156">
        <v>19</v>
      </c>
      <c r="B24" s="176" t="s">
        <v>359</v>
      </c>
      <c r="C24" s="157">
        <v>499</v>
      </c>
      <c r="D24" s="158" t="s">
        <v>61</v>
      </c>
      <c r="E24" s="156">
        <v>1526</v>
      </c>
      <c r="F24" s="158" t="s">
        <v>62</v>
      </c>
      <c r="G24" s="159">
        <f t="shared" si="0"/>
        <v>761474</v>
      </c>
    </row>
    <row r="25" spans="1:7" ht="54.75" customHeight="1" x14ac:dyDescent="0.2">
      <c r="A25" s="156">
        <v>20</v>
      </c>
      <c r="B25" s="176" t="s">
        <v>360</v>
      </c>
      <c r="C25" s="157"/>
      <c r="D25" s="158"/>
      <c r="E25" s="156"/>
      <c r="F25" s="156"/>
      <c r="G25" s="159">
        <f t="shared" si="0"/>
        <v>0</v>
      </c>
    </row>
    <row r="26" spans="1:7" x14ac:dyDescent="0.2">
      <c r="A26" s="156">
        <v>20.100000000000001</v>
      </c>
      <c r="B26" s="176" t="s">
        <v>361</v>
      </c>
      <c r="C26" s="157">
        <v>45</v>
      </c>
      <c r="D26" s="158" t="s">
        <v>64</v>
      </c>
      <c r="E26" s="156">
        <v>385</v>
      </c>
      <c r="F26" s="156"/>
      <c r="G26" s="159">
        <f t="shared" si="0"/>
        <v>17325</v>
      </c>
    </row>
    <row r="27" spans="1:7" x14ac:dyDescent="0.2">
      <c r="A27" s="156">
        <v>20.2</v>
      </c>
      <c r="B27" s="176" t="s">
        <v>362</v>
      </c>
      <c r="C27" s="157">
        <v>45</v>
      </c>
      <c r="D27" s="158" t="s">
        <v>64</v>
      </c>
      <c r="E27" s="156">
        <v>575</v>
      </c>
      <c r="F27" s="156"/>
      <c r="G27" s="159">
        <f t="shared" si="0"/>
        <v>25875</v>
      </c>
    </row>
    <row r="28" spans="1:7" s="9" customFormat="1" ht="57" x14ac:dyDescent="0.2">
      <c r="A28" s="156">
        <v>21</v>
      </c>
      <c r="B28" s="176" t="s">
        <v>363</v>
      </c>
      <c r="C28" s="157">
        <v>185</v>
      </c>
      <c r="D28" s="158" t="s">
        <v>64</v>
      </c>
      <c r="E28" s="156">
        <v>467</v>
      </c>
      <c r="F28" s="156"/>
      <c r="G28" s="159">
        <f t="shared" si="0"/>
        <v>86395</v>
      </c>
    </row>
    <row r="29" spans="1:7" s="9" customFormat="1" ht="60.75" customHeight="1" x14ac:dyDescent="0.2">
      <c r="A29" s="156">
        <v>22</v>
      </c>
      <c r="B29" s="176" t="s">
        <v>364</v>
      </c>
      <c r="C29" s="157"/>
      <c r="D29" s="158"/>
      <c r="E29" s="156"/>
      <c r="F29" s="156"/>
      <c r="G29" s="159">
        <f t="shared" si="0"/>
        <v>0</v>
      </c>
    </row>
    <row r="30" spans="1:7" s="9" customFormat="1" ht="28.5" x14ac:dyDescent="0.2">
      <c r="A30" s="156">
        <v>22.1</v>
      </c>
      <c r="B30" s="176" t="s">
        <v>365</v>
      </c>
      <c r="C30" s="157">
        <v>3414</v>
      </c>
      <c r="D30" s="158" t="s">
        <v>64</v>
      </c>
      <c r="E30" s="156">
        <v>1000</v>
      </c>
      <c r="F30" s="156"/>
      <c r="G30" s="159">
        <f t="shared" si="0"/>
        <v>3414000</v>
      </c>
    </row>
    <row r="31" spans="1:7" s="9" customFormat="1" ht="28.5" x14ac:dyDescent="0.2">
      <c r="A31" s="156">
        <v>22.2</v>
      </c>
      <c r="B31" s="176" t="s">
        <v>366</v>
      </c>
      <c r="C31" s="157">
        <v>355</v>
      </c>
      <c r="D31" s="158" t="s">
        <v>64</v>
      </c>
      <c r="E31" s="156">
        <v>1221</v>
      </c>
      <c r="F31" s="156"/>
      <c r="G31" s="159">
        <f t="shared" si="0"/>
        <v>433455</v>
      </c>
    </row>
    <row r="32" spans="1:7" s="9" customFormat="1" x14ac:dyDescent="0.2">
      <c r="A32" s="156">
        <v>23</v>
      </c>
      <c r="B32" s="176" t="s">
        <v>367</v>
      </c>
      <c r="C32" s="157">
        <v>3464</v>
      </c>
      <c r="D32" s="158" t="s">
        <v>64</v>
      </c>
      <c r="E32" s="156">
        <v>92.6</v>
      </c>
      <c r="F32" s="156"/>
      <c r="G32" s="159">
        <f t="shared" si="0"/>
        <v>320766.39999999997</v>
      </c>
    </row>
    <row r="33" spans="1:36" ht="142.5" x14ac:dyDescent="0.2">
      <c r="A33" s="156">
        <v>24</v>
      </c>
      <c r="B33" s="176" t="s">
        <v>368</v>
      </c>
      <c r="C33" s="157">
        <v>113</v>
      </c>
      <c r="D33" s="158" t="s">
        <v>64</v>
      </c>
      <c r="E33" s="156">
        <v>2477</v>
      </c>
      <c r="F33" s="156"/>
      <c r="G33" s="159">
        <f t="shared" si="0"/>
        <v>279901</v>
      </c>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row>
    <row r="34" spans="1:36" ht="128.25" x14ac:dyDescent="0.2">
      <c r="A34" s="156">
        <v>25</v>
      </c>
      <c r="B34" s="176" t="s">
        <v>369</v>
      </c>
      <c r="C34" s="157">
        <v>5622</v>
      </c>
      <c r="D34" s="158" t="s">
        <v>64</v>
      </c>
      <c r="E34" s="156">
        <v>990</v>
      </c>
      <c r="F34" s="156"/>
      <c r="G34" s="159">
        <f t="shared" si="0"/>
        <v>5565780</v>
      </c>
    </row>
    <row r="35" spans="1:36" s="11" customFormat="1" ht="171" x14ac:dyDescent="0.2">
      <c r="A35" s="156">
        <v>26</v>
      </c>
      <c r="B35" s="176" t="s">
        <v>370</v>
      </c>
      <c r="C35" s="157">
        <v>543</v>
      </c>
      <c r="D35" s="158" t="s">
        <v>371</v>
      </c>
      <c r="E35" s="156">
        <v>865</v>
      </c>
      <c r="F35" s="156"/>
      <c r="G35" s="159">
        <f t="shared" si="0"/>
        <v>469695</v>
      </c>
      <c r="H35" s="59"/>
      <c r="I35" s="42"/>
    </row>
    <row r="36" spans="1:36" ht="57" customHeight="1" x14ac:dyDescent="0.2">
      <c r="A36" s="156">
        <v>27</v>
      </c>
      <c r="B36" s="176" t="s">
        <v>372</v>
      </c>
      <c r="C36" s="157"/>
      <c r="D36" s="158"/>
      <c r="E36" s="156"/>
      <c r="F36" s="156"/>
      <c r="G36" s="159">
        <f t="shared" si="0"/>
        <v>0</v>
      </c>
      <c r="I36" s="113"/>
    </row>
    <row r="37" spans="1:36" x14ac:dyDescent="0.2">
      <c r="A37" s="156">
        <v>27.1</v>
      </c>
      <c r="B37" s="176" t="s">
        <v>373</v>
      </c>
      <c r="C37" s="157">
        <v>390</v>
      </c>
      <c r="D37" s="158" t="s">
        <v>374</v>
      </c>
      <c r="E37" s="156">
        <v>122</v>
      </c>
      <c r="F37" s="156"/>
      <c r="G37" s="159">
        <f t="shared" si="0"/>
        <v>47580</v>
      </c>
      <c r="H37" s="4"/>
    </row>
    <row r="38" spans="1:36" x14ac:dyDescent="0.2">
      <c r="A38" s="156">
        <v>27.2</v>
      </c>
      <c r="B38" s="176" t="s">
        <v>375</v>
      </c>
      <c r="C38" s="157">
        <v>72</v>
      </c>
      <c r="D38" s="158" t="s">
        <v>374</v>
      </c>
      <c r="E38" s="156">
        <v>200</v>
      </c>
      <c r="F38" s="156"/>
      <c r="G38" s="159">
        <f t="shared" si="0"/>
        <v>14400</v>
      </c>
      <c r="H38" s="4"/>
    </row>
    <row r="39" spans="1:36" ht="171" x14ac:dyDescent="0.2">
      <c r="A39" s="156">
        <v>28</v>
      </c>
      <c r="B39" s="176" t="s">
        <v>376</v>
      </c>
      <c r="C39" s="157">
        <v>2566</v>
      </c>
      <c r="D39" s="158" t="s">
        <v>64</v>
      </c>
      <c r="E39" s="156">
        <v>1208</v>
      </c>
      <c r="F39" s="156"/>
      <c r="G39" s="159">
        <f t="shared" si="0"/>
        <v>3099728</v>
      </c>
    </row>
    <row r="40" spans="1:36" ht="28.5" x14ac:dyDescent="0.2">
      <c r="A40" s="156">
        <v>29</v>
      </c>
      <c r="B40" s="176" t="s">
        <v>377</v>
      </c>
      <c r="C40" s="157">
        <v>59</v>
      </c>
      <c r="D40" s="158" t="s">
        <v>134</v>
      </c>
      <c r="E40" s="156">
        <v>674</v>
      </c>
      <c r="F40" s="156"/>
      <c r="G40" s="159">
        <f t="shared" si="0"/>
        <v>39766</v>
      </c>
    </row>
    <row r="41" spans="1:36" ht="85.5" x14ac:dyDescent="0.2">
      <c r="A41" s="156">
        <v>30</v>
      </c>
      <c r="B41" s="176" t="s">
        <v>378</v>
      </c>
      <c r="C41" s="157">
        <v>333</v>
      </c>
      <c r="D41" s="158" t="s">
        <v>64</v>
      </c>
      <c r="E41" s="156">
        <v>1580</v>
      </c>
      <c r="F41" s="156"/>
      <c r="G41" s="159">
        <f t="shared" si="0"/>
        <v>526140</v>
      </c>
    </row>
    <row r="42" spans="1:36" ht="28.5" x14ac:dyDescent="0.2">
      <c r="A42" s="156">
        <v>31</v>
      </c>
      <c r="B42" s="176" t="s">
        <v>379</v>
      </c>
      <c r="C42" s="157">
        <v>333</v>
      </c>
      <c r="D42" s="158" t="s">
        <v>380</v>
      </c>
      <c r="E42" s="156">
        <v>60</v>
      </c>
      <c r="F42" s="156"/>
      <c r="G42" s="159">
        <f t="shared" si="0"/>
        <v>19980</v>
      </c>
    </row>
    <row r="43" spans="1:36" ht="199.5" x14ac:dyDescent="0.2">
      <c r="A43" s="156">
        <v>32</v>
      </c>
      <c r="B43" s="176" t="s">
        <v>381</v>
      </c>
      <c r="C43" s="157">
        <v>442</v>
      </c>
      <c r="D43" s="158" t="s">
        <v>374</v>
      </c>
      <c r="E43" s="156">
        <v>318</v>
      </c>
      <c r="F43" s="156"/>
      <c r="G43" s="159">
        <f t="shared" si="0"/>
        <v>140556</v>
      </c>
    </row>
    <row r="44" spans="1:36" ht="85.5" x14ac:dyDescent="0.2">
      <c r="A44" s="156">
        <v>33</v>
      </c>
      <c r="B44" s="176" t="s">
        <v>382</v>
      </c>
      <c r="C44" s="157">
        <v>4500</v>
      </c>
      <c r="D44" s="158" t="s">
        <v>67</v>
      </c>
      <c r="E44" s="156">
        <v>73</v>
      </c>
      <c r="F44" s="156"/>
      <c r="G44" s="159">
        <f t="shared" si="0"/>
        <v>328500</v>
      </c>
    </row>
    <row r="45" spans="1:36" s="61" customFormat="1" ht="270.75" x14ac:dyDescent="0.25">
      <c r="A45" s="156">
        <v>34</v>
      </c>
      <c r="B45" s="176" t="s">
        <v>383</v>
      </c>
      <c r="C45" s="157">
        <v>25</v>
      </c>
      <c r="D45" s="158" t="s">
        <v>64</v>
      </c>
      <c r="E45" s="156">
        <v>1950</v>
      </c>
      <c r="F45" s="156"/>
      <c r="G45" s="159">
        <f t="shared" si="0"/>
        <v>48750</v>
      </c>
    </row>
    <row r="46" spans="1:36" s="61" customFormat="1" ht="71.25" x14ac:dyDescent="0.25">
      <c r="A46" s="156">
        <v>35</v>
      </c>
      <c r="B46" s="176" t="s">
        <v>384</v>
      </c>
      <c r="C46" s="157">
        <v>25</v>
      </c>
      <c r="D46" s="158" t="s">
        <v>64</v>
      </c>
      <c r="E46" s="156">
        <v>472</v>
      </c>
      <c r="F46" s="156"/>
      <c r="G46" s="159">
        <f t="shared" si="0"/>
        <v>11800</v>
      </c>
    </row>
    <row r="47" spans="1:36" s="45" customFormat="1" ht="28.5" x14ac:dyDescent="0.2">
      <c r="A47" s="156">
        <v>36</v>
      </c>
      <c r="B47" s="176" t="s">
        <v>385</v>
      </c>
      <c r="C47" s="157">
        <v>504</v>
      </c>
      <c r="D47" s="158" t="s">
        <v>67</v>
      </c>
      <c r="E47" s="156">
        <v>64</v>
      </c>
      <c r="F47" s="156"/>
      <c r="G47" s="159">
        <f t="shared" si="0"/>
        <v>32256</v>
      </c>
      <c r="H47" s="59"/>
    </row>
    <row r="48" spans="1:36" s="45" customFormat="1" ht="42.75" x14ac:dyDescent="0.2">
      <c r="A48" s="156">
        <v>37</v>
      </c>
      <c r="B48" s="176" t="s">
        <v>386</v>
      </c>
      <c r="C48" s="157">
        <v>760</v>
      </c>
      <c r="D48" s="158" t="s">
        <v>374</v>
      </c>
      <c r="E48" s="156">
        <v>31</v>
      </c>
      <c r="F48" s="156"/>
      <c r="G48" s="159">
        <f t="shared" si="0"/>
        <v>23560</v>
      </c>
      <c r="H48" s="59"/>
    </row>
    <row r="49" spans="1:7" ht="99.75" x14ac:dyDescent="0.2">
      <c r="A49" s="156">
        <v>38</v>
      </c>
      <c r="B49" s="176" t="s">
        <v>387</v>
      </c>
      <c r="C49" s="157">
        <v>126</v>
      </c>
      <c r="D49" s="158" t="s">
        <v>134</v>
      </c>
      <c r="E49" s="156">
        <v>114</v>
      </c>
      <c r="F49" s="156"/>
      <c r="G49" s="159">
        <f t="shared" si="0"/>
        <v>14364</v>
      </c>
    </row>
    <row r="50" spans="1:7" ht="128.25" x14ac:dyDescent="0.2">
      <c r="A50" s="156">
        <v>39</v>
      </c>
      <c r="B50" s="176" t="s">
        <v>388</v>
      </c>
      <c r="C50" s="157">
        <v>4380</v>
      </c>
      <c r="D50" s="158" t="s">
        <v>64</v>
      </c>
      <c r="E50" s="156">
        <v>231</v>
      </c>
      <c r="F50" s="156"/>
      <c r="G50" s="159">
        <f t="shared" si="0"/>
        <v>1011780</v>
      </c>
    </row>
    <row r="51" spans="1:7" ht="409.5" x14ac:dyDescent="0.2">
      <c r="A51" s="156">
        <v>40</v>
      </c>
      <c r="B51" s="176" t="s">
        <v>389</v>
      </c>
      <c r="C51" s="157">
        <v>1201</v>
      </c>
      <c r="D51" s="158" t="s">
        <v>64</v>
      </c>
      <c r="E51" s="156">
        <v>985</v>
      </c>
      <c r="F51" s="156"/>
      <c r="G51" s="159">
        <f t="shared" si="0"/>
        <v>1182985</v>
      </c>
    </row>
    <row r="52" spans="1:7" ht="85.5" x14ac:dyDescent="0.2">
      <c r="A52" s="156">
        <v>41</v>
      </c>
      <c r="B52" s="176" t="s">
        <v>390</v>
      </c>
      <c r="C52" s="157">
        <v>108</v>
      </c>
      <c r="D52" s="158" t="s">
        <v>61</v>
      </c>
      <c r="E52" s="156">
        <v>900</v>
      </c>
      <c r="F52" s="158" t="s">
        <v>62</v>
      </c>
      <c r="G52" s="159">
        <f t="shared" si="0"/>
        <v>97200</v>
      </c>
    </row>
    <row r="53" spans="1:7" ht="85.5" x14ac:dyDescent="0.2">
      <c r="A53" s="156">
        <v>42</v>
      </c>
      <c r="B53" s="176" t="s">
        <v>391</v>
      </c>
      <c r="C53" s="157">
        <v>246</v>
      </c>
      <c r="D53" s="158" t="s">
        <v>64</v>
      </c>
      <c r="E53" s="156">
        <v>275</v>
      </c>
      <c r="F53" s="156"/>
      <c r="G53" s="159">
        <f t="shared" si="0"/>
        <v>67650</v>
      </c>
    </row>
    <row r="54" spans="1:7" ht="85.5" x14ac:dyDescent="0.2">
      <c r="A54" s="156">
        <v>43</v>
      </c>
      <c r="B54" s="176" t="s">
        <v>392</v>
      </c>
      <c r="C54" s="157">
        <v>2613</v>
      </c>
      <c r="D54" s="158" t="s">
        <v>64</v>
      </c>
      <c r="E54" s="156">
        <v>548</v>
      </c>
      <c r="F54" s="156"/>
      <c r="G54" s="159">
        <f t="shared" si="0"/>
        <v>1431924</v>
      </c>
    </row>
    <row r="55" spans="1:7" ht="99.75" x14ac:dyDescent="0.2">
      <c r="A55" s="156">
        <v>44</v>
      </c>
      <c r="B55" s="176" t="s">
        <v>393</v>
      </c>
      <c r="C55" s="157">
        <v>70</v>
      </c>
      <c r="D55" s="158" t="s">
        <v>64</v>
      </c>
      <c r="E55" s="156">
        <v>578</v>
      </c>
      <c r="F55" s="156"/>
      <c r="G55" s="159">
        <f t="shared" si="0"/>
        <v>40460</v>
      </c>
    </row>
    <row r="56" spans="1:7" ht="28.5" x14ac:dyDescent="0.2">
      <c r="A56" s="156">
        <v>45</v>
      </c>
      <c r="B56" s="176" t="s">
        <v>394</v>
      </c>
      <c r="C56" s="157">
        <v>583</v>
      </c>
      <c r="D56" s="158" t="s">
        <v>61</v>
      </c>
      <c r="E56" s="156">
        <v>455</v>
      </c>
      <c r="F56" s="158" t="s">
        <v>62</v>
      </c>
      <c r="G56" s="159">
        <f t="shared" si="0"/>
        <v>265265</v>
      </c>
    </row>
    <row r="57" spans="1:7" ht="42.75" x14ac:dyDescent="0.2">
      <c r="A57" s="156">
        <v>46</v>
      </c>
      <c r="B57" s="176" t="s">
        <v>395</v>
      </c>
      <c r="C57" s="157">
        <v>6940</v>
      </c>
      <c r="D57" s="158" t="s">
        <v>64</v>
      </c>
      <c r="E57" s="156">
        <v>108</v>
      </c>
      <c r="F57" s="156"/>
      <c r="G57" s="159">
        <f t="shared" si="0"/>
        <v>749520</v>
      </c>
    </row>
    <row r="58" spans="1:7" ht="42.75" x14ac:dyDescent="0.2">
      <c r="A58" s="156">
        <v>47</v>
      </c>
      <c r="B58" s="176" t="s">
        <v>396</v>
      </c>
      <c r="C58" s="157">
        <v>23068</v>
      </c>
      <c r="D58" s="158" t="s">
        <v>64</v>
      </c>
      <c r="E58" s="156">
        <v>84</v>
      </c>
      <c r="F58" s="156"/>
      <c r="G58" s="159">
        <f t="shared" si="0"/>
        <v>1937712</v>
      </c>
    </row>
    <row r="59" spans="1:7" ht="57" x14ac:dyDescent="0.2">
      <c r="A59" s="156">
        <v>48</v>
      </c>
      <c r="B59" s="176" t="s">
        <v>397</v>
      </c>
      <c r="C59" s="157">
        <v>3423</v>
      </c>
      <c r="D59" s="158" t="s">
        <v>64</v>
      </c>
      <c r="E59" s="156">
        <v>8.4</v>
      </c>
      <c r="F59" s="156"/>
      <c r="G59" s="159">
        <f t="shared" si="0"/>
        <v>28753.200000000001</v>
      </c>
    </row>
    <row r="60" spans="1:7" ht="28.5" x14ac:dyDescent="0.2">
      <c r="A60" s="156">
        <v>49</v>
      </c>
      <c r="B60" s="176" t="s">
        <v>398</v>
      </c>
      <c r="C60" s="157">
        <v>2200</v>
      </c>
      <c r="D60" s="158" t="s">
        <v>399</v>
      </c>
      <c r="E60" s="156">
        <v>5</v>
      </c>
      <c r="F60" s="156"/>
      <c r="G60" s="159">
        <f t="shared" si="0"/>
        <v>11000</v>
      </c>
    </row>
    <row r="61" spans="1:7" ht="42.75" x14ac:dyDescent="0.2">
      <c r="A61" s="156">
        <v>50</v>
      </c>
      <c r="B61" s="176" t="s">
        <v>400</v>
      </c>
      <c r="C61" s="157">
        <v>17863</v>
      </c>
      <c r="D61" s="158" t="s">
        <v>64</v>
      </c>
      <c r="E61" s="156">
        <v>72</v>
      </c>
      <c r="F61" s="156"/>
      <c r="G61" s="159">
        <f t="shared" si="0"/>
        <v>1286136</v>
      </c>
    </row>
    <row r="62" spans="1:7" ht="114" x14ac:dyDescent="0.2">
      <c r="A62" s="156">
        <v>51</v>
      </c>
      <c r="B62" s="176" t="s">
        <v>401</v>
      </c>
      <c r="C62" s="157">
        <v>17863</v>
      </c>
      <c r="D62" s="158" t="s">
        <v>64</v>
      </c>
      <c r="E62" s="156">
        <v>31</v>
      </c>
      <c r="F62" s="156"/>
      <c r="G62" s="159">
        <f t="shared" si="0"/>
        <v>553753</v>
      </c>
    </row>
    <row r="63" spans="1:7" ht="85.5" x14ac:dyDescent="0.2">
      <c r="A63" s="156">
        <v>52</v>
      </c>
      <c r="B63" s="176" t="s">
        <v>402</v>
      </c>
      <c r="C63" s="157">
        <v>6523</v>
      </c>
      <c r="D63" s="158" t="s">
        <v>64</v>
      </c>
      <c r="E63" s="156">
        <v>86</v>
      </c>
      <c r="F63" s="156"/>
      <c r="G63" s="159">
        <f t="shared" si="0"/>
        <v>560978</v>
      </c>
    </row>
    <row r="64" spans="1:7" ht="57" x14ac:dyDescent="0.2">
      <c r="A64" s="156">
        <v>53</v>
      </c>
      <c r="B64" s="176" t="s">
        <v>403</v>
      </c>
      <c r="C64" s="157">
        <v>760</v>
      </c>
      <c r="D64" s="158" t="s">
        <v>64</v>
      </c>
      <c r="E64" s="156">
        <v>23</v>
      </c>
      <c r="F64" s="156"/>
      <c r="G64" s="159">
        <f t="shared" si="0"/>
        <v>17480</v>
      </c>
    </row>
    <row r="65" spans="1:7" ht="42.75" x14ac:dyDescent="0.2">
      <c r="A65" s="156">
        <v>54</v>
      </c>
      <c r="B65" s="176" t="s">
        <v>404</v>
      </c>
      <c r="C65" s="157">
        <v>1842</v>
      </c>
      <c r="D65" s="158" t="s">
        <v>64</v>
      </c>
      <c r="E65" s="156">
        <v>49</v>
      </c>
      <c r="F65" s="156"/>
      <c r="G65" s="159">
        <f t="shared" si="0"/>
        <v>90258</v>
      </c>
    </row>
    <row r="66" spans="1:7" ht="42.75" x14ac:dyDescent="0.2">
      <c r="A66" s="156">
        <v>55</v>
      </c>
      <c r="B66" s="176" t="s">
        <v>405</v>
      </c>
      <c r="C66" s="157">
        <v>814</v>
      </c>
      <c r="D66" s="158" t="s">
        <v>64</v>
      </c>
      <c r="E66" s="156">
        <v>162</v>
      </c>
      <c r="F66" s="156"/>
      <c r="G66" s="159">
        <f t="shared" si="0"/>
        <v>131868</v>
      </c>
    </row>
    <row r="67" spans="1:7" ht="71.25" x14ac:dyDescent="0.2">
      <c r="A67" s="156">
        <v>56</v>
      </c>
      <c r="B67" s="176" t="s">
        <v>406</v>
      </c>
      <c r="C67" s="157">
        <v>338</v>
      </c>
      <c r="D67" s="158" t="s">
        <v>61</v>
      </c>
      <c r="E67" s="156">
        <v>3365</v>
      </c>
      <c r="F67" s="158" t="s">
        <v>62</v>
      </c>
      <c r="G67" s="159">
        <f t="shared" si="0"/>
        <v>1137370</v>
      </c>
    </row>
    <row r="68" spans="1:7" ht="57" x14ac:dyDescent="0.2">
      <c r="A68" s="156">
        <v>57</v>
      </c>
      <c r="B68" s="176" t="s">
        <v>407</v>
      </c>
      <c r="C68" s="157">
        <v>298</v>
      </c>
      <c r="D68" s="158" t="s">
        <v>64</v>
      </c>
      <c r="E68" s="156">
        <v>755</v>
      </c>
      <c r="F68" s="156"/>
      <c r="G68" s="159">
        <f t="shared" si="0"/>
        <v>224990</v>
      </c>
    </row>
    <row r="69" spans="1:7" ht="71.25" x14ac:dyDescent="0.2">
      <c r="A69" s="156">
        <v>58</v>
      </c>
      <c r="B69" s="176" t="s">
        <v>408</v>
      </c>
      <c r="C69" s="157">
        <v>85</v>
      </c>
      <c r="D69" s="158" t="s">
        <v>374</v>
      </c>
      <c r="E69" s="156">
        <v>230</v>
      </c>
      <c r="F69" s="156"/>
      <c r="G69" s="159">
        <f t="shared" ref="G69:G132" si="1">C69*E69</f>
        <v>19550</v>
      </c>
    </row>
    <row r="70" spans="1:7" ht="42.75" x14ac:dyDescent="0.2">
      <c r="A70" s="156">
        <v>59</v>
      </c>
      <c r="B70" s="176" t="s">
        <v>409</v>
      </c>
      <c r="C70" s="157">
        <v>464</v>
      </c>
      <c r="D70" s="158" t="s">
        <v>374</v>
      </c>
      <c r="E70" s="156">
        <v>123</v>
      </c>
      <c r="F70" s="156"/>
      <c r="G70" s="159">
        <f t="shared" si="1"/>
        <v>57072</v>
      </c>
    </row>
    <row r="71" spans="1:7" ht="313.5" x14ac:dyDescent="0.2">
      <c r="A71" s="156">
        <v>60</v>
      </c>
      <c r="B71" s="176" t="s">
        <v>410</v>
      </c>
      <c r="C71" s="157">
        <v>391</v>
      </c>
      <c r="D71" s="158" t="s">
        <v>64</v>
      </c>
      <c r="E71" s="156">
        <v>271</v>
      </c>
      <c r="F71" s="156"/>
      <c r="G71" s="159">
        <f>C71*E71</f>
        <v>105961</v>
      </c>
    </row>
    <row r="72" spans="1:7" ht="342" x14ac:dyDescent="0.2">
      <c r="A72" s="156">
        <v>61</v>
      </c>
      <c r="B72" s="176" t="s">
        <v>411</v>
      </c>
      <c r="C72" s="157">
        <v>4380</v>
      </c>
      <c r="D72" s="158" t="s">
        <v>64</v>
      </c>
      <c r="E72" s="156">
        <v>310</v>
      </c>
      <c r="F72" s="156"/>
      <c r="G72" s="159">
        <f t="shared" si="1"/>
        <v>1357800</v>
      </c>
    </row>
    <row r="73" spans="1:7" ht="99.75" x14ac:dyDescent="0.2">
      <c r="A73" s="156">
        <v>62</v>
      </c>
      <c r="B73" s="176" t="s">
        <v>412</v>
      </c>
      <c r="C73" s="157">
        <v>4380</v>
      </c>
      <c r="D73" s="158" t="s">
        <v>64</v>
      </c>
      <c r="E73" s="156">
        <v>44</v>
      </c>
      <c r="F73" s="156"/>
      <c r="G73" s="159">
        <f t="shared" si="1"/>
        <v>192720</v>
      </c>
    </row>
    <row r="74" spans="1:7" ht="313.5" x14ac:dyDescent="0.2">
      <c r="A74" s="156">
        <v>63</v>
      </c>
      <c r="B74" s="176" t="s">
        <v>413</v>
      </c>
      <c r="C74" s="157"/>
      <c r="D74" s="158"/>
      <c r="E74" s="156"/>
      <c r="F74" s="156"/>
      <c r="G74" s="159">
        <f t="shared" si="1"/>
        <v>0</v>
      </c>
    </row>
    <row r="75" spans="1:7" x14ac:dyDescent="0.2">
      <c r="A75" s="156">
        <v>63.1</v>
      </c>
      <c r="B75" s="176" t="s">
        <v>414</v>
      </c>
      <c r="C75" s="157">
        <v>606</v>
      </c>
      <c r="D75" s="158" t="s">
        <v>67</v>
      </c>
      <c r="E75" s="156">
        <v>361</v>
      </c>
      <c r="F75" s="156"/>
      <c r="G75" s="159">
        <f t="shared" si="1"/>
        <v>218766</v>
      </c>
    </row>
    <row r="76" spans="1:7" ht="71.25" x14ac:dyDescent="0.2">
      <c r="A76" s="156">
        <v>63.2</v>
      </c>
      <c r="B76" s="176" t="s">
        <v>415</v>
      </c>
      <c r="C76" s="157">
        <v>4543</v>
      </c>
      <c r="D76" s="158" t="s">
        <v>67</v>
      </c>
      <c r="E76" s="156">
        <v>415</v>
      </c>
      <c r="F76" s="156"/>
      <c r="G76" s="159">
        <f t="shared" si="1"/>
        <v>1885345</v>
      </c>
    </row>
    <row r="77" spans="1:7" ht="128.25" x14ac:dyDescent="0.2">
      <c r="A77" s="156">
        <v>64</v>
      </c>
      <c r="B77" s="176" t="s">
        <v>416</v>
      </c>
      <c r="C77" s="157">
        <v>112</v>
      </c>
      <c r="D77" s="158" t="s">
        <v>64</v>
      </c>
      <c r="E77" s="156">
        <v>984</v>
      </c>
      <c r="F77" s="156"/>
      <c r="G77" s="159">
        <f t="shared" si="1"/>
        <v>110208</v>
      </c>
    </row>
    <row r="78" spans="1:7" ht="128.25" x14ac:dyDescent="0.2">
      <c r="A78" s="156">
        <v>65</v>
      </c>
      <c r="B78" s="176" t="s">
        <v>417</v>
      </c>
      <c r="C78" s="157">
        <v>748</v>
      </c>
      <c r="D78" s="158" t="s">
        <v>64</v>
      </c>
      <c r="E78" s="156">
        <v>672</v>
      </c>
      <c r="F78" s="156"/>
      <c r="G78" s="159">
        <f t="shared" si="1"/>
        <v>502656</v>
      </c>
    </row>
    <row r="79" spans="1:7" ht="114" x14ac:dyDescent="0.2">
      <c r="A79" s="156">
        <v>66</v>
      </c>
      <c r="B79" s="176" t="s">
        <v>418</v>
      </c>
      <c r="C79" s="157">
        <v>54</v>
      </c>
      <c r="D79" s="158" t="s">
        <v>134</v>
      </c>
      <c r="E79" s="156">
        <v>2032</v>
      </c>
      <c r="F79" s="156"/>
      <c r="G79" s="159">
        <f t="shared" si="1"/>
        <v>109728</v>
      </c>
    </row>
    <row r="80" spans="1:7" ht="114" x14ac:dyDescent="0.2">
      <c r="A80" s="156">
        <v>67</v>
      </c>
      <c r="B80" s="176" t="s">
        <v>419</v>
      </c>
      <c r="C80" s="157">
        <v>496</v>
      </c>
      <c r="D80" s="158" t="s">
        <v>64</v>
      </c>
      <c r="E80" s="156">
        <v>1740</v>
      </c>
      <c r="F80" s="156"/>
      <c r="G80" s="159">
        <f t="shared" si="1"/>
        <v>863040</v>
      </c>
    </row>
    <row r="81" spans="1:7" ht="42.75" x14ac:dyDescent="0.2">
      <c r="A81" s="156">
        <v>68</v>
      </c>
      <c r="B81" s="176" t="s">
        <v>420</v>
      </c>
      <c r="C81" s="157">
        <v>54</v>
      </c>
      <c r="D81" s="158" t="s">
        <v>134</v>
      </c>
      <c r="E81" s="156">
        <v>343</v>
      </c>
      <c r="F81" s="156"/>
      <c r="G81" s="159">
        <f t="shared" si="1"/>
        <v>18522</v>
      </c>
    </row>
    <row r="82" spans="1:7" ht="57" x14ac:dyDescent="0.2">
      <c r="A82" s="156">
        <v>69</v>
      </c>
      <c r="B82" s="176" t="s">
        <v>421</v>
      </c>
      <c r="C82" s="157">
        <v>606</v>
      </c>
      <c r="D82" s="158" t="s">
        <v>422</v>
      </c>
      <c r="E82" s="156">
        <v>48</v>
      </c>
      <c r="F82" s="156"/>
      <c r="G82" s="159">
        <f t="shared" si="1"/>
        <v>29088</v>
      </c>
    </row>
    <row r="83" spans="1:7" ht="42.75" x14ac:dyDescent="0.2">
      <c r="A83" s="156">
        <v>70</v>
      </c>
      <c r="B83" s="176" t="s">
        <v>423</v>
      </c>
      <c r="C83" s="157">
        <v>748</v>
      </c>
      <c r="D83" s="158" t="s">
        <v>64</v>
      </c>
      <c r="E83" s="156">
        <v>310</v>
      </c>
      <c r="F83" s="156"/>
      <c r="G83" s="159">
        <f t="shared" si="1"/>
        <v>231880</v>
      </c>
    </row>
    <row r="84" spans="1:7" ht="71.25" x14ac:dyDescent="0.2">
      <c r="A84" s="156">
        <v>71</v>
      </c>
      <c r="B84" s="176" t="s">
        <v>424</v>
      </c>
      <c r="C84" s="157">
        <v>748</v>
      </c>
      <c r="D84" s="158" t="s">
        <v>64</v>
      </c>
      <c r="E84" s="156">
        <v>592</v>
      </c>
      <c r="F84" s="156"/>
      <c r="G84" s="159">
        <f t="shared" si="1"/>
        <v>442816</v>
      </c>
    </row>
    <row r="85" spans="1:7" ht="57" x14ac:dyDescent="0.2">
      <c r="A85" s="156">
        <v>72</v>
      </c>
      <c r="B85" s="176" t="s">
        <v>425</v>
      </c>
      <c r="C85" s="157">
        <v>9</v>
      </c>
      <c r="D85" s="158" t="s">
        <v>64</v>
      </c>
      <c r="E85" s="156">
        <v>448</v>
      </c>
      <c r="F85" s="156"/>
      <c r="G85" s="159">
        <f t="shared" si="1"/>
        <v>4032</v>
      </c>
    </row>
    <row r="86" spans="1:7" ht="28.5" x14ac:dyDescent="0.2">
      <c r="A86" s="156">
        <v>73</v>
      </c>
      <c r="B86" s="176" t="s">
        <v>426</v>
      </c>
      <c r="C86" s="157">
        <v>120</v>
      </c>
      <c r="D86" s="158" t="s">
        <v>67</v>
      </c>
      <c r="E86" s="156">
        <v>508</v>
      </c>
      <c r="F86" s="156"/>
      <c r="G86" s="159">
        <f t="shared" si="1"/>
        <v>60960</v>
      </c>
    </row>
    <row r="87" spans="1:7" ht="71.25" x14ac:dyDescent="0.2">
      <c r="A87" s="156">
        <v>74</v>
      </c>
      <c r="B87" s="176" t="s">
        <v>427</v>
      </c>
      <c r="C87" s="157">
        <v>40.6</v>
      </c>
      <c r="D87" s="158" t="s">
        <v>374</v>
      </c>
      <c r="E87" s="156">
        <v>230</v>
      </c>
      <c r="F87" s="156"/>
      <c r="G87" s="159">
        <f t="shared" si="1"/>
        <v>9338</v>
      </c>
    </row>
    <row r="88" spans="1:7" ht="28.5" x14ac:dyDescent="0.2">
      <c r="A88" s="156">
        <v>75</v>
      </c>
      <c r="B88" s="176" t="s">
        <v>428</v>
      </c>
      <c r="C88" s="157">
        <v>3598</v>
      </c>
      <c r="D88" s="158" t="s">
        <v>64</v>
      </c>
      <c r="E88" s="156">
        <v>90</v>
      </c>
      <c r="F88" s="156"/>
      <c r="G88" s="159">
        <f t="shared" si="1"/>
        <v>323820</v>
      </c>
    </row>
    <row r="89" spans="1:7" ht="71.25" x14ac:dyDescent="0.2">
      <c r="A89" s="156">
        <v>76</v>
      </c>
      <c r="B89" s="176" t="s">
        <v>429</v>
      </c>
      <c r="C89" s="157">
        <v>13</v>
      </c>
      <c r="D89" s="158" t="s">
        <v>134</v>
      </c>
      <c r="E89" s="156">
        <v>1441</v>
      </c>
      <c r="F89" s="156"/>
      <c r="G89" s="159">
        <f t="shared" si="1"/>
        <v>18733</v>
      </c>
    </row>
    <row r="90" spans="1:7" ht="57" x14ac:dyDescent="0.2">
      <c r="A90" s="156">
        <v>77</v>
      </c>
      <c r="B90" s="176" t="s">
        <v>430</v>
      </c>
      <c r="C90" s="157">
        <v>37</v>
      </c>
      <c r="D90" s="158" t="s">
        <v>134</v>
      </c>
      <c r="E90" s="156">
        <v>1220</v>
      </c>
      <c r="F90" s="156"/>
      <c r="G90" s="159">
        <f t="shared" si="1"/>
        <v>45140</v>
      </c>
    </row>
    <row r="91" spans="1:7" ht="42.75" x14ac:dyDescent="0.2">
      <c r="A91" s="156">
        <v>78</v>
      </c>
      <c r="B91" s="176" t="s">
        <v>431</v>
      </c>
      <c r="C91" s="157">
        <v>37</v>
      </c>
      <c r="D91" s="158" t="s">
        <v>134</v>
      </c>
      <c r="E91" s="156">
        <v>660</v>
      </c>
      <c r="F91" s="156"/>
      <c r="G91" s="159">
        <f t="shared" si="1"/>
        <v>24420</v>
      </c>
    </row>
    <row r="92" spans="1:7" ht="71.25" x14ac:dyDescent="0.2">
      <c r="A92" s="156">
        <v>79</v>
      </c>
      <c r="B92" s="176" t="s">
        <v>432</v>
      </c>
      <c r="C92" s="157">
        <v>11</v>
      </c>
      <c r="D92" s="158" t="s">
        <v>134</v>
      </c>
      <c r="E92" s="156">
        <v>2517</v>
      </c>
      <c r="F92" s="156"/>
      <c r="G92" s="159">
        <f t="shared" si="1"/>
        <v>27687</v>
      </c>
    </row>
    <row r="93" spans="1:7" ht="42.75" x14ac:dyDescent="0.2">
      <c r="A93" s="156">
        <v>80</v>
      </c>
      <c r="B93" s="176" t="s">
        <v>433</v>
      </c>
      <c r="C93" s="157">
        <v>7</v>
      </c>
      <c r="D93" s="158" t="s">
        <v>134</v>
      </c>
      <c r="E93" s="156">
        <v>720</v>
      </c>
      <c r="F93" s="156"/>
      <c r="G93" s="159">
        <f t="shared" si="1"/>
        <v>5040</v>
      </c>
    </row>
    <row r="94" spans="1:7" ht="42.75" x14ac:dyDescent="0.2">
      <c r="A94" s="156">
        <v>81</v>
      </c>
      <c r="B94" s="176" t="s">
        <v>434</v>
      </c>
      <c r="C94" s="157">
        <v>8</v>
      </c>
      <c r="D94" s="158" t="s">
        <v>374</v>
      </c>
      <c r="E94" s="156">
        <v>560</v>
      </c>
      <c r="F94" s="156"/>
      <c r="G94" s="159">
        <f t="shared" si="1"/>
        <v>4480</v>
      </c>
    </row>
    <row r="95" spans="1:7" ht="99.75" x14ac:dyDescent="0.2">
      <c r="A95" s="156">
        <v>82</v>
      </c>
      <c r="B95" s="176" t="s">
        <v>435</v>
      </c>
      <c r="C95" s="157">
        <v>48</v>
      </c>
      <c r="D95" s="158" t="s">
        <v>134</v>
      </c>
      <c r="E95" s="156">
        <v>1200</v>
      </c>
      <c r="F95" s="156"/>
      <c r="G95" s="159">
        <f t="shared" si="1"/>
        <v>57600</v>
      </c>
    </row>
    <row r="96" spans="1:7" ht="42.75" x14ac:dyDescent="0.2">
      <c r="A96" s="156">
        <v>83</v>
      </c>
      <c r="B96" s="176" t="s">
        <v>436</v>
      </c>
      <c r="C96" s="157">
        <v>4</v>
      </c>
      <c r="D96" s="158" t="s">
        <v>134</v>
      </c>
      <c r="E96" s="156">
        <v>1120</v>
      </c>
      <c r="F96" s="156"/>
      <c r="G96" s="159">
        <f t="shared" si="1"/>
        <v>4480</v>
      </c>
    </row>
    <row r="97" spans="1:7" ht="28.5" x14ac:dyDescent="0.2">
      <c r="A97" s="156">
        <v>84</v>
      </c>
      <c r="B97" s="176" t="s">
        <v>437</v>
      </c>
      <c r="C97" s="157">
        <v>60</v>
      </c>
      <c r="D97" s="158" t="s">
        <v>134</v>
      </c>
      <c r="E97" s="156">
        <v>140</v>
      </c>
      <c r="F97" s="156"/>
      <c r="G97" s="159">
        <f t="shared" si="1"/>
        <v>8400</v>
      </c>
    </row>
    <row r="98" spans="1:7" ht="99.75" x14ac:dyDescent="0.2">
      <c r="A98" s="156">
        <v>85</v>
      </c>
      <c r="B98" s="176" t="s">
        <v>438</v>
      </c>
      <c r="C98" s="157">
        <v>60</v>
      </c>
      <c r="D98" s="158" t="s">
        <v>134</v>
      </c>
      <c r="E98" s="156">
        <v>1755</v>
      </c>
      <c r="F98" s="156"/>
      <c r="G98" s="159">
        <f t="shared" si="1"/>
        <v>105300</v>
      </c>
    </row>
    <row r="99" spans="1:7" ht="99.75" x14ac:dyDescent="0.2">
      <c r="A99" s="156">
        <v>86</v>
      </c>
      <c r="B99" s="176" t="s">
        <v>439</v>
      </c>
      <c r="C99" s="157">
        <v>3</v>
      </c>
      <c r="D99" s="158" t="s">
        <v>134</v>
      </c>
      <c r="E99" s="156">
        <v>3584</v>
      </c>
      <c r="F99" s="156"/>
      <c r="G99" s="159">
        <f t="shared" si="1"/>
        <v>10752</v>
      </c>
    </row>
    <row r="100" spans="1:7" ht="28.5" x14ac:dyDescent="0.2">
      <c r="A100" s="156">
        <v>87</v>
      </c>
      <c r="B100" s="176" t="s">
        <v>440</v>
      </c>
      <c r="C100" s="157">
        <v>61</v>
      </c>
      <c r="D100" s="158" t="s">
        <v>134</v>
      </c>
      <c r="E100" s="156">
        <v>200</v>
      </c>
      <c r="F100" s="156"/>
      <c r="G100" s="159">
        <f t="shared" si="1"/>
        <v>12200</v>
      </c>
    </row>
    <row r="101" spans="1:7" ht="71.25" x14ac:dyDescent="0.2">
      <c r="A101" s="156">
        <v>88</v>
      </c>
      <c r="B101" s="176" t="s">
        <v>441</v>
      </c>
      <c r="C101" s="157">
        <v>60</v>
      </c>
      <c r="D101" s="158" t="s">
        <v>134</v>
      </c>
      <c r="E101" s="156">
        <v>323</v>
      </c>
      <c r="F101" s="156"/>
      <c r="G101" s="159">
        <f t="shared" si="1"/>
        <v>19380</v>
      </c>
    </row>
    <row r="102" spans="1:7" ht="42.75" x14ac:dyDescent="0.2">
      <c r="A102" s="156">
        <v>89</v>
      </c>
      <c r="B102" s="176" t="s">
        <v>442</v>
      </c>
      <c r="C102" s="157">
        <v>65</v>
      </c>
      <c r="D102" s="158" t="s">
        <v>134</v>
      </c>
      <c r="E102" s="156">
        <v>235</v>
      </c>
      <c r="F102" s="156"/>
      <c r="G102" s="159">
        <f t="shared" si="1"/>
        <v>15275</v>
      </c>
    </row>
    <row r="103" spans="1:7" ht="57" x14ac:dyDescent="0.2">
      <c r="A103" s="156">
        <v>90</v>
      </c>
      <c r="B103" s="176" t="s">
        <v>443</v>
      </c>
      <c r="C103" s="157">
        <v>200</v>
      </c>
      <c r="D103" s="158" t="s">
        <v>422</v>
      </c>
      <c r="E103" s="156">
        <v>161</v>
      </c>
      <c r="F103" s="156"/>
      <c r="G103" s="159">
        <f t="shared" si="1"/>
        <v>32200</v>
      </c>
    </row>
    <row r="104" spans="1:7" ht="57" x14ac:dyDescent="0.2">
      <c r="A104" s="156">
        <v>91</v>
      </c>
      <c r="B104" s="176" t="s">
        <v>444</v>
      </c>
      <c r="C104" s="157">
        <v>300</v>
      </c>
      <c r="D104" s="158" t="s">
        <v>422</v>
      </c>
      <c r="E104" s="156">
        <v>268</v>
      </c>
      <c r="F104" s="156"/>
      <c r="G104" s="159">
        <f t="shared" si="1"/>
        <v>80400</v>
      </c>
    </row>
    <row r="105" spans="1:7" ht="42.75" x14ac:dyDescent="0.2">
      <c r="A105" s="156">
        <v>92</v>
      </c>
      <c r="B105" s="176" t="s">
        <v>445</v>
      </c>
      <c r="C105" s="157"/>
      <c r="D105" s="158"/>
      <c r="E105" s="156"/>
      <c r="F105" s="156"/>
      <c r="G105" s="159">
        <f t="shared" si="1"/>
        <v>0</v>
      </c>
    </row>
    <row r="106" spans="1:7" x14ac:dyDescent="0.2">
      <c r="A106" s="156">
        <v>92.1</v>
      </c>
      <c r="B106" s="176" t="s">
        <v>446</v>
      </c>
      <c r="C106" s="157">
        <v>100</v>
      </c>
      <c r="D106" s="158" t="s">
        <v>422</v>
      </c>
      <c r="E106" s="156">
        <v>161</v>
      </c>
      <c r="F106" s="156"/>
      <c r="G106" s="159">
        <f t="shared" si="1"/>
        <v>16100</v>
      </c>
    </row>
    <row r="107" spans="1:7" x14ac:dyDescent="0.2">
      <c r="A107" s="156">
        <v>92.2</v>
      </c>
      <c r="B107" s="176" t="s">
        <v>447</v>
      </c>
      <c r="C107" s="157">
        <v>500</v>
      </c>
      <c r="D107" s="158" t="s">
        <v>422</v>
      </c>
      <c r="E107" s="156">
        <v>251</v>
      </c>
      <c r="F107" s="156"/>
      <c r="G107" s="159">
        <f t="shared" si="1"/>
        <v>125500</v>
      </c>
    </row>
    <row r="108" spans="1:7" x14ac:dyDescent="0.2">
      <c r="A108" s="156">
        <v>92.3</v>
      </c>
      <c r="B108" s="176" t="s">
        <v>448</v>
      </c>
      <c r="C108" s="157">
        <v>800</v>
      </c>
      <c r="D108" s="158" t="s">
        <v>422</v>
      </c>
      <c r="E108" s="156">
        <v>323</v>
      </c>
      <c r="F108" s="156"/>
      <c r="G108" s="159">
        <f t="shared" si="1"/>
        <v>258400</v>
      </c>
    </row>
    <row r="109" spans="1:7" x14ac:dyDescent="0.2">
      <c r="A109" s="156">
        <v>92.4</v>
      </c>
      <c r="B109" s="176" t="s">
        <v>449</v>
      </c>
      <c r="C109" s="157">
        <v>1000</v>
      </c>
      <c r="D109" s="158" t="s">
        <v>422</v>
      </c>
      <c r="E109" s="156">
        <v>452</v>
      </c>
      <c r="F109" s="156"/>
      <c r="G109" s="159">
        <f t="shared" si="1"/>
        <v>452000</v>
      </c>
    </row>
    <row r="110" spans="1:7" ht="42.75" x14ac:dyDescent="0.2">
      <c r="A110" s="156">
        <v>93</v>
      </c>
      <c r="B110" s="176" t="s">
        <v>450</v>
      </c>
      <c r="C110" s="157">
        <v>4</v>
      </c>
      <c r="D110" s="158" t="s">
        <v>134</v>
      </c>
      <c r="E110" s="156">
        <v>178</v>
      </c>
      <c r="F110" s="156"/>
      <c r="G110" s="159">
        <f t="shared" si="1"/>
        <v>712</v>
      </c>
    </row>
    <row r="111" spans="1:7" ht="42.75" x14ac:dyDescent="0.2">
      <c r="A111" s="156">
        <v>94</v>
      </c>
      <c r="B111" s="176" t="s">
        <v>451</v>
      </c>
      <c r="C111" s="157">
        <v>52</v>
      </c>
      <c r="D111" s="158" t="s">
        <v>134</v>
      </c>
      <c r="E111" s="156">
        <v>564</v>
      </c>
      <c r="F111" s="156"/>
      <c r="G111" s="159">
        <f t="shared" si="1"/>
        <v>29328</v>
      </c>
    </row>
    <row r="112" spans="1:7" ht="42.75" x14ac:dyDescent="0.2">
      <c r="A112" s="156">
        <v>95</v>
      </c>
      <c r="B112" s="176" t="s">
        <v>452</v>
      </c>
      <c r="C112" s="157">
        <v>34</v>
      </c>
      <c r="D112" s="158" t="s">
        <v>134</v>
      </c>
      <c r="E112" s="156">
        <v>779</v>
      </c>
      <c r="F112" s="156"/>
      <c r="G112" s="159">
        <f t="shared" si="1"/>
        <v>26486</v>
      </c>
    </row>
    <row r="113" spans="1:7" ht="28.5" x14ac:dyDescent="0.2">
      <c r="A113" s="156">
        <v>96</v>
      </c>
      <c r="B113" s="176" t="s">
        <v>453</v>
      </c>
      <c r="C113" s="157">
        <v>63</v>
      </c>
      <c r="D113" s="158" t="s">
        <v>134</v>
      </c>
      <c r="E113" s="156">
        <v>859</v>
      </c>
      <c r="F113" s="156"/>
      <c r="G113" s="159">
        <f t="shared" si="1"/>
        <v>54117</v>
      </c>
    </row>
    <row r="114" spans="1:7" ht="42.75" x14ac:dyDescent="0.2">
      <c r="A114" s="156">
        <v>97</v>
      </c>
      <c r="B114" s="176" t="s">
        <v>454</v>
      </c>
      <c r="C114" s="157">
        <v>20</v>
      </c>
      <c r="D114" s="158" t="s">
        <v>134</v>
      </c>
      <c r="E114" s="156">
        <v>377</v>
      </c>
      <c r="F114" s="156"/>
      <c r="G114" s="159">
        <f t="shared" si="1"/>
        <v>7540</v>
      </c>
    </row>
    <row r="115" spans="1:7" ht="57" x14ac:dyDescent="0.2">
      <c r="A115" s="156">
        <v>98</v>
      </c>
      <c r="B115" s="176" t="s">
        <v>455</v>
      </c>
      <c r="C115" s="157">
        <v>122</v>
      </c>
      <c r="D115" s="158" t="s">
        <v>134</v>
      </c>
      <c r="E115" s="156">
        <v>493</v>
      </c>
      <c r="F115" s="156"/>
      <c r="G115" s="159">
        <f t="shared" si="1"/>
        <v>60146</v>
      </c>
    </row>
    <row r="116" spans="1:7" ht="42.75" x14ac:dyDescent="0.2">
      <c r="A116" s="156">
        <v>99</v>
      </c>
      <c r="B116" s="176" t="s">
        <v>456</v>
      </c>
      <c r="C116" s="157">
        <v>79</v>
      </c>
      <c r="D116" s="158" t="s">
        <v>134</v>
      </c>
      <c r="E116" s="156">
        <v>85</v>
      </c>
      <c r="F116" s="156"/>
      <c r="G116" s="159">
        <f t="shared" si="1"/>
        <v>6715</v>
      </c>
    </row>
    <row r="117" spans="1:7" ht="28.5" x14ac:dyDescent="0.2">
      <c r="A117" s="156">
        <v>100</v>
      </c>
      <c r="B117" s="176" t="s">
        <v>457</v>
      </c>
      <c r="C117" s="157"/>
      <c r="D117" s="158"/>
      <c r="E117" s="156"/>
      <c r="F117" s="156"/>
      <c r="G117" s="159">
        <f t="shared" si="1"/>
        <v>0</v>
      </c>
    </row>
    <row r="118" spans="1:7" x14ac:dyDescent="0.2">
      <c r="A118" s="156">
        <v>100.1</v>
      </c>
      <c r="B118" s="176" t="s">
        <v>458</v>
      </c>
      <c r="C118" s="157">
        <v>20</v>
      </c>
      <c r="D118" s="158" t="s">
        <v>134</v>
      </c>
      <c r="E118" s="156">
        <v>541</v>
      </c>
      <c r="F118" s="156"/>
      <c r="G118" s="159">
        <f t="shared" si="1"/>
        <v>10820</v>
      </c>
    </row>
    <row r="119" spans="1:7" x14ac:dyDescent="0.2">
      <c r="A119" s="156">
        <v>100.2</v>
      </c>
      <c r="B119" s="176" t="s">
        <v>459</v>
      </c>
      <c r="C119" s="157">
        <v>10</v>
      </c>
      <c r="D119" s="158" t="s">
        <v>134</v>
      </c>
      <c r="E119" s="156">
        <v>1333</v>
      </c>
      <c r="F119" s="156"/>
      <c r="G119" s="159">
        <f t="shared" si="1"/>
        <v>13330</v>
      </c>
    </row>
    <row r="120" spans="1:7" ht="99.75" x14ac:dyDescent="0.2">
      <c r="A120" s="156">
        <v>101</v>
      </c>
      <c r="B120" s="176" t="s">
        <v>460</v>
      </c>
      <c r="C120" s="157">
        <v>30</v>
      </c>
      <c r="D120" s="158" t="s">
        <v>134</v>
      </c>
      <c r="E120" s="156">
        <v>3752</v>
      </c>
      <c r="F120" s="156"/>
      <c r="G120" s="159">
        <f t="shared" si="1"/>
        <v>112560</v>
      </c>
    </row>
    <row r="121" spans="1:7" ht="28.5" x14ac:dyDescent="0.2">
      <c r="A121" s="156">
        <v>102</v>
      </c>
      <c r="B121" s="176" t="s">
        <v>461</v>
      </c>
      <c r="C121" s="157">
        <v>14</v>
      </c>
      <c r="D121" s="158" t="s">
        <v>134</v>
      </c>
      <c r="E121" s="156">
        <v>65</v>
      </c>
      <c r="F121" s="156"/>
      <c r="G121" s="159">
        <f t="shared" si="1"/>
        <v>910</v>
      </c>
    </row>
    <row r="122" spans="1:7" ht="85.5" x14ac:dyDescent="0.2">
      <c r="A122" s="156">
        <v>103</v>
      </c>
      <c r="B122" s="176" t="s">
        <v>462</v>
      </c>
      <c r="C122" s="157">
        <v>1000</v>
      </c>
      <c r="D122" s="158" t="s">
        <v>422</v>
      </c>
      <c r="E122" s="156">
        <v>281</v>
      </c>
      <c r="F122" s="156"/>
      <c r="G122" s="159">
        <f t="shared" si="1"/>
        <v>281000</v>
      </c>
    </row>
    <row r="123" spans="1:7" ht="114" x14ac:dyDescent="0.2">
      <c r="A123" s="156">
        <v>104</v>
      </c>
      <c r="B123" s="176" t="s">
        <v>463</v>
      </c>
      <c r="C123" s="157">
        <v>1000</v>
      </c>
      <c r="D123" s="158" t="s">
        <v>422</v>
      </c>
      <c r="E123" s="156">
        <v>269</v>
      </c>
      <c r="F123" s="156"/>
      <c r="G123" s="159">
        <f t="shared" si="1"/>
        <v>269000</v>
      </c>
    </row>
    <row r="124" spans="1:7" ht="128.25" x14ac:dyDescent="0.2">
      <c r="A124" s="156">
        <v>105</v>
      </c>
      <c r="B124" s="176" t="s">
        <v>464</v>
      </c>
      <c r="C124" s="157">
        <v>50</v>
      </c>
      <c r="D124" s="158" t="s">
        <v>134</v>
      </c>
      <c r="E124" s="156">
        <v>733</v>
      </c>
      <c r="F124" s="156"/>
      <c r="G124" s="159">
        <f t="shared" si="1"/>
        <v>36650</v>
      </c>
    </row>
    <row r="125" spans="1:7" ht="42.75" x14ac:dyDescent="0.2">
      <c r="A125" s="156">
        <v>106</v>
      </c>
      <c r="B125" s="176" t="s">
        <v>465</v>
      </c>
      <c r="C125" s="157">
        <v>10</v>
      </c>
      <c r="D125" s="158" t="s">
        <v>134</v>
      </c>
      <c r="E125" s="156">
        <v>401</v>
      </c>
      <c r="F125" s="156"/>
      <c r="G125" s="159">
        <f t="shared" si="1"/>
        <v>4010</v>
      </c>
    </row>
    <row r="126" spans="1:7" ht="171" x14ac:dyDescent="0.2">
      <c r="A126" s="156">
        <v>107</v>
      </c>
      <c r="B126" s="176" t="s">
        <v>466</v>
      </c>
      <c r="C126" s="157">
        <v>50</v>
      </c>
      <c r="D126" s="158" t="s">
        <v>134</v>
      </c>
      <c r="E126" s="156">
        <v>2813</v>
      </c>
      <c r="F126" s="156"/>
      <c r="G126" s="159">
        <f t="shared" si="1"/>
        <v>140650</v>
      </c>
    </row>
    <row r="127" spans="1:7" ht="28.5" x14ac:dyDescent="0.2">
      <c r="A127" s="156">
        <v>108</v>
      </c>
      <c r="B127" s="176" t="s">
        <v>467</v>
      </c>
      <c r="C127" s="157">
        <v>50</v>
      </c>
      <c r="D127" s="158" t="s">
        <v>134</v>
      </c>
      <c r="E127" s="156">
        <v>244</v>
      </c>
      <c r="F127" s="156"/>
      <c r="G127" s="159">
        <f t="shared" si="1"/>
        <v>12200</v>
      </c>
    </row>
    <row r="128" spans="1:7" ht="142.5" x14ac:dyDescent="0.2">
      <c r="A128" s="156">
        <v>109</v>
      </c>
      <c r="B128" s="176" t="s">
        <v>468</v>
      </c>
      <c r="C128" s="157">
        <v>50</v>
      </c>
      <c r="D128" s="158" t="s">
        <v>134</v>
      </c>
      <c r="E128" s="156">
        <v>1112</v>
      </c>
      <c r="F128" s="156"/>
      <c r="G128" s="159">
        <f t="shared" si="1"/>
        <v>55600</v>
      </c>
    </row>
    <row r="129" spans="1:7" ht="128.25" x14ac:dyDescent="0.2">
      <c r="A129" s="156">
        <v>110</v>
      </c>
      <c r="B129" s="176" t="s">
        <v>469</v>
      </c>
      <c r="C129" s="157">
        <v>10</v>
      </c>
      <c r="D129" s="158" t="s">
        <v>134</v>
      </c>
      <c r="E129" s="156">
        <v>10902</v>
      </c>
      <c r="F129" s="156"/>
      <c r="G129" s="159">
        <f t="shared" si="1"/>
        <v>109020</v>
      </c>
    </row>
    <row r="130" spans="1:7" ht="185.25" x14ac:dyDescent="0.2">
      <c r="A130" s="156">
        <v>111</v>
      </c>
      <c r="B130" s="176" t="s">
        <v>470</v>
      </c>
      <c r="C130" s="157">
        <v>6</v>
      </c>
      <c r="D130" s="158" t="s">
        <v>134</v>
      </c>
      <c r="E130" s="156">
        <v>24829</v>
      </c>
      <c r="F130" s="156"/>
      <c r="G130" s="159">
        <f t="shared" si="1"/>
        <v>148974</v>
      </c>
    </row>
    <row r="131" spans="1:7" ht="57" x14ac:dyDescent="0.2">
      <c r="A131" s="156">
        <v>112</v>
      </c>
      <c r="B131" s="176" t="s">
        <v>471</v>
      </c>
      <c r="C131" s="157">
        <v>30</v>
      </c>
      <c r="D131" s="158" t="s">
        <v>134</v>
      </c>
      <c r="E131" s="156">
        <v>157</v>
      </c>
      <c r="F131" s="156"/>
      <c r="G131" s="159">
        <f t="shared" si="1"/>
        <v>4710</v>
      </c>
    </row>
    <row r="132" spans="1:7" ht="71.25" x14ac:dyDescent="0.2">
      <c r="A132" s="156">
        <v>113</v>
      </c>
      <c r="B132" s="176" t="s">
        <v>472</v>
      </c>
      <c r="C132" s="157">
        <v>100</v>
      </c>
      <c r="D132" s="158" t="s">
        <v>134</v>
      </c>
      <c r="E132" s="156">
        <v>911</v>
      </c>
      <c r="F132" s="156"/>
      <c r="G132" s="159">
        <f t="shared" si="1"/>
        <v>91100</v>
      </c>
    </row>
    <row r="133" spans="1:7" ht="28.5" x14ac:dyDescent="0.2">
      <c r="A133" s="156">
        <v>114</v>
      </c>
      <c r="B133" s="176" t="s">
        <v>473</v>
      </c>
      <c r="C133" s="157">
        <v>200</v>
      </c>
      <c r="D133" s="158" t="s">
        <v>134</v>
      </c>
      <c r="E133" s="156">
        <v>116</v>
      </c>
      <c r="F133" s="156"/>
      <c r="G133" s="159">
        <f t="shared" ref="G133:G196" si="2">C133*E133</f>
        <v>23200</v>
      </c>
    </row>
    <row r="134" spans="1:7" ht="57" x14ac:dyDescent="0.2">
      <c r="A134" s="156">
        <v>115</v>
      </c>
      <c r="B134" s="176" t="s">
        <v>474</v>
      </c>
      <c r="C134" s="157"/>
      <c r="D134" s="158"/>
      <c r="E134" s="156"/>
      <c r="F134" s="156"/>
      <c r="G134" s="159">
        <f t="shared" si="2"/>
        <v>0</v>
      </c>
    </row>
    <row r="135" spans="1:7" x14ac:dyDescent="0.2">
      <c r="A135" s="156">
        <v>115.1</v>
      </c>
      <c r="B135" s="176" t="s">
        <v>475</v>
      </c>
      <c r="C135" s="157">
        <v>100</v>
      </c>
      <c r="D135" s="158" t="s">
        <v>422</v>
      </c>
      <c r="E135" s="156">
        <v>145</v>
      </c>
      <c r="F135" s="156"/>
      <c r="G135" s="159">
        <f t="shared" si="2"/>
        <v>14500</v>
      </c>
    </row>
    <row r="136" spans="1:7" x14ac:dyDescent="0.2">
      <c r="A136" s="156">
        <v>115.2</v>
      </c>
      <c r="B136" s="176" t="s">
        <v>476</v>
      </c>
      <c r="C136" s="157">
        <v>600</v>
      </c>
      <c r="D136" s="158" t="s">
        <v>422</v>
      </c>
      <c r="E136" s="156">
        <v>293</v>
      </c>
      <c r="F136" s="156"/>
      <c r="G136" s="159">
        <f t="shared" si="2"/>
        <v>175800</v>
      </c>
    </row>
    <row r="137" spans="1:7" ht="57" x14ac:dyDescent="0.2">
      <c r="A137" s="156">
        <v>116</v>
      </c>
      <c r="B137" s="176" t="s">
        <v>477</v>
      </c>
      <c r="C137" s="157"/>
      <c r="D137" s="158"/>
      <c r="E137" s="156"/>
      <c r="F137" s="156"/>
      <c r="G137" s="159">
        <f t="shared" si="2"/>
        <v>0</v>
      </c>
    </row>
    <row r="138" spans="1:7" x14ac:dyDescent="0.2">
      <c r="A138" s="156">
        <v>116.1</v>
      </c>
      <c r="B138" s="176" t="s">
        <v>478</v>
      </c>
      <c r="C138" s="157">
        <v>40</v>
      </c>
      <c r="D138" s="158" t="s">
        <v>134</v>
      </c>
      <c r="E138" s="156">
        <v>87</v>
      </c>
      <c r="F138" s="156"/>
      <c r="G138" s="159">
        <f t="shared" si="2"/>
        <v>3480</v>
      </c>
    </row>
    <row r="139" spans="1:7" x14ac:dyDescent="0.2">
      <c r="A139" s="156">
        <v>116.2</v>
      </c>
      <c r="B139" s="176" t="s">
        <v>479</v>
      </c>
      <c r="C139" s="157">
        <v>69</v>
      </c>
      <c r="D139" s="158" t="s">
        <v>134</v>
      </c>
      <c r="E139" s="156">
        <v>128</v>
      </c>
      <c r="F139" s="156"/>
      <c r="G139" s="159">
        <f t="shared" si="2"/>
        <v>8832</v>
      </c>
    </row>
    <row r="140" spans="1:7" x14ac:dyDescent="0.2">
      <c r="A140" s="156">
        <v>116.3</v>
      </c>
      <c r="B140" s="176" t="s">
        <v>480</v>
      </c>
      <c r="C140" s="157">
        <v>74</v>
      </c>
      <c r="D140" s="158" t="s">
        <v>134</v>
      </c>
      <c r="E140" s="156">
        <v>160</v>
      </c>
      <c r="F140" s="156"/>
      <c r="G140" s="159">
        <f t="shared" si="2"/>
        <v>11840</v>
      </c>
    </row>
    <row r="141" spans="1:7" x14ac:dyDescent="0.2">
      <c r="A141" s="156">
        <v>116.4</v>
      </c>
      <c r="B141" s="176" t="s">
        <v>481</v>
      </c>
      <c r="C141" s="157">
        <v>28</v>
      </c>
      <c r="D141" s="158" t="s">
        <v>134</v>
      </c>
      <c r="E141" s="156">
        <v>25</v>
      </c>
      <c r="F141" s="156"/>
      <c r="G141" s="159">
        <f t="shared" si="2"/>
        <v>700</v>
      </c>
    </row>
    <row r="142" spans="1:7" x14ac:dyDescent="0.2">
      <c r="A142" s="156">
        <v>116.5</v>
      </c>
      <c r="B142" s="176" t="s">
        <v>482</v>
      </c>
      <c r="C142" s="157">
        <v>36</v>
      </c>
      <c r="D142" s="158" t="s">
        <v>134</v>
      </c>
      <c r="E142" s="156">
        <v>187</v>
      </c>
      <c r="F142" s="156"/>
      <c r="G142" s="159">
        <f t="shared" si="2"/>
        <v>6732</v>
      </c>
    </row>
    <row r="143" spans="1:7" x14ac:dyDescent="0.2">
      <c r="A143" s="156">
        <v>116.6</v>
      </c>
      <c r="B143" s="176" t="s">
        <v>483</v>
      </c>
      <c r="C143" s="157">
        <v>50</v>
      </c>
      <c r="D143" s="158" t="s">
        <v>134</v>
      </c>
      <c r="E143" s="156">
        <v>202</v>
      </c>
      <c r="F143" s="156"/>
      <c r="G143" s="159">
        <f t="shared" si="2"/>
        <v>10100</v>
      </c>
    </row>
    <row r="144" spans="1:7" x14ac:dyDescent="0.2">
      <c r="A144" s="156">
        <v>116.7</v>
      </c>
      <c r="B144" s="176" t="s">
        <v>484</v>
      </c>
      <c r="C144" s="157">
        <v>157</v>
      </c>
      <c r="D144" s="158" t="s">
        <v>134</v>
      </c>
      <c r="E144" s="156">
        <v>146</v>
      </c>
      <c r="F144" s="156"/>
      <c r="G144" s="159">
        <f t="shared" si="2"/>
        <v>22922</v>
      </c>
    </row>
    <row r="145" spans="1:7" x14ac:dyDescent="0.2">
      <c r="A145" s="156">
        <v>116.8</v>
      </c>
      <c r="B145" s="176" t="s">
        <v>485</v>
      </c>
      <c r="C145" s="157">
        <v>34</v>
      </c>
      <c r="D145" s="158" t="s">
        <v>134</v>
      </c>
      <c r="E145" s="156">
        <v>48</v>
      </c>
      <c r="F145" s="156"/>
      <c r="G145" s="159">
        <f t="shared" si="2"/>
        <v>1632</v>
      </c>
    </row>
    <row r="146" spans="1:7" ht="199.5" x14ac:dyDescent="0.2">
      <c r="A146" s="160">
        <v>1</v>
      </c>
      <c r="B146" s="161" t="s">
        <v>486</v>
      </c>
      <c r="C146" s="162">
        <v>85.2</v>
      </c>
      <c r="D146" s="162" t="s">
        <v>61</v>
      </c>
      <c r="E146" s="162">
        <v>218</v>
      </c>
      <c r="F146" s="158" t="s">
        <v>62</v>
      </c>
      <c r="G146" s="159">
        <f t="shared" si="2"/>
        <v>18573.600000000002</v>
      </c>
    </row>
    <row r="147" spans="1:7" ht="199.5" x14ac:dyDescent="0.2">
      <c r="A147" s="160">
        <v>2</v>
      </c>
      <c r="B147" s="161" t="s">
        <v>487</v>
      </c>
      <c r="C147" s="162">
        <v>198.8</v>
      </c>
      <c r="D147" s="162" t="s">
        <v>61</v>
      </c>
      <c r="E147" s="162">
        <v>287</v>
      </c>
      <c r="F147" s="158" t="s">
        <v>62</v>
      </c>
      <c r="G147" s="159">
        <f t="shared" si="2"/>
        <v>57055.600000000006</v>
      </c>
    </row>
    <row r="148" spans="1:7" ht="114" x14ac:dyDescent="0.2">
      <c r="A148" s="160">
        <f t="shared" ref="A148:A166" si="3">+A147+1</f>
        <v>3</v>
      </c>
      <c r="B148" s="161" t="s">
        <v>488</v>
      </c>
      <c r="C148" s="162">
        <v>260.94</v>
      </c>
      <c r="D148" s="162" t="s">
        <v>61</v>
      </c>
      <c r="E148" s="162">
        <v>44</v>
      </c>
      <c r="F148" s="158" t="s">
        <v>62</v>
      </c>
      <c r="G148" s="159">
        <f t="shared" si="2"/>
        <v>11481.36</v>
      </c>
    </row>
    <row r="149" spans="1:7" ht="114" x14ac:dyDescent="0.2">
      <c r="A149" s="160">
        <f t="shared" si="3"/>
        <v>4</v>
      </c>
      <c r="B149" s="161" t="s">
        <v>489</v>
      </c>
      <c r="C149" s="162">
        <v>62</v>
      </c>
      <c r="D149" s="162" t="s">
        <v>61</v>
      </c>
      <c r="E149" s="162">
        <v>2346</v>
      </c>
      <c r="F149" s="158" t="s">
        <v>62</v>
      </c>
      <c r="G149" s="159">
        <f t="shared" si="2"/>
        <v>145452</v>
      </c>
    </row>
    <row r="150" spans="1:7" ht="156.75" x14ac:dyDescent="0.2">
      <c r="A150" s="160">
        <f t="shared" si="3"/>
        <v>5</v>
      </c>
      <c r="B150" s="161" t="s">
        <v>490</v>
      </c>
      <c r="C150" s="162">
        <v>62</v>
      </c>
      <c r="D150" s="162" t="s">
        <v>61</v>
      </c>
      <c r="E150" s="162">
        <v>4912</v>
      </c>
      <c r="F150" s="158" t="s">
        <v>62</v>
      </c>
      <c r="G150" s="159">
        <f t="shared" si="2"/>
        <v>304544</v>
      </c>
    </row>
    <row r="151" spans="1:7" ht="171" x14ac:dyDescent="0.2">
      <c r="A151" s="160">
        <f t="shared" si="3"/>
        <v>6</v>
      </c>
      <c r="B151" s="161" t="s">
        <v>491</v>
      </c>
      <c r="C151" s="162">
        <v>10</v>
      </c>
      <c r="D151" s="162" t="s">
        <v>61</v>
      </c>
      <c r="E151" s="162">
        <v>4051</v>
      </c>
      <c r="F151" s="158" t="s">
        <v>62</v>
      </c>
      <c r="G151" s="159">
        <f t="shared" si="2"/>
        <v>40510</v>
      </c>
    </row>
    <row r="152" spans="1:7" ht="213.75" x14ac:dyDescent="0.2">
      <c r="A152" s="160">
        <f t="shared" si="3"/>
        <v>7</v>
      </c>
      <c r="B152" s="161" t="s">
        <v>492</v>
      </c>
      <c r="C152" s="162">
        <v>16</v>
      </c>
      <c r="D152" s="162" t="s">
        <v>61</v>
      </c>
      <c r="E152" s="162">
        <v>5240</v>
      </c>
      <c r="F152" s="158" t="s">
        <v>62</v>
      </c>
      <c r="G152" s="159">
        <f t="shared" si="2"/>
        <v>83840</v>
      </c>
    </row>
    <row r="153" spans="1:7" ht="213.75" x14ac:dyDescent="0.2">
      <c r="A153" s="160">
        <f t="shared" si="3"/>
        <v>8</v>
      </c>
      <c r="B153" s="161" t="s">
        <v>493</v>
      </c>
      <c r="C153" s="162">
        <v>77</v>
      </c>
      <c r="D153" s="162" t="s">
        <v>61</v>
      </c>
      <c r="E153" s="162">
        <v>4300</v>
      </c>
      <c r="F153" s="158" t="s">
        <v>62</v>
      </c>
      <c r="G153" s="159">
        <f t="shared" si="2"/>
        <v>331100</v>
      </c>
    </row>
    <row r="154" spans="1:7" ht="128.25" x14ac:dyDescent="0.2">
      <c r="A154" s="160">
        <f t="shared" si="3"/>
        <v>9</v>
      </c>
      <c r="B154" s="161" t="s">
        <v>494</v>
      </c>
      <c r="C154" s="162">
        <v>240</v>
      </c>
      <c r="D154" s="162" t="s">
        <v>64</v>
      </c>
      <c r="E154" s="162">
        <v>85</v>
      </c>
      <c r="F154" s="162"/>
      <c r="G154" s="159">
        <f t="shared" si="2"/>
        <v>20400</v>
      </c>
    </row>
    <row r="155" spans="1:7" ht="114" x14ac:dyDescent="0.2">
      <c r="A155" s="160">
        <f t="shared" si="3"/>
        <v>10</v>
      </c>
      <c r="B155" s="161" t="s">
        <v>495</v>
      </c>
      <c r="C155" s="162">
        <v>176</v>
      </c>
      <c r="D155" s="162" t="s">
        <v>64</v>
      </c>
      <c r="E155" s="162">
        <v>156</v>
      </c>
      <c r="F155" s="162"/>
      <c r="G155" s="159">
        <f t="shared" si="2"/>
        <v>27456</v>
      </c>
    </row>
    <row r="156" spans="1:7" ht="142.5" x14ac:dyDescent="0.2">
      <c r="A156" s="160">
        <f t="shared" si="3"/>
        <v>11</v>
      </c>
      <c r="B156" s="161" t="s">
        <v>496</v>
      </c>
      <c r="C156" s="162">
        <v>519</v>
      </c>
      <c r="D156" s="162" t="s">
        <v>64</v>
      </c>
      <c r="E156" s="162">
        <v>164</v>
      </c>
      <c r="F156" s="162"/>
      <c r="G156" s="159">
        <f t="shared" si="2"/>
        <v>85116</v>
      </c>
    </row>
    <row r="157" spans="1:7" ht="114" x14ac:dyDescent="0.2">
      <c r="A157" s="160">
        <f t="shared" si="3"/>
        <v>12</v>
      </c>
      <c r="B157" s="161" t="s">
        <v>497</v>
      </c>
      <c r="C157" s="162">
        <v>16385</v>
      </c>
      <c r="D157" s="162" t="s">
        <v>67</v>
      </c>
      <c r="E157" s="162">
        <v>60</v>
      </c>
      <c r="F157" s="162"/>
      <c r="G157" s="159">
        <f t="shared" si="2"/>
        <v>983100</v>
      </c>
    </row>
    <row r="158" spans="1:7" ht="57" x14ac:dyDescent="0.2">
      <c r="A158" s="160">
        <f t="shared" si="3"/>
        <v>13</v>
      </c>
      <c r="B158" s="161" t="s">
        <v>498</v>
      </c>
      <c r="C158" s="162">
        <v>117</v>
      </c>
      <c r="D158" s="162" t="s">
        <v>61</v>
      </c>
      <c r="E158" s="162">
        <v>2670</v>
      </c>
      <c r="F158" s="162"/>
      <c r="G158" s="159">
        <f t="shared" si="2"/>
        <v>312390</v>
      </c>
    </row>
    <row r="159" spans="1:7" ht="57" x14ac:dyDescent="0.2">
      <c r="A159" s="160">
        <f t="shared" si="3"/>
        <v>14</v>
      </c>
      <c r="B159" s="161" t="s">
        <v>499</v>
      </c>
      <c r="C159" s="162">
        <v>15</v>
      </c>
      <c r="D159" s="162" t="s">
        <v>64</v>
      </c>
      <c r="E159" s="162">
        <v>341</v>
      </c>
      <c r="F159" s="162"/>
      <c r="G159" s="159">
        <f t="shared" si="2"/>
        <v>5115</v>
      </c>
    </row>
    <row r="160" spans="1:7" ht="71.25" x14ac:dyDescent="0.2">
      <c r="A160" s="160">
        <f t="shared" si="3"/>
        <v>15</v>
      </c>
      <c r="B160" s="161" t="s">
        <v>500</v>
      </c>
      <c r="C160" s="162">
        <v>168</v>
      </c>
      <c r="D160" s="162" t="s">
        <v>61</v>
      </c>
      <c r="E160" s="162">
        <v>1526</v>
      </c>
      <c r="F160" s="162"/>
      <c r="G160" s="159">
        <f t="shared" si="2"/>
        <v>256368</v>
      </c>
    </row>
    <row r="161" spans="1:7" ht="28.5" x14ac:dyDescent="0.2">
      <c r="A161" s="160">
        <f t="shared" si="3"/>
        <v>16</v>
      </c>
      <c r="B161" s="161" t="s">
        <v>394</v>
      </c>
      <c r="C161" s="162">
        <v>86</v>
      </c>
      <c r="D161" s="162" t="s">
        <v>61</v>
      </c>
      <c r="E161" s="162">
        <v>455</v>
      </c>
      <c r="F161" s="162"/>
      <c r="G161" s="159">
        <f t="shared" si="2"/>
        <v>39130</v>
      </c>
    </row>
    <row r="162" spans="1:7" ht="128.25" x14ac:dyDescent="0.2">
      <c r="A162" s="160">
        <f t="shared" si="3"/>
        <v>17</v>
      </c>
      <c r="B162" s="161" t="s">
        <v>501</v>
      </c>
      <c r="C162" s="162">
        <v>6</v>
      </c>
      <c r="D162" s="162" t="s">
        <v>61</v>
      </c>
      <c r="E162" s="162">
        <v>900</v>
      </c>
      <c r="F162" s="162"/>
      <c r="G162" s="159">
        <f t="shared" si="2"/>
        <v>5400</v>
      </c>
    </row>
    <row r="163" spans="1:7" ht="114" x14ac:dyDescent="0.2">
      <c r="A163" s="160">
        <f t="shared" si="3"/>
        <v>18</v>
      </c>
      <c r="B163" s="161" t="s">
        <v>502</v>
      </c>
      <c r="C163" s="162">
        <v>23</v>
      </c>
      <c r="D163" s="162" t="s">
        <v>61</v>
      </c>
      <c r="E163" s="162">
        <v>3365</v>
      </c>
      <c r="F163" s="162"/>
      <c r="G163" s="159">
        <f t="shared" si="2"/>
        <v>77395</v>
      </c>
    </row>
    <row r="164" spans="1:7" ht="57" x14ac:dyDescent="0.2">
      <c r="A164" s="160">
        <f t="shared" si="3"/>
        <v>19</v>
      </c>
      <c r="B164" s="161" t="s">
        <v>503</v>
      </c>
      <c r="C164" s="162">
        <v>299</v>
      </c>
      <c r="D164" s="162" t="s">
        <v>64</v>
      </c>
      <c r="E164" s="162">
        <v>436</v>
      </c>
      <c r="F164" s="162"/>
      <c r="G164" s="159">
        <f t="shared" si="2"/>
        <v>130364</v>
      </c>
    </row>
    <row r="165" spans="1:7" ht="71.25" x14ac:dyDescent="0.2">
      <c r="A165" s="160">
        <f t="shared" si="3"/>
        <v>20</v>
      </c>
      <c r="B165" s="161" t="s">
        <v>504</v>
      </c>
      <c r="C165" s="162">
        <v>145</v>
      </c>
      <c r="D165" s="162" t="s">
        <v>374</v>
      </c>
      <c r="E165" s="162">
        <v>31</v>
      </c>
      <c r="F165" s="162"/>
      <c r="G165" s="159">
        <f t="shared" si="2"/>
        <v>4495</v>
      </c>
    </row>
    <row r="166" spans="1:7" ht="71.25" x14ac:dyDescent="0.2">
      <c r="A166" s="160">
        <f t="shared" si="3"/>
        <v>21</v>
      </c>
      <c r="B166" s="161" t="s">
        <v>505</v>
      </c>
      <c r="C166" s="162">
        <v>127</v>
      </c>
      <c r="D166" s="162" t="s">
        <v>64</v>
      </c>
      <c r="E166" s="162">
        <v>108</v>
      </c>
      <c r="F166" s="162"/>
      <c r="G166" s="159">
        <f t="shared" si="2"/>
        <v>13716</v>
      </c>
    </row>
    <row r="167" spans="1:7" ht="71.25" x14ac:dyDescent="0.2">
      <c r="A167" s="160">
        <v>22</v>
      </c>
      <c r="B167" s="161" t="s">
        <v>506</v>
      </c>
      <c r="C167" s="162">
        <v>1346</v>
      </c>
      <c r="D167" s="162" t="s">
        <v>64</v>
      </c>
      <c r="E167" s="162">
        <v>84</v>
      </c>
      <c r="F167" s="162"/>
      <c r="G167" s="159">
        <f t="shared" si="2"/>
        <v>113064</v>
      </c>
    </row>
    <row r="168" spans="1:7" ht="28.5" x14ac:dyDescent="0.2">
      <c r="A168" s="160">
        <f t="shared" ref="A168:A224" si="4">+A167+1</f>
        <v>23</v>
      </c>
      <c r="B168" s="161" t="s">
        <v>507</v>
      </c>
      <c r="C168" s="162">
        <v>307</v>
      </c>
      <c r="D168" s="162" t="s">
        <v>64</v>
      </c>
      <c r="E168" s="162">
        <v>90</v>
      </c>
      <c r="F168" s="162"/>
      <c r="G168" s="159">
        <f t="shared" si="2"/>
        <v>27630</v>
      </c>
    </row>
    <row r="169" spans="1:7" ht="156.75" x14ac:dyDescent="0.2">
      <c r="A169" s="160">
        <f t="shared" si="4"/>
        <v>24</v>
      </c>
      <c r="B169" s="161" t="s">
        <v>508</v>
      </c>
      <c r="C169" s="162">
        <v>16</v>
      </c>
      <c r="D169" s="162" t="s">
        <v>509</v>
      </c>
      <c r="E169" s="162">
        <v>114</v>
      </c>
      <c r="F169" s="162"/>
      <c r="G169" s="159">
        <f t="shared" si="2"/>
        <v>1824</v>
      </c>
    </row>
    <row r="170" spans="1:7" ht="57" x14ac:dyDescent="0.2">
      <c r="A170" s="160">
        <f t="shared" si="4"/>
        <v>25</v>
      </c>
      <c r="B170" s="161" t="s">
        <v>510</v>
      </c>
      <c r="C170" s="162">
        <v>33</v>
      </c>
      <c r="D170" s="162" t="s">
        <v>64</v>
      </c>
      <c r="E170" s="162">
        <v>162</v>
      </c>
      <c r="F170" s="162"/>
      <c r="G170" s="159">
        <f t="shared" si="2"/>
        <v>5346</v>
      </c>
    </row>
    <row r="171" spans="1:7" ht="114" x14ac:dyDescent="0.2">
      <c r="A171" s="160">
        <f t="shared" si="4"/>
        <v>26</v>
      </c>
      <c r="B171" s="161" t="s">
        <v>511</v>
      </c>
      <c r="C171" s="162">
        <v>1075</v>
      </c>
      <c r="D171" s="162" t="s">
        <v>64</v>
      </c>
      <c r="E171" s="162">
        <v>44</v>
      </c>
      <c r="F171" s="162"/>
      <c r="G171" s="159">
        <f t="shared" si="2"/>
        <v>47300</v>
      </c>
    </row>
    <row r="172" spans="1:7" ht="85.5" x14ac:dyDescent="0.2">
      <c r="A172" s="160">
        <f t="shared" si="4"/>
        <v>27</v>
      </c>
      <c r="B172" s="161" t="s">
        <v>512</v>
      </c>
      <c r="C172" s="162">
        <v>704</v>
      </c>
      <c r="D172" s="162" t="s">
        <v>64</v>
      </c>
      <c r="E172" s="162">
        <v>29.5</v>
      </c>
      <c r="F172" s="162"/>
      <c r="G172" s="159">
        <f t="shared" si="2"/>
        <v>20768</v>
      </c>
    </row>
    <row r="173" spans="1:7" ht="57" x14ac:dyDescent="0.2">
      <c r="A173" s="160">
        <f t="shared" si="4"/>
        <v>28</v>
      </c>
      <c r="B173" s="161" t="s">
        <v>513</v>
      </c>
      <c r="C173" s="162">
        <v>175</v>
      </c>
      <c r="D173" s="162" t="s">
        <v>64</v>
      </c>
      <c r="E173" s="162">
        <v>49</v>
      </c>
      <c r="F173" s="162"/>
      <c r="G173" s="159">
        <f t="shared" si="2"/>
        <v>8575</v>
      </c>
    </row>
    <row r="174" spans="1:7" ht="409.5" x14ac:dyDescent="0.2">
      <c r="A174" s="160">
        <f t="shared" si="4"/>
        <v>29</v>
      </c>
      <c r="B174" s="161" t="s">
        <v>514</v>
      </c>
      <c r="C174" s="162">
        <v>37</v>
      </c>
      <c r="D174" s="162" t="s">
        <v>64</v>
      </c>
      <c r="E174" s="162">
        <v>1950</v>
      </c>
      <c r="F174" s="162"/>
      <c r="G174" s="159">
        <f t="shared" si="2"/>
        <v>72150</v>
      </c>
    </row>
    <row r="175" spans="1:7" ht="42.75" x14ac:dyDescent="0.2">
      <c r="A175" s="160">
        <f t="shared" si="4"/>
        <v>30</v>
      </c>
      <c r="B175" s="161" t="s">
        <v>515</v>
      </c>
      <c r="C175" s="162">
        <v>37</v>
      </c>
      <c r="D175" s="162" t="s">
        <v>64</v>
      </c>
      <c r="E175" s="162">
        <v>67</v>
      </c>
      <c r="F175" s="162"/>
      <c r="G175" s="159">
        <f t="shared" si="2"/>
        <v>2479</v>
      </c>
    </row>
    <row r="176" spans="1:7" ht="99.75" x14ac:dyDescent="0.2">
      <c r="A176" s="160">
        <f t="shared" si="4"/>
        <v>31</v>
      </c>
      <c r="B176" s="161" t="s">
        <v>516</v>
      </c>
      <c r="C176" s="162">
        <v>37</v>
      </c>
      <c r="D176" s="162" t="s">
        <v>64</v>
      </c>
      <c r="E176" s="162">
        <v>472</v>
      </c>
      <c r="F176" s="162"/>
      <c r="G176" s="159">
        <f t="shared" si="2"/>
        <v>17464</v>
      </c>
    </row>
    <row r="177" spans="1:7" ht="42.75" x14ac:dyDescent="0.2">
      <c r="A177" s="160">
        <f t="shared" si="4"/>
        <v>32</v>
      </c>
      <c r="B177" s="161" t="s">
        <v>517</v>
      </c>
      <c r="C177" s="162">
        <v>240</v>
      </c>
      <c r="D177" s="162" t="s">
        <v>67</v>
      </c>
      <c r="E177" s="162">
        <v>64</v>
      </c>
      <c r="F177" s="162"/>
      <c r="G177" s="159">
        <f t="shared" si="2"/>
        <v>15360</v>
      </c>
    </row>
    <row r="178" spans="1:7" ht="171" x14ac:dyDescent="0.2">
      <c r="A178" s="160">
        <f t="shared" si="4"/>
        <v>33</v>
      </c>
      <c r="B178" s="161" t="s">
        <v>518</v>
      </c>
      <c r="C178" s="162">
        <v>360</v>
      </c>
      <c r="D178" s="162" t="s">
        <v>519</v>
      </c>
      <c r="E178" s="162">
        <v>80</v>
      </c>
      <c r="F178" s="162"/>
      <c r="G178" s="159">
        <f t="shared" si="2"/>
        <v>28800</v>
      </c>
    </row>
    <row r="179" spans="1:7" ht="185.25" x14ac:dyDescent="0.2">
      <c r="A179" s="160">
        <f t="shared" si="4"/>
        <v>34</v>
      </c>
      <c r="B179" s="161" t="s">
        <v>520</v>
      </c>
      <c r="C179" s="162">
        <v>105</v>
      </c>
      <c r="D179" s="162" t="s">
        <v>64</v>
      </c>
      <c r="E179" s="162">
        <v>1221</v>
      </c>
      <c r="F179" s="162"/>
      <c r="G179" s="159">
        <f t="shared" si="2"/>
        <v>128205</v>
      </c>
    </row>
    <row r="180" spans="1:7" ht="213.75" x14ac:dyDescent="0.2">
      <c r="A180" s="160">
        <f t="shared" si="4"/>
        <v>35</v>
      </c>
      <c r="B180" s="161" t="s">
        <v>521</v>
      </c>
      <c r="C180" s="162">
        <v>13</v>
      </c>
      <c r="D180" s="162" t="s">
        <v>64</v>
      </c>
      <c r="E180" s="162">
        <v>3532</v>
      </c>
      <c r="F180" s="162"/>
      <c r="G180" s="159">
        <f t="shared" si="2"/>
        <v>45916</v>
      </c>
    </row>
    <row r="181" spans="1:7" ht="256.5" x14ac:dyDescent="0.2">
      <c r="A181" s="160">
        <f t="shared" si="4"/>
        <v>36</v>
      </c>
      <c r="B181" s="161" t="s">
        <v>522</v>
      </c>
      <c r="C181" s="162">
        <v>48</v>
      </c>
      <c r="D181" s="162" t="s">
        <v>64</v>
      </c>
      <c r="E181" s="162">
        <v>865</v>
      </c>
      <c r="F181" s="162"/>
      <c r="G181" s="159">
        <f t="shared" si="2"/>
        <v>41520</v>
      </c>
    </row>
    <row r="182" spans="1:7" ht="199.5" x14ac:dyDescent="0.2">
      <c r="A182" s="160">
        <f t="shared" si="4"/>
        <v>37</v>
      </c>
      <c r="B182" s="161" t="s">
        <v>523</v>
      </c>
      <c r="C182" s="162">
        <v>94</v>
      </c>
      <c r="D182" s="162" t="s">
        <v>64</v>
      </c>
      <c r="E182" s="162">
        <v>1208</v>
      </c>
      <c r="F182" s="162"/>
      <c r="G182" s="159">
        <f t="shared" si="2"/>
        <v>113552</v>
      </c>
    </row>
    <row r="183" spans="1:7" ht="128.25" x14ac:dyDescent="0.2">
      <c r="A183" s="160">
        <f t="shared" si="4"/>
        <v>38</v>
      </c>
      <c r="B183" s="161" t="s">
        <v>524</v>
      </c>
      <c r="C183" s="162">
        <v>27</v>
      </c>
      <c r="D183" s="162" t="s">
        <v>374</v>
      </c>
      <c r="E183" s="162">
        <v>200</v>
      </c>
      <c r="F183" s="162"/>
      <c r="G183" s="159">
        <f t="shared" si="2"/>
        <v>5400</v>
      </c>
    </row>
    <row r="184" spans="1:7" ht="142.5" x14ac:dyDescent="0.2">
      <c r="A184" s="160">
        <f t="shared" si="4"/>
        <v>39</v>
      </c>
      <c r="B184" s="161" t="s">
        <v>525</v>
      </c>
      <c r="C184" s="162">
        <v>25</v>
      </c>
      <c r="D184" s="162" t="s">
        <v>64</v>
      </c>
      <c r="E184" s="162">
        <v>2066</v>
      </c>
      <c r="F184" s="162"/>
      <c r="G184" s="159">
        <f t="shared" si="2"/>
        <v>51650</v>
      </c>
    </row>
    <row r="185" spans="1:7" ht="28.5" x14ac:dyDescent="0.2">
      <c r="A185" s="160">
        <f t="shared" si="4"/>
        <v>40</v>
      </c>
      <c r="B185" s="161" t="s">
        <v>526</v>
      </c>
      <c r="C185" s="162">
        <v>95</v>
      </c>
      <c r="D185" s="162" t="s">
        <v>374</v>
      </c>
      <c r="E185" s="162">
        <v>60</v>
      </c>
      <c r="F185" s="162"/>
      <c r="G185" s="159">
        <f t="shared" si="2"/>
        <v>5700</v>
      </c>
    </row>
    <row r="186" spans="1:7" ht="71.25" x14ac:dyDescent="0.2">
      <c r="A186" s="160">
        <f t="shared" si="4"/>
        <v>41</v>
      </c>
      <c r="B186" s="161" t="s">
        <v>527</v>
      </c>
      <c r="C186" s="162">
        <v>25</v>
      </c>
      <c r="D186" s="162" t="s">
        <v>64</v>
      </c>
      <c r="E186" s="162">
        <v>467</v>
      </c>
      <c r="F186" s="162"/>
      <c r="G186" s="159">
        <f t="shared" si="2"/>
        <v>11675</v>
      </c>
    </row>
    <row r="187" spans="1:7" ht="128.25" x14ac:dyDescent="0.2">
      <c r="A187" s="160">
        <f t="shared" si="4"/>
        <v>42</v>
      </c>
      <c r="B187" s="161" t="s">
        <v>528</v>
      </c>
      <c r="C187" s="162">
        <v>73</v>
      </c>
      <c r="D187" s="162" t="s">
        <v>64</v>
      </c>
      <c r="E187" s="162">
        <v>555</v>
      </c>
      <c r="F187" s="162"/>
      <c r="G187" s="159">
        <f t="shared" si="2"/>
        <v>40515</v>
      </c>
    </row>
    <row r="188" spans="1:7" ht="57" x14ac:dyDescent="0.2">
      <c r="A188" s="160">
        <f t="shared" si="4"/>
        <v>43</v>
      </c>
      <c r="B188" s="161" t="s">
        <v>529</v>
      </c>
      <c r="C188" s="162">
        <v>1075</v>
      </c>
      <c r="D188" s="162" t="s">
        <v>64</v>
      </c>
      <c r="E188" s="162">
        <v>140</v>
      </c>
      <c r="F188" s="162"/>
      <c r="G188" s="159">
        <f t="shared" si="2"/>
        <v>150500</v>
      </c>
    </row>
    <row r="189" spans="1:7" ht="71.25" x14ac:dyDescent="0.2">
      <c r="A189" s="160">
        <f t="shared" si="4"/>
        <v>44</v>
      </c>
      <c r="B189" s="161" t="s">
        <v>530</v>
      </c>
      <c r="C189" s="162">
        <v>233</v>
      </c>
      <c r="D189" s="162" t="s">
        <v>422</v>
      </c>
      <c r="E189" s="162">
        <v>42</v>
      </c>
      <c r="F189" s="162"/>
      <c r="G189" s="159">
        <f t="shared" si="2"/>
        <v>9786</v>
      </c>
    </row>
    <row r="190" spans="1:7" ht="57" x14ac:dyDescent="0.2">
      <c r="A190" s="160">
        <f t="shared" si="4"/>
        <v>45</v>
      </c>
      <c r="B190" s="161" t="s">
        <v>531</v>
      </c>
      <c r="C190" s="162">
        <v>145</v>
      </c>
      <c r="D190" s="162" t="s">
        <v>532</v>
      </c>
      <c r="E190" s="162">
        <v>81</v>
      </c>
      <c r="F190" s="162"/>
      <c r="G190" s="159">
        <f t="shared" si="2"/>
        <v>11745</v>
      </c>
    </row>
    <row r="191" spans="1:7" ht="142.5" x14ac:dyDescent="0.2">
      <c r="A191" s="160">
        <f t="shared" si="4"/>
        <v>46</v>
      </c>
      <c r="B191" s="161" t="s">
        <v>533</v>
      </c>
      <c r="C191" s="162">
        <v>0.34</v>
      </c>
      <c r="D191" s="162" t="s">
        <v>61</v>
      </c>
      <c r="E191" s="162">
        <v>72345</v>
      </c>
      <c r="F191" s="162"/>
      <c r="G191" s="159">
        <f t="shared" si="2"/>
        <v>24597.300000000003</v>
      </c>
    </row>
    <row r="192" spans="1:7" ht="213.75" x14ac:dyDescent="0.2">
      <c r="A192" s="160">
        <f t="shared" si="4"/>
        <v>47</v>
      </c>
      <c r="B192" s="161" t="s">
        <v>534</v>
      </c>
      <c r="C192" s="162">
        <v>23.1</v>
      </c>
      <c r="D192" s="162" t="s">
        <v>64</v>
      </c>
      <c r="E192" s="162">
        <v>3412</v>
      </c>
      <c r="F192" s="162"/>
      <c r="G192" s="159">
        <f t="shared" si="2"/>
        <v>78817.200000000012</v>
      </c>
    </row>
    <row r="193" spans="1:7" ht="42.75" x14ac:dyDescent="0.2">
      <c r="A193" s="160">
        <f t="shared" si="4"/>
        <v>48</v>
      </c>
      <c r="B193" s="161" t="s">
        <v>535</v>
      </c>
      <c r="C193" s="162">
        <v>66.069999999999993</v>
      </c>
      <c r="D193" s="162" t="s">
        <v>64</v>
      </c>
      <c r="E193" s="162">
        <v>128</v>
      </c>
      <c r="F193" s="162"/>
      <c r="G193" s="159">
        <f t="shared" si="2"/>
        <v>8456.9599999999991</v>
      </c>
    </row>
    <row r="194" spans="1:7" ht="28.5" x14ac:dyDescent="0.2">
      <c r="A194" s="160">
        <f t="shared" si="4"/>
        <v>49</v>
      </c>
      <c r="B194" s="161" t="s">
        <v>536</v>
      </c>
      <c r="C194" s="162">
        <v>5</v>
      </c>
      <c r="D194" s="162" t="s">
        <v>509</v>
      </c>
      <c r="E194" s="162">
        <v>1363</v>
      </c>
      <c r="F194" s="162"/>
      <c r="G194" s="159">
        <f t="shared" si="2"/>
        <v>6815</v>
      </c>
    </row>
    <row r="195" spans="1:7" ht="57" x14ac:dyDescent="0.2">
      <c r="A195" s="160">
        <f t="shared" si="4"/>
        <v>50</v>
      </c>
      <c r="B195" s="161" t="s">
        <v>537</v>
      </c>
      <c r="C195" s="162">
        <v>1</v>
      </c>
      <c r="D195" s="162" t="s">
        <v>509</v>
      </c>
      <c r="E195" s="162">
        <v>1441</v>
      </c>
      <c r="F195" s="162"/>
      <c r="G195" s="159">
        <f t="shared" si="2"/>
        <v>1441</v>
      </c>
    </row>
    <row r="196" spans="1:7" ht="57" x14ac:dyDescent="0.2">
      <c r="A196" s="162">
        <f t="shared" si="4"/>
        <v>51</v>
      </c>
      <c r="B196" s="161" t="s">
        <v>538</v>
      </c>
      <c r="C196" s="162">
        <v>1</v>
      </c>
      <c r="D196" s="162" t="s">
        <v>509</v>
      </c>
      <c r="E196" s="162">
        <v>3536</v>
      </c>
      <c r="F196" s="162"/>
      <c r="G196" s="159">
        <f t="shared" si="2"/>
        <v>3536</v>
      </c>
    </row>
    <row r="197" spans="1:7" ht="85.5" x14ac:dyDescent="0.2">
      <c r="A197" s="162">
        <f t="shared" si="4"/>
        <v>52</v>
      </c>
      <c r="B197" s="161" t="s">
        <v>539</v>
      </c>
      <c r="C197" s="163">
        <v>2</v>
      </c>
      <c r="D197" s="162" t="s">
        <v>509</v>
      </c>
      <c r="E197" s="162">
        <v>1997</v>
      </c>
      <c r="F197" s="162"/>
      <c r="G197" s="159">
        <f t="shared" ref="G197:G224" si="5">C197*E197</f>
        <v>3994</v>
      </c>
    </row>
    <row r="198" spans="1:7" ht="57" x14ac:dyDescent="0.2">
      <c r="A198" s="162">
        <f t="shared" si="4"/>
        <v>53</v>
      </c>
      <c r="B198" s="161" t="s">
        <v>540</v>
      </c>
      <c r="C198" s="163">
        <v>2</v>
      </c>
      <c r="D198" s="162" t="s">
        <v>509</v>
      </c>
      <c r="E198" s="162">
        <v>4190</v>
      </c>
      <c r="F198" s="162"/>
      <c r="G198" s="159">
        <f t="shared" si="5"/>
        <v>8380</v>
      </c>
    </row>
    <row r="199" spans="1:7" ht="71.25" x14ac:dyDescent="0.2">
      <c r="A199" s="162">
        <f t="shared" si="4"/>
        <v>54</v>
      </c>
      <c r="B199" s="161" t="s">
        <v>541</v>
      </c>
      <c r="C199" s="163">
        <v>2</v>
      </c>
      <c r="D199" s="162" t="s">
        <v>509</v>
      </c>
      <c r="E199" s="162">
        <v>1007</v>
      </c>
      <c r="F199" s="162"/>
      <c r="G199" s="159">
        <f t="shared" si="5"/>
        <v>2014</v>
      </c>
    </row>
    <row r="200" spans="1:7" ht="42.75" x14ac:dyDescent="0.2">
      <c r="A200" s="162">
        <f t="shared" si="4"/>
        <v>55</v>
      </c>
      <c r="B200" s="161" t="s">
        <v>542</v>
      </c>
      <c r="C200" s="163">
        <v>2</v>
      </c>
      <c r="D200" s="162" t="s">
        <v>509</v>
      </c>
      <c r="E200" s="162">
        <v>503</v>
      </c>
      <c r="F200" s="162"/>
      <c r="G200" s="159">
        <f t="shared" si="5"/>
        <v>1006</v>
      </c>
    </row>
    <row r="201" spans="1:7" ht="42.75" x14ac:dyDescent="0.2">
      <c r="A201" s="162">
        <f t="shared" si="4"/>
        <v>56</v>
      </c>
      <c r="B201" s="161" t="s">
        <v>543</v>
      </c>
      <c r="C201" s="163">
        <v>6</v>
      </c>
      <c r="D201" s="162" t="s">
        <v>509</v>
      </c>
      <c r="E201" s="162">
        <v>64</v>
      </c>
      <c r="F201" s="162"/>
      <c r="G201" s="159">
        <f t="shared" si="5"/>
        <v>384</v>
      </c>
    </row>
    <row r="202" spans="1:7" ht="42.75" x14ac:dyDescent="0.2">
      <c r="A202" s="162">
        <f t="shared" si="4"/>
        <v>57</v>
      </c>
      <c r="B202" s="161" t="s">
        <v>544</v>
      </c>
      <c r="C202" s="163">
        <v>2</v>
      </c>
      <c r="D202" s="162" t="s">
        <v>509</v>
      </c>
      <c r="E202" s="162">
        <v>92</v>
      </c>
      <c r="F202" s="162"/>
      <c r="G202" s="159">
        <f t="shared" si="5"/>
        <v>184</v>
      </c>
    </row>
    <row r="203" spans="1:7" ht="42.75" x14ac:dyDescent="0.2">
      <c r="A203" s="162">
        <f t="shared" si="4"/>
        <v>58</v>
      </c>
      <c r="B203" s="161" t="s">
        <v>545</v>
      </c>
      <c r="C203" s="163">
        <v>1</v>
      </c>
      <c r="D203" s="162" t="s">
        <v>509</v>
      </c>
      <c r="E203" s="162">
        <v>230</v>
      </c>
      <c r="F203" s="162"/>
      <c r="G203" s="159">
        <f t="shared" si="5"/>
        <v>230</v>
      </c>
    </row>
    <row r="204" spans="1:7" ht="42.75" x14ac:dyDescent="0.2">
      <c r="A204" s="162">
        <f t="shared" si="4"/>
        <v>59</v>
      </c>
      <c r="B204" s="161" t="s">
        <v>546</v>
      </c>
      <c r="C204" s="163">
        <v>1</v>
      </c>
      <c r="D204" s="162" t="s">
        <v>509</v>
      </c>
      <c r="E204" s="162">
        <v>410</v>
      </c>
      <c r="F204" s="162"/>
      <c r="G204" s="159">
        <f t="shared" si="5"/>
        <v>410</v>
      </c>
    </row>
    <row r="205" spans="1:7" ht="57" x14ac:dyDescent="0.2">
      <c r="A205" s="162">
        <f t="shared" si="4"/>
        <v>60</v>
      </c>
      <c r="B205" s="161" t="s">
        <v>547</v>
      </c>
      <c r="C205" s="164">
        <v>50</v>
      </c>
      <c r="D205" s="162" t="s">
        <v>374</v>
      </c>
      <c r="E205" s="162">
        <v>161</v>
      </c>
      <c r="F205" s="162"/>
      <c r="G205" s="159">
        <f t="shared" si="5"/>
        <v>8050</v>
      </c>
    </row>
    <row r="206" spans="1:7" ht="57" x14ac:dyDescent="0.2">
      <c r="A206" s="162">
        <f t="shared" si="4"/>
        <v>61</v>
      </c>
      <c r="B206" s="161" t="s">
        <v>548</v>
      </c>
      <c r="C206" s="164">
        <v>60</v>
      </c>
      <c r="D206" s="162" t="s">
        <v>374</v>
      </c>
      <c r="E206" s="162">
        <v>268</v>
      </c>
      <c r="F206" s="162"/>
      <c r="G206" s="159">
        <f t="shared" si="5"/>
        <v>16080</v>
      </c>
    </row>
    <row r="207" spans="1:7" ht="42.75" x14ac:dyDescent="0.2">
      <c r="A207" s="162">
        <f t="shared" si="4"/>
        <v>62</v>
      </c>
      <c r="B207" s="161" t="s">
        <v>549</v>
      </c>
      <c r="C207" s="163">
        <v>8</v>
      </c>
      <c r="D207" s="162" t="s">
        <v>509</v>
      </c>
      <c r="E207" s="162">
        <v>610</v>
      </c>
      <c r="F207" s="162"/>
      <c r="G207" s="159">
        <f t="shared" si="5"/>
        <v>4880</v>
      </c>
    </row>
    <row r="208" spans="1:7" ht="28.5" x14ac:dyDescent="0.2">
      <c r="A208" s="162">
        <f t="shared" si="4"/>
        <v>63</v>
      </c>
      <c r="B208" s="161" t="s">
        <v>550</v>
      </c>
      <c r="C208" s="163">
        <v>1</v>
      </c>
      <c r="D208" s="162" t="s">
        <v>509</v>
      </c>
      <c r="E208" s="162">
        <v>561</v>
      </c>
      <c r="F208" s="162"/>
      <c r="G208" s="159">
        <f t="shared" si="5"/>
        <v>561</v>
      </c>
    </row>
    <row r="209" spans="1:7" ht="28.5" x14ac:dyDescent="0.2">
      <c r="A209" s="162">
        <f t="shared" si="4"/>
        <v>64</v>
      </c>
      <c r="B209" s="161" t="s">
        <v>551</v>
      </c>
      <c r="C209" s="163">
        <v>2</v>
      </c>
      <c r="D209" s="162" t="s">
        <v>509</v>
      </c>
      <c r="E209" s="162">
        <v>377</v>
      </c>
      <c r="F209" s="162"/>
      <c r="G209" s="159">
        <f t="shared" si="5"/>
        <v>754</v>
      </c>
    </row>
    <row r="210" spans="1:7" ht="57" x14ac:dyDescent="0.2">
      <c r="A210" s="162">
        <f t="shared" si="4"/>
        <v>65</v>
      </c>
      <c r="B210" s="161" t="s">
        <v>552</v>
      </c>
      <c r="C210" s="163">
        <v>4</v>
      </c>
      <c r="D210" s="162" t="s">
        <v>509</v>
      </c>
      <c r="E210" s="162">
        <v>493</v>
      </c>
      <c r="F210" s="162"/>
      <c r="G210" s="159">
        <f t="shared" si="5"/>
        <v>1972</v>
      </c>
    </row>
    <row r="211" spans="1:7" ht="42.75" x14ac:dyDescent="0.2">
      <c r="A211" s="162">
        <f t="shared" si="4"/>
        <v>66</v>
      </c>
      <c r="B211" s="161" t="s">
        <v>553</v>
      </c>
      <c r="C211" s="163">
        <v>1</v>
      </c>
      <c r="D211" s="162" t="s">
        <v>509</v>
      </c>
      <c r="E211" s="162">
        <v>892</v>
      </c>
      <c r="F211" s="162"/>
      <c r="G211" s="159">
        <f t="shared" si="5"/>
        <v>892</v>
      </c>
    </row>
    <row r="212" spans="1:7" ht="42.75" x14ac:dyDescent="0.2">
      <c r="A212" s="162">
        <f t="shared" si="4"/>
        <v>67</v>
      </c>
      <c r="B212" s="161" t="s">
        <v>554</v>
      </c>
      <c r="C212" s="163">
        <v>2</v>
      </c>
      <c r="D212" s="162" t="s">
        <v>509</v>
      </c>
      <c r="E212" s="162">
        <v>275</v>
      </c>
      <c r="F212" s="162"/>
      <c r="G212" s="159">
        <f t="shared" si="5"/>
        <v>550</v>
      </c>
    </row>
    <row r="213" spans="1:7" ht="85.5" x14ac:dyDescent="0.2">
      <c r="A213" s="162">
        <f t="shared" si="4"/>
        <v>68</v>
      </c>
      <c r="B213" s="161" t="s">
        <v>555</v>
      </c>
      <c r="C213" s="163">
        <v>2</v>
      </c>
      <c r="D213" s="162" t="s">
        <v>509</v>
      </c>
      <c r="E213" s="162">
        <v>3752</v>
      </c>
      <c r="F213" s="162"/>
      <c r="G213" s="159">
        <f t="shared" si="5"/>
        <v>7504</v>
      </c>
    </row>
    <row r="214" spans="1:7" ht="57" x14ac:dyDescent="0.2">
      <c r="A214" s="162">
        <f t="shared" si="4"/>
        <v>69</v>
      </c>
      <c r="B214" s="161" t="s">
        <v>556</v>
      </c>
      <c r="C214" s="164">
        <v>80</v>
      </c>
      <c r="D214" s="162" t="s">
        <v>374</v>
      </c>
      <c r="E214" s="162">
        <v>174</v>
      </c>
      <c r="F214" s="162"/>
      <c r="G214" s="159">
        <f t="shared" si="5"/>
        <v>13920</v>
      </c>
    </row>
    <row r="215" spans="1:7" ht="57" x14ac:dyDescent="0.2">
      <c r="A215" s="162">
        <f t="shared" si="4"/>
        <v>70</v>
      </c>
      <c r="B215" s="161" t="s">
        <v>557</v>
      </c>
      <c r="C215" s="163">
        <v>20</v>
      </c>
      <c r="D215" s="162" t="s">
        <v>509</v>
      </c>
      <c r="E215" s="162">
        <v>114</v>
      </c>
      <c r="F215" s="162"/>
      <c r="G215" s="159">
        <f t="shared" si="5"/>
        <v>2280</v>
      </c>
    </row>
    <row r="216" spans="1:7" ht="57" x14ac:dyDescent="0.2">
      <c r="A216" s="162">
        <f t="shared" si="4"/>
        <v>71</v>
      </c>
      <c r="B216" s="161" t="s">
        <v>558</v>
      </c>
      <c r="C216" s="163">
        <v>50</v>
      </c>
      <c r="D216" s="162" t="s">
        <v>509</v>
      </c>
      <c r="E216" s="162">
        <v>33</v>
      </c>
      <c r="F216" s="162"/>
      <c r="G216" s="159">
        <f t="shared" si="5"/>
        <v>1650</v>
      </c>
    </row>
    <row r="217" spans="1:7" ht="42.75" x14ac:dyDescent="0.2">
      <c r="A217" s="162">
        <f t="shared" si="4"/>
        <v>72</v>
      </c>
      <c r="B217" s="161" t="s">
        <v>559</v>
      </c>
      <c r="C217" s="163">
        <v>2</v>
      </c>
      <c r="D217" s="162" t="s">
        <v>509</v>
      </c>
      <c r="E217" s="162">
        <v>541</v>
      </c>
      <c r="F217" s="162"/>
      <c r="G217" s="159">
        <f t="shared" si="5"/>
        <v>1082</v>
      </c>
    </row>
    <row r="218" spans="1:7" ht="99.75" x14ac:dyDescent="0.2">
      <c r="A218" s="162">
        <f t="shared" si="4"/>
        <v>73</v>
      </c>
      <c r="B218" s="161" t="s">
        <v>560</v>
      </c>
      <c r="C218" s="163">
        <v>1</v>
      </c>
      <c r="D218" s="162" t="s">
        <v>509</v>
      </c>
      <c r="E218" s="162">
        <v>16838</v>
      </c>
      <c r="F218" s="162"/>
      <c r="G218" s="159">
        <f t="shared" si="5"/>
        <v>16838</v>
      </c>
    </row>
    <row r="219" spans="1:7" ht="128.25" x14ac:dyDescent="0.2">
      <c r="A219" s="162">
        <f t="shared" si="4"/>
        <v>74</v>
      </c>
      <c r="B219" s="161" t="s">
        <v>561</v>
      </c>
      <c r="C219" s="163">
        <v>6</v>
      </c>
      <c r="D219" s="162" t="s">
        <v>509</v>
      </c>
      <c r="E219" s="162">
        <v>1112</v>
      </c>
      <c r="F219" s="162"/>
      <c r="G219" s="159">
        <f t="shared" si="5"/>
        <v>6672</v>
      </c>
    </row>
    <row r="220" spans="1:7" ht="171" x14ac:dyDescent="0.2">
      <c r="A220" s="162">
        <f t="shared" si="4"/>
        <v>75</v>
      </c>
      <c r="B220" s="161" t="s">
        <v>562</v>
      </c>
      <c r="C220" s="163">
        <v>2</v>
      </c>
      <c r="D220" s="162" t="s">
        <v>509</v>
      </c>
      <c r="E220" s="162">
        <v>11623</v>
      </c>
      <c r="F220" s="162"/>
      <c r="G220" s="159">
        <f t="shared" si="5"/>
        <v>23246</v>
      </c>
    </row>
    <row r="221" spans="1:7" ht="85.5" x14ac:dyDescent="0.2">
      <c r="A221" s="162">
        <f t="shared" si="4"/>
        <v>76</v>
      </c>
      <c r="B221" s="161" t="s">
        <v>563</v>
      </c>
      <c r="C221" s="164">
        <v>30</v>
      </c>
      <c r="D221" s="162" t="s">
        <v>374</v>
      </c>
      <c r="E221" s="162">
        <v>281</v>
      </c>
      <c r="F221" s="162"/>
      <c r="G221" s="159">
        <f t="shared" si="5"/>
        <v>8430</v>
      </c>
    </row>
    <row r="222" spans="1:7" ht="85.5" x14ac:dyDescent="0.2">
      <c r="A222" s="162">
        <f t="shared" si="4"/>
        <v>77</v>
      </c>
      <c r="B222" s="161" t="s">
        <v>564</v>
      </c>
      <c r="C222" s="164">
        <v>30</v>
      </c>
      <c r="D222" s="162" t="s">
        <v>374</v>
      </c>
      <c r="E222" s="162">
        <v>269</v>
      </c>
      <c r="F222" s="162"/>
      <c r="G222" s="159">
        <f t="shared" si="5"/>
        <v>8070</v>
      </c>
    </row>
    <row r="223" spans="1:7" ht="128.25" x14ac:dyDescent="0.2">
      <c r="A223" s="162">
        <f t="shared" si="4"/>
        <v>78</v>
      </c>
      <c r="B223" s="161" t="s">
        <v>565</v>
      </c>
      <c r="C223" s="163">
        <v>2</v>
      </c>
      <c r="D223" s="162" t="s">
        <v>509</v>
      </c>
      <c r="E223" s="162">
        <v>733</v>
      </c>
      <c r="F223" s="162"/>
      <c r="G223" s="159">
        <f t="shared" si="5"/>
        <v>1466</v>
      </c>
    </row>
    <row r="224" spans="1:7" ht="28.5" x14ac:dyDescent="0.2">
      <c r="A224" s="162">
        <f t="shared" si="4"/>
        <v>79</v>
      </c>
      <c r="B224" s="161" t="s">
        <v>566</v>
      </c>
      <c r="C224" s="163">
        <v>6</v>
      </c>
      <c r="D224" s="162" t="s">
        <v>509</v>
      </c>
      <c r="E224" s="162">
        <v>59</v>
      </c>
      <c r="F224" s="162"/>
      <c r="G224" s="159">
        <f t="shared" si="5"/>
        <v>354</v>
      </c>
    </row>
    <row r="225" spans="1:7" ht="42.75" x14ac:dyDescent="0.2">
      <c r="A225" s="165">
        <v>1</v>
      </c>
      <c r="B225" s="166" t="s">
        <v>16</v>
      </c>
      <c r="C225" s="167" t="e">
        <f>GF1_MES!K267</f>
        <v>#REF!</v>
      </c>
      <c r="D225" s="168" t="s">
        <v>61</v>
      </c>
      <c r="E225" s="167">
        <f>1010+32+27</f>
        <v>1069</v>
      </c>
      <c r="F225" s="168" t="s">
        <v>62</v>
      </c>
      <c r="G225" s="169" t="e">
        <f t="shared" ref="G225:G238" si="6">IF(C225,ROUNDUP(C225*E225,0),"")</f>
        <v>#REF!</v>
      </c>
    </row>
    <row r="226" spans="1:7" ht="42.75" x14ac:dyDescent="0.2">
      <c r="A226" s="165">
        <v>2</v>
      </c>
      <c r="B226" s="166" t="s">
        <v>63</v>
      </c>
      <c r="C226" s="167">
        <f>GF1_MES!K278</f>
        <v>196.66649999999998</v>
      </c>
      <c r="D226" s="168" t="s">
        <v>64</v>
      </c>
      <c r="E226" s="167">
        <f>140+4+3</f>
        <v>147</v>
      </c>
      <c r="F226" s="170" t="s">
        <v>65</v>
      </c>
      <c r="G226" s="169">
        <f>IF(C226,ROUNDUP(C226*E226,0),"")</f>
        <v>28910</v>
      </c>
    </row>
    <row r="227" spans="1:7" ht="85.5" x14ac:dyDescent="0.2">
      <c r="A227" s="165">
        <v>3</v>
      </c>
      <c r="B227" s="171" t="str">
        <f>GF1_MES!B280</f>
        <v>Centering &amp; shuttering with plywood or steel sheets including strutting propping, bracing both ways with wooden members and removal of form work for superstructure upto 4.5 Mtr. height above plinth level (A) For Columns, Pillars, Posts and Struts etc.</v>
      </c>
      <c r="C227" s="167">
        <f>GF1_MES!K283</f>
        <v>1707.1199999999997</v>
      </c>
      <c r="D227" s="170" t="s">
        <v>64</v>
      </c>
      <c r="E227" s="167">
        <v>80</v>
      </c>
      <c r="F227" s="170" t="s">
        <v>65</v>
      </c>
      <c r="G227" s="169">
        <f t="shared" si="6"/>
        <v>136570</v>
      </c>
    </row>
    <row r="228" spans="1:7" ht="57" x14ac:dyDescent="0.2">
      <c r="A228" s="172"/>
      <c r="B228" s="173" t="str">
        <f>GF1_MES!B284</f>
        <v>(B) For suspended floors, roofs, landing staircases, landing balconies, girders, cantilevers, bands, copings, bed plates, anchor blocks, sills, chajjas etc.</v>
      </c>
      <c r="C228" s="167" t="e">
        <f>GF1_MES!K331</f>
        <v>#REF!</v>
      </c>
      <c r="D228" s="170" t="s">
        <v>64</v>
      </c>
      <c r="E228" s="167">
        <v>75</v>
      </c>
      <c r="F228" s="170" t="s">
        <v>65</v>
      </c>
      <c r="G228" s="169" t="e">
        <f t="shared" si="6"/>
        <v>#REF!</v>
      </c>
    </row>
    <row r="229" spans="1:7" ht="171" x14ac:dyDescent="0.2">
      <c r="A229" s="165">
        <f>A227+1</f>
        <v>4</v>
      </c>
      <c r="B229" s="166" t="s">
        <v>25</v>
      </c>
      <c r="C229" s="167">
        <f>GF1_MES!K352</f>
        <v>831.69670799999994</v>
      </c>
      <c r="D229" s="168" t="s">
        <v>61</v>
      </c>
      <c r="E229" s="167">
        <f>1860+21+19</f>
        <v>1900</v>
      </c>
      <c r="F229" s="168" t="s">
        <v>62</v>
      </c>
      <c r="G229" s="169">
        <f>IF(C229,ROUNDUP(C229*E229,0),"")</f>
        <v>1580224</v>
      </c>
    </row>
    <row r="230" spans="1:7" ht="42.75" x14ac:dyDescent="0.2">
      <c r="A230" s="172"/>
      <c r="B230" s="174" t="s">
        <v>24</v>
      </c>
      <c r="C230" s="167" t="e">
        <f>GF1_MES!K365</f>
        <v>#REF!</v>
      </c>
      <c r="D230" s="168" t="s">
        <v>61</v>
      </c>
      <c r="E230" s="167">
        <f>1860+60+19</f>
        <v>1939</v>
      </c>
      <c r="F230" s="168" t="s">
        <v>62</v>
      </c>
      <c r="G230" s="169" t="e">
        <f>IF(C230,ROUNDUP(C230*E230,0),"")</f>
        <v>#REF!</v>
      </c>
    </row>
    <row r="231" spans="1:7" x14ac:dyDescent="0.2">
      <c r="A231" s="172"/>
      <c r="B231" s="174" t="s">
        <v>23</v>
      </c>
      <c r="C231" s="167">
        <f>GF1_MES!K370</f>
        <v>161.10900000000001</v>
      </c>
      <c r="D231" s="168" t="s">
        <v>61</v>
      </c>
      <c r="E231" s="167">
        <f>1860+55+19</f>
        <v>1934</v>
      </c>
      <c r="F231" s="168" t="s">
        <v>62</v>
      </c>
      <c r="G231" s="169">
        <f t="shared" si="6"/>
        <v>311585</v>
      </c>
    </row>
    <row r="232" spans="1:7" ht="99.75" x14ac:dyDescent="0.2">
      <c r="A232" s="165">
        <f>A229+1</f>
        <v>5</v>
      </c>
      <c r="B232" s="171" t="s">
        <v>284</v>
      </c>
      <c r="C232" s="175" t="e">
        <f>GF1_MES!K375</f>
        <v>#REF!</v>
      </c>
      <c r="D232" s="168" t="s">
        <v>67</v>
      </c>
      <c r="E232" s="167">
        <v>18.8</v>
      </c>
      <c r="F232" s="170" t="s">
        <v>68</v>
      </c>
      <c r="G232" s="169" t="e">
        <f t="shared" si="6"/>
        <v>#REF!</v>
      </c>
    </row>
    <row r="233" spans="1:7" ht="42.75" x14ac:dyDescent="0.2">
      <c r="A233" s="165">
        <v>6</v>
      </c>
      <c r="B233" s="173" t="s">
        <v>245</v>
      </c>
      <c r="C233" s="167" t="e">
        <f>GF1_MES!K412</f>
        <v>#REF!</v>
      </c>
      <c r="D233" s="168" t="s">
        <v>64</v>
      </c>
      <c r="E233" s="167">
        <v>37</v>
      </c>
      <c r="F233" s="170" t="s">
        <v>65</v>
      </c>
      <c r="G233" s="169" t="e">
        <f>IF(C233,ROUNDUP(C233*E233,0),"")</f>
        <v>#REF!</v>
      </c>
    </row>
    <row r="234" spans="1:7" ht="185.25" x14ac:dyDescent="0.2">
      <c r="A234" s="172">
        <v>7</v>
      </c>
      <c r="B234" s="174" t="s">
        <v>0</v>
      </c>
      <c r="C234" s="167">
        <f>GF1_MES!K418</f>
        <v>2043.0294374999999</v>
      </c>
      <c r="D234" s="168" t="s">
        <v>67</v>
      </c>
      <c r="E234" s="167">
        <v>26</v>
      </c>
      <c r="F234" s="170" t="s">
        <v>68</v>
      </c>
      <c r="G234" s="169">
        <f>IF(C234,C234*E234,"")</f>
        <v>53118.765374999995</v>
      </c>
    </row>
    <row r="235" spans="1:7" ht="270.75" x14ac:dyDescent="0.2">
      <c r="A235" s="165">
        <v>8</v>
      </c>
      <c r="B235" s="171" t="s">
        <v>1</v>
      </c>
      <c r="C235" s="167">
        <f>GF1_MES!K424</f>
        <v>645.29999999999995</v>
      </c>
      <c r="D235" s="168" t="s">
        <v>64</v>
      </c>
      <c r="E235" s="167">
        <v>700</v>
      </c>
      <c r="F235" s="170" t="s">
        <v>65</v>
      </c>
      <c r="G235" s="169">
        <f t="shared" si="6"/>
        <v>451710</v>
      </c>
    </row>
    <row r="236" spans="1:7" ht="28.5" x14ac:dyDescent="0.2">
      <c r="A236" s="165">
        <f>A235+1</f>
        <v>9</v>
      </c>
      <c r="B236" s="174" t="s">
        <v>69</v>
      </c>
      <c r="C236" s="167">
        <f>GF1_MES!K430</f>
        <v>5764.3559999999998</v>
      </c>
      <c r="D236" s="168" t="s">
        <v>67</v>
      </c>
      <c r="E236" s="167">
        <v>19</v>
      </c>
      <c r="F236" s="170" t="s">
        <v>68</v>
      </c>
      <c r="G236" s="169">
        <f t="shared" si="6"/>
        <v>109523</v>
      </c>
    </row>
    <row r="237" spans="1:7" ht="57" x14ac:dyDescent="0.2">
      <c r="A237" s="165">
        <f>A236+1</f>
        <v>10</v>
      </c>
      <c r="B237" s="174" t="s">
        <v>70</v>
      </c>
      <c r="C237" s="167">
        <f>GF1_MES!K433</f>
        <v>64.53</v>
      </c>
      <c r="D237" s="168" t="s">
        <v>64</v>
      </c>
      <c r="E237" s="167">
        <v>185</v>
      </c>
      <c r="F237" s="170" t="s">
        <v>65</v>
      </c>
      <c r="G237" s="169">
        <f t="shared" si="6"/>
        <v>11939</v>
      </c>
    </row>
    <row r="238" spans="1:7" ht="85.5" x14ac:dyDescent="0.2">
      <c r="A238" s="165">
        <f>A237+1</f>
        <v>11</v>
      </c>
      <c r="B238" s="173" t="s">
        <v>71</v>
      </c>
      <c r="C238" s="167">
        <f>GF1_MES!K439</f>
        <v>338.23687499999994</v>
      </c>
      <c r="D238" s="168" t="s">
        <v>67</v>
      </c>
      <c r="E238" s="167">
        <v>30</v>
      </c>
      <c r="F238" s="170" t="s">
        <v>68</v>
      </c>
      <c r="G238" s="169">
        <f t="shared" si="6"/>
        <v>10148</v>
      </c>
    </row>
    <row r="239" spans="1:7" ht="57" x14ac:dyDescent="0.2">
      <c r="A239" s="172">
        <v>12</v>
      </c>
      <c r="B239" s="174" t="s">
        <v>322</v>
      </c>
      <c r="C239" s="167"/>
      <c r="D239" s="168"/>
      <c r="E239" s="167"/>
      <c r="F239" s="168"/>
      <c r="G239" s="168"/>
    </row>
    <row r="240" spans="1:7" ht="28.5" x14ac:dyDescent="0.2">
      <c r="A240" s="172"/>
      <c r="B240" s="174" t="s">
        <v>323</v>
      </c>
      <c r="C240" s="167">
        <f>GF1_MES!K448</f>
        <v>3630.9251999999992</v>
      </c>
      <c r="D240" s="168" t="s">
        <v>64</v>
      </c>
      <c r="E240" s="167">
        <v>300</v>
      </c>
      <c r="F240" s="170" t="s">
        <v>65</v>
      </c>
      <c r="G240" s="169">
        <f>IF(C240,C240*E240,"")</f>
        <v>1089277.5599999998</v>
      </c>
    </row>
    <row r="241" spans="1:7" x14ac:dyDescent="0.2">
      <c r="F241" s="54"/>
      <c r="G241" s="60"/>
    </row>
    <row r="242" spans="1:7" ht="30" x14ac:dyDescent="0.2">
      <c r="B242" s="17" t="s">
        <v>324</v>
      </c>
      <c r="C242" s="12">
        <f>GF1_MES!K455</f>
        <v>73.8</v>
      </c>
      <c r="D242" s="11" t="s">
        <v>64</v>
      </c>
      <c r="E242" s="12">
        <v>335</v>
      </c>
      <c r="F242" s="54" t="s">
        <v>65</v>
      </c>
      <c r="G242" s="60">
        <f>IF(C242,C242*E242,"")</f>
        <v>24723</v>
      </c>
    </row>
    <row r="243" spans="1:7" ht="180" x14ac:dyDescent="0.2">
      <c r="A243" s="119">
        <v>13</v>
      </c>
      <c r="B243" s="117" t="s">
        <v>43</v>
      </c>
      <c r="C243" s="12">
        <f>GF1_MES!K459</f>
        <v>158.76</v>
      </c>
      <c r="D243" s="11" t="s">
        <v>64</v>
      </c>
      <c r="E243" s="12">
        <v>1240</v>
      </c>
      <c r="F243" s="54" t="s">
        <v>65</v>
      </c>
      <c r="G243" s="60">
        <f t="shared" ref="G243:G255" si="7">IF(C243,ROUNDUP(C243*E243,0),"")</f>
        <v>196863</v>
      </c>
    </row>
    <row r="244" spans="1:7" ht="180" x14ac:dyDescent="0.2">
      <c r="A244" s="119">
        <f>A243+1</f>
        <v>14</v>
      </c>
      <c r="B244" s="114" t="s">
        <v>44</v>
      </c>
      <c r="C244" s="12">
        <f>GF1_MES!K463</f>
        <v>18.900000000000002</v>
      </c>
      <c r="D244" s="11" t="s">
        <v>64</v>
      </c>
      <c r="E244" s="12">
        <f>0.8*1240</f>
        <v>992</v>
      </c>
      <c r="F244" s="54" t="s">
        <v>65</v>
      </c>
      <c r="G244" s="60">
        <f>IF(C244,ROUNDUP(C244*E244,0),"")</f>
        <v>18749</v>
      </c>
    </row>
    <row r="245" spans="1:7" ht="45" x14ac:dyDescent="0.2">
      <c r="A245" s="119">
        <v>15</v>
      </c>
      <c r="B245" s="117" t="s">
        <v>48</v>
      </c>
      <c r="C245" s="12" t="e">
        <f>GF1_MES!K470</f>
        <v>#REF!</v>
      </c>
      <c r="D245" s="11" t="s">
        <v>64</v>
      </c>
      <c r="E245" s="12">
        <v>4</v>
      </c>
      <c r="F245" s="54" t="s">
        <v>65</v>
      </c>
      <c r="G245" s="60" t="e">
        <f t="shared" si="7"/>
        <v>#REF!</v>
      </c>
    </row>
    <row r="246" spans="1:7" ht="60" x14ac:dyDescent="0.2">
      <c r="A246" s="119">
        <f>A245+1</f>
        <v>16</v>
      </c>
      <c r="B246" s="118" t="s">
        <v>246</v>
      </c>
      <c r="C246" s="12">
        <f>GF1_MES!K474</f>
        <v>3209.3429999999998</v>
      </c>
      <c r="D246" s="11" t="s">
        <v>64</v>
      </c>
      <c r="E246" s="12">
        <v>4.5</v>
      </c>
      <c r="F246" s="54" t="s">
        <v>65</v>
      </c>
      <c r="G246" s="60">
        <f t="shared" si="7"/>
        <v>14443</v>
      </c>
    </row>
    <row r="247" spans="1:7" ht="60" x14ac:dyDescent="0.2">
      <c r="A247" s="119">
        <f>A246+1</f>
        <v>17</v>
      </c>
      <c r="B247" s="17" t="s">
        <v>204</v>
      </c>
      <c r="C247" s="12">
        <f>GF1_MES!K482</f>
        <v>2149.0649999999996</v>
      </c>
      <c r="D247" s="11" t="s">
        <v>64</v>
      </c>
      <c r="E247" s="12">
        <v>9</v>
      </c>
      <c r="F247" s="54" t="s">
        <v>65</v>
      </c>
      <c r="G247" s="60">
        <f t="shared" si="7"/>
        <v>19342</v>
      </c>
    </row>
    <row r="248" spans="1:7" ht="45" x14ac:dyDescent="0.2">
      <c r="A248" s="119">
        <f>A247+1</f>
        <v>18</v>
      </c>
      <c r="B248" s="118" t="s">
        <v>75</v>
      </c>
      <c r="C248" s="12">
        <f>GF1_MES!K485</f>
        <v>2149.0649999999996</v>
      </c>
      <c r="D248" s="11" t="s">
        <v>64</v>
      </c>
      <c r="E248" s="12">
        <v>24</v>
      </c>
      <c r="F248" s="54" t="s">
        <v>65</v>
      </c>
      <c r="G248" s="60">
        <f t="shared" si="7"/>
        <v>51578</v>
      </c>
    </row>
    <row r="249" spans="1:7" ht="195" x14ac:dyDescent="0.2">
      <c r="A249" s="119">
        <f>A248+1</f>
        <v>19</v>
      </c>
      <c r="B249" s="115" t="s">
        <v>47</v>
      </c>
      <c r="C249" s="12">
        <f>GF1_MES!K489</f>
        <v>21.599999999999998</v>
      </c>
      <c r="D249" s="11" t="s">
        <v>64</v>
      </c>
      <c r="E249" s="12">
        <v>880</v>
      </c>
      <c r="F249" s="54" t="s">
        <v>65</v>
      </c>
      <c r="G249" s="60">
        <f t="shared" si="7"/>
        <v>19008</v>
      </c>
    </row>
    <row r="250" spans="1:7" ht="45" x14ac:dyDescent="0.2">
      <c r="A250" s="1">
        <v>20</v>
      </c>
      <c r="B250" s="118" t="s">
        <v>76</v>
      </c>
      <c r="C250" s="4">
        <f>GF1_MES!K495</f>
        <v>3575.1251999999995</v>
      </c>
      <c r="D250" s="35" t="s">
        <v>64</v>
      </c>
      <c r="E250" s="4">
        <v>91</v>
      </c>
      <c r="F250" s="39" t="s">
        <v>65</v>
      </c>
      <c r="G250" s="60">
        <f t="shared" si="7"/>
        <v>325337</v>
      </c>
    </row>
    <row r="251" spans="1:7" ht="60" x14ac:dyDescent="0.2">
      <c r="A251" s="1">
        <v>21</v>
      </c>
      <c r="B251" s="118" t="s">
        <v>331</v>
      </c>
      <c r="C251" s="4">
        <f>GF1_MES!K497</f>
        <v>3575.1251999999995</v>
      </c>
      <c r="D251" s="35" t="s">
        <v>64</v>
      </c>
      <c r="E251" s="4">
        <v>20</v>
      </c>
      <c r="F251" s="39" t="s">
        <v>65</v>
      </c>
      <c r="G251" s="23">
        <f>IF(C251,C251*E251,"")</f>
        <v>71502.503999999986</v>
      </c>
    </row>
    <row r="252" spans="1:7" ht="60" x14ac:dyDescent="0.2">
      <c r="A252" s="1">
        <v>22</v>
      </c>
      <c r="B252" s="118" t="s">
        <v>77</v>
      </c>
      <c r="C252" s="4">
        <f>GF1_MES!K500</f>
        <v>893.78129999999987</v>
      </c>
      <c r="D252" s="35" t="s">
        <v>73</v>
      </c>
      <c r="E252" s="4">
        <v>18</v>
      </c>
      <c r="F252" s="39" t="s">
        <v>74</v>
      </c>
      <c r="G252" s="60">
        <f t="shared" si="7"/>
        <v>16089</v>
      </c>
    </row>
    <row r="253" spans="1:7" ht="75" x14ac:dyDescent="0.2">
      <c r="A253" s="1">
        <f>IF(A252,A252+1,#REF!+1)</f>
        <v>23</v>
      </c>
      <c r="B253" s="118" t="s">
        <v>185</v>
      </c>
      <c r="C253" s="4">
        <f>GF1_MES!K502</f>
        <v>3575.1251999999995</v>
      </c>
      <c r="D253" s="35" t="s">
        <v>64</v>
      </c>
      <c r="E253" s="4">
        <v>60</v>
      </c>
      <c r="F253" s="39" t="s">
        <v>65</v>
      </c>
      <c r="G253" s="60">
        <f t="shared" si="7"/>
        <v>214508</v>
      </c>
    </row>
    <row r="254" spans="1:7" ht="45" x14ac:dyDescent="0.2">
      <c r="A254" s="1">
        <v>24</v>
      </c>
      <c r="B254" s="17" t="s">
        <v>2</v>
      </c>
      <c r="C254" s="4">
        <f>GF1_MES!K504</f>
        <v>3575.1251999999995</v>
      </c>
      <c r="D254" s="35" t="s">
        <v>64</v>
      </c>
      <c r="E254" s="4">
        <v>135</v>
      </c>
      <c r="F254" s="39" t="s">
        <v>65</v>
      </c>
      <c r="G254" s="23">
        <f>IF(C254,C254*E254,"")</f>
        <v>482641.90199999994</v>
      </c>
    </row>
    <row r="255" spans="1:7" ht="90" x14ac:dyDescent="0.2">
      <c r="A255" s="119">
        <v>25</v>
      </c>
      <c r="B255" s="17" t="s">
        <v>333</v>
      </c>
      <c r="C255" s="4">
        <f>GF1_MES!K511</f>
        <v>1807.2</v>
      </c>
      <c r="D255" s="35" t="s">
        <v>64</v>
      </c>
      <c r="E255" s="4">
        <v>425</v>
      </c>
      <c r="F255" s="39" t="s">
        <v>65</v>
      </c>
      <c r="G255" s="60">
        <f t="shared" si="7"/>
        <v>768060</v>
      </c>
    </row>
    <row r="256" spans="1:7" ht="90" x14ac:dyDescent="0.2">
      <c r="A256" s="119">
        <f>A255+1</f>
        <v>26</v>
      </c>
      <c r="B256" s="114" t="s">
        <v>46</v>
      </c>
      <c r="C256" s="4">
        <f>GF1_MES!K514</f>
        <v>216</v>
      </c>
      <c r="D256" s="35" t="s">
        <v>73</v>
      </c>
      <c r="E256" s="4">
        <v>62</v>
      </c>
      <c r="F256" s="39" t="s">
        <v>74</v>
      </c>
      <c r="G256" s="60">
        <f>IF(C256,ROUNDUP(C256*E256,0),"")</f>
        <v>13392</v>
      </c>
    </row>
    <row r="257" spans="1:7" ht="45" x14ac:dyDescent="0.2">
      <c r="A257" s="119">
        <v>27</v>
      </c>
      <c r="B257" s="17" t="s">
        <v>296</v>
      </c>
      <c r="C257" s="4" t="e">
        <f>GF1_MES!K518</f>
        <v>#REF!</v>
      </c>
      <c r="D257" s="35" t="s">
        <v>64</v>
      </c>
      <c r="E257" s="4">
        <v>85</v>
      </c>
      <c r="F257" s="39" t="s">
        <v>65</v>
      </c>
      <c r="G257" s="60" t="e">
        <f>IF(C257,ROUNDUP(C257*E257,0),"")</f>
        <v>#REF!</v>
      </c>
    </row>
    <row r="258" spans="1:7" ht="60" x14ac:dyDescent="0.2">
      <c r="A258" s="119">
        <v>28</v>
      </c>
      <c r="B258" s="114" t="s">
        <v>294</v>
      </c>
      <c r="C258" s="23">
        <f>GF1_MES!K521</f>
        <v>35.396999999999998</v>
      </c>
      <c r="D258" t="s">
        <v>61</v>
      </c>
      <c r="E258" s="4">
        <v>40</v>
      </c>
      <c r="F258" t="s">
        <v>62</v>
      </c>
      <c r="G258" s="60">
        <f>IF(C258,ROUNDUP(C258*E258,0),"")</f>
        <v>1416</v>
      </c>
    </row>
    <row r="259" spans="1:7" ht="120" x14ac:dyDescent="0.2">
      <c r="A259" s="1">
        <v>29</v>
      </c>
      <c r="B259" s="17" t="s">
        <v>332</v>
      </c>
      <c r="C259" s="23">
        <v>30</v>
      </c>
      <c r="D259" t="s">
        <v>73</v>
      </c>
      <c r="E259" s="4">
        <v>215</v>
      </c>
      <c r="F259" t="s">
        <v>74</v>
      </c>
      <c r="G259" s="23">
        <f>IF(C259,C259*E259,"")</f>
        <v>6450</v>
      </c>
    </row>
    <row r="260" spans="1:7" ht="15.75" x14ac:dyDescent="0.25">
      <c r="A260"/>
      <c r="B260" s="177" t="s">
        <v>335</v>
      </c>
      <c r="C260"/>
      <c r="D260"/>
      <c r="E260"/>
      <c r="F260"/>
      <c r="G260"/>
    </row>
    <row r="261" spans="1:7" x14ac:dyDescent="0.2">
      <c r="A261" s="135">
        <v>30</v>
      </c>
      <c r="B261" s="17" t="s">
        <v>334</v>
      </c>
      <c r="C261" s="23">
        <v>27</v>
      </c>
      <c r="D261" t="s">
        <v>82</v>
      </c>
      <c r="E261" s="4">
        <v>15000</v>
      </c>
      <c r="F261" t="s">
        <v>134</v>
      </c>
      <c r="G261" s="23">
        <f>IF(C261,C261*E261,"")</f>
        <v>405000</v>
      </c>
    </row>
    <row r="262" spans="1:7" x14ac:dyDescent="0.2">
      <c r="A262" s="135"/>
      <c r="C262" s="23"/>
      <c r="D262"/>
      <c r="E262" s="4"/>
      <c r="F262"/>
      <c r="G262" s="23"/>
    </row>
    <row r="263" spans="1:7" x14ac:dyDescent="0.2">
      <c r="C263" s="11"/>
      <c r="E263" s="107" t="s">
        <v>78</v>
      </c>
      <c r="F263" s="31" t="s">
        <v>50</v>
      </c>
      <c r="G263" s="31" t="e">
        <f>SUM(G225:G261)</f>
        <v>#REF!</v>
      </c>
    </row>
    <row r="264" spans="1:7" x14ac:dyDescent="0.2">
      <c r="C264" s="11"/>
      <c r="F264" s="60"/>
      <c r="G264" s="60"/>
    </row>
    <row r="265" spans="1:7" x14ac:dyDescent="0.2">
      <c r="C265" s="11"/>
      <c r="F265" s="60"/>
      <c r="G265" s="60"/>
    </row>
    <row r="266" spans="1:7" ht="15.75" x14ac:dyDescent="0.25">
      <c r="A266" s="62"/>
      <c r="B266" s="120"/>
      <c r="C266" s="11"/>
      <c r="D266" s="87" t="s">
        <v>9</v>
      </c>
      <c r="E266" s="11"/>
      <c r="F266" s="48"/>
      <c r="G266" s="61"/>
    </row>
    <row r="267" spans="1:7" ht="15.75" x14ac:dyDescent="0.25">
      <c r="A267" s="62"/>
      <c r="B267" s="120"/>
      <c r="C267" s="11"/>
      <c r="D267" s="62" t="s">
        <v>10</v>
      </c>
      <c r="E267" s="11"/>
      <c r="F267" s="48"/>
      <c r="G267" s="61"/>
    </row>
    <row r="268" spans="1:7" x14ac:dyDescent="0.2">
      <c r="A268" s="65"/>
      <c r="B268" s="116"/>
      <c r="C268" s="42"/>
      <c r="D268" s="45"/>
      <c r="E268" s="59"/>
      <c r="F268" s="45"/>
      <c r="G268" s="43"/>
    </row>
    <row r="269" spans="1:7" x14ac:dyDescent="0.2">
      <c r="A269" s="65"/>
      <c r="B269" s="116"/>
      <c r="C269" s="42"/>
      <c r="D269" s="45"/>
      <c r="E269" s="59"/>
      <c r="F269" s="45"/>
      <c r="G269" s="43"/>
    </row>
    <row r="270" spans="1:7" x14ac:dyDescent="0.2">
      <c r="A270"/>
      <c r="C270" s="11"/>
      <c r="E270" s="11"/>
    </row>
    <row r="271" spans="1:7" ht="15.75" x14ac:dyDescent="0.2">
      <c r="A271"/>
      <c r="C271" s="64"/>
      <c r="E271" s="11"/>
    </row>
    <row r="272" spans="1:7" ht="15.75" x14ac:dyDescent="0.2">
      <c r="A272"/>
      <c r="C272" s="62"/>
      <c r="E272" s="11"/>
    </row>
    <row r="273" spans="1:5" x14ac:dyDescent="0.2">
      <c r="A273"/>
      <c r="C273" s="11"/>
      <c r="E273" s="11"/>
    </row>
    <row r="274" spans="1:5" x14ac:dyDescent="0.2">
      <c r="A274"/>
      <c r="C274" s="11"/>
      <c r="E274" s="11"/>
    </row>
    <row r="275" spans="1:5" x14ac:dyDescent="0.2">
      <c r="A275"/>
      <c r="C275" s="11"/>
      <c r="E275" s="11"/>
    </row>
    <row r="276" spans="1:5" x14ac:dyDescent="0.2">
      <c r="A276"/>
      <c r="C276" s="11"/>
      <c r="E276" s="11"/>
    </row>
    <row r="277" spans="1:5" x14ac:dyDescent="0.2">
      <c r="A277"/>
      <c r="C277" s="11"/>
      <c r="E277" s="11"/>
    </row>
    <row r="278" spans="1:5" x14ac:dyDescent="0.2">
      <c r="A278"/>
      <c r="C278" s="11"/>
      <c r="E278" s="11"/>
    </row>
    <row r="279" spans="1:5" x14ac:dyDescent="0.2">
      <c r="A279"/>
      <c r="C279" s="11"/>
      <c r="E279" s="11"/>
    </row>
    <row r="280" spans="1:5" x14ac:dyDescent="0.2">
      <c r="A280"/>
      <c r="C280" s="11"/>
      <c r="E280" s="11"/>
    </row>
    <row r="281" spans="1:5" x14ac:dyDescent="0.2">
      <c r="A281"/>
      <c r="C281" s="11"/>
      <c r="E281" s="11"/>
    </row>
    <row r="282" spans="1:5" x14ac:dyDescent="0.2">
      <c r="A282"/>
      <c r="C282" s="11"/>
      <c r="E282" s="11"/>
    </row>
    <row r="283" spans="1:5" x14ac:dyDescent="0.2">
      <c r="A283"/>
      <c r="C283" s="11"/>
      <c r="E283" s="11"/>
    </row>
  </sheetData>
  <mergeCells count="3">
    <mergeCell ref="A1:G1"/>
    <mergeCell ref="A2:G2"/>
    <mergeCell ref="A3:G3"/>
  </mergeCells>
  <phoneticPr fontId="0" type="noConversion"/>
  <dataValidations count="4">
    <dataValidation type="decimal" allowBlank="1" showInputMessage="1" showErrorMessage="1" errorTitle="Invalid Entry" error="Only Numeric Values are allowed. " promptTitle="Quantity" prompt="Please enter the Quantity for this item. " sqref="C65:C81 C51:C63 C29:C42 C44:C49 C22:C27 C7:C20 C134:C136 C112:C125 C83:C88 C105:C110 C90:C103 C127:C132 C138:C145 C5">
      <formula1>0</formula1>
      <formula2>999999999999999</formula2>
    </dataValidation>
    <dataValidation type="decimal" allowBlank="1" showInputMessage="1" showErrorMessage="1" errorTitle="Invalid Entry" error="Only Numeric Values are allowed. " sqref="E64:F64 C64 E6 E137:F137 C50 E50:F50 C28 C43 E43:F43 E28:F28 C6 C21 C137 C133 E82:F82 C82 E89:F89 E104:F104 C104 C89 E111:F111 E126:F126 C126 C111 E133:F133 E21">
      <formula1>0</formula1>
      <formula2>999999999999999</formula2>
    </dataValidation>
    <dataValidation type="decimal" allowBlank="1" showInputMessage="1" showErrorMessage="1" errorTitle="Invalid Entry" error="Only Numeric Values are allowed. " promptTitle="Estimated Rate" prompt="Please enter the Estimated Rate for this item. " sqref="F57:F63 F25:F27 E29:F42 E44:F49 F19 E138:F145 E134:F136 E112:F125 E83:F88 E105:F110 E90:F103 E127:F132 E7:E20 F7 F13:F17 E22:E27 F22:F23 E51:E63 F51 F53:F55 E65:E81 F65:F66 F68:F81 E5">
      <formula1>0</formula1>
      <formula2>999999999999999</formula2>
    </dataValidation>
    <dataValidation type="decimal" allowBlank="1" showInputMessage="1" showErrorMessage="1" errorTitle="Invalid Entry" error="Only Numeric Values are allowed." sqref="A5:A145">
      <formula1>0</formula1>
      <formula2>999999999999999</formula2>
    </dataValidation>
  </dataValidations>
  <printOptions horizontalCentered="1"/>
  <pageMargins left="0.75" right="0.75" top="0.76" bottom="1" header="0.5" footer="0.5"/>
  <pageSetup paperSize="9" scale="90" fitToHeight="22" orientation="portrait" horizontalDpi="180" verticalDpi="180" r:id="rId1"/>
  <headerFooter alignWithMargins="0">
    <oddFooter>&amp;LGIRLS PHARMACY BNI&amp;R&amp;D&amp;'  Page-&amp;P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528"/>
  <sheetViews>
    <sheetView tabSelected="1" topLeftCell="A144" zoomScaleNormal="75" zoomScaleSheetLayoutView="75" workbookViewId="0">
      <selection activeCell="E146" sqref="E146"/>
    </sheetView>
    <sheetView topLeftCell="A165" workbookViewId="1">
      <selection activeCell="A173" sqref="A173"/>
    </sheetView>
  </sheetViews>
  <sheetFormatPr defaultRowHeight="14.25" x14ac:dyDescent="0.2"/>
  <cols>
    <col min="1" max="1" width="3.44140625" style="247" customWidth="1"/>
    <col min="2" max="2" width="33" style="212" customWidth="1"/>
    <col min="3" max="3" width="5.44140625" style="247" customWidth="1"/>
    <col min="4" max="4" width="2.5546875" style="206" customWidth="1"/>
    <col min="5" max="5" width="9" style="199" customWidth="1"/>
    <col min="6" max="6" width="2.21875" style="206" customWidth="1"/>
    <col min="7" max="7" width="6.5546875" style="205" customWidth="1"/>
    <col min="8" max="8" width="2" style="206" customWidth="1"/>
    <col min="9" max="9" width="6.33203125" style="199" customWidth="1"/>
    <col min="10" max="10" width="2" style="206" customWidth="1"/>
    <col min="11" max="11" width="10.33203125" style="199" customWidth="1"/>
    <col min="12" max="12" width="5.33203125" style="206" customWidth="1"/>
    <col min="13" max="16384" width="8.88671875" style="206"/>
  </cols>
  <sheetData>
    <row r="1" spans="1:22" s="179" customFormat="1" x14ac:dyDescent="0.2">
      <c r="A1" s="299" t="str">
        <f>'gen-abstract'!A2</f>
        <v>NAME OF WORK :- CONSTRUCTION OF COMMERCIAL COMPLEX FOR PANCHAYAT SAMITI GIRWA, UDAIPUR</v>
      </c>
      <c r="B1" s="299"/>
      <c r="C1" s="299"/>
      <c r="D1" s="299"/>
      <c r="E1" s="299"/>
      <c r="F1" s="299"/>
      <c r="G1" s="299"/>
      <c r="H1" s="299"/>
      <c r="I1" s="299"/>
      <c r="J1" s="299"/>
      <c r="K1" s="299"/>
      <c r="L1" s="299"/>
    </row>
    <row r="2" spans="1:22" s="179" customFormat="1" ht="15" x14ac:dyDescent="0.2">
      <c r="A2" s="300"/>
      <c r="B2" s="300"/>
      <c r="C2" s="300"/>
      <c r="D2" s="300"/>
      <c r="E2" s="300"/>
      <c r="F2" s="300"/>
      <c r="G2" s="300"/>
      <c r="H2" s="300"/>
      <c r="I2" s="300"/>
      <c r="J2" s="300"/>
      <c r="K2" s="300"/>
      <c r="L2" s="300"/>
    </row>
    <row r="3" spans="1:22" s="179" customFormat="1" ht="15" x14ac:dyDescent="0.2">
      <c r="A3" s="300" t="s">
        <v>574</v>
      </c>
      <c r="B3" s="300"/>
      <c r="C3" s="300"/>
      <c r="D3" s="300"/>
      <c r="E3" s="300"/>
      <c r="F3" s="300"/>
      <c r="G3" s="300"/>
      <c r="H3" s="300"/>
      <c r="I3" s="300"/>
      <c r="J3" s="300"/>
      <c r="K3" s="300"/>
      <c r="L3" s="300"/>
    </row>
    <row r="4" spans="1:22" s="179" customFormat="1" x14ac:dyDescent="0.2">
      <c r="A4" s="301" t="s">
        <v>79</v>
      </c>
      <c r="B4" s="301"/>
      <c r="C4" s="301"/>
      <c r="D4" s="301"/>
      <c r="E4" s="301"/>
      <c r="F4" s="301"/>
      <c r="G4" s="301"/>
      <c r="H4" s="301"/>
      <c r="I4" s="301"/>
      <c r="J4" s="301"/>
      <c r="K4" s="301"/>
      <c r="L4" s="301"/>
    </row>
    <row r="5" spans="1:22" s="180" customFormat="1" x14ac:dyDescent="0.2">
      <c r="A5" s="144" t="s">
        <v>80</v>
      </c>
      <c r="B5" s="181" t="s">
        <v>81</v>
      </c>
      <c r="C5" s="144" t="s">
        <v>82</v>
      </c>
      <c r="D5" s="144"/>
      <c r="E5" s="182" t="s">
        <v>83</v>
      </c>
      <c r="F5" s="144"/>
      <c r="G5" s="182" t="s">
        <v>84</v>
      </c>
      <c r="H5" s="182"/>
      <c r="I5" s="182" t="s">
        <v>85</v>
      </c>
      <c r="J5" s="182"/>
      <c r="K5" s="182" t="s">
        <v>86</v>
      </c>
      <c r="L5" s="182" t="s">
        <v>87</v>
      </c>
    </row>
    <row r="6" spans="1:22" s="179" customFormat="1" ht="15.75" customHeight="1" x14ac:dyDescent="0.2">
      <c r="A6" s="148"/>
      <c r="B6" s="183" t="s">
        <v>205</v>
      </c>
      <c r="C6" s="184"/>
      <c r="E6" s="184"/>
      <c r="G6" s="185"/>
    </row>
    <row r="7" spans="1:22" s="179" customFormat="1" ht="15.75" customHeight="1" x14ac:dyDescent="0.2">
      <c r="A7" s="148"/>
      <c r="B7" s="186" t="s">
        <v>567</v>
      </c>
      <c r="C7" s="184"/>
      <c r="E7" s="184"/>
      <c r="G7" s="185"/>
    </row>
    <row r="8" spans="1:22" s="179" customFormat="1" ht="15.75" customHeight="1" x14ac:dyDescent="0.2">
      <c r="A8" s="148"/>
      <c r="B8" s="186" t="s">
        <v>573</v>
      </c>
      <c r="C8" s="184"/>
      <c r="E8" s="184"/>
      <c r="G8" s="185"/>
    </row>
    <row r="9" spans="1:22" s="179" customFormat="1" x14ac:dyDescent="0.2">
      <c r="A9" s="187"/>
      <c r="B9" s="147" t="s">
        <v>568</v>
      </c>
      <c r="C9" s="148">
        <v>1</v>
      </c>
      <c r="D9" s="179" t="s">
        <v>88</v>
      </c>
      <c r="E9" s="184">
        <v>3.58</v>
      </c>
      <c r="G9" s="185"/>
      <c r="I9" s="184"/>
      <c r="J9" s="188" t="s">
        <v>89</v>
      </c>
      <c r="K9" s="184">
        <f t="shared" ref="K9:K15" si="0">IF(C9,C9*E9,"")</f>
        <v>3.58</v>
      </c>
      <c r="L9" s="148" t="s">
        <v>73</v>
      </c>
      <c r="O9" s="148"/>
      <c r="Q9" s="184"/>
    </row>
    <row r="10" spans="1:22" s="179" customFormat="1" x14ac:dyDescent="0.2">
      <c r="A10" s="187"/>
      <c r="C10" s="148">
        <v>1</v>
      </c>
      <c r="D10" s="179" t="s">
        <v>88</v>
      </c>
      <c r="E10" s="184">
        <v>6.4</v>
      </c>
      <c r="G10" s="185"/>
      <c r="I10" s="184"/>
      <c r="J10" s="188" t="s">
        <v>89</v>
      </c>
      <c r="K10" s="184">
        <f t="shared" si="0"/>
        <v>6.4</v>
      </c>
      <c r="L10" s="148" t="s">
        <v>73</v>
      </c>
      <c r="O10" s="148"/>
      <c r="Q10" s="184"/>
    </row>
    <row r="11" spans="1:22" s="179" customFormat="1" x14ac:dyDescent="0.2">
      <c r="A11" s="187"/>
      <c r="C11" s="148">
        <v>1</v>
      </c>
      <c r="D11" s="179" t="s">
        <v>88</v>
      </c>
      <c r="E11" s="184">
        <v>3.2</v>
      </c>
      <c r="G11" s="185"/>
      <c r="I11" s="184"/>
      <c r="J11" s="188" t="s">
        <v>89</v>
      </c>
      <c r="K11" s="184">
        <f t="shared" si="0"/>
        <v>3.2</v>
      </c>
      <c r="L11" s="148" t="s">
        <v>73</v>
      </c>
      <c r="O11" s="148"/>
      <c r="Q11" s="184"/>
    </row>
    <row r="12" spans="1:22" s="179" customFormat="1" x14ac:dyDescent="0.2">
      <c r="A12" s="187"/>
      <c r="C12" s="148">
        <v>1</v>
      </c>
      <c r="D12" s="179" t="s">
        <v>88</v>
      </c>
      <c r="E12" s="184">
        <v>3.2</v>
      </c>
      <c r="G12" s="185"/>
      <c r="I12" s="184"/>
      <c r="J12" s="188" t="s">
        <v>89</v>
      </c>
      <c r="K12" s="184">
        <f t="shared" si="0"/>
        <v>3.2</v>
      </c>
      <c r="L12" s="148" t="s">
        <v>73</v>
      </c>
      <c r="O12" s="148"/>
      <c r="Q12" s="184"/>
    </row>
    <row r="13" spans="1:22" s="179" customFormat="1" x14ac:dyDescent="0.2">
      <c r="A13" s="187"/>
      <c r="C13" s="148">
        <v>1</v>
      </c>
      <c r="D13" s="179" t="s">
        <v>88</v>
      </c>
      <c r="E13" s="184">
        <v>5.33</v>
      </c>
      <c r="G13" s="185"/>
      <c r="I13" s="184"/>
      <c r="J13" s="188" t="s">
        <v>89</v>
      </c>
      <c r="K13" s="184">
        <f t="shared" si="0"/>
        <v>5.33</v>
      </c>
      <c r="L13" s="148" t="s">
        <v>73</v>
      </c>
      <c r="O13" s="148"/>
      <c r="Q13" s="184"/>
      <c r="V13" s="147"/>
    </row>
    <row r="14" spans="1:22" s="179" customFormat="1" x14ac:dyDescent="0.2">
      <c r="A14" s="187"/>
      <c r="B14" s="147" t="s">
        <v>569</v>
      </c>
      <c r="C14" s="148">
        <v>1</v>
      </c>
      <c r="D14" s="179" t="s">
        <v>88</v>
      </c>
      <c r="E14" s="184">
        <v>7.62</v>
      </c>
      <c r="G14" s="185"/>
      <c r="I14" s="184"/>
      <c r="J14" s="188" t="s">
        <v>89</v>
      </c>
      <c r="K14" s="184">
        <f t="shared" si="0"/>
        <v>7.62</v>
      </c>
      <c r="L14" s="148" t="s">
        <v>73</v>
      </c>
      <c r="O14" s="148"/>
      <c r="Q14" s="184"/>
      <c r="V14" s="147"/>
    </row>
    <row r="15" spans="1:22" s="179" customFormat="1" x14ac:dyDescent="0.2">
      <c r="A15" s="187"/>
      <c r="B15" s="147"/>
      <c r="C15" s="148">
        <v>1</v>
      </c>
      <c r="D15" s="179" t="s">
        <v>88</v>
      </c>
      <c r="E15" s="184">
        <v>4.2699999999999996</v>
      </c>
      <c r="G15" s="185"/>
      <c r="I15" s="184"/>
      <c r="J15" s="188" t="s">
        <v>89</v>
      </c>
      <c r="K15" s="184">
        <f t="shared" si="0"/>
        <v>4.2699999999999996</v>
      </c>
      <c r="L15" s="148" t="s">
        <v>73</v>
      </c>
      <c r="O15" s="148"/>
      <c r="Q15" s="184"/>
      <c r="V15" s="147"/>
    </row>
    <row r="16" spans="1:22" s="179" customFormat="1" x14ac:dyDescent="0.2">
      <c r="A16" s="187"/>
      <c r="B16" s="147"/>
      <c r="C16" s="148">
        <v>1</v>
      </c>
      <c r="D16" s="179" t="s">
        <v>88</v>
      </c>
      <c r="E16" s="184">
        <v>7.62</v>
      </c>
      <c r="G16" s="185"/>
      <c r="I16" s="184"/>
      <c r="J16" s="188" t="s">
        <v>89</v>
      </c>
      <c r="K16" s="184">
        <f t="shared" ref="K16:K21" si="1">IF(C16,C16*E16,"")</f>
        <v>7.62</v>
      </c>
      <c r="L16" s="148" t="s">
        <v>73</v>
      </c>
      <c r="O16" s="148"/>
      <c r="Q16" s="184"/>
      <c r="V16" s="147"/>
    </row>
    <row r="17" spans="1:22" s="179" customFormat="1" x14ac:dyDescent="0.2">
      <c r="A17" s="187"/>
      <c r="B17" s="147" t="s">
        <v>570</v>
      </c>
      <c r="C17" s="148">
        <v>1</v>
      </c>
      <c r="D17" s="179" t="s">
        <v>88</v>
      </c>
      <c r="E17" s="184">
        <v>3.58</v>
      </c>
      <c r="G17" s="185"/>
      <c r="I17" s="184"/>
      <c r="J17" s="188" t="s">
        <v>89</v>
      </c>
      <c r="K17" s="184">
        <f t="shared" si="1"/>
        <v>3.58</v>
      </c>
      <c r="L17" s="148" t="s">
        <v>73</v>
      </c>
      <c r="O17" s="148"/>
      <c r="Q17" s="184"/>
    </row>
    <row r="18" spans="1:22" s="179" customFormat="1" x14ac:dyDescent="0.2">
      <c r="A18" s="187"/>
      <c r="B18" s="147"/>
      <c r="C18" s="148">
        <v>1</v>
      </c>
      <c r="D18" s="179" t="s">
        <v>88</v>
      </c>
      <c r="E18" s="184">
        <v>3.2</v>
      </c>
      <c r="G18" s="185"/>
      <c r="I18" s="184"/>
      <c r="J18" s="188" t="s">
        <v>89</v>
      </c>
      <c r="K18" s="184">
        <f t="shared" si="1"/>
        <v>3.2</v>
      </c>
      <c r="L18" s="148" t="s">
        <v>73</v>
      </c>
      <c r="O18" s="148"/>
      <c r="Q18" s="184"/>
    </row>
    <row r="19" spans="1:22" s="179" customFormat="1" x14ac:dyDescent="0.2">
      <c r="A19" s="187"/>
      <c r="B19" s="147" t="s">
        <v>571</v>
      </c>
      <c r="C19" s="148">
        <v>1</v>
      </c>
      <c r="D19" s="179" t="s">
        <v>88</v>
      </c>
      <c r="E19" s="184">
        <v>25.6</v>
      </c>
      <c r="G19" s="185"/>
      <c r="I19" s="184"/>
      <c r="J19" s="188" t="s">
        <v>89</v>
      </c>
      <c r="K19" s="184">
        <f t="shared" si="1"/>
        <v>25.6</v>
      </c>
      <c r="L19" s="148" t="s">
        <v>73</v>
      </c>
      <c r="O19" s="148"/>
      <c r="Q19" s="184"/>
    </row>
    <row r="20" spans="1:22" s="179" customFormat="1" x14ac:dyDescent="0.2">
      <c r="A20" s="187"/>
      <c r="B20" s="147" t="s">
        <v>182</v>
      </c>
      <c r="C20" s="148">
        <v>2</v>
      </c>
      <c r="D20" s="179" t="s">
        <v>88</v>
      </c>
      <c r="E20" s="184">
        <v>3.35</v>
      </c>
      <c r="G20" s="185"/>
      <c r="I20" s="184"/>
      <c r="J20" s="188" t="s">
        <v>89</v>
      </c>
      <c r="K20" s="184">
        <f t="shared" si="1"/>
        <v>6.7</v>
      </c>
      <c r="L20" s="148" t="s">
        <v>73</v>
      </c>
      <c r="O20" s="148"/>
      <c r="Q20" s="184"/>
    </row>
    <row r="21" spans="1:22" s="179" customFormat="1" x14ac:dyDescent="0.2">
      <c r="A21" s="187"/>
      <c r="B21" s="147" t="s">
        <v>572</v>
      </c>
      <c r="C21" s="148">
        <v>1</v>
      </c>
      <c r="D21" s="179" t="s">
        <v>88</v>
      </c>
      <c r="E21" s="184">
        <v>5.49</v>
      </c>
      <c r="G21" s="185"/>
      <c r="I21" s="184"/>
      <c r="J21" s="188" t="s">
        <v>89</v>
      </c>
      <c r="K21" s="184">
        <f t="shared" si="1"/>
        <v>5.49</v>
      </c>
      <c r="L21" s="148" t="s">
        <v>73</v>
      </c>
      <c r="O21" s="148"/>
      <c r="Q21" s="184"/>
    </row>
    <row r="22" spans="1:22" s="179" customFormat="1" x14ac:dyDescent="0.2">
      <c r="A22" s="187"/>
      <c r="B22" s="147"/>
      <c r="C22" s="148"/>
      <c r="E22" s="184"/>
      <c r="G22" s="185"/>
      <c r="I22" s="189" t="s">
        <v>188</v>
      </c>
      <c r="J22" s="190" t="s">
        <v>89</v>
      </c>
      <c r="K22" s="189">
        <f>SUM(K9:K21)</f>
        <v>85.789999999999992</v>
      </c>
      <c r="L22" s="191" t="s">
        <v>73</v>
      </c>
    </row>
    <row r="23" spans="1:22" s="179" customFormat="1" x14ac:dyDescent="0.2">
      <c r="A23" s="187"/>
      <c r="B23" s="147"/>
      <c r="C23" s="148"/>
      <c r="E23" s="184"/>
      <c r="G23" s="185"/>
      <c r="I23" s="199"/>
      <c r="J23" s="200"/>
      <c r="K23" s="199"/>
      <c r="L23" s="247"/>
    </row>
    <row r="24" spans="1:22" s="179" customFormat="1" ht="13.5" customHeight="1" x14ac:dyDescent="0.2">
      <c r="A24" s="148"/>
      <c r="B24" s="186" t="s">
        <v>15</v>
      </c>
      <c r="C24" s="184"/>
      <c r="E24" s="184"/>
      <c r="G24" s="185"/>
    </row>
    <row r="25" spans="1:22" s="179" customFormat="1" x14ac:dyDescent="0.2">
      <c r="A25" s="187"/>
      <c r="B25" s="147" t="s">
        <v>568</v>
      </c>
      <c r="C25" s="148">
        <v>1</v>
      </c>
      <c r="D25" s="179" t="s">
        <v>88</v>
      </c>
      <c r="E25" s="184">
        <v>3.58</v>
      </c>
      <c r="G25" s="185"/>
      <c r="I25" s="184"/>
      <c r="J25" s="188" t="s">
        <v>89</v>
      </c>
      <c r="K25" s="184">
        <f t="shared" ref="K25:K35" si="2">IF(C25,C25*E25,"")</f>
        <v>3.58</v>
      </c>
      <c r="L25" s="148" t="s">
        <v>73</v>
      </c>
    </row>
    <row r="26" spans="1:22" s="179" customFormat="1" x14ac:dyDescent="0.2">
      <c r="A26" s="187"/>
      <c r="C26" s="148">
        <v>1</v>
      </c>
      <c r="D26" s="179" t="s">
        <v>88</v>
      </c>
      <c r="E26" s="184">
        <v>6.4</v>
      </c>
      <c r="G26" s="185"/>
      <c r="I26" s="184"/>
      <c r="J26" s="188" t="s">
        <v>89</v>
      </c>
      <c r="K26" s="184">
        <f t="shared" si="2"/>
        <v>6.4</v>
      </c>
      <c r="L26" s="148" t="s">
        <v>73</v>
      </c>
      <c r="O26" s="148"/>
      <c r="Q26" s="184"/>
    </row>
    <row r="27" spans="1:22" s="179" customFormat="1" x14ac:dyDescent="0.2">
      <c r="A27" s="187"/>
      <c r="C27" s="148">
        <v>1</v>
      </c>
      <c r="D27" s="179" t="s">
        <v>88</v>
      </c>
      <c r="E27" s="184">
        <v>3.2</v>
      </c>
      <c r="G27" s="185"/>
      <c r="I27" s="184"/>
      <c r="J27" s="188" t="s">
        <v>89</v>
      </c>
      <c r="K27" s="184">
        <f t="shared" si="2"/>
        <v>3.2</v>
      </c>
      <c r="L27" s="148" t="s">
        <v>73</v>
      </c>
      <c r="O27" s="148"/>
      <c r="Q27" s="184"/>
    </row>
    <row r="28" spans="1:22" s="179" customFormat="1" x14ac:dyDescent="0.2">
      <c r="A28" s="187"/>
      <c r="C28" s="148">
        <v>1</v>
      </c>
      <c r="D28" s="179" t="s">
        <v>88</v>
      </c>
      <c r="E28" s="184">
        <v>3.2</v>
      </c>
      <c r="G28" s="185"/>
      <c r="I28" s="184"/>
      <c r="J28" s="188" t="s">
        <v>89</v>
      </c>
      <c r="K28" s="184">
        <f t="shared" si="2"/>
        <v>3.2</v>
      </c>
      <c r="L28" s="148" t="s">
        <v>73</v>
      </c>
      <c r="O28" s="148"/>
      <c r="Q28" s="184"/>
    </row>
    <row r="29" spans="1:22" s="179" customFormat="1" x14ac:dyDescent="0.2">
      <c r="A29" s="187"/>
      <c r="C29" s="148">
        <v>1</v>
      </c>
      <c r="D29" s="179" t="s">
        <v>88</v>
      </c>
      <c r="E29" s="184">
        <v>5.33</v>
      </c>
      <c r="G29" s="185"/>
      <c r="I29" s="184"/>
      <c r="J29" s="188" t="s">
        <v>89</v>
      </c>
      <c r="K29" s="184">
        <f t="shared" si="2"/>
        <v>5.33</v>
      </c>
      <c r="L29" s="148" t="s">
        <v>73</v>
      </c>
      <c r="O29" s="148"/>
      <c r="Q29" s="184"/>
      <c r="V29" s="147"/>
    </row>
    <row r="30" spans="1:22" s="179" customFormat="1" x14ac:dyDescent="0.2">
      <c r="A30" s="187"/>
      <c r="B30" s="147" t="s">
        <v>569</v>
      </c>
      <c r="C30" s="148">
        <v>1</v>
      </c>
      <c r="D30" s="179" t="s">
        <v>88</v>
      </c>
      <c r="E30" s="184">
        <v>7.62</v>
      </c>
      <c r="G30" s="185"/>
      <c r="I30" s="184"/>
      <c r="J30" s="188" t="s">
        <v>89</v>
      </c>
      <c r="K30" s="184">
        <f t="shared" si="2"/>
        <v>7.62</v>
      </c>
      <c r="L30" s="148" t="s">
        <v>73</v>
      </c>
      <c r="O30" s="148"/>
      <c r="Q30" s="184"/>
      <c r="V30" s="147"/>
    </row>
    <row r="31" spans="1:22" s="179" customFormat="1" x14ac:dyDescent="0.2">
      <c r="A31" s="187"/>
      <c r="B31" s="147"/>
      <c r="C31" s="148">
        <v>1</v>
      </c>
      <c r="D31" s="179" t="s">
        <v>88</v>
      </c>
      <c r="E31" s="184">
        <v>4.2699999999999996</v>
      </c>
      <c r="G31" s="185"/>
      <c r="I31" s="184"/>
      <c r="J31" s="188" t="s">
        <v>89</v>
      </c>
      <c r="K31" s="184">
        <f t="shared" si="2"/>
        <v>4.2699999999999996</v>
      </c>
      <c r="L31" s="148" t="s">
        <v>73</v>
      </c>
      <c r="O31" s="148"/>
      <c r="Q31" s="184"/>
      <c r="V31" s="147"/>
    </row>
    <row r="32" spans="1:22" s="179" customFormat="1" x14ac:dyDescent="0.2">
      <c r="A32" s="187"/>
      <c r="B32" s="147"/>
      <c r="C32" s="148">
        <v>1</v>
      </c>
      <c r="D32" s="179" t="s">
        <v>88</v>
      </c>
      <c r="E32" s="184">
        <v>7.62</v>
      </c>
      <c r="G32" s="185"/>
      <c r="I32" s="184"/>
      <c r="J32" s="188" t="s">
        <v>89</v>
      </c>
      <c r="K32" s="184">
        <f t="shared" si="2"/>
        <v>7.62</v>
      </c>
      <c r="L32" s="148" t="s">
        <v>73</v>
      </c>
      <c r="O32" s="148"/>
      <c r="Q32" s="184"/>
      <c r="V32" s="147"/>
    </row>
    <row r="33" spans="1:17" s="179" customFormat="1" x14ac:dyDescent="0.2">
      <c r="A33" s="187"/>
      <c r="B33" s="147" t="s">
        <v>570</v>
      </c>
      <c r="C33" s="148">
        <v>1</v>
      </c>
      <c r="D33" s="179" t="s">
        <v>88</v>
      </c>
      <c r="E33" s="184">
        <v>3.58</v>
      </c>
      <c r="G33" s="185"/>
      <c r="I33" s="184"/>
      <c r="J33" s="188" t="s">
        <v>89</v>
      </c>
      <c r="K33" s="184">
        <f t="shared" si="2"/>
        <v>3.58</v>
      </c>
      <c r="L33" s="148" t="s">
        <v>73</v>
      </c>
      <c r="O33" s="148"/>
      <c r="Q33" s="184"/>
    </row>
    <row r="34" spans="1:17" s="179" customFormat="1" x14ac:dyDescent="0.2">
      <c r="A34" s="187"/>
      <c r="B34" s="147"/>
      <c r="C34" s="148">
        <v>1</v>
      </c>
      <c r="D34" s="179" t="s">
        <v>88</v>
      </c>
      <c r="E34" s="184">
        <v>3.2</v>
      </c>
      <c r="G34" s="185"/>
      <c r="I34" s="184"/>
      <c r="J34" s="188" t="s">
        <v>89</v>
      </c>
      <c r="K34" s="184">
        <f t="shared" si="2"/>
        <v>3.2</v>
      </c>
      <c r="L34" s="148" t="s">
        <v>73</v>
      </c>
      <c r="O34" s="148"/>
      <c r="Q34" s="184"/>
    </row>
    <row r="35" spans="1:17" s="179" customFormat="1" x14ac:dyDescent="0.2">
      <c r="A35" s="187"/>
      <c r="B35" s="147" t="s">
        <v>571</v>
      </c>
      <c r="C35" s="148">
        <v>1</v>
      </c>
      <c r="D35" s="179" t="s">
        <v>88</v>
      </c>
      <c r="E35" s="184">
        <v>25.6</v>
      </c>
      <c r="G35" s="185"/>
      <c r="I35" s="184"/>
      <c r="J35" s="188" t="s">
        <v>89</v>
      </c>
      <c r="K35" s="184">
        <f t="shared" si="2"/>
        <v>25.6</v>
      </c>
      <c r="L35" s="148" t="s">
        <v>73</v>
      </c>
      <c r="O35" s="148"/>
      <c r="Q35" s="184"/>
    </row>
    <row r="36" spans="1:17" s="179" customFormat="1" x14ac:dyDescent="0.2">
      <c r="A36" s="187"/>
      <c r="B36" s="147"/>
      <c r="C36" s="148"/>
      <c r="E36" s="184"/>
      <c r="G36" s="185"/>
      <c r="I36" s="189" t="s">
        <v>188</v>
      </c>
      <c r="J36" s="190" t="s">
        <v>89</v>
      </c>
      <c r="K36" s="189">
        <f>SUM(K25:K35)</f>
        <v>73.599999999999994</v>
      </c>
      <c r="L36" s="191" t="s">
        <v>73</v>
      </c>
    </row>
    <row r="37" spans="1:17" s="179" customFormat="1" ht="15.75" customHeight="1" x14ac:dyDescent="0.2">
      <c r="A37" s="148"/>
      <c r="B37" s="186" t="s">
        <v>577</v>
      </c>
      <c r="C37" s="184"/>
      <c r="E37" s="184"/>
      <c r="G37" s="185"/>
    </row>
    <row r="38" spans="1:17" s="179" customFormat="1" ht="15" x14ac:dyDescent="0.2">
      <c r="A38" s="187"/>
      <c r="B38" s="147" t="s">
        <v>578</v>
      </c>
      <c r="C38" s="148">
        <v>3</v>
      </c>
      <c r="D38" s="179" t="s">
        <v>88</v>
      </c>
      <c r="E38" s="184">
        <v>7.39</v>
      </c>
      <c r="F38" s="10"/>
      <c r="G38" s="185"/>
      <c r="I38" s="184"/>
      <c r="J38" s="188" t="s">
        <v>89</v>
      </c>
      <c r="K38" s="184">
        <f t="shared" ref="K38:K45" si="3">IF(C38,C38*E38,"")</f>
        <v>22.169999999999998</v>
      </c>
      <c r="L38" s="148" t="s">
        <v>73</v>
      </c>
    </row>
    <row r="39" spans="1:17" s="179" customFormat="1" ht="16.5" customHeight="1" x14ac:dyDescent="0.2">
      <c r="A39" s="187"/>
      <c r="B39" s="147" t="s">
        <v>579</v>
      </c>
      <c r="C39" s="148">
        <v>2</v>
      </c>
      <c r="D39" s="179" t="s">
        <v>88</v>
      </c>
      <c r="E39" s="184">
        <v>5.49</v>
      </c>
      <c r="F39" s="10"/>
      <c r="G39" s="185"/>
      <c r="I39" s="184"/>
      <c r="J39" s="188" t="s">
        <v>89</v>
      </c>
      <c r="K39" s="184">
        <f t="shared" si="3"/>
        <v>10.98</v>
      </c>
      <c r="L39" s="148" t="s">
        <v>73</v>
      </c>
    </row>
    <row r="40" spans="1:17" s="179" customFormat="1" ht="15" x14ac:dyDescent="0.2">
      <c r="A40" s="187"/>
      <c r="B40" s="147" t="s">
        <v>580</v>
      </c>
      <c r="C40" s="148">
        <v>2</v>
      </c>
      <c r="D40" s="179" t="s">
        <v>88</v>
      </c>
      <c r="E40" s="184">
        <v>3.35</v>
      </c>
      <c r="F40" s="10"/>
      <c r="G40" s="185"/>
      <c r="I40" s="184"/>
      <c r="J40" s="188" t="s">
        <v>89</v>
      </c>
      <c r="K40" s="184">
        <f t="shared" si="3"/>
        <v>6.7</v>
      </c>
      <c r="L40" s="148" t="s">
        <v>73</v>
      </c>
    </row>
    <row r="41" spans="1:17" s="179" customFormat="1" ht="16.5" customHeight="1" x14ac:dyDescent="0.2">
      <c r="A41" s="187"/>
      <c r="B41" s="147" t="s">
        <v>581</v>
      </c>
      <c r="C41" s="148">
        <v>1</v>
      </c>
      <c r="D41" s="179" t="s">
        <v>88</v>
      </c>
      <c r="E41" s="184">
        <v>3.05</v>
      </c>
      <c r="F41" s="10"/>
      <c r="G41" s="185"/>
      <c r="I41" s="184"/>
      <c r="J41" s="188" t="s">
        <v>89</v>
      </c>
      <c r="K41" s="184">
        <f t="shared" si="3"/>
        <v>3.05</v>
      </c>
      <c r="L41" s="148" t="s">
        <v>73</v>
      </c>
    </row>
    <row r="42" spans="1:17" s="179" customFormat="1" ht="16.5" customHeight="1" x14ac:dyDescent="0.2">
      <c r="A42" s="187"/>
      <c r="B42" s="147" t="s">
        <v>582</v>
      </c>
      <c r="C42" s="148">
        <v>1</v>
      </c>
      <c r="D42" s="179" t="s">
        <v>88</v>
      </c>
      <c r="E42" s="184">
        <v>5.26</v>
      </c>
      <c r="F42" s="10"/>
      <c r="G42" s="185"/>
      <c r="I42" s="184"/>
      <c r="J42" s="188" t="s">
        <v>89</v>
      </c>
      <c r="K42" s="184">
        <f t="shared" si="3"/>
        <v>5.26</v>
      </c>
      <c r="L42" s="148" t="s">
        <v>73</v>
      </c>
    </row>
    <row r="43" spans="1:17" s="179" customFormat="1" ht="15" x14ac:dyDescent="0.2">
      <c r="A43" s="187"/>
      <c r="B43" s="147" t="s">
        <v>583</v>
      </c>
      <c r="C43" s="148">
        <v>1</v>
      </c>
      <c r="D43" s="179" t="s">
        <v>88</v>
      </c>
      <c r="E43" s="184">
        <v>3.66</v>
      </c>
      <c r="F43" s="10"/>
      <c r="G43" s="185"/>
      <c r="I43" s="184"/>
      <c r="J43" s="188" t="s">
        <v>89</v>
      </c>
      <c r="K43" s="184">
        <f t="shared" si="3"/>
        <v>3.66</v>
      </c>
      <c r="L43" s="148" t="s">
        <v>73</v>
      </c>
    </row>
    <row r="44" spans="1:17" s="179" customFormat="1" ht="16.5" customHeight="1" x14ac:dyDescent="0.2">
      <c r="A44" s="187"/>
      <c r="B44" s="147" t="s">
        <v>584</v>
      </c>
      <c r="C44" s="148">
        <v>1</v>
      </c>
      <c r="D44" s="179" t="s">
        <v>88</v>
      </c>
      <c r="E44" s="184">
        <v>5.49</v>
      </c>
      <c r="F44" s="10"/>
      <c r="G44" s="185"/>
      <c r="I44" s="184"/>
      <c r="J44" s="188" t="s">
        <v>89</v>
      </c>
      <c r="K44" s="184">
        <f t="shared" si="3"/>
        <v>5.49</v>
      </c>
      <c r="L44" s="148" t="s">
        <v>73</v>
      </c>
    </row>
    <row r="45" spans="1:17" s="179" customFormat="1" ht="15" x14ac:dyDescent="0.2">
      <c r="A45" s="187"/>
      <c r="B45" s="147" t="s">
        <v>585</v>
      </c>
      <c r="C45" s="148">
        <v>2</v>
      </c>
      <c r="D45" s="179" t="s">
        <v>88</v>
      </c>
      <c r="E45" s="184">
        <v>2.13</v>
      </c>
      <c r="F45" s="10"/>
      <c r="G45" s="185"/>
      <c r="I45" s="184"/>
      <c r="J45" s="188" t="s">
        <v>89</v>
      </c>
      <c r="K45" s="184">
        <f t="shared" si="3"/>
        <v>4.26</v>
      </c>
      <c r="L45" s="148" t="s">
        <v>73</v>
      </c>
    </row>
    <row r="46" spans="1:17" s="179" customFormat="1" x14ac:dyDescent="0.2">
      <c r="A46" s="187"/>
      <c r="B46" s="147"/>
      <c r="C46" s="148"/>
      <c r="E46" s="184"/>
      <c r="G46" s="185"/>
      <c r="I46" s="189" t="s">
        <v>188</v>
      </c>
      <c r="J46" s="190" t="s">
        <v>89</v>
      </c>
      <c r="K46" s="189">
        <f>SUM(K38:K45)</f>
        <v>61.569999999999993</v>
      </c>
      <c r="L46" s="191" t="s">
        <v>73</v>
      </c>
    </row>
    <row r="47" spans="1:17" s="179" customFormat="1" ht="15" x14ac:dyDescent="0.2">
      <c r="A47" s="148"/>
      <c r="B47" s="192"/>
      <c r="D47" s="193"/>
      <c r="E47" s="194"/>
      <c r="F47" s="187"/>
      <c r="G47" s="194"/>
      <c r="H47" s="195"/>
      <c r="J47" s="196"/>
      <c r="K47" s="197"/>
      <c r="L47" s="198"/>
    </row>
    <row r="48" spans="1:17" s="179" customFormat="1" ht="123" customHeight="1" x14ac:dyDescent="0.2">
      <c r="A48" s="148">
        <v>1</v>
      </c>
      <c r="B48" s="146" t="s">
        <v>341</v>
      </c>
      <c r="C48" s="184"/>
      <c r="E48" s="184"/>
      <c r="G48" s="185"/>
    </row>
    <row r="49" spans="1:13" s="179" customFormat="1" ht="15.75" customHeight="1" x14ac:dyDescent="0.2">
      <c r="A49" s="187"/>
      <c r="B49" s="147" t="s">
        <v>586</v>
      </c>
      <c r="C49" s="231">
        <v>1</v>
      </c>
      <c r="D49" s="231" t="s">
        <v>88</v>
      </c>
      <c r="E49" s="185">
        <v>34.14</v>
      </c>
      <c r="F49" s="231" t="s">
        <v>88</v>
      </c>
      <c r="G49" s="185">
        <v>37.799999999999997</v>
      </c>
      <c r="H49" s="232" t="s">
        <v>88</v>
      </c>
      <c r="I49" s="259">
        <v>1.2</v>
      </c>
      <c r="J49" s="233" t="s">
        <v>89</v>
      </c>
      <c r="K49" s="205">
        <f>IF(C49,C49*E49*G49*I49,"")</f>
        <v>1548.5903999999998</v>
      </c>
      <c r="L49" s="201" t="s">
        <v>61</v>
      </c>
      <c r="M49" s="231"/>
    </row>
    <row r="50" spans="1:13" s="179" customFormat="1" ht="15" x14ac:dyDescent="0.2">
      <c r="A50" s="148"/>
      <c r="B50" s="186"/>
      <c r="C50" s="184"/>
      <c r="D50" s="187"/>
      <c r="E50" s="184"/>
      <c r="F50" s="187"/>
      <c r="G50" s="185"/>
    </row>
    <row r="51" spans="1:13" s="179" customFormat="1" ht="15" x14ac:dyDescent="0.2">
      <c r="A51" s="187"/>
      <c r="B51" s="147"/>
      <c r="C51" s="148"/>
      <c r="E51" s="216"/>
      <c r="F51" s="214"/>
      <c r="G51" s="215" t="s">
        <v>78</v>
      </c>
      <c r="H51" s="214"/>
      <c r="I51" s="216"/>
      <c r="J51" s="214"/>
      <c r="K51" s="216">
        <f>SUM(K49:K50)</f>
        <v>1548.5903999999998</v>
      </c>
      <c r="L51" s="234" t="s">
        <v>61</v>
      </c>
    </row>
    <row r="52" spans="1:13" s="179" customFormat="1" ht="123" customHeight="1" x14ac:dyDescent="0.2">
      <c r="A52" s="148">
        <v>2</v>
      </c>
      <c r="B52" s="146" t="s">
        <v>342</v>
      </c>
      <c r="C52" s="184"/>
      <c r="E52" s="184"/>
      <c r="G52" s="185"/>
      <c r="I52" s="179">
        <f>E53*G53</f>
        <v>0</v>
      </c>
    </row>
    <row r="53" spans="1:13" s="179" customFormat="1" ht="15.75" customHeight="1" x14ac:dyDescent="0.2">
      <c r="A53" s="187"/>
      <c r="B53" s="147" t="s">
        <v>586</v>
      </c>
      <c r="C53" s="231"/>
      <c r="D53" s="231"/>
      <c r="E53" s="185"/>
      <c r="F53" s="231"/>
      <c r="G53" s="185"/>
      <c r="H53" s="232"/>
      <c r="I53" s="259"/>
      <c r="J53" s="233"/>
      <c r="K53" s="205"/>
      <c r="L53" s="201"/>
      <c r="M53" s="231"/>
    </row>
    <row r="54" spans="1:13" s="179" customFormat="1" ht="30.75" customHeight="1" x14ac:dyDescent="0.2">
      <c r="A54" s="187"/>
      <c r="B54" s="147" t="s">
        <v>587</v>
      </c>
      <c r="C54" s="231">
        <v>1</v>
      </c>
      <c r="D54" s="231" t="s">
        <v>88</v>
      </c>
      <c r="E54" s="185">
        <v>34.14</v>
      </c>
      <c r="F54" s="231" t="s">
        <v>88</v>
      </c>
      <c r="G54" s="185">
        <v>37.799999999999997</v>
      </c>
      <c r="H54" s="232"/>
      <c r="I54" s="259"/>
      <c r="J54" s="233" t="s">
        <v>89</v>
      </c>
      <c r="K54" s="205">
        <f>IF(C54,C54*E54*G54,"")</f>
        <v>1290.492</v>
      </c>
      <c r="L54" s="148" t="s">
        <v>64</v>
      </c>
      <c r="M54" s="231"/>
    </row>
    <row r="55" spans="1:13" s="179" customFormat="1" ht="15" x14ac:dyDescent="0.2">
      <c r="A55" s="187"/>
      <c r="B55" s="186" t="s">
        <v>97</v>
      </c>
      <c r="C55" s="148"/>
      <c r="E55" s="184"/>
      <c r="G55" s="205"/>
      <c r="H55" s="206"/>
      <c r="I55" s="199"/>
      <c r="J55" s="201"/>
      <c r="K55" s="199"/>
      <c r="L55" s="148"/>
    </row>
    <row r="56" spans="1:13" s="179" customFormat="1" x14ac:dyDescent="0.2">
      <c r="A56" s="187"/>
      <c r="B56" s="147" t="s">
        <v>588</v>
      </c>
      <c r="C56" s="148"/>
      <c r="E56" s="184"/>
      <c r="G56" s="184"/>
      <c r="I56" s="184"/>
      <c r="J56" s="188"/>
      <c r="K56" s="184"/>
      <c r="L56" s="148"/>
    </row>
    <row r="57" spans="1:13" s="179" customFormat="1" ht="15" x14ac:dyDescent="0.2">
      <c r="A57" s="187"/>
      <c r="B57" s="261" t="s">
        <v>591</v>
      </c>
      <c r="C57" s="148">
        <v>1</v>
      </c>
      <c r="D57" s="179" t="s">
        <v>88</v>
      </c>
      <c r="E57" s="262">
        <v>2</v>
      </c>
      <c r="F57" s="199" t="s">
        <v>88</v>
      </c>
      <c r="G57" s="262">
        <v>2.2999999999999998</v>
      </c>
      <c r="I57" s="184"/>
      <c r="J57" s="188" t="s">
        <v>89</v>
      </c>
      <c r="K57" s="184">
        <f t="shared" ref="K57:K74" si="4">IF(C57,C57*E57*G57,"")</f>
        <v>4.5999999999999996</v>
      </c>
      <c r="L57" s="148" t="s">
        <v>64</v>
      </c>
    </row>
    <row r="58" spans="1:13" s="179" customFormat="1" ht="15" x14ac:dyDescent="0.2">
      <c r="A58" s="187"/>
      <c r="B58" s="261" t="s">
        <v>592</v>
      </c>
      <c r="C58" s="148">
        <v>1</v>
      </c>
      <c r="D58" s="179" t="s">
        <v>88</v>
      </c>
      <c r="E58" s="262">
        <v>2.4</v>
      </c>
      <c r="F58" s="199" t="s">
        <v>88</v>
      </c>
      <c r="G58" s="262">
        <v>2.7</v>
      </c>
      <c r="I58" s="184"/>
      <c r="J58" s="188" t="s">
        <v>89</v>
      </c>
      <c r="K58" s="184">
        <f t="shared" si="4"/>
        <v>6.48</v>
      </c>
      <c r="L58" s="148" t="s">
        <v>64</v>
      </c>
    </row>
    <row r="59" spans="1:13" s="179" customFormat="1" ht="15" x14ac:dyDescent="0.2">
      <c r="A59" s="187"/>
      <c r="B59" s="261" t="s">
        <v>593</v>
      </c>
      <c r="C59" s="148">
        <v>1</v>
      </c>
      <c r="D59" s="179" t="s">
        <v>88</v>
      </c>
      <c r="E59" s="262">
        <v>2.9</v>
      </c>
      <c r="F59" s="199" t="s">
        <v>88</v>
      </c>
      <c r="G59" s="262">
        <v>3.1</v>
      </c>
      <c r="I59" s="184"/>
      <c r="J59" s="188" t="s">
        <v>89</v>
      </c>
      <c r="K59" s="184">
        <f t="shared" si="4"/>
        <v>8.99</v>
      </c>
      <c r="L59" s="148" t="s">
        <v>64</v>
      </c>
    </row>
    <row r="60" spans="1:13" s="179" customFormat="1" ht="15" x14ac:dyDescent="0.2">
      <c r="A60" s="187"/>
      <c r="B60" s="261" t="s">
        <v>594</v>
      </c>
      <c r="C60" s="148">
        <v>1</v>
      </c>
      <c r="D60" s="179" t="s">
        <v>88</v>
      </c>
      <c r="E60" s="262">
        <v>2.1</v>
      </c>
      <c r="F60" s="199" t="s">
        <v>88</v>
      </c>
      <c r="G60" s="262">
        <v>2.2999999999999998</v>
      </c>
      <c r="I60" s="184"/>
      <c r="J60" s="188" t="s">
        <v>89</v>
      </c>
      <c r="K60" s="184">
        <f t="shared" si="4"/>
        <v>4.83</v>
      </c>
      <c r="L60" s="148" t="s">
        <v>64</v>
      </c>
    </row>
    <row r="61" spans="1:13" s="179" customFormat="1" ht="15" x14ac:dyDescent="0.2">
      <c r="A61" s="187"/>
      <c r="B61" s="261" t="s">
        <v>595</v>
      </c>
      <c r="C61" s="148">
        <v>1</v>
      </c>
      <c r="D61" s="179" t="s">
        <v>88</v>
      </c>
      <c r="E61" s="262">
        <v>2.9</v>
      </c>
      <c r="F61" s="199" t="s">
        <v>88</v>
      </c>
      <c r="G61" s="262">
        <v>3.1</v>
      </c>
      <c r="I61" s="184"/>
      <c r="J61" s="188" t="s">
        <v>89</v>
      </c>
      <c r="K61" s="184">
        <f t="shared" si="4"/>
        <v>8.99</v>
      </c>
      <c r="L61" s="148" t="s">
        <v>64</v>
      </c>
    </row>
    <row r="62" spans="1:13" s="179" customFormat="1" ht="15" x14ac:dyDescent="0.2">
      <c r="A62" s="187"/>
      <c r="B62" s="261" t="s">
        <v>596</v>
      </c>
      <c r="C62" s="148">
        <v>1</v>
      </c>
      <c r="D62" s="179" t="s">
        <v>88</v>
      </c>
      <c r="E62" s="262">
        <v>2.7</v>
      </c>
      <c r="F62" s="199" t="s">
        <v>88</v>
      </c>
      <c r="G62" s="262">
        <v>2.9</v>
      </c>
      <c r="I62" s="184"/>
      <c r="J62" s="188" t="s">
        <v>89</v>
      </c>
      <c r="K62" s="184">
        <f t="shared" si="4"/>
        <v>7.83</v>
      </c>
      <c r="L62" s="148" t="s">
        <v>64</v>
      </c>
    </row>
    <row r="63" spans="1:13" s="179" customFormat="1" ht="15" x14ac:dyDescent="0.2">
      <c r="A63" s="187"/>
      <c r="B63" s="261" t="s">
        <v>597</v>
      </c>
      <c r="C63" s="148">
        <v>1</v>
      </c>
      <c r="D63" s="179" t="s">
        <v>88</v>
      </c>
      <c r="E63" s="262">
        <v>2.7</v>
      </c>
      <c r="F63" s="199" t="s">
        <v>88</v>
      </c>
      <c r="G63" s="262">
        <v>2.9</v>
      </c>
      <c r="I63" s="184"/>
      <c r="J63" s="188" t="s">
        <v>89</v>
      </c>
      <c r="K63" s="184">
        <f t="shared" si="4"/>
        <v>7.83</v>
      </c>
      <c r="L63" s="148" t="s">
        <v>64</v>
      </c>
    </row>
    <row r="64" spans="1:13" s="179" customFormat="1" ht="15" x14ac:dyDescent="0.2">
      <c r="A64" s="187"/>
      <c r="B64" s="261" t="s">
        <v>598</v>
      </c>
      <c r="C64" s="148">
        <v>1</v>
      </c>
      <c r="D64" s="179" t="s">
        <v>88</v>
      </c>
      <c r="E64" s="262">
        <v>2.1</v>
      </c>
      <c r="F64" s="199" t="s">
        <v>88</v>
      </c>
      <c r="G64" s="262">
        <v>2.2999999999999998</v>
      </c>
      <c r="I64" s="184"/>
      <c r="J64" s="188" t="s">
        <v>89</v>
      </c>
      <c r="K64" s="184">
        <f t="shared" si="4"/>
        <v>4.83</v>
      </c>
      <c r="L64" s="148" t="s">
        <v>64</v>
      </c>
    </row>
    <row r="65" spans="1:13" s="179" customFormat="1" ht="15" x14ac:dyDescent="0.2">
      <c r="A65" s="187"/>
      <c r="B65" s="261" t="s">
        <v>599</v>
      </c>
      <c r="C65" s="148">
        <v>1</v>
      </c>
      <c r="D65" s="179" t="s">
        <v>88</v>
      </c>
      <c r="E65" s="262">
        <v>2.9</v>
      </c>
      <c r="F65" s="199" t="s">
        <v>88</v>
      </c>
      <c r="G65" s="262">
        <v>3.1</v>
      </c>
      <c r="I65" s="184"/>
      <c r="J65" s="188" t="s">
        <v>89</v>
      </c>
      <c r="K65" s="184">
        <f t="shared" si="4"/>
        <v>8.99</v>
      </c>
      <c r="L65" s="148" t="s">
        <v>64</v>
      </c>
    </row>
    <row r="66" spans="1:13" s="179" customFormat="1" ht="15" x14ac:dyDescent="0.2">
      <c r="A66" s="187"/>
      <c r="B66" s="261" t="s">
        <v>600</v>
      </c>
      <c r="C66" s="148">
        <v>1</v>
      </c>
      <c r="D66" s="179" t="s">
        <v>88</v>
      </c>
      <c r="E66" s="262">
        <v>2.9</v>
      </c>
      <c r="F66" s="199" t="s">
        <v>88</v>
      </c>
      <c r="G66" s="262">
        <v>3.1</v>
      </c>
      <c r="I66" s="184"/>
      <c r="J66" s="188" t="s">
        <v>89</v>
      </c>
      <c r="K66" s="184">
        <f t="shared" si="4"/>
        <v>8.99</v>
      </c>
      <c r="L66" s="148" t="s">
        <v>64</v>
      </c>
    </row>
    <row r="67" spans="1:13" s="179" customFormat="1" ht="15" x14ac:dyDescent="0.2">
      <c r="A67" s="187"/>
      <c r="B67" s="261" t="s">
        <v>601</v>
      </c>
      <c r="C67" s="148">
        <v>1</v>
      </c>
      <c r="D67" s="179" t="s">
        <v>88</v>
      </c>
      <c r="E67" s="262">
        <v>2.4</v>
      </c>
      <c r="F67" s="199" t="s">
        <v>88</v>
      </c>
      <c r="G67" s="262">
        <v>2.6</v>
      </c>
      <c r="I67" s="184"/>
      <c r="J67" s="188" t="s">
        <v>89</v>
      </c>
      <c r="K67" s="184">
        <f t="shared" si="4"/>
        <v>6.24</v>
      </c>
      <c r="L67" s="148" t="s">
        <v>64</v>
      </c>
    </row>
    <row r="68" spans="1:13" s="179" customFormat="1" ht="15" x14ac:dyDescent="0.2">
      <c r="A68" s="187"/>
      <c r="B68" s="261" t="s">
        <v>602</v>
      </c>
      <c r="C68" s="148">
        <v>1</v>
      </c>
      <c r="D68" s="179" t="s">
        <v>88</v>
      </c>
      <c r="E68" s="262">
        <v>3</v>
      </c>
      <c r="F68" s="199" t="s">
        <v>88</v>
      </c>
      <c r="G68" s="262">
        <v>3.2</v>
      </c>
      <c r="I68" s="184"/>
      <c r="J68" s="188" t="s">
        <v>89</v>
      </c>
      <c r="K68" s="184">
        <f t="shared" si="4"/>
        <v>9.6000000000000014</v>
      </c>
      <c r="L68" s="148" t="s">
        <v>64</v>
      </c>
    </row>
    <row r="69" spans="1:13" s="179" customFormat="1" ht="15" x14ac:dyDescent="0.2">
      <c r="A69" s="187"/>
      <c r="B69" s="261" t="s">
        <v>603</v>
      </c>
      <c r="C69" s="148">
        <v>1</v>
      </c>
      <c r="D69" s="179" t="s">
        <v>88</v>
      </c>
      <c r="E69" s="262">
        <v>1.8</v>
      </c>
      <c r="F69" s="199" t="s">
        <v>88</v>
      </c>
      <c r="G69" s="262">
        <v>2</v>
      </c>
      <c r="I69" s="184"/>
      <c r="J69" s="188" t="s">
        <v>89</v>
      </c>
      <c r="K69" s="184">
        <f t="shared" si="4"/>
        <v>3.6</v>
      </c>
      <c r="L69" s="148" t="s">
        <v>64</v>
      </c>
    </row>
    <row r="70" spans="1:13" s="179" customFormat="1" ht="15" x14ac:dyDescent="0.2">
      <c r="A70" s="187"/>
      <c r="B70" s="261" t="s">
        <v>604</v>
      </c>
      <c r="C70" s="148">
        <v>1</v>
      </c>
      <c r="D70" s="179" t="s">
        <v>88</v>
      </c>
      <c r="E70" s="262">
        <v>2.6</v>
      </c>
      <c r="F70" s="199" t="s">
        <v>88</v>
      </c>
      <c r="G70" s="199">
        <v>2.8</v>
      </c>
      <c r="I70" s="184"/>
      <c r="J70" s="188" t="s">
        <v>89</v>
      </c>
      <c r="K70" s="184">
        <f t="shared" si="4"/>
        <v>7.2799999999999994</v>
      </c>
      <c r="L70" s="148" t="s">
        <v>64</v>
      </c>
    </row>
    <row r="71" spans="1:13" s="179" customFormat="1" ht="15" x14ac:dyDescent="0.2">
      <c r="A71" s="187"/>
      <c r="B71" s="261" t="s">
        <v>605</v>
      </c>
      <c r="C71" s="148">
        <v>1</v>
      </c>
      <c r="D71" s="179" t="s">
        <v>88</v>
      </c>
      <c r="E71" s="262">
        <v>2.5</v>
      </c>
      <c r="F71" s="199" t="s">
        <v>88</v>
      </c>
      <c r="G71" s="199">
        <v>2.7</v>
      </c>
      <c r="I71" s="184"/>
      <c r="J71" s="188" t="s">
        <v>89</v>
      </c>
      <c r="K71" s="184">
        <f t="shared" si="4"/>
        <v>6.75</v>
      </c>
      <c r="L71" s="148" t="s">
        <v>64</v>
      </c>
    </row>
    <row r="72" spans="1:13" s="179" customFormat="1" ht="15" x14ac:dyDescent="0.2">
      <c r="A72" s="187"/>
      <c r="B72" s="261" t="s">
        <v>606</v>
      </c>
      <c r="C72" s="148">
        <v>1</v>
      </c>
      <c r="D72" s="179" t="s">
        <v>88</v>
      </c>
      <c r="E72" s="262">
        <v>2.1</v>
      </c>
      <c r="F72" s="199" t="s">
        <v>88</v>
      </c>
      <c r="G72" s="199">
        <v>2.2999999999999998</v>
      </c>
      <c r="I72" s="184"/>
      <c r="J72" s="188" t="s">
        <v>89</v>
      </c>
      <c r="K72" s="184">
        <f t="shared" si="4"/>
        <v>4.83</v>
      </c>
      <c r="L72" s="148" t="s">
        <v>64</v>
      </c>
    </row>
    <row r="73" spans="1:13" s="179" customFormat="1" ht="15" x14ac:dyDescent="0.2">
      <c r="A73" s="187"/>
      <c r="B73" s="261" t="s">
        <v>607</v>
      </c>
      <c r="C73" s="148">
        <v>1</v>
      </c>
      <c r="D73" s="179" t="s">
        <v>88</v>
      </c>
      <c r="E73" s="262">
        <v>2.2000000000000002</v>
      </c>
      <c r="F73" s="199" t="s">
        <v>88</v>
      </c>
      <c r="G73" s="199">
        <v>2.5</v>
      </c>
      <c r="I73" s="184"/>
      <c r="J73" s="188" t="s">
        <v>89</v>
      </c>
      <c r="K73" s="184">
        <f t="shared" si="4"/>
        <v>5.5</v>
      </c>
      <c r="L73" s="148" t="s">
        <v>64</v>
      </c>
    </row>
    <row r="74" spans="1:13" s="179" customFormat="1" ht="15" x14ac:dyDescent="0.2">
      <c r="A74" s="187"/>
      <c r="B74" s="261" t="s">
        <v>608</v>
      </c>
      <c r="C74" s="148">
        <v>1</v>
      </c>
      <c r="D74" s="179" t="s">
        <v>88</v>
      </c>
      <c r="E74" s="262">
        <v>2.2999999999999998</v>
      </c>
      <c r="F74" s="199" t="s">
        <v>88</v>
      </c>
      <c r="G74" s="199">
        <v>2.5</v>
      </c>
      <c r="I74" s="184"/>
      <c r="J74" s="188" t="s">
        <v>89</v>
      </c>
      <c r="K74" s="184">
        <f t="shared" si="4"/>
        <v>5.75</v>
      </c>
      <c r="L74" s="148" t="s">
        <v>64</v>
      </c>
    </row>
    <row r="75" spans="1:13" s="179" customFormat="1" x14ac:dyDescent="0.2">
      <c r="A75" s="187"/>
      <c r="B75" s="147"/>
      <c r="C75" s="148"/>
      <c r="E75" s="240"/>
      <c r="F75" s="241"/>
      <c r="G75" s="251" t="s">
        <v>104</v>
      </c>
      <c r="H75" s="202"/>
      <c r="I75" s="189"/>
      <c r="J75" s="204" t="s">
        <v>94</v>
      </c>
      <c r="K75" s="189">
        <f>SUM(K57:K74)</f>
        <v>121.90999999999998</v>
      </c>
      <c r="L75" s="204" t="s">
        <v>64</v>
      </c>
    </row>
    <row r="76" spans="1:13" s="179" customFormat="1" ht="15" x14ac:dyDescent="0.2">
      <c r="A76" s="148"/>
      <c r="B76" s="186"/>
      <c r="C76" s="184"/>
      <c r="D76" s="187"/>
      <c r="E76" s="184"/>
      <c r="F76" s="187"/>
      <c r="G76" s="185"/>
    </row>
    <row r="77" spans="1:13" s="179" customFormat="1" ht="15" x14ac:dyDescent="0.2">
      <c r="A77" s="148"/>
      <c r="B77" s="192" t="s">
        <v>589</v>
      </c>
      <c r="D77" s="193"/>
      <c r="E77" s="194">
        <f>K54</f>
        <v>1290.492</v>
      </c>
      <c r="F77" s="187" t="s">
        <v>94</v>
      </c>
      <c r="G77" s="194">
        <f>K75</f>
        <v>121.90999999999998</v>
      </c>
      <c r="H77" s="195"/>
      <c r="J77" s="196" t="s">
        <v>89</v>
      </c>
      <c r="K77" s="197">
        <f>E77-G77</f>
        <v>1168.5819999999999</v>
      </c>
      <c r="L77" s="148" t="s">
        <v>64</v>
      </c>
    </row>
    <row r="78" spans="1:13" s="179" customFormat="1" ht="15" x14ac:dyDescent="0.2">
      <c r="A78" s="148"/>
      <c r="B78" s="192"/>
      <c r="D78" s="193"/>
      <c r="E78" s="194"/>
      <c r="F78" s="187"/>
      <c r="G78" s="194"/>
      <c r="H78" s="195"/>
      <c r="J78" s="196"/>
      <c r="K78" s="197"/>
      <c r="L78" s="148"/>
    </row>
    <row r="79" spans="1:13" s="179" customFormat="1" ht="15.75" customHeight="1" x14ac:dyDescent="0.2">
      <c r="A79" s="187"/>
      <c r="B79" s="147" t="s">
        <v>590</v>
      </c>
      <c r="C79" s="231"/>
      <c r="D79" s="231"/>
      <c r="E79" s="185">
        <f>K77</f>
        <v>1168.5819999999999</v>
      </c>
      <c r="F79" s="231" t="s">
        <v>88</v>
      </c>
      <c r="G79" s="260">
        <v>1</v>
      </c>
      <c r="H79" s="232"/>
      <c r="I79" s="259"/>
      <c r="J79" s="233" t="s">
        <v>89</v>
      </c>
      <c r="K79" s="205">
        <f>E79*G79</f>
        <v>1168.5819999999999</v>
      </c>
      <c r="L79" s="201" t="s">
        <v>61</v>
      </c>
      <c r="M79" s="231"/>
    </row>
    <row r="80" spans="1:13" s="179" customFormat="1" ht="15" x14ac:dyDescent="0.2">
      <c r="A80" s="187"/>
      <c r="B80" s="147"/>
      <c r="C80" s="148"/>
      <c r="E80" s="216"/>
      <c r="F80" s="214"/>
      <c r="G80" s="215" t="s">
        <v>78</v>
      </c>
      <c r="H80" s="214"/>
      <c r="I80" s="216"/>
      <c r="J80" s="214"/>
      <c r="K80" s="216">
        <f>SUM(K79)</f>
        <v>1168.5819999999999</v>
      </c>
      <c r="L80" s="234" t="s">
        <v>61</v>
      </c>
    </row>
    <row r="81" spans="1:13" s="179" customFormat="1" ht="228" x14ac:dyDescent="0.2">
      <c r="A81" s="148">
        <v>3</v>
      </c>
      <c r="B81" s="146" t="s">
        <v>343</v>
      </c>
      <c r="C81" s="184"/>
      <c r="E81" s="184"/>
      <c r="G81" s="185"/>
    </row>
    <row r="82" spans="1:13" s="179" customFormat="1" ht="15.75" customHeight="1" x14ac:dyDescent="0.2">
      <c r="A82" s="187"/>
      <c r="B82" s="147" t="s">
        <v>586</v>
      </c>
      <c r="C82" s="231"/>
      <c r="D82" s="231"/>
      <c r="E82" s="185"/>
      <c r="F82" s="231"/>
      <c r="G82" s="185"/>
      <c r="H82" s="232"/>
      <c r="I82" s="259"/>
      <c r="J82" s="233"/>
      <c r="K82" s="205"/>
      <c r="L82" s="201"/>
      <c r="M82" s="231"/>
    </row>
    <row r="83" spans="1:13" s="179" customFormat="1" ht="30.75" customHeight="1" x14ac:dyDescent="0.2">
      <c r="A83" s="187"/>
      <c r="B83" s="147" t="s">
        <v>587</v>
      </c>
      <c r="C83" s="231">
        <v>1</v>
      </c>
      <c r="D83" s="231" t="s">
        <v>88</v>
      </c>
      <c r="E83" s="185">
        <v>34.14</v>
      </c>
      <c r="F83" s="231" t="s">
        <v>88</v>
      </c>
      <c r="G83" s="185">
        <v>37.799999999999997</v>
      </c>
      <c r="H83" s="232"/>
      <c r="I83" s="259"/>
      <c r="J83" s="233" t="s">
        <v>89</v>
      </c>
      <c r="K83" s="205">
        <f>IF(C83,C83*E83*G83,"")</f>
        <v>1290.492</v>
      </c>
      <c r="L83" s="148" t="s">
        <v>64</v>
      </c>
      <c r="M83" s="231"/>
    </row>
    <row r="84" spans="1:13" s="179" customFormat="1" ht="15" x14ac:dyDescent="0.2">
      <c r="A84" s="187"/>
      <c r="B84" s="147"/>
      <c r="C84" s="148"/>
      <c r="E84" s="216"/>
      <c r="F84" s="214"/>
      <c r="G84" s="215" t="s">
        <v>78</v>
      </c>
      <c r="H84" s="214"/>
      <c r="I84" s="216"/>
      <c r="J84" s="214"/>
      <c r="K84" s="216">
        <f>SUM(K83)</f>
        <v>1290.492</v>
      </c>
      <c r="L84" s="234" t="s">
        <v>64</v>
      </c>
    </row>
    <row r="85" spans="1:13" s="179" customFormat="1" ht="97.5" customHeight="1" x14ac:dyDescent="0.2">
      <c r="A85" s="148">
        <v>4</v>
      </c>
      <c r="B85" s="146" t="s">
        <v>344</v>
      </c>
      <c r="C85" s="148"/>
      <c r="D85" s="229"/>
      <c r="E85" s="184"/>
      <c r="G85" s="185"/>
    </row>
    <row r="86" spans="1:13" s="179" customFormat="1" x14ac:dyDescent="0.2">
      <c r="A86" s="148"/>
      <c r="B86" s="213" t="s">
        <v>609</v>
      </c>
      <c r="C86" s="184"/>
      <c r="E86" s="184"/>
      <c r="G86" s="185"/>
    </row>
    <row r="87" spans="1:13" s="179" customFormat="1" ht="15" x14ac:dyDescent="0.2">
      <c r="A87" s="148"/>
      <c r="B87" s="261" t="s">
        <v>617</v>
      </c>
      <c r="C87" s="148">
        <v>1</v>
      </c>
      <c r="D87" s="179" t="s">
        <v>88</v>
      </c>
      <c r="E87" s="262">
        <v>2</v>
      </c>
      <c r="F87" s="199" t="s">
        <v>88</v>
      </c>
      <c r="G87" s="262">
        <v>2.2999999999999998</v>
      </c>
      <c r="H87" s="232" t="s">
        <v>88</v>
      </c>
      <c r="I87" s="205">
        <v>0.3</v>
      </c>
      <c r="J87" s="233" t="s">
        <v>89</v>
      </c>
      <c r="K87" s="205">
        <f>IF(C87,C87*E87*G87*I87,"")</f>
        <v>1.38</v>
      </c>
      <c r="L87" s="201" t="s">
        <v>61</v>
      </c>
      <c r="M87" s="231"/>
    </row>
    <row r="88" spans="1:13" s="179" customFormat="1" ht="15" x14ac:dyDescent="0.2">
      <c r="A88" s="187"/>
      <c r="B88" s="261" t="s">
        <v>618</v>
      </c>
      <c r="C88" s="148">
        <v>1</v>
      </c>
      <c r="D88" s="179" t="s">
        <v>88</v>
      </c>
      <c r="E88" s="262">
        <v>2.4</v>
      </c>
      <c r="F88" s="199" t="s">
        <v>88</v>
      </c>
      <c r="G88" s="262">
        <v>2.7</v>
      </c>
      <c r="H88" s="232" t="s">
        <v>88</v>
      </c>
      <c r="I88" s="205">
        <v>0.3</v>
      </c>
      <c r="J88" s="233" t="s">
        <v>89</v>
      </c>
      <c r="K88" s="205">
        <f>IF(C88,C88*E88*G88*I88,"")</f>
        <v>1.944</v>
      </c>
      <c r="L88" s="201" t="s">
        <v>61</v>
      </c>
      <c r="M88" s="231"/>
    </row>
    <row r="89" spans="1:13" s="179" customFormat="1" ht="15" x14ac:dyDescent="0.2">
      <c r="A89" s="187"/>
      <c r="B89" s="261" t="s">
        <v>619</v>
      </c>
      <c r="C89" s="148">
        <v>1</v>
      </c>
      <c r="D89" s="179" t="s">
        <v>88</v>
      </c>
      <c r="E89" s="262">
        <v>2.9</v>
      </c>
      <c r="F89" s="199" t="s">
        <v>88</v>
      </c>
      <c r="G89" s="262">
        <v>3.1</v>
      </c>
      <c r="H89" s="232" t="s">
        <v>88</v>
      </c>
      <c r="I89" s="205">
        <v>0.3</v>
      </c>
      <c r="J89" s="233" t="s">
        <v>89</v>
      </c>
      <c r="K89" s="205">
        <f>IF(C89,C89*E89*G89*I89,"")</f>
        <v>2.6970000000000001</v>
      </c>
      <c r="L89" s="201" t="s">
        <v>61</v>
      </c>
      <c r="M89" s="231"/>
    </row>
    <row r="90" spans="1:13" s="179" customFormat="1" ht="15" x14ac:dyDescent="0.2">
      <c r="A90" s="187"/>
      <c r="B90" s="261" t="s">
        <v>620</v>
      </c>
      <c r="C90" s="148">
        <v>1</v>
      </c>
      <c r="D90" s="179" t="s">
        <v>88</v>
      </c>
      <c r="E90" s="262">
        <v>2.1</v>
      </c>
      <c r="F90" s="199" t="s">
        <v>88</v>
      </c>
      <c r="G90" s="262">
        <v>2.2999999999999998</v>
      </c>
      <c r="H90" s="232" t="s">
        <v>88</v>
      </c>
      <c r="I90" s="205">
        <v>0.3</v>
      </c>
      <c r="J90" s="233" t="s">
        <v>89</v>
      </c>
      <c r="K90" s="205">
        <f t="shared" ref="K90:K97" si="5">IF(C90,C90*E90*G90*I90,"")</f>
        <v>1.4490000000000001</v>
      </c>
      <c r="L90" s="201" t="s">
        <v>61</v>
      </c>
      <c r="M90" s="231"/>
    </row>
    <row r="91" spans="1:13" s="179" customFormat="1" ht="15" x14ac:dyDescent="0.2">
      <c r="A91" s="187"/>
      <c r="B91" s="261" t="s">
        <v>621</v>
      </c>
      <c r="C91" s="148">
        <v>1</v>
      </c>
      <c r="D91" s="179" t="s">
        <v>88</v>
      </c>
      <c r="E91" s="262">
        <v>2.9</v>
      </c>
      <c r="F91" s="199" t="s">
        <v>88</v>
      </c>
      <c r="G91" s="262">
        <v>3.1</v>
      </c>
      <c r="H91" s="232" t="s">
        <v>88</v>
      </c>
      <c r="I91" s="205">
        <v>0.3</v>
      </c>
      <c r="J91" s="233" t="s">
        <v>89</v>
      </c>
      <c r="K91" s="205">
        <f t="shared" si="5"/>
        <v>2.6970000000000001</v>
      </c>
      <c r="L91" s="201" t="s">
        <v>61</v>
      </c>
      <c r="M91" s="231"/>
    </row>
    <row r="92" spans="1:13" s="179" customFormat="1" ht="15" x14ac:dyDescent="0.2">
      <c r="A92" s="187"/>
      <c r="B92" s="261" t="s">
        <v>622</v>
      </c>
      <c r="C92" s="148">
        <v>1</v>
      </c>
      <c r="D92" s="179" t="s">
        <v>88</v>
      </c>
      <c r="E92" s="262">
        <v>2.7</v>
      </c>
      <c r="F92" s="199" t="s">
        <v>88</v>
      </c>
      <c r="G92" s="262">
        <v>2.9</v>
      </c>
      <c r="H92" s="232" t="s">
        <v>88</v>
      </c>
      <c r="I92" s="205">
        <v>0.3</v>
      </c>
      <c r="J92" s="233" t="s">
        <v>89</v>
      </c>
      <c r="K92" s="205">
        <f t="shared" si="5"/>
        <v>2.3489999999999998</v>
      </c>
      <c r="L92" s="201" t="s">
        <v>61</v>
      </c>
      <c r="M92" s="231"/>
    </row>
    <row r="93" spans="1:13" s="179" customFormat="1" ht="15.75" customHeight="1" x14ac:dyDescent="0.2">
      <c r="A93" s="187"/>
      <c r="B93" s="261" t="s">
        <v>623</v>
      </c>
      <c r="C93" s="148">
        <v>1</v>
      </c>
      <c r="D93" s="179" t="s">
        <v>88</v>
      </c>
      <c r="E93" s="262">
        <v>2.7</v>
      </c>
      <c r="F93" s="199" t="s">
        <v>88</v>
      </c>
      <c r="G93" s="262">
        <v>2.9</v>
      </c>
      <c r="H93" s="232" t="s">
        <v>88</v>
      </c>
      <c r="I93" s="205">
        <v>0.3</v>
      </c>
      <c r="J93" s="233" t="s">
        <v>89</v>
      </c>
      <c r="K93" s="205">
        <f t="shared" si="5"/>
        <v>2.3489999999999998</v>
      </c>
      <c r="L93" s="201" t="s">
        <v>61</v>
      </c>
      <c r="M93" s="231"/>
    </row>
    <row r="94" spans="1:13" s="179" customFormat="1" ht="15.75" customHeight="1" x14ac:dyDescent="0.2">
      <c r="A94" s="187"/>
      <c r="B94" s="261" t="s">
        <v>624</v>
      </c>
      <c r="C94" s="148">
        <v>1</v>
      </c>
      <c r="D94" s="179" t="s">
        <v>88</v>
      </c>
      <c r="E94" s="262">
        <v>2.1</v>
      </c>
      <c r="F94" s="199" t="s">
        <v>88</v>
      </c>
      <c r="G94" s="262">
        <v>2.2999999999999998</v>
      </c>
      <c r="H94" s="232" t="s">
        <v>88</v>
      </c>
      <c r="I94" s="205">
        <v>0.3</v>
      </c>
      <c r="J94" s="233" t="s">
        <v>89</v>
      </c>
      <c r="K94" s="205">
        <f t="shared" si="5"/>
        <v>1.4490000000000001</v>
      </c>
      <c r="L94" s="201" t="s">
        <v>61</v>
      </c>
      <c r="M94" s="231"/>
    </row>
    <row r="95" spans="1:13" s="179" customFormat="1" ht="15.75" customHeight="1" x14ac:dyDescent="0.2">
      <c r="A95" s="187"/>
      <c r="B95" s="261" t="s">
        <v>625</v>
      </c>
      <c r="C95" s="148">
        <v>1</v>
      </c>
      <c r="D95" s="179" t="s">
        <v>88</v>
      </c>
      <c r="E95" s="262">
        <v>2.9</v>
      </c>
      <c r="F95" s="199" t="s">
        <v>88</v>
      </c>
      <c r="G95" s="262">
        <v>3.1</v>
      </c>
      <c r="H95" s="232" t="s">
        <v>88</v>
      </c>
      <c r="I95" s="205">
        <v>0.3</v>
      </c>
      <c r="J95" s="233" t="s">
        <v>89</v>
      </c>
      <c r="K95" s="205">
        <f t="shared" si="5"/>
        <v>2.6970000000000001</v>
      </c>
      <c r="L95" s="201" t="s">
        <v>61</v>
      </c>
      <c r="M95" s="231"/>
    </row>
    <row r="96" spans="1:13" s="179" customFormat="1" ht="15.75" customHeight="1" x14ac:dyDescent="0.2">
      <c r="A96" s="187"/>
      <c r="B96" s="261" t="s">
        <v>626</v>
      </c>
      <c r="C96" s="148">
        <v>1</v>
      </c>
      <c r="D96" s="179" t="s">
        <v>88</v>
      </c>
      <c r="E96" s="262">
        <v>2.9</v>
      </c>
      <c r="F96" s="199" t="s">
        <v>88</v>
      </c>
      <c r="G96" s="262">
        <v>3.1</v>
      </c>
      <c r="H96" s="232" t="s">
        <v>88</v>
      </c>
      <c r="I96" s="205">
        <v>0.3</v>
      </c>
      <c r="J96" s="233" t="s">
        <v>89</v>
      </c>
      <c r="K96" s="205">
        <f t="shared" si="5"/>
        <v>2.6970000000000001</v>
      </c>
      <c r="L96" s="201" t="s">
        <v>61</v>
      </c>
      <c r="M96" s="231"/>
    </row>
    <row r="97" spans="1:13" s="179" customFormat="1" ht="16.5" customHeight="1" x14ac:dyDescent="0.2">
      <c r="A97" s="187"/>
      <c r="B97" s="261" t="s">
        <v>627</v>
      </c>
      <c r="C97" s="148">
        <v>1</v>
      </c>
      <c r="D97" s="179" t="s">
        <v>88</v>
      </c>
      <c r="E97" s="262">
        <v>2.4</v>
      </c>
      <c r="F97" s="199" t="s">
        <v>88</v>
      </c>
      <c r="G97" s="262">
        <v>2.6</v>
      </c>
      <c r="H97" s="232" t="s">
        <v>88</v>
      </c>
      <c r="I97" s="205">
        <v>0.3</v>
      </c>
      <c r="J97" s="233" t="s">
        <v>89</v>
      </c>
      <c r="K97" s="205">
        <f t="shared" si="5"/>
        <v>1.8719999999999999</v>
      </c>
      <c r="L97" s="201" t="s">
        <v>61</v>
      </c>
      <c r="M97" s="231"/>
    </row>
    <row r="98" spans="1:13" s="179" customFormat="1" ht="24" customHeight="1" x14ac:dyDescent="0.2">
      <c r="A98" s="187"/>
      <c r="B98" s="261" t="s">
        <v>628</v>
      </c>
      <c r="C98" s="148">
        <v>1</v>
      </c>
      <c r="D98" s="179" t="s">
        <v>88</v>
      </c>
      <c r="E98" s="262">
        <v>3</v>
      </c>
      <c r="F98" s="199" t="s">
        <v>88</v>
      </c>
      <c r="G98" s="262">
        <v>3.2</v>
      </c>
      <c r="H98" s="232" t="s">
        <v>88</v>
      </c>
      <c r="I98" s="205">
        <v>0.3</v>
      </c>
      <c r="J98" s="233" t="s">
        <v>89</v>
      </c>
      <c r="K98" s="205">
        <f t="shared" ref="K98:K105" si="6">IF(C98,C98*E98*G98*I98,"")</f>
        <v>2.8800000000000003</v>
      </c>
      <c r="L98" s="201" t="s">
        <v>61</v>
      </c>
      <c r="M98" s="231"/>
    </row>
    <row r="99" spans="1:13" s="179" customFormat="1" ht="15" x14ac:dyDescent="0.2">
      <c r="A99" s="187"/>
      <c r="B99" s="261" t="s">
        <v>629</v>
      </c>
      <c r="C99" s="148">
        <v>1</v>
      </c>
      <c r="D99" s="179" t="s">
        <v>88</v>
      </c>
      <c r="E99" s="262">
        <v>1.8</v>
      </c>
      <c r="F99" s="199" t="s">
        <v>88</v>
      </c>
      <c r="G99" s="262">
        <v>2</v>
      </c>
      <c r="H99" s="232" t="s">
        <v>88</v>
      </c>
      <c r="I99" s="205">
        <v>0.3</v>
      </c>
      <c r="J99" s="233" t="s">
        <v>89</v>
      </c>
      <c r="K99" s="205">
        <f t="shared" si="6"/>
        <v>1.08</v>
      </c>
      <c r="L99" s="201" t="s">
        <v>61</v>
      </c>
      <c r="M99" s="231"/>
    </row>
    <row r="100" spans="1:13" s="179" customFormat="1" ht="15" x14ac:dyDescent="0.2">
      <c r="A100" s="187"/>
      <c r="B100" s="261" t="s">
        <v>630</v>
      </c>
      <c r="C100" s="148">
        <v>1</v>
      </c>
      <c r="D100" s="179" t="s">
        <v>88</v>
      </c>
      <c r="E100" s="262">
        <v>2.6</v>
      </c>
      <c r="F100" s="199" t="s">
        <v>88</v>
      </c>
      <c r="G100" s="199">
        <v>2.8</v>
      </c>
      <c r="H100" s="232" t="s">
        <v>88</v>
      </c>
      <c r="I100" s="205">
        <v>0.3</v>
      </c>
      <c r="J100" s="233" t="s">
        <v>89</v>
      </c>
      <c r="K100" s="205">
        <f t="shared" si="6"/>
        <v>2.1839999999999997</v>
      </c>
      <c r="L100" s="201" t="s">
        <v>61</v>
      </c>
      <c r="M100" s="231"/>
    </row>
    <row r="101" spans="1:13" s="179" customFormat="1" ht="15" x14ac:dyDescent="0.2">
      <c r="A101" s="187"/>
      <c r="B101" s="261" t="s">
        <v>631</v>
      </c>
      <c r="C101" s="148">
        <v>1</v>
      </c>
      <c r="D101" s="179" t="s">
        <v>88</v>
      </c>
      <c r="E101" s="262">
        <v>2.5</v>
      </c>
      <c r="F101" s="199" t="s">
        <v>88</v>
      </c>
      <c r="G101" s="199">
        <v>2.7</v>
      </c>
      <c r="H101" s="232" t="s">
        <v>88</v>
      </c>
      <c r="I101" s="205">
        <v>0.3</v>
      </c>
      <c r="J101" s="233" t="s">
        <v>89</v>
      </c>
      <c r="K101" s="205">
        <f t="shared" si="6"/>
        <v>2.0249999999999999</v>
      </c>
      <c r="L101" s="201" t="s">
        <v>61</v>
      </c>
      <c r="M101" s="231"/>
    </row>
    <row r="102" spans="1:13" s="179" customFormat="1" ht="15" x14ac:dyDescent="0.2">
      <c r="A102" s="187"/>
      <c r="B102" s="261" t="s">
        <v>632</v>
      </c>
      <c r="C102" s="148">
        <v>1</v>
      </c>
      <c r="D102" s="179" t="s">
        <v>88</v>
      </c>
      <c r="E102" s="262">
        <v>2.1</v>
      </c>
      <c r="F102" s="199" t="s">
        <v>88</v>
      </c>
      <c r="G102" s="199">
        <v>2.2999999999999998</v>
      </c>
      <c r="H102" s="232" t="s">
        <v>88</v>
      </c>
      <c r="I102" s="205">
        <v>0.3</v>
      </c>
      <c r="J102" s="233" t="s">
        <v>89</v>
      </c>
      <c r="K102" s="205">
        <f t="shared" si="6"/>
        <v>1.4490000000000001</v>
      </c>
      <c r="L102" s="201" t="s">
        <v>61</v>
      </c>
      <c r="M102" s="231"/>
    </row>
    <row r="103" spans="1:13" s="179" customFormat="1" ht="15.75" customHeight="1" x14ac:dyDescent="0.2">
      <c r="A103" s="187"/>
      <c r="B103" s="261" t="s">
        <v>633</v>
      </c>
      <c r="C103" s="148">
        <v>1</v>
      </c>
      <c r="D103" s="179" t="s">
        <v>88</v>
      </c>
      <c r="E103" s="262">
        <v>2.2000000000000002</v>
      </c>
      <c r="F103" s="199" t="s">
        <v>88</v>
      </c>
      <c r="G103" s="199">
        <v>2.5</v>
      </c>
      <c r="H103" s="232" t="s">
        <v>88</v>
      </c>
      <c r="I103" s="205">
        <v>0.3</v>
      </c>
      <c r="J103" s="233" t="s">
        <v>89</v>
      </c>
      <c r="K103" s="205">
        <f t="shared" si="6"/>
        <v>1.65</v>
      </c>
      <c r="L103" s="201" t="s">
        <v>61</v>
      </c>
      <c r="M103" s="231"/>
    </row>
    <row r="104" spans="1:13" s="179" customFormat="1" ht="15.75" customHeight="1" x14ac:dyDescent="0.2">
      <c r="A104" s="187"/>
      <c r="B104" s="261" t="s">
        <v>634</v>
      </c>
      <c r="C104" s="148">
        <v>1</v>
      </c>
      <c r="D104" s="179" t="s">
        <v>88</v>
      </c>
      <c r="E104" s="262">
        <v>2.2999999999999998</v>
      </c>
      <c r="F104" s="199" t="s">
        <v>88</v>
      </c>
      <c r="G104" s="199">
        <v>2.5</v>
      </c>
      <c r="H104" s="232" t="s">
        <v>88</v>
      </c>
      <c r="I104" s="205">
        <v>0.3</v>
      </c>
      <c r="J104" s="233" t="s">
        <v>89</v>
      </c>
      <c r="K104" s="205">
        <f t="shared" si="6"/>
        <v>1.7249999999999999</v>
      </c>
      <c r="L104" s="201" t="s">
        <v>61</v>
      </c>
      <c r="M104" s="231"/>
    </row>
    <row r="105" spans="1:13" s="179" customFormat="1" ht="15.75" customHeight="1" x14ac:dyDescent="0.2">
      <c r="A105" s="187"/>
      <c r="B105" s="147" t="s">
        <v>706</v>
      </c>
      <c r="C105" s="231">
        <v>1</v>
      </c>
      <c r="D105" s="231" t="s">
        <v>88</v>
      </c>
      <c r="E105" s="185">
        <f>K77</f>
        <v>1168.5819999999999</v>
      </c>
      <c r="F105" s="231" t="s">
        <v>88</v>
      </c>
      <c r="G105" s="185">
        <v>1</v>
      </c>
      <c r="H105" s="232" t="s">
        <v>88</v>
      </c>
      <c r="I105" s="205">
        <v>0.15</v>
      </c>
      <c r="J105" s="233" t="s">
        <v>89</v>
      </c>
      <c r="K105" s="205">
        <f t="shared" si="6"/>
        <v>175.28729999999999</v>
      </c>
      <c r="L105" s="201" t="s">
        <v>61</v>
      </c>
      <c r="M105" s="231"/>
    </row>
    <row r="106" spans="1:13" s="179" customFormat="1" ht="15" x14ac:dyDescent="0.2">
      <c r="A106" s="148"/>
      <c r="B106" s="186"/>
      <c r="C106" s="184"/>
      <c r="D106" s="187"/>
      <c r="E106" s="184"/>
      <c r="F106" s="187"/>
      <c r="G106" s="185"/>
    </row>
    <row r="107" spans="1:13" s="179" customFormat="1" ht="15" x14ac:dyDescent="0.2">
      <c r="A107" s="187"/>
      <c r="B107" s="147"/>
      <c r="C107" s="148"/>
      <c r="E107" s="216"/>
      <c r="F107" s="214"/>
      <c r="G107" s="215" t="s">
        <v>610</v>
      </c>
      <c r="H107" s="214"/>
      <c r="I107" s="216"/>
      <c r="J107" s="214"/>
      <c r="K107" s="216">
        <f>SUM(K87:K106)</f>
        <v>211.8603</v>
      </c>
      <c r="L107" s="234" t="s">
        <v>61</v>
      </c>
    </row>
    <row r="108" spans="1:13" s="179" customFormat="1" ht="97.5" customHeight="1" x14ac:dyDescent="0.2">
      <c r="A108" s="148">
        <v>5</v>
      </c>
      <c r="B108" s="146" t="s">
        <v>345</v>
      </c>
      <c r="C108" s="148"/>
      <c r="D108" s="229"/>
      <c r="E108" s="184"/>
      <c r="G108" s="185"/>
    </row>
    <row r="109" spans="1:13" s="179" customFormat="1" x14ac:dyDescent="0.2">
      <c r="A109" s="148"/>
      <c r="B109" s="213" t="s">
        <v>609</v>
      </c>
      <c r="C109" s="184"/>
      <c r="E109" s="184"/>
      <c r="G109" s="185"/>
    </row>
    <row r="110" spans="1:13" s="179" customFormat="1" ht="15" x14ac:dyDescent="0.2">
      <c r="A110" s="148"/>
      <c r="B110" s="261" t="s">
        <v>617</v>
      </c>
      <c r="C110" s="148">
        <v>1</v>
      </c>
      <c r="D110" s="179" t="s">
        <v>88</v>
      </c>
      <c r="E110" s="263">
        <v>1.7</v>
      </c>
      <c r="F110" s="199" t="s">
        <v>88</v>
      </c>
      <c r="G110" s="263">
        <v>1.9999999999999998</v>
      </c>
      <c r="H110" s="232" t="s">
        <v>88</v>
      </c>
      <c r="I110" s="205">
        <v>0.6</v>
      </c>
      <c r="J110" s="233" t="s">
        <v>89</v>
      </c>
      <c r="K110" s="205">
        <f>IF(C110,C110*E110*G110*I110,"")</f>
        <v>2.0399999999999996</v>
      </c>
      <c r="L110" s="201" t="s">
        <v>61</v>
      </c>
      <c r="M110" s="231"/>
    </row>
    <row r="111" spans="1:13" s="179" customFormat="1" ht="15" x14ac:dyDescent="0.2">
      <c r="A111" s="187"/>
      <c r="B111" s="261" t="s">
        <v>618</v>
      </c>
      <c r="C111" s="148">
        <v>1</v>
      </c>
      <c r="D111" s="179" t="s">
        <v>88</v>
      </c>
      <c r="E111" s="263">
        <v>2.1</v>
      </c>
      <c r="F111" s="199" t="s">
        <v>88</v>
      </c>
      <c r="G111" s="263">
        <v>2.4000000000000004</v>
      </c>
      <c r="H111" s="232" t="s">
        <v>88</v>
      </c>
      <c r="I111" s="205">
        <v>0.75</v>
      </c>
      <c r="J111" s="233" t="s">
        <v>89</v>
      </c>
      <c r="K111" s="205">
        <f t="shared" ref="K111:K120" si="7">IF(C111,C111*E111*G111*I111,"")</f>
        <v>3.7800000000000007</v>
      </c>
      <c r="L111" s="201" t="s">
        <v>61</v>
      </c>
      <c r="M111" s="231"/>
    </row>
    <row r="112" spans="1:13" s="179" customFormat="1" ht="15" x14ac:dyDescent="0.2">
      <c r="A112" s="187"/>
      <c r="B112" s="261" t="s">
        <v>619</v>
      </c>
      <c r="C112" s="148">
        <v>1</v>
      </c>
      <c r="D112" s="179" t="s">
        <v>88</v>
      </c>
      <c r="E112" s="263">
        <v>2.6</v>
      </c>
      <c r="F112" s="199" t="s">
        <v>88</v>
      </c>
      <c r="G112" s="263">
        <v>2.8000000000000003</v>
      </c>
      <c r="H112" s="232" t="s">
        <v>88</v>
      </c>
      <c r="I112" s="205">
        <v>0.8</v>
      </c>
      <c r="J112" s="233" t="s">
        <v>89</v>
      </c>
      <c r="K112" s="205">
        <f t="shared" si="7"/>
        <v>5.8240000000000016</v>
      </c>
      <c r="L112" s="201" t="s">
        <v>61</v>
      </c>
      <c r="M112" s="231"/>
    </row>
    <row r="113" spans="1:13" s="179" customFormat="1" ht="15" x14ac:dyDescent="0.2">
      <c r="A113" s="187"/>
      <c r="B113" s="261" t="s">
        <v>620</v>
      </c>
      <c r="C113" s="148">
        <v>1</v>
      </c>
      <c r="D113" s="179" t="s">
        <v>88</v>
      </c>
      <c r="E113" s="263">
        <v>1.8</v>
      </c>
      <c r="F113" s="199" t="s">
        <v>88</v>
      </c>
      <c r="G113" s="263">
        <v>1.9999999999999998</v>
      </c>
      <c r="H113" s="232" t="s">
        <v>88</v>
      </c>
      <c r="I113" s="205">
        <v>0.6</v>
      </c>
      <c r="J113" s="233" t="s">
        <v>89</v>
      </c>
      <c r="K113" s="205">
        <f t="shared" si="7"/>
        <v>2.1599999999999997</v>
      </c>
      <c r="L113" s="201" t="s">
        <v>61</v>
      </c>
      <c r="M113" s="231"/>
    </row>
    <row r="114" spans="1:13" s="179" customFormat="1" ht="15" x14ac:dyDescent="0.2">
      <c r="A114" s="187"/>
      <c r="B114" s="261" t="s">
        <v>621</v>
      </c>
      <c r="C114" s="148">
        <v>1</v>
      </c>
      <c r="D114" s="179" t="s">
        <v>88</v>
      </c>
      <c r="E114" s="263">
        <v>2.6</v>
      </c>
      <c r="F114" s="199" t="s">
        <v>88</v>
      </c>
      <c r="G114" s="263">
        <v>2.8000000000000003</v>
      </c>
      <c r="H114" s="232" t="s">
        <v>88</v>
      </c>
      <c r="I114" s="205">
        <v>0.9</v>
      </c>
      <c r="J114" s="233" t="s">
        <v>89</v>
      </c>
      <c r="K114" s="205">
        <f t="shared" si="7"/>
        <v>6.5520000000000014</v>
      </c>
      <c r="L114" s="201" t="s">
        <v>61</v>
      </c>
      <c r="M114" s="231"/>
    </row>
    <row r="115" spans="1:13" s="179" customFormat="1" ht="15" x14ac:dyDescent="0.2">
      <c r="A115" s="187"/>
      <c r="B115" s="261" t="s">
        <v>622</v>
      </c>
      <c r="C115" s="148">
        <v>1</v>
      </c>
      <c r="D115" s="179" t="s">
        <v>88</v>
      </c>
      <c r="E115" s="263">
        <v>2.4000000000000004</v>
      </c>
      <c r="F115" s="199" t="s">
        <v>88</v>
      </c>
      <c r="G115" s="263">
        <v>2.6</v>
      </c>
      <c r="H115" s="232" t="s">
        <v>88</v>
      </c>
      <c r="I115" s="205">
        <v>0.75</v>
      </c>
      <c r="J115" s="233" t="s">
        <v>89</v>
      </c>
      <c r="K115" s="205">
        <f t="shared" si="7"/>
        <v>4.6800000000000006</v>
      </c>
      <c r="L115" s="201" t="s">
        <v>61</v>
      </c>
      <c r="M115" s="231"/>
    </row>
    <row r="116" spans="1:13" s="179" customFormat="1" ht="15.75" customHeight="1" x14ac:dyDescent="0.2">
      <c r="A116" s="187"/>
      <c r="B116" s="261" t="s">
        <v>623</v>
      </c>
      <c r="C116" s="148">
        <v>1</v>
      </c>
      <c r="D116" s="179" t="s">
        <v>88</v>
      </c>
      <c r="E116" s="263">
        <v>2.4000000000000004</v>
      </c>
      <c r="F116" s="199" t="s">
        <v>88</v>
      </c>
      <c r="G116" s="263">
        <v>2.6</v>
      </c>
      <c r="H116" s="232" t="s">
        <v>88</v>
      </c>
      <c r="I116" s="205">
        <v>0.75</v>
      </c>
      <c r="J116" s="233" t="s">
        <v>89</v>
      </c>
      <c r="K116" s="205">
        <f t="shared" si="7"/>
        <v>4.6800000000000006</v>
      </c>
      <c r="L116" s="201" t="s">
        <v>61</v>
      </c>
      <c r="M116" s="231"/>
    </row>
    <row r="117" spans="1:13" s="179" customFormat="1" ht="15.75" customHeight="1" x14ac:dyDescent="0.2">
      <c r="A117" s="187"/>
      <c r="B117" s="261" t="s">
        <v>624</v>
      </c>
      <c r="C117" s="148">
        <v>1</v>
      </c>
      <c r="D117" s="179" t="s">
        <v>88</v>
      </c>
      <c r="E117" s="263">
        <v>1.8</v>
      </c>
      <c r="F117" s="199" t="s">
        <v>88</v>
      </c>
      <c r="G117" s="263">
        <v>1.9999999999999998</v>
      </c>
      <c r="H117" s="232" t="s">
        <v>88</v>
      </c>
      <c r="I117" s="205">
        <v>0.6</v>
      </c>
      <c r="J117" s="233" t="s">
        <v>89</v>
      </c>
      <c r="K117" s="205">
        <f t="shared" si="7"/>
        <v>2.1599999999999997</v>
      </c>
      <c r="L117" s="201" t="s">
        <v>61</v>
      </c>
      <c r="M117" s="231"/>
    </row>
    <row r="118" spans="1:13" s="179" customFormat="1" ht="15.75" customHeight="1" x14ac:dyDescent="0.2">
      <c r="A118" s="187"/>
      <c r="B118" s="261" t="s">
        <v>625</v>
      </c>
      <c r="C118" s="148">
        <v>1</v>
      </c>
      <c r="D118" s="179" t="s">
        <v>88</v>
      </c>
      <c r="E118" s="263">
        <v>2.6</v>
      </c>
      <c r="F118" s="199" t="s">
        <v>88</v>
      </c>
      <c r="G118" s="263">
        <v>2.8000000000000003</v>
      </c>
      <c r="H118" s="232" t="s">
        <v>88</v>
      </c>
      <c r="I118" s="205">
        <v>0.75</v>
      </c>
      <c r="J118" s="233" t="s">
        <v>89</v>
      </c>
      <c r="K118" s="205">
        <f t="shared" si="7"/>
        <v>5.4600000000000009</v>
      </c>
      <c r="L118" s="201" t="s">
        <v>61</v>
      </c>
      <c r="M118" s="231"/>
    </row>
    <row r="119" spans="1:13" s="179" customFormat="1" ht="15.75" customHeight="1" x14ac:dyDescent="0.2">
      <c r="A119" s="187"/>
      <c r="B119" s="261" t="s">
        <v>626</v>
      </c>
      <c r="C119" s="148">
        <v>1</v>
      </c>
      <c r="D119" s="179" t="s">
        <v>88</v>
      </c>
      <c r="E119" s="263">
        <v>2.6</v>
      </c>
      <c r="F119" s="199" t="s">
        <v>88</v>
      </c>
      <c r="G119" s="263">
        <v>2.8000000000000003</v>
      </c>
      <c r="H119" s="232" t="s">
        <v>88</v>
      </c>
      <c r="I119" s="205">
        <v>0.9</v>
      </c>
      <c r="J119" s="233" t="s">
        <v>89</v>
      </c>
      <c r="K119" s="205">
        <f t="shared" si="7"/>
        <v>6.5520000000000014</v>
      </c>
      <c r="L119" s="201" t="s">
        <v>61</v>
      </c>
      <c r="M119" s="231"/>
    </row>
    <row r="120" spans="1:13" s="179" customFormat="1" ht="16.5" customHeight="1" x14ac:dyDescent="0.2">
      <c r="A120" s="187"/>
      <c r="B120" s="261" t="s">
        <v>627</v>
      </c>
      <c r="C120" s="148">
        <v>1</v>
      </c>
      <c r="D120" s="179" t="s">
        <v>88</v>
      </c>
      <c r="E120" s="263">
        <v>2.1</v>
      </c>
      <c r="F120" s="199" t="s">
        <v>88</v>
      </c>
      <c r="G120" s="263">
        <v>2.3000000000000003</v>
      </c>
      <c r="H120" s="232" t="s">
        <v>88</v>
      </c>
      <c r="I120" s="205">
        <v>0.75</v>
      </c>
      <c r="J120" s="233" t="s">
        <v>89</v>
      </c>
      <c r="K120" s="205">
        <f t="shared" si="7"/>
        <v>3.6225000000000005</v>
      </c>
      <c r="L120" s="201" t="s">
        <v>61</v>
      </c>
      <c r="M120" s="231"/>
    </row>
    <row r="121" spans="1:13" s="179" customFormat="1" ht="15" x14ac:dyDescent="0.2">
      <c r="A121" s="187"/>
      <c r="B121" s="261" t="s">
        <v>628</v>
      </c>
      <c r="C121" s="148">
        <v>1</v>
      </c>
      <c r="D121" s="179" t="s">
        <v>88</v>
      </c>
      <c r="E121" s="263">
        <v>2.7</v>
      </c>
      <c r="F121" s="199" t="s">
        <v>88</v>
      </c>
      <c r="G121" s="263">
        <v>2.9000000000000004</v>
      </c>
      <c r="H121" s="232" t="s">
        <v>88</v>
      </c>
      <c r="I121" s="205">
        <v>0.8</v>
      </c>
      <c r="J121" s="233" t="s">
        <v>89</v>
      </c>
      <c r="K121" s="205">
        <f t="shared" ref="K121:K127" si="8">IF(C121,C121*E121*G121*I121,"")</f>
        <v>6.264000000000002</v>
      </c>
      <c r="L121" s="201" t="s">
        <v>61</v>
      </c>
      <c r="M121" s="231"/>
    </row>
    <row r="122" spans="1:13" s="179" customFormat="1" ht="15" x14ac:dyDescent="0.2">
      <c r="A122" s="187"/>
      <c r="B122" s="261" t="s">
        <v>629</v>
      </c>
      <c r="C122" s="148">
        <v>1</v>
      </c>
      <c r="D122" s="179" t="s">
        <v>88</v>
      </c>
      <c r="E122" s="263">
        <v>1.5</v>
      </c>
      <c r="F122" s="199" t="s">
        <v>88</v>
      </c>
      <c r="G122" s="263">
        <v>1.7</v>
      </c>
      <c r="H122" s="232" t="s">
        <v>88</v>
      </c>
      <c r="I122" s="205">
        <v>0.75</v>
      </c>
      <c r="J122" s="233" t="s">
        <v>89</v>
      </c>
      <c r="K122" s="205">
        <f t="shared" si="8"/>
        <v>1.9124999999999999</v>
      </c>
      <c r="L122" s="201" t="s">
        <v>61</v>
      </c>
      <c r="M122" s="231"/>
    </row>
    <row r="123" spans="1:13" s="179" customFormat="1" ht="15" x14ac:dyDescent="0.2">
      <c r="A123" s="187"/>
      <c r="B123" s="261" t="s">
        <v>630</v>
      </c>
      <c r="C123" s="148">
        <v>1</v>
      </c>
      <c r="D123" s="179" t="s">
        <v>88</v>
      </c>
      <c r="E123" s="263">
        <v>2.3000000000000003</v>
      </c>
      <c r="F123" s="199" t="s">
        <v>88</v>
      </c>
      <c r="G123" s="263">
        <v>2.5</v>
      </c>
      <c r="H123" s="232" t="s">
        <v>88</v>
      </c>
      <c r="I123" s="205">
        <v>0.75</v>
      </c>
      <c r="J123" s="233" t="s">
        <v>89</v>
      </c>
      <c r="K123" s="205">
        <f t="shared" si="8"/>
        <v>4.3125000000000009</v>
      </c>
      <c r="L123" s="201" t="s">
        <v>61</v>
      </c>
      <c r="M123" s="231"/>
    </row>
    <row r="124" spans="1:13" s="179" customFormat="1" ht="15" x14ac:dyDescent="0.2">
      <c r="A124" s="187"/>
      <c r="B124" s="261" t="s">
        <v>631</v>
      </c>
      <c r="C124" s="148">
        <v>1</v>
      </c>
      <c r="D124" s="179" t="s">
        <v>88</v>
      </c>
      <c r="E124" s="263">
        <v>2.2000000000000002</v>
      </c>
      <c r="F124" s="199" t="s">
        <v>88</v>
      </c>
      <c r="G124" s="263">
        <v>2.4000000000000004</v>
      </c>
      <c r="H124" s="232" t="s">
        <v>88</v>
      </c>
      <c r="I124" s="205">
        <v>0.65</v>
      </c>
      <c r="J124" s="233" t="s">
        <v>89</v>
      </c>
      <c r="K124" s="205">
        <f t="shared" si="8"/>
        <v>3.4320000000000008</v>
      </c>
      <c r="L124" s="201" t="s">
        <v>61</v>
      </c>
      <c r="M124" s="231"/>
    </row>
    <row r="125" spans="1:13" s="179" customFormat="1" ht="15" x14ac:dyDescent="0.2">
      <c r="A125" s="187"/>
      <c r="B125" s="261" t="s">
        <v>632</v>
      </c>
      <c r="C125" s="148">
        <v>1</v>
      </c>
      <c r="D125" s="179" t="s">
        <v>88</v>
      </c>
      <c r="E125" s="263">
        <v>1.8</v>
      </c>
      <c r="F125" s="199" t="s">
        <v>88</v>
      </c>
      <c r="G125" s="263">
        <v>1.9999999999999998</v>
      </c>
      <c r="H125" s="232" t="s">
        <v>88</v>
      </c>
      <c r="I125" s="205">
        <v>0.6</v>
      </c>
      <c r="J125" s="233" t="s">
        <v>89</v>
      </c>
      <c r="K125" s="205">
        <f t="shared" si="8"/>
        <v>2.1599999999999997</v>
      </c>
      <c r="L125" s="201" t="s">
        <v>61</v>
      </c>
      <c r="M125" s="231"/>
    </row>
    <row r="126" spans="1:13" s="179" customFormat="1" ht="15.75" customHeight="1" x14ac:dyDescent="0.2">
      <c r="A126" s="187"/>
      <c r="B126" s="261" t="s">
        <v>633</v>
      </c>
      <c r="C126" s="148">
        <v>1</v>
      </c>
      <c r="D126" s="179" t="s">
        <v>88</v>
      </c>
      <c r="E126" s="263">
        <v>1.9000000000000001</v>
      </c>
      <c r="F126" s="199" t="s">
        <v>88</v>
      </c>
      <c r="G126" s="263">
        <v>2.2000000000000002</v>
      </c>
      <c r="H126" s="232" t="s">
        <v>88</v>
      </c>
      <c r="I126" s="205">
        <v>0.75</v>
      </c>
      <c r="J126" s="233" t="s">
        <v>89</v>
      </c>
      <c r="K126" s="205">
        <f t="shared" si="8"/>
        <v>3.1350000000000007</v>
      </c>
      <c r="L126" s="201" t="s">
        <v>61</v>
      </c>
      <c r="M126" s="231"/>
    </row>
    <row r="127" spans="1:13" s="179" customFormat="1" ht="15.75" customHeight="1" x14ac:dyDescent="0.2">
      <c r="A127" s="187"/>
      <c r="B127" s="261" t="s">
        <v>634</v>
      </c>
      <c r="C127" s="148">
        <v>1</v>
      </c>
      <c r="D127" s="179" t="s">
        <v>88</v>
      </c>
      <c r="E127" s="263">
        <v>1.9999999999999998</v>
      </c>
      <c r="F127" s="199" t="s">
        <v>88</v>
      </c>
      <c r="G127" s="263">
        <v>2.2000000000000002</v>
      </c>
      <c r="H127" s="232" t="s">
        <v>88</v>
      </c>
      <c r="I127" s="205">
        <v>0.75</v>
      </c>
      <c r="J127" s="233" t="s">
        <v>89</v>
      </c>
      <c r="K127" s="205">
        <f t="shared" si="8"/>
        <v>3.3</v>
      </c>
      <c r="L127" s="201" t="s">
        <v>61</v>
      </c>
      <c r="M127" s="231"/>
    </row>
    <row r="128" spans="1:13" s="179" customFormat="1" ht="15.75" customHeight="1" x14ac:dyDescent="0.2">
      <c r="A128" s="187"/>
      <c r="B128" s="192" t="s">
        <v>611</v>
      </c>
      <c r="C128" s="210">
        <f>SUM(K110:K127)</f>
        <v>72.026500000000013</v>
      </c>
      <c r="D128" s="264"/>
      <c r="E128" s="210" t="s">
        <v>61</v>
      </c>
      <c r="F128" s="231"/>
      <c r="G128" s="185"/>
      <c r="H128" s="232"/>
      <c r="I128" s="205"/>
      <c r="J128" s="233"/>
      <c r="K128" s="205"/>
      <c r="L128" s="201"/>
      <c r="M128" s="231"/>
    </row>
    <row r="129" spans="1:13" s="179" customFormat="1" ht="15.75" customHeight="1" x14ac:dyDescent="0.2">
      <c r="A129" s="187"/>
      <c r="B129" s="192" t="s">
        <v>701</v>
      </c>
      <c r="C129" s="210"/>
      <c r="D129" s="264"/>
      <c r="E129" s="210"/>
      <c r="F129" s="231"/>
      <c r="G129" s="185"/>
      <c r="H129" s="232"/>
      <c r="I129" s="205"/>
      <c r="J129" s="233"/>
      <c r="K129" s="205"/>
      <c r="L129" s="201"/>
      <c r="M129" s="231"/>
    </row>
    <row r="130" spans="1:13" s="179" customFormat="1" ht="15" x14ac:dyDescent="0.2">
      <c r="A130" s="148"/>
      <c r="B130" s="261" t="s">
        <v>702</v>
      </c>
      <c r="C130" s="148">
        <v>1</v>
      </c>
      <c r="D130" s="179" t="s">
        <v>88</v>
      </c>
      <c r="E130" s="263">
        <v>35.049999999999997</v>
      </c>
      <c r="F130" s="199" t="s">
        <v>88</v>
      </c>
      <c r="G130" s="263">
        <v>3.5</v>
      </c>
      <c r="H130" s="232" t="s">
        <v>88</v>
      </c>
      <c r="I130" s="205">
        <v>0.3</v>
      </c>
      <c r="J130" s="233" t="s">
        <v>89</v>
      </c>
      <c r="K130" s="205">
        <f t="shared" ref="K130:K137" si="9">IF(C130,C130*E130*G130*I130,"")</f>
        <v>36.802499999999995</v>
      </c>
      <c r="L130" s="201" t="s">
        <v>61</v>
      </c>
      <c r="M130" s="231"/>
    </row>
    <row r="131" spans="1:13" s="179" customFormat="1" ht="15" x14ac:dyDescent="0.2">
      <c r="A131" s="187"/>
      <c r="B131" s="261" t="s">
        <v>568</v>
      </c>
      <c r="C131" s="148">
        <v>1</v>
      </c>
      <c r="D131" s="179" t="s">
        <v>88</v>
      </c>
      <c r="E131" s="263">
        <v>46.79</v>
      </c>
      <c r="F131" s="199" t="s">
        <v>88</v>
      </c>
      <c r="G131" s="263">
        <v>3.5</v>
      </c>
      <c r="H131" s="232" t="s">
        <v>88</v>
      </c>
      <c r="I131" s="205">
        <v>0.3</v>
      </c>
      <c r="J131" s="233" t="s">
        <v>89</v>
      </c>
      <c r="K131" s="205">
        <f t="shared" si="9"/>
        <v>49.129499999999993</v>
      </c>
      <c r="L131" s="201" t="s">
        <v>61</v>
      </c>
      <c r="M131" s="231"/>
    </row>
    <row r="132" spans="1:13" s="179" customFormat="1" ht="15" x14ac:dyDescent="0.2">
      <c r="A132" s="187"/>
      <c r="B132" s="261" t="s">
        <v>571</v>
      </c>
      <c r="C132" s="148">
        <v>1</v>
      </c>
      <c r="D132" s="179" t="s">
        <v>88</v>
      </c>
      <c r="E132" s="263">
        <v>48.46</v>
      </c>
      <c r="F132" s="199" t="s">
        <v>88</v>
      </c>
      <c r="G132" s="263">
        <v>3.5</v>
      </c>
      <c r="H132" s="232" t="s">
        <v>88</v>
      </c>
      <c r="I132" s="205">
        <v>0.3</v>
      </c>
      <c r="J132" s="233" t="s">
        <v>89</v>
      </c>
      <c r="K132" s="205">
        <f t="shared" si="9"/>
        <v>50.883000000000003</v>
      </c>
      <c r="L132" s="201" t="s">
        <v>61</v>
      </c>
      <c r="M132" s="231"/>
    </row>
    <row r="133" spans="1:13" s="179" customFormat="1" ht="15" x14ac:dyDescent="0.2">
      <c r="A133" s="187"/>
      <c r="B133" s="261" t="s">
        <v>570</v>
      </c>
      <c r="C133" s="148">
        <v>1</v>
      </c>
      <c r="D133" s="179" t="s">
        <v>88</v>
      </c>
      <c r="E133" s="263">
        <v>15.7</v>
      </c>
      <c r="F133" s="199" t="s">
        <v>88</v>
      </c>
      <c r="G133" s="263">
        <v>3.5</v>
      </c>
      <c r="H133" s="232" t="s">
        <v>88</v>
      </c>
      <c r="I133" s="205">
        <v>0.3</v>
      </c>
      <c r="J133" s="233" t="s">
        <v>89</v>
      </c>
      <c r="K133" s="205">
        <f t="shared" si="9"/>
        <v>16.484999999999999</v>
      </c>
      <c r="L133" s="201" t="s">
        <v>61</v>
      </c>
      <c r="M133" s="231"/>
    </row>
    <row r="134" spans="1:13" s="179" customFormat="1" ht="30" x14ac:dyDescent="0.2">
      <c r="A134" s="148"/>
      <c r="B134" s="261" t="s">
        <v>703</v>
      </c>
      <c r="C134" s="148">
        <v>1</v>
      </c>
      <c r="D134" s="179" t="s">
        <v>88</v>
      </c>
      <c r="E134" s="263">
        <v>35.049999999999997</v>
      </c>
      <c r="F134" s="199" t="s">
        <v>88</v>
      </c>
      <c r="G134" s="263">
        <v>0.3</v>
      </c>
      <c r="H134" s="232" t="s">
        <v>88</v>
      </c>
      <c r="I134" s="205">
        <v>3.5</v>
      </c>
      <c r="J134" s="233" t="s">
        <v>89</v>
      </c>
      <c r="K134" s="205">
        <f t="shared" si="9"/>
        <v>36.802499999999995</v>
      </c>
      <c r="L134" s="201" t="s">
        <v>61</v>
      </c>
      <c r="M134" s="231"/>
    </row>
    <row r="135" spans="1:13" s="179" customFormat="1" ht="15" x14ac:dyDescent="0.2">
      <c r="A135" s="187"/>
      <c r="B135" s="261" t="s">
        <v>568</v>
      </c>
      <c r="C135" s="148">
        <v>1</v>
      </c>
      <c r="D135" s="179" t="s">
        <v>88</v>
      </c>
      <c r="E135" s="263">
        <v>46.79</v>
      </c>
      <c r="F135" s="199" t="s">
        <v>88</v>
      </c>
      <c r="G135" s="263">
        <v>0.3</v>
      </c>
      <c r="H135" s="232" t="s">
        <v>88</v>
      </c>
      <c r="I135" s="205">
        <v>3.5</v>
      </c>
      <c r="J135" s="233" t="s">
        <v>89</v>
      </c>
      <c r="K135" s="205">
        <f t="shared" si="9"/>
        <v>49.129499999999993</v>
      </c>
      <c r="L135" s="201" t="s">
        <v>61</v>
      </c>
      <c r="M135" s="231"/>
    </row>
    <row r="136" spans="1:13" s="179" customFormat="1" ht="15" x14ac:dyDescent="0.2">
      <c r="A136" s="187"/>
      <c r="B136" s="261" t="s">
        <v>571</v>
      </c>
      <c r="C136" s="148">
        <v>1</v>
      </c>
      <c r="D136" s="179" t="s">
        <v>88</v>
      </c>
      <c r="E136" s="263">
        <v>48.46</v>
      </c>
      <c r="F136" s="199" t="s">
        <v>88</v>
      </c>
      <c r="G136" s="263">
        <v>0.3</v>
      </c>
      <c r="H136" s="232" t="s">
        <v>88</v>
      </c>
      <c r="I136" s="205">
        <v>3.5</v>
      </c>
      <c r="J136" s="233" t="s">
        <v>89</v>
      </c>
      <c r="K136" s="205">
        <f t="shared" si="9"/>
        <v>50.883000000000003</v>
      </c>
      <c r="L136" s="201" t="s">
        <v>61</v>
      </c>
      <c r="M136" s="231"/>
    </row>
    <row r="137" spans="1:13" s="179" customFormat="1" ht="15" x14ac:dyDescent="0.2">
      <c r="A137" s="187"/>
      <c r="B137" s="261" t="s">
        <v>570</v>
      </c>
      <c r="C137" s="148">
        <v>1</v>
      </c>
      <c r="D137" s="179" t="s">
        <v>88</v>
      </c>
      <c r="E137" s="263">
        <v>15.7</v>
      </c>
      <c r="F137" s="199" t="s">
        <v>88</v>
      </c>
      <c r="G137" s="263">
        <v>0.3</v>
      </c>
      <c r="H137" s="232" t="s">
        <v>88</v>
      </c>
      <c r="I137" s="205">
        <v>3.5</v>
      </c>
      <c r="J137" s="233" t="s">
        <v>89</v>
      </c>
      <c r="K137" s="205">
        <f t="shared" si="9"/>
        <v>16.484999999999999</v>
      </c>
      <c r="L137" s="201" t="s">
        <v>61</v>
      </c>
      <c r="M137" s="231"/>
    </row>
    <row r="138" spans="1:13" s="179" customFormat="1" ht="15.75" customHeight="1" x14ac:dyDescent="0.2">
      <c r="A138" s="187"/>
      <c r="B138" s="192" t="s">
        <v>705</v>
      </c>
      <c r="C138" s="210">
        <f>SUM(K130:K137)</f>
        <v>306.60000000000002</v>
      </c>
      <c r="D138" s="264"/>
      <c r="E138" s="210" t="s">
        <v>61</v>
      </c>
      <c r="F138" s="231"/>
      <c r="G138" s="185"/>
      <c r="H138" s="232"/>
      <c r="I138" s="205"/>
      <c r="J138" s="233"/>
      <c r="K138" s="205"/>
      <c r="L138" s="201"/>
      <c r="M138" s="231"/>
    </row>
    <row r="139" spans="1:13" s="179" customFormat="1" ht="15.75" customHeight="1" x14ac:dyDescent="0.2">
      <c r="A139" s="187"/>
      <c r="B139" s="192" t="s">
        <v>616</v>
      </c>
      <c r="C139" s="210"/>
      <c r="D139" s="264"/>
      <c r="E139" s="210"/>
      <c r="F139" s="231"/>
      <c r="G139" s="185"/>
      <c r="H139" s="232"/>
      <c r="I139" s="205"/>
      <c r="J139" s="233"/>
      <c r="K139" s="205"/>
      <c r="L139" s="201"/>
      <c r="M139" s="231"/>
    </row>
    <row r="140" spans="1:13" s="179" customFormat="1" ht="15" x14ac:dyDescent="0.2">
      <c r="A140" s="148"/>
      <c r="B140" s="261" t="s">
        <v>591</v>
      </c>
      <c r="C140" s="148">
        <v>1</v>
      </c>
      <c r="D140" s="179" t="s">
        <v>88</v>
      </c>
      <c r="E140" s="263">
        <v>0.3</v>
      </c>
      <c r="F140" s="199" t="s">
        <v>88</v>
      </c>
      <c r="G140" s="263">
        <v>0.6</v>
      </c>
      <c r="H140" s="232" t="s">
        <v>88</v>
      </c>
      <c r="I140" s="205">
        <v>3.25</v>
      </c>
      <c r="J140" s="233" t="s">
        <v>89</v>
      </c>
      <c r="K140" s="205">
        <f>IF(C140,C140*E140*G140*I140,"")</f>
        <v>0.58499999999999996</v>
      </c>
      <c r="L140" s="201" t="s">
        <v>61</v>
      </c>
      <c r="M140" s="231"/>
    </row>
    <row r="141" spans="1:13" s="179" customFormat="1" ht="15" x14ac:dyDescent="0.2">
      <c r="A141" s="187"/>
      <c r="B141" s="261" t="s">
        <v>592</v>
      </c>
      <c r="C141" s="148">
        <v>1</v>
      </c>
      <c r="D141" s="179" t="s">
        <v>88</v>
      </c>
      <c r="E141" s="263">
        <v>0.3</v>
      </c>
      <c r="F141" s="199" t="s">
        <v>88</v>
      </c>
      <c r="G141" s="263">
        <v>0.6</v>
      </c>
      <c r="H141" s="232" t="s">
        <v>88</v>
      </c>
      <c r="I141" s="205">
        <v>3.25</v>
      </c>
      <c r="J141" s="233" t="s">
        <v>89</v>
      </c>
      <c r="K141" s="205">
        <f t="shared" ref="K141:K150" si="10">IF(C141,C141*E141*G141*I141,"")</f>
        <v>0.58499999999999996</v>
      </c>
      <c r="L141" s="201" t="s">
        <v>61</v>
      </c>
      <c r="M141" s="231"/>
    </row>
    <row r="142" spans="1:13" s="179" customFormat="1" ht="15" x14ac:dyDescent="0.2">
      <c r="A142" s="187"/>
      <c r="B142" s="261" t="s">
        <v>593</v>
      </c>
      <c r="C142" s="148">
        <v>1</v>
      </c>
      <c r="D142" s="179" t="s">
        <v>88</v>
      </c>
      <c r="E142" s="263">
        <v>0.45</v>
      </c>
      <c r="F142" s="199" t="s">
        <v>88</v>
      </c>
      <c r="G142" s="263">
        <v>0.67500000000000004</v>
      </c>
      <c r="H142" s="232" t="s">
        <v>88</v>
      </c>
      <c r="I142" s="205">
        <v>3.25</v>
      </c>
      <c r="J142" s="233" t="s">
        <v>89</v>
      </c>
      <c r="K142" s="205">
        <f t="shared" si="10"/>
        <v>0.98718750000000011</v>
      </c>
      <c r="L142" s="201" t="s">
        <v>61</v>
      </c>
      <c r="M142" s="231"/>
    </row>
    <row r="143" spans="1:13" s="179" customFormat="1" ht="15" x14ac:dyDescent="0.2">
      <c r="A143" s="187"/>
      <c r="B143" s="261" t="s">
        <v>594</v>
      </c>
      <c r="C143" s="148">
        <v>1</v>
      </c>
      <c r="D143" s="179" t="s">
        <v>88</v>
      </c>
      <c r="E143" s="263">
        <v>0.3</v>
      </c>
      <c r="F143" s="199" t="s">
        <v>88</v>
      </c>
      <c r="G143" s="263">
        <v>0.52500000000000002</v>
      </c>
      <c r="H143" s="232" t="s">
        <v>88</v>
      </c>
      <c r="I143" s="205">
        <v>3.25</v>
      </c>
      <c r="J143" s="233" t="s">
        <v>89</v>
      </c>
      <c r="K143" s="205">
        <f t="shared" si="10"/>
        <v>0.51187499999999997</v>
      </c>
      <c r="L143" s="201" t="s">
        <v>61</v>
      </c>
      <c r="M143" s="231"/>
    </row>
    <row r="144" spans="1:13" s="179" customFormat="1" ht="15" x14ac:dyDescent="0.2">
      <c r="A144" s="187"/>
      <c r="B144" s="261" t="s">
        <v>595</v>
      </c>
      <c r="C144" s="148">
        <v>1</v>
      </c>
      <c r="D144" s="179" t="s">
        <v>88</v>
      </c>
      <c r="E144" s="263">
        <v>0.38</v>
      </c>
      <c r="F144" s="199" t="s">
        <v>88</v>
      </c>
      <c r="G144" s="263">
        <v>0.6</v>
      </c>
      <c r="H144" s="232" t="s">
        <v>88</v>
      </c>
      <c r="I144" s="205">
        <v>3.25</v>
      </c>
      <c r="J144" s="233" t="s">
        <v>89</v>
      </c>
      <c r="K144" s="205">
        <f t="shared" si="10"/>
        <v>0.74099999999999988</v>
      </c>
      <c r="L144" s="201" t="s">
        <v>61</v>
      </c>
      <c r="M144" s="231"/>
    </row>
    <row r="145" spans="1:13" s="179" customFormat="1" ht="15" x14ac:dyDescent="0.2">
      <c r="A145" s="187"/>
      <c r="B145" s="261" t="s">
        <v>596</v>
      </c>
      <c r="C145" s="148">
        <v>1</v>
      </c>
      <c r="D145" s="179" t="s">
        <v>88</v>
      </c>
      <c r="E145" s="263">
        <v>0.38</v>
      </c>
      <c r="F145" s="199" t="s">
        <v>88</v>
      </c>
      <c r="G145" s="263">
        <v>0.6</v>
      </c>
      <c r="H145" s="232" t="s">
        <v>88</v>
      </c>
      <c r="I145" s="205">
        <v>3.25</v>
      </c>
      <c r="J145" s="233" t="s">
        <v>89</v>
      </c>
      <c r="K145" s="205">
        <f t="shared" si="10"/>
        <v>0.74099999999999988</v>
      </c>
      <c r="L145" s="201" t="s">
        <v>61</v>
      </c>
      <c r="M145" s="231"/>
    </row>
    <row r="146" spans="1:13" s="179" customFormat="1" ht="15.75" customHeight="1" x14ac:dyDescent="0.2">
      <c r="A146" s="187"/>
      <c r="B146" s="261" t="s">
        <v>597</v>
      </c>
      <c r="C146" s="148">
        <v>1</v>
      </c>
      <c r="D146" s="179" t="s">
        <v>88</v>
      </c>
      <c r="E146" s="263">
        <v>0.38</v>
      </c>
      <c r="F146" s="199" t="s">
        <v>88</v>
      </c>
      <c r="G146" s="263">
        <v>0.6</v>
      </c>
      <c r="H146" s="232" t="s">
        <v>88</v>
      </c>
      <c r="I146" s="205">
        <v>3.25</v>
      </c>
      <c r="J146" s="233" t="s">
        <v>89</v>
      </c>
      <c r="K146" s="205">
        <f t="shared" si="10"/>
        <v>0.74099999999999988</v>
      </c>
      <c r="L146" s="201" t="s">
        <v>61</v>
      </c>
      <c r="M146" s="231"/>
    </row>
    <row r="147" spans="1:13" s="179" customFormat="1" ht="15.75" customHeight="1" x14ac:dyDescent="0.2">
      <c r="A147" s="187"/>
      <c r="B147" s="261" t="s">
        <v>598</v>
      </c>
      <c r="C147" s="148">
        <v>1</v>
      </c>
      <c r="D147" s="179" t="s">
        <v>88</v>
      </c>
      <c r="E147" s="263">
        <v>0.3</v>
      </c>
      <c r="F147" s="199" t="s">
        <v>88</v>
      </c>
      <c r="G147" s="263">
        <v>0.52500000000000002</v>
      </c>
      <c r="H147" s="232" t="s">
        <v>88</v>
      </c>
      <c r="I147" s="205">
        <v>3.25</v>
      </c>
      <c r="J147" s="233" t="s">
        <v>89</v>
      </c>
      <c r="K147" s="205">
        <f t="shared" si="10"/>
        <v>0.51187499999999997</v>
      </c>
      <c r="L147" s="201" t="s">
        <v>61</v>
      </c>
      <c r="M147" s="231"/>
    </row>
    <row r="148" spans="1:13" s="179" customFormat="1" ht="15.75" customHeight="1" x14ac:dyDescent="0.2">
      <c r="A148" s="187"/>
      <c r="B148" s="261" t="s">
        <v>599</v>
      </c>
      <c r="C148" s="148">
        <v>1</v>
      </c>
      <c r="D148" s="179" t="s">
        <v>88</v>
      </c>
      <c r="E148" s="263">
        <v>0.45</v>
      </c>
      <c r="F148" s="199" t="s">
        <v>88</v>
      </c>
      <c r="G148" s="263">
        <v>0.67500000000000004</v>
      </c>
      <c r="H148" s="232" t="s">
        <v>88</v>
      </c>
      <c r="I148" s="205">
        <v>3.25</v>
      </c>
      <c r="J148" s="233" t="s">
        <v>89</v>
      </c>
      <c r="K148" s="205">
        <f t="shared" si="10"/>
        <v>0.98718750000000011</v>
      </c>
      <c r="L148" s="201" t="s">
        <v>61</v>
      </c>
      <c r="M148" s="231"/>
    </row>
    <row r="149" spans="1:13" s="179" customFormat="1" ht="15.75" customHeight="1" x14ac:dyDescent="0.2">
      <c r="A149" s="187"/>
      <c r="B149" s="261" t="s">
        <v>600</v>
      </c>
      <c r="C149" s="148">
        <v>1</v>
      </c>
      <c r="D149" s="179" t="s">
        <v>88</v>
      </c>
      <c r="E149" s="263">
        <v>0.3</v>
      </c>
      <c r="F149" s="199" t="s">
        <v>88</v>
      </c>
      <c r="G149" s="263">
        <v>0.52500000000000002</v>
      </c>
      <c r="H149" s="232" t="s">
        <v>88</v>
      </c>
      <c r="I149" s="205">
        <v>3.25</v>
      </c>
      <c r="J149" s="233" t="s">
        <v>89</v>
      </c>
      <c r="K149" s="205">
        <f t="shared" si="10"/>
        <v>0.51187499999999997</v>
      </c>
      <c r="L149" s="201" t="s">
        <v>61</v>
      </c>
      <c r="M149" s="231"/>
    </row>
    <row r="150" spans="1:13" s="179" customFormat="1" ht="16.5" customHeight="1" x14ac:dyDescent="0.2">
      <c r="A150" s="187"/>
      <c r="B150" s="261" t="s">
        <v>601</v>
      </c>
      <c r="C150" s="148">
        <v>1</v>
      </c>
      <c r="D150" s="179" t="s">
        <v>88</v>
      </c>
      <c r="E150" s="263">
        <v>0.45</v>
      </c>
      <c r="F150" s="199" t="s">
        <v>88</v>
      </c>
      <c r="G150" s="263">
        <v>0.67500000000000004</v>
      </c>
      <c r="H150" s="232" t="s">
        <v>88</v>
      </c>
      <c r="I150" s="205">
        <v>3.25</v>
      </c>
      <c r="J150" s="233" t="s">
        <v>89</v>
      </c>
      <c r="K150" s="205">
        <f t="shared" si="10"/>
        <v>0.98718750000000011</v>
      </c>
      <c r="L150" s="201" t="s">
        <v>61</v>
      </c>
      <c r="M150" s="231"/>
    </row>
    <row r="151" spans="1:13" s="179" customFormat="1" ht="15" x14ac:dyDescent="0.2">
      <c r="A151" s="187"/>
      <c r="B151" s="261" t="s">
        <v>602</v>
      </c>
      <c r="C151" s="148">
        <v>1</v>
      </c>
      <c r="D151" s="179" t="s">
        <v>88</v>
      </c>
      <c r="E151" s="263">
        <v>0.38</v>
      </c>
      <c r="F151" s="199" t="s">
        <v>88</v>
      </c>
      <c r="G151" s="263">
        <v>0.6</v>
      </c>
      <c r="H151" s="232" t="s">
        <v>88</v>
      </c>
      <c r="I151" s="205">
        <v>3.25</v>
      </c>
      <c r="J151" s="233" t="s">
        <v>89</v>
      </c>
      <c r="K151" s="205">
        <f t="shared" ref="K151:K157" si="11">IF(C151,C151*E151*G151*I151,"")</f>
        <v>0.74099999999999988</v>
      </c>
      <c r="L151" s="201" t="s">
        <v>61</v>
      </c>
      <c r="M151" s="231"/>
    </row>
    <row r="152" spans="1:13" s="179" customFormat="1" ht="15" x14ac:dyDescent="0.2">
      <c r="A152" s="187"/>
      <c r="B152" s="261" t="s">
        <v>603</v>
      </c>
      <c r="C152" s="148">
        <v>1</v>
      </c>
      <c r="D152" s="179" t="s">
        <v>88</v>
      </c>
      <c r="E152" s="263">
        <v>0.3</v>
      </c>
      <c r="F152" s="199" t="s">
        <v>88</v>
      </c>
      <c r="G152" s="263">
        <v>0.52500000000000002</v>
      </c>
      <c r="H152" s="232" t="s">
        <v>88</v>
      </c>
      <c r="I152" s="205">
        <v>3.25</v>
      </c>
      <c r="J152" s="233" t="s">
        <v>89</v>
      </c>
      <c r="K152" s="205">
        <f t="shared" si="11"/>
        <v>0.51187499999999997</v>
      </c>
      <c r="L152" s="201" t="s">
        <v>61</v>
      </c>
      <c r="M152" s="231"/>
    </row>
    <row r="153" spans="1:13" s="179" customFormat="1" ht="15" x14ac:dyDescent="0.2">
      <c r="A153" s="187"/>
      <c r="B153" s="261" t="s">
        <v>604</v>
      </c>
      <c r="C153" s="148">
        <v>1</v>
      </c>
      <c r="D153" s="179" t="s">
        <v>88</v>
      </c>
      <c r="E153" s="263">
        <v>0.38</v>
      </c>
      <c r="F153" s="199" t="s">
        <v>88</v>
      </c>
      <c r="G153" s="263">
        <v>0.6</v>
      </c>
      <c r="H153" s="232" t="s">
        <v>88</v>
      </c>
      <c r="I153" s="205">
        <v>3.25</v>
      </c>
      <c r="J153" s="233" t="s">
        <v>89</v>
      </c>
      <c r="K153" s="205">
        <f t="shared" si="11"/>
        <v>0.74099999999999988</v>
      </c>
      <c r="L153" s="201" t="s">
        <v>61</v>
      </c>
      <c r="M153" s="231"/>
    </row>
    <row r="154" spans="1:13" s="179" customFormat="1" ht="15" x14ac:dyDescent="0.2">
      <c r="A154" s="187"/>
      <c r="B154" s="261" t="s">
        <v>605</v>
      </c>
      <c r="C154" s="148">
        <v>1</v>
      </c>
      <c r="D154" s="179" t="s">
        <v>88</v>
      </c>
      <c r="E154" s="263">
        <v>0.38</v>
      </c>
      <c r="F154" s="199" t="s">
        <v>88</v>
      </c>
      <c r="G154" s="263">
        <v>0.6</v>
      </c>
      <c r="H154" s="232" t="s">
        <v>88</v>
      </c>
      <c r="I154" s="205">
        <v>3.25</v>
      </c>
      <c r="J154" s="233" t="s">
        <v>89</v>
      </c>
      <c r="K154" s="205">
        <f t="shared" si="11"/>
        <v>0.74099999999999988</v>
      </c>
      <c r="L154" s="201" t="s">
        <v>61</v>
      </c>
      <c r="M154" s="231"/>
    </row>
    <row r="155" spans="1:13" s="179" customFormat="1" ht="15" x14ac:dyDescent="0.2">
      <c r="A155" s="187"/>
      <c r="B155" s="261" t="s">
        <v>606</v>
      </c>
      <c r="C155" s="148">
        <v>1</v>
      </c>
      <c r="D155" s="179" t="s">
        <v>88</v>
      </c>
      <c r="E155" s="263">
        <v>0.3</v>
      </c>
      <c r="F155" s="199" t="s">
        <v>88</v>
      </c>
      <c r="G155" s="263">
        <v>0.52500000000000002</v>
      </c>
      <c r="H155" s="232" t="s">
        <v>88</v>
      </c>
      <c r="I155" s="205">
        <v>3.25</v>
      </c>
      <c r="J155" s="233" t="s">
        <v>89</v>
      </c>
      <c r="K155" s="205">
        <f t="shared" si="11"/>
        <v>0.51187499999999997</v>
      </c>
      <c r="L155" s="201" t="s">
        <v>61</v>
      </c>
      <c r="M155" s="231"/>
    </row>
    <row r="156" spans="1:13" s="179" customFormat="1" ht="15.75" customHeight="1" x14ac:dyDescent="0.2">
      <c r="A156" s="187"/>
      <c r="B156" s="261" t="s">
        <v>607</v>
      </c>
      <c r="C156" s="148">
        <v>1</v>
      </c>
      <c r="D156" s="179" t="s">
        <v>88</v>
      </c>
      <c r="E156" s="263">
        <v>0.3</v>
      </c>
      <c r="F156" s="199" t="s">
        <v>88</v>
      </c>
      <c r="G156" s="263">
        <v>0.52500000000000002</v>
      </c>
      <c r="H156" s="232" t="s">
        <v>88</v>
      </c>
      <c r="I156" s="205">
        <v>3.25</v>
      </c>
      <c r="J156" s="233" t="s">
        <v>89</v>
      </c>
      <c r="K156" s="205">
        <f t="shared" si="11"/>
        <v>0.51187499999999997</v>
      </c>
      <c r="L156" s="201" t="s">
        <v>61</v>
      </c>
      <c r="M156" s="231"/>
    </row>
    <row r="157" spans="1:13" s="179" customFormat="1" ht="15.75" customHeight="1" x14ac:dyDescent="0.2">
      <c r="A157" s="187"/>
      <c r="B157" s="261" t="s">
        <v>608</v>
      </c>
      <c r="C157" s="148">
        <v>1</v>
      </c>
      <c r="D157" s="179" t="s">
        <v>88</v>
      </c>
      <c r="E157" s="263">
        <v>0.3</v>
      </c>
      <c r="F157" s="199" t="s">
        <v>88</v>
      </c>
      <c r="G157" s="263">
        <v>0.52500000000000002</v>
      </c>
      <c r="H157" s="232" t="s">
        <v>88</v>
      </c>
      <c r="I157" s="205">
        <v>3.25</v>
      </c>
      <c r="J157" s="233" t="s">
        <v>89</v>
      </c>
      <c r="K157" s="205">
        <f t="shared" si="11"/>
        <v>0.51187499999999997</v>
      </c>
      <c r="L157" s="201" t="s">
        <v>61</v>
      </c>
      <c r="M157" s="231"/>
    </row>
    <row r="158" spans="1:13" s="179" customFormat="1" ht="36.75" customHeight="1" x14ac:dyDescent="0.2">
      <c r="A158" s="187"/>
      <c r="B158" s="192" t="s">
        <v>635</v>
      </c>
      <c r="C158" s="210">
        <f>SUM(K140:K157)</f>
        <v>12.160687499999998</v>
      </c>
      <c r="D158" s="264"/>
      <c r="E158" s="210" t="s">
        <v>61</v>
      </c>
      <c r="F158" s="231"/>
      <c r="G158" s="185"/>
      <c r="H158" s="232"/>
      <c r="I158" s="205"/>
      <c r="J158" s="233"/>
      <c r="K158" s="205"/>
      <c r="L158" s="201"/>
      <c r="M158" s="231"/>
    </row>
    <row r="159" spans="1:13" s="179" customFormat="1" ht="15" x14ac:dyDescent="0.2">
      <c r="A159" s="187"/>
      <c r="B159" s="265" t="s">
        <v>612</v>
      </c>
      <c r="C159" s="148">
        <v>4</v>
      </c>
      <c r="D159" s="179" t="s">
        <v>88</v>
      </c>
      <c r="E159" s="263">
        <v>1.75</v>
      </c>
      <c r="F159" s="199" t="s">
        <v>88</v>
      </c>
      <c r="G159" s="263">
        <v>0.23</v>
      </c>
      <c r="H159" s="232" t="s">
        <v>88</v>
      </c>
      <c r="I159" s="205">
        <v>3.2</v>
      </c>
      <c r="J159" s="233" t="s">
        <v>89</v>
      </c>
      <c r="K159" s="205">
        <f>IF(C159,C159*E159*G159*I159,"")</f>
        <v>5.152000000000001</v>
      </c>
      <c r="L159" s="201" t="s">
        <v>61</v>
      </c>
      <c r="M159" s="231"/>
    </row>
    <row r="160" spans="1:13" s="179" customFormat="1" ht="15" x14ac:dyDescent="0.2">
      <c r="A160" s="187"/>
      <c r="B160" s="261"/>
      <c r="C160" s="148">
        <v>-1</v>
      </c>
      <c r="D160" s="179" t="s">
        <v>88</v>
      </c>
      <c r="E160" s="263">
        <v>1.2</v>
      </c>
      <c r="F160" s="199" t="s">
        <v>88</v>
      </c>
      <c r="G160" s="263">
        <v>0.23</v>
      </c>
      <c r="H160" s="232" t="s">
        <v>88</v>
      </c>
      <c r="I160" s="205">
        <v>3.2</v>
      </c>
      <c r="J160" s="233" t="s">
        <v>89</v>
      </c>
      <c r="K160" s="205">
        <f t="shared" ref="K160:K165" si="12">IF(C160,C160*E160*G160*I160,"")</f>
        <v>-0.8832000000000001</v>
      </c>
      <c r="L160" s="201" t="s">
        <v>61</v>
      </c>
      <c r="M160" s="231"/>
    </row>
    <row r="161" spans="1:13" s="179" customFormat="1" ht="15" x14ac:dyDescent="0.2">
      <c r="A161" s="187"/>
      <c r="B161" s="265" t="s">
        <v>613</v>
      </c>
      <c r="C161" s="148">
        <v>1</v>
      </c>
      <c r="D161" s="179" t="s">
        <v>88</v>
      </c>
      <c r="E161" s="263">
        <v>1.68</v>
      </c>
      <c r="F161" s="199" t="s">
        <v>88</v>
      </c>
      <c r="G161" s="263">
        <v>0.3</v>
      </c>
      <c r="H161" s="232" t="s">
        <v>88</v>
      </c>
      <c r="I161" s="205">
        <v>0.6</v>
      </c>
      <c r="J161" s="233" t="s">
        <v>89</v>
      </c>
      <c r="K161" s="205">
        <f t="shared" si="12"/>
        <v>0.3024</v>
      </c>
      <c r="L161" s="201" t="s">
        <v>61</v>
      </c>
      <c r="M161" s="231"/>
    </row>
    <row r="162" spans="1:13" s="179" customFormat="1" ht="15" x14ac:dyDescent="0.2">
      <c r="A162" s="187"/>
      <c r="B162" s="265" t="s">
        <v>614</v>
      </c>
      <c r="C162" s="148">
        <v>2</v>
      </c>
      <c r="D162" s="179" t="s">
        <v>88</v>
      </c>
      <c r="E162" s="263">
        <v>3.7</v>
      </c>
      <c r="F162" s="199" t="s">
        <v>88</v>
      </c>
      <c r="G162" s="263">
        <v>1.6</v>
      </c>
      <c r="H162" s="232" t="s">
        <v>88</v>
      </c>
      <c r="I162" s="205">
        <v>0.25</v>
      </c>
      <c r="J162" s="233" t="s">
        <v>89</v>
      </c>
      <c r="K162" s="205">
        <f t="shared" si="12"/>
        <v>2.9600000000000004</v>
      </c>
      <c r="L162" s="201" t="s">
        <v>61</v>
      </c>
      <c r="M162" s="231"/>
    </row>
    <row r="163" spans="1:13" s="179" customFormat="1" ht="15.75" customHeight="1" x14ac:dyDescent="0.2">
      <c r="A163" s="187"/>
      <c r="B163" s="261"/>
      <c r="C163" s="148">
        <v>1</v>
      </c>
      <c r="D163" s="179" t="s">
        <v>88</v>
      </c>
      <c r="E163" s="263">
        <v>2.1</v>
      </c>
      <c r="F163" s="199" t="s">
        <v>88</v>
      </c>
      <c r="G163" s="263">
        <v>1.6</v>
      </c>
      <c r="H163" s="232" t="s">
        <v>88</v>
      </c>
      <c r="I163" s="205">
        <v>0.25</v>
      </c>
      <c r="J163" s="233" t="s">
        <v>89</v>
      </c>
      <c r="K163" s="205">
        <f t="shared" si="12"/>
        <v>0.84000000000000008</v>
      </c>
      <c r="L163" s="201" t="s">
        <v>61</v>
      </c>
      <c r="M163" s="231"/>
    </row>
    <row r="164" spans="1:13" s="179" customFormat="1" ht="15.75" customHeight="1" x14ac:dyDescent="0.2">
      <c r="A164" s="187"/>
      <c r="B164" s="265" t="s">
        <v>615</v>
      </c>
      <c r="C164" s="148">
        <v>2</v>
      </c>
      <c r="D164" s="179" t="s">
        <v>88</v>
      </c>
      <c r="E164" s="263">
        <v>4.2</v>
      </c>
      <c r="F164" s="199" t="s">
        <v>88</v>
      </c>
      <c r="G164" s="263">
        <v>0.23</v>
      </c>
      <c r="H164" s="232" t="s">
        <v>88</v>
      </c>
      <c r="I164" s="205">
        <v>0.45</v>
      </c>
      <c r="J164" s="233" t="s">
        <v>89</v>
      </c>
      <c r="K164" s="205">
        <f>IF(C164,C164*E164*G164*I164,"")</f>
        <v>0.86940000000000006</v>
      </c>
      <c r="L164" s="201" t="s">
        <v>61</v>
      </c>
      <c r="M164" s="231"/>
    </row>
    <row r="165" spans="1:13" s="179" customFormat="1" ht="15.75" customHeight="1" x14ac:dyDescent="0.2">
      <c r="A165" s="187"/>
      <c r="B165" s="265" t="s">
        <v>615</v>
      </c>
      <c r="C165" s="148">
        <v>2</v>
      </c>
      <c r="D165" s="179" t="s">
        <v>88</v>
      </c>
      <c r="E165" s="263">
        <v>3.3</v>
      </c>
      <c r="F165" s="199" t="s">
        <v>88</v>
      </c>
      <c r="G165" s="263">
        <v>0.23</v>
      </c>
      <c r="H165" s="232" t="s">
        <v>88</v>
      </c>
      <c r="I165" s="205">
        <v>0.45</v>
      </c>
      <c r="J165" s="233" t="s">
        <v>89</v>
      </c>
      <c r="K165" s="205">
        <f t="shared" si="12"/>
        <v>0.68310000000000004</v>
      </c>
      <c r="L165" s="201" t="s">
        <v>61</v>
      </c>
      <c r="M165" s="231"/>
    </row>
    <row r="166" spans="1:13" s="179" customFormat="1" ht="15" x14ac:dyDescent="0.2">
      <c r="A166" s="148"/>
      <c r="B166" s="186" t="s">
        <v>695</v>
      </c>
      <c r="C166" s="197">
        <f>SUM(K159:K165)</f>
        <v>9.923700000000002</v>
      </c>
      <c r="D166" s="187"/>
      <c r="E166" s="210" t="s">
        <v>61</v>
      </c>
      <c r="F166" s="187"/>
      <c r="G166" s="185"/>
    </row>
    <row r="167" spans="1:13" s="179" customFormat="1" ht="15.75" customHeight="1" x14ac:dyDescent="0.2">
      <c r="A167" s="187"/>
      <c r="B167" s="192" t="s">
        <v>638</v>
      </c>
      <c r="C167" s="210"/>
      <c r="D167" s="264"/>
      <c r="E167" s="210"/>
      <c r="F167" s="231"/>
      <c r="G167" s="185"/>
      <c r="H167" s="232"/>
      <c r="I167" s="205"/>
      <c r="J167" s="233"/>
      <c r="K167" s="205"/>
      <c r="L167" s="201"/>
      <c r="M167" s="231"/>
    </row>
    <row r="168" spans="1:13" s="179" customFormat="1" ht="15" x14ac:dyDescent="0.2">
      <c r="A168" s="148"/>
      <c r="B168" s="266" t="s">
        <v>639</v>
      </c>
      <c r="C168" s="148">
        <v>1</v>
      </c>
      <c r="D168" s="179" t="s">
        <v>88</v>
      </c>
      <c r="E168" s="263">
        <v>3.58</v>
      </c>
      <c r="F168" s="199" t="s">
        <v>88</v>
      </c>
      <c r="G168" s="263">
        <v>0.23</v>
      </c>
      <c r="H168" s="232" t="s">
        <v>88</v>
      </c>
      <c r="I168" s="205">
        <v>0.45</v>
      </c>
      <c r="J168" s="233" t="s">
        <v>89</v>
      </c>
      <c r="K168" s="205">
        <f>IF(C168,C168*E168*G168*I168,"")</f>
        <v>0.37053000000000003</v>
      </c>
      <c r="L168" s="201" t="s">
        <v>61</v>
      </c>
      <c r="M168" s="231"/>
    </row>
    <row r="169" spans="1:13" s="179" customFormat="1" ht="15" x14ac:dyDescent="0.2">
      <c r="A169" s="187"/>
      <c r="B169" s="266" t="s">
        <v>640</v>
      </c>
      <c r="C169" s="148">
        <v>1</v>
      </c>
      <c r="D169" s="179" t="s">
        <v>88</v>
      </c>
      <c r="E169" s="263">
        <v>3.58</v>
      </c>
      <c r="F169" s="199" t="s">
        <v>88</v>
      </c>
      <c r="G169" s="263">
        <v>0.23</v>
      </c>
      <c r="H169" s="232" t="s">
        <v>88</v>
      </c>
      <c r="I169" s="205">
        <v>0.45</v>
      </c>
      <c r="J169" s="233" t="s">
        <v>89</v>
      </c>
      <c r="K169" s="205">
        <f t="shared" ref="K169:K178" si="13">IF(C169,C169*E169*G169*I169,"")</f>
        <v>0.37053000000000003</v>
      </c>
      <c r="L169" s="201" t="s">
        <v>61</v>
      </c>
      <c r="M169" s="231"/>
    </row>
    <row r="170" spans="1:13" s="179" customFormat="1" ht="15" x14ac:dyDescent="0.2">
      <c r="A170" s="187"/>
      <c r="B170" s="266" t="s">
        <v>641</v>
      </c>
      <c r="C170" s="148">
        <v>1</v>
      </c>
      <c r="D170" s="179" t="s">
        <v>88</v>
      </c>
      <c r="E170" s="263">
        <v>3.58</v>
      </c>
      <c r="F170" s="199" t="s">
        <v>88</v>
      </c>
      <c r="G170" s="263">
        <v>0.23</v>
      </c>
      <c r="H170" s="232" t="s">
        <v>88</v>
      </c>
      <c r="I170" s="205">
        <v>0.45</v>
      </c>
      <c r="J170" s="233" t="s">
        <v>89</v>
      </c>
      <c r="K170" s="205">
        <f t="shared" si="13"/>
        <v>0.37053000000000003</v>
      </c>
      <c r="L170" s="201" t="s">
        <v>61</v>
      </c>
      <c r="M170" s="231"/>
    </row>
    <row r="171" spans="1:13" s="179" customFormat="1" ht="15" x14ac:dyDescent="0.2">
      <c r="A171" s="187"/>
      <c r="B171" s="266" t="s">
        <v>642</v>
      </c>
      <c r="C171" s="148">
        <v>1</v>
      </c>
      <c r="D171" s="179" t="s">
        <v>88</v>
      </c>
      <c r="E171" s="263">
        <v>3.58</v>
      </c>
      <c r="F171" s="199" t="s">
        <v>88</v>
      </c>
      <c r="G171" s="263">
        <v>0.23</v>
      </c>
      <c r="H171" s="232" t="s">
        <v>88</v>
      </c>
      <c r="I171" s="205">
        <v>0.45</v>
      </c>
      <c r="J171" s="233" t="s">
        <v>89</v>
      </c>
      <c r="K171" s="205">
        <f t="shared" si="13"/>
        <v>0.37053000000000003</v>
      </c>
      <c r="L171" s="201" t="s">
        <v>61</v>
      </c>
      <c r="M171" s="231"/>
    </row>
    <row r="172" spans="1:13" s="179" customFormat="1" ht="15" x14ac:dyDescent="0.2">
      <c r="A172" s="187"/>
      <c r="B172" s="266" t="s">
        <v>643</v>
      </c>
      <c r="C172" s="148">
        <v>1</v>
      </c>
      <c r="D172" s="179" t="s">
        <v>88</v>
      </c>
      <c r="E172" s="263">
        <v>1.8</v>
      </c>
      <c r="F172" s="199" t="s">
        <v>88</v>
      </c>
      <c r="G172" s="263">
        <v>0.23</v>
      </c>
      <c r="H172" s="232" t="s">
        <v>88</v>
      </c>
      <c r="I172" s="205">
        <v>0.45</v>
      </c>
      <c r="J172" s="233" t="s">
        <v>89</v>
      </c>
      <c r="K172" s="205">
        <f t="shared" si="13"/>
        <v>0.18630000000000002</v>
      </c>
      <c r="L172" s="201" t="s">
        <v>61</v>
      </c>
      <c r="M172" s="231"/>
    </row>
    <row r="173" spans="1:13" s="179" customFormat="1" ht="15" x14ac:dyDescent="0.2">
      <c r="A173" s="187"/>
      <c r="B173" s="266" t="s">
        <v>644</v>
      </c>
      <c r="C173" s="148">
        <v>1</v>
      </c>
      <c r="D173" s="179" t="s">
        <v>88</v>
      </c>
      <c r="E173" s="263">
        <v>3.58</v>
      </c>
      <c r="F173" s="199" t="s">
        <v>88</v>
      </c>
      <c r="G173" s="263">
        <v>0.23</v>
      </c>
      <c r="H173" s="232" t="s">
        <v>88</v>
      </c>
      <c r="I173" s="205">
        <v>0.45</v>
      </c>
      <c r="J173" s="233" t="s">
        <v>89</v>
      </c>
      <c r="K173" s="205">
        <f t="shared" si="13"/>
        <v>0.37053000000000003</v>
      </c>
      <c r="L173" s="201" t="s">
        <v>61</v>
      </c>
      <c r="M173" s="231"/>
    </row>
    <row r="174" spans="1:13" s="179" customFormat="1" ht="15.75" customHeight="1" x14ac:dyDescent="0.2">
      <c r="A174" s="187"/>
      <c r="B174" s="266" t="s">
        <v>645</v>
      </c>
      <c r="C174" s="148">
        <v>1</v>
      </c>
      <c r="D174" s="179" t="s">
        <v>88</v>
      </c>
      <c r="E174" s="263">
        <v>3.58</v>
      </c>
      <c r="F174" s="199" t="s">
        <v>88</v>
      </c>
      <c r="G174" s="263">
        <v>0.23</v>
      </c>
      <c r="H174" s="232" t="s">
        <v>88</v>
      </c>
      <c r="I174" s="205">
        <v>0.45</v>
      </c>
      <c r="J174" s="233" t="s">
        <v>89</v>
      </c>
      <c r="K174" s="205">
        <f t="shared" si="13"/>
        <v>0.37053000000000003</v>
      </c>
      <c r="L174" s="201" t="s">
        <v>61</v>
      </c>
      <c r="M174" s="231"/>
    </row>
    <row r="175" spans="1:13" s="179" customFormat="1" ht="15.75" customHeight="1" x14ac:dyDescent="0.2">
      <c r="A175" s="187"/>
      <c r="B175" s="266" t="s">
        <v>646</v>
      </c>
      <c r="C175" s="148">
        <v>1</v>
      </c>
      <c r="D175" s="179" t="s">
        <v>88</v>
      </c>
      <c r="E175" s="263">
        <v>2.85</v>
      </c>
      <c r="F175" s="199" t="s">
        <v>88</v>
      </c>
      <c r="G175" s="263">
        <v>0.23</v>
      </c>
      <c r="H175" s="232" t="s">
        <v>88</v>
      </c>
      <c r="I175" s="205">
        <v>0.45</v>
      </c>
      <c r="J175" s="233" t="s">
        <v>89</v>
      </c>
      <c r="K175" s="205">
        <f t="shared" si="13"/>
        <v>0.29497500000000004</v>
      </c>
      <c r="L175" s="201" t="s">
        <v>61</v>
      </c>
      <c r="M175" s="231"/>
    </row>
    <row r="176" spans="1:13" s="179" customFormat="1" ht="15.75" customHeight="1" x14ac:dyDescent="0.2">
      <c r="A176" s="187"/>
      <c r="B176" s="266" t="s">
        <v>647</v>
      </c>
      <c r="C176" s="148">
        <v>1</v>
      </c>
      <c r="D176" s="179" t="s">
        <v>88</v>
      </c>
      <c r="E176" s="263">
        <v>2.91</v>
      </c>
      <c r="F176" s="199" t="s">
        <v>88</v>
      </c>
      <c r="G176" s="263">
        <v>0.23</v>
      </c>
      <c r="H176" s="232" t="s">
        <v>88</v>
      </c>
      <c r="I176" s="205">
        <v>0.45</v>
      </c>
      <c r="J176" s="233" t="s">
        <v>89</v>
      </c>
      <c r="K176" s="205">
        <f t="shared" si="13"/>
        <v>0.30118500000000004</v>
      </c>
      <c r="L176" s="201" t="s">
        <v>61</v>
      </c>
      <c r="M176" s="231"/>
    </row>
    <row r="177" spans="1:13" s="179" customFormat="1" ht="15.75" customHeight="1" x14ac:dyDescent="0.2">
      <c r="A177" s="187"/>
      <c r="B177" s="266" t="s">
        <v>648</v>
      </c>
      <c r="C177" s="148">
        <v>1</v>
      </c>
      <c r="D177" s="179" t="s">
        <v>88</v>
      </c>
      <c r="E177" s="263">
        <v>1.8</v>
      </c>
      <c r="F177" s="199" t="s">
        <v>88</v>
      </c>
      <c r="G177" s="263">
        <v>0.23</v>
      </c>
      <c r="H177" s="232" t="s">
        <v>88</v>
      </c>
      <c r="I177" s="205">
        <v>0.45</v>
      </c>
      <c r="J177" s="233" t="s">
        <v>89</v>
      </c>
      <c r="K177" s="205">
        <f t="shared" si="13"/>
        <v>0.18630000000000002</v>
      </c>
      <c r="L177" s="201" t="s">
        <v>61</v>
      </c>
      <c r="M177" s="231"/>
    </row>
    <row r="178" spans="1:13" s="179" customFormat="1" ht="16.5" customHeight="1" x14ac:dyDescent="0.2">
      <c r="A178" s="187"/>
      <c r="B178" s="266" t="s">
        <v>649</v>
      </c>
      <c r="C178" s="148">
        <v>1</v>
      </c>
      <c r="D178" s="179" t="s">
        <v>88</v>
      </c>
      <c r="E178" s="263">
        <v>3.58</v>
      </c>
      <c r="F178" s="199" t="s">
        <v>88</v>
      </c>
      <c r="G178" s="263">
        <v>0.23</v>
      </c>
      <c r="H178" s="232" t="s">
        <v>88</v>
      </c>
      <c r="I178" s="205">
        <v>0.45</v>
      </c>
      <c r="J178" s="233" t="s">
        <v>89</v>
      </c>
      <c r="K178" s="205">
        <f t="shared" si="13"/>
        <v>0.37053000000000003</v>
      </c>
      <c r="L178" s="201" t="s">
        <v>61</v>
      </c>
      <c r="M178" s="231"/>
    </row>
    <row r="179" spans="1:13" s="179" customFormat="1" ht="15" x14ac:dyDescent="0.2">
      <c r="A179" s="187"/>
      <c r="B179" s="266" t="s">
        <v>650</v>
      </c>
      <c r="C179" s="148">
        <v>1</v>
      </c>
      <c r="D179" s="179" t="s">
        <v>88</v>
      </c>
      <c r="E179" s="263">
        <v>6.43</v>
      </c>
      <c r="F179" s="199" t="s">
        <v>88</v>
      </c>
      <c r="G179" s="263">
        <v>0.23</v>
      </c>
      <c r="H179" s="232" t="s">
        <v>88</v>
      </c>
      <c r="I179" s="205">
        <v>0.45</v>
      </c>
      <c r="J179" s="233" t="s">
        <v>89</v>
      </c>
      <c r="K179" s="205">
        <f t="shared" ref="K179:K186" si="14">IF(C179,C179*E179*G179*I179,"")</f>
        <v>0.66550500000000001</v>
      </c>
      <c r="L179" s="201" t="s">
        <v>61</v>
      </c>
      <c r="M179" s="231"/>
    </row>
    <row r="180" spans="1:13" s="179" customFormat="1" ht="15" x14ac:dyDescent="0.2">
      <c r="A180" s="187"/>
      <c r="B180" s="266" t="s">
        <v>651</v>
      </c>
      <c r="C180" s="148">
        <v>1</v>
      </c>
      <c r="D180" s="179" t="s">
        <v>88</v>
      </c>
      <c r="E180" s="263">
        <v>2.91</v>
      </c>
      <c r="F180" s="199" t="s">
        <v>88</v>
      </c>
      <c r="G180" s="263">
        <v>0.23</v>
      </c>
      <c r="H180" s="232" t="s">
        <v>88</v>
      </c>
      <c r="I180" s="205">
        <v>0.45</v>
      </c>
      <c r="J180" s="233" t="s">
        <v>89</v>
      </c>
      <c r="K180" s="205">
        <f t="shared" si="14"/>
        <v>0.30118500000000004</v>
      </c>
      <c r="L180" s="201" t="s">
        <v>61</v>
      </c>
      <c r="M180" s="231"/>
    </row>
    <row r="181" spans="1:13" s="179" customFormat="1" ht="15" x14ac:dyDescent="0.2">
      <c r="A181" s="187"/>
      <c r="B181" s="266" t="s">
        <v>652</v>
      </c>
      <c r="C181" s="148">
        <v>1</v>
      </c>
      <c r="D181" s="179" t="s">
        <v>88</v>
      </c>
      <c r="E181" s="263">
        <v>0.28999999999999998</v>
      </c>
      <c r="F181" s="199" t="s">
        <v>88</v>
      </c>
      <c r="G181" s="263">
        <v>0.23</v>
      </c>
      <c r="H181" s="232" t="s">
        <v>88</v>
      </c>
      <c r="I181" s="205">
        <v>0.45</v>
      </c>
      <c r="J181" s="233" t="s">
        <v>89</v>
      </c>
      <c r="K181" s="205">
        <f t="shared" si="14"/>
        <v>3.0015E-2</v>
      </c>
      <c r="L181" s="201" t="s">
        <v>61</v>
      </c>
      <c r="M181" s="231"/>
    </row>
    <row r="182" spans="1:13" s="179" customFormat="1" ht="15" x14ac:dyDescent="0.2">
      <c r="A182" s="187"/>
      <c r="B182" s="266" t="s">
        <v>653</v>
      </c>
      <c r="C182" s="148">
        <v>1</v>
      </c>
      <c r="D182" s="179" t="s">
        <v>88</v>
      </c>
      <c r="E182" s="263">
        <v>3.2</v>
      </c>
      <c r="F182" s="199" t="s">
        <v>88</v>
      </c>
      <c r="G182" s="263">
        <v>0.23</v>
      </c>
      <c r="H182" s="232" t="s">
        <v>88</v>
      </c>
      <c r="I182" s="205">
        <v>0.45</v>
      </c>
      <c r="J182" s="233" t="s">
        <v>89</v>
      </c>
      <c r="K182" s="205">
        <f t="shared" si="14"/>
        <v>0.33120000000000005</v>
      </c>
      <c r="L182" s="201" t="s">
        <v>61</v>
      </c>
      <c r="M182" s="231"/>
    </row>
    <row r="183" spans="1:13" s="179" customFormat="1" ht="15" x14ac:dyDescent="0.2">
      <c r="A183" s="187"/>
      <c r="B183" s="266" t="s">
        <v>654</v>
      </c>
      <c r="C183" s="148">
        <v>1</v>
      </c>
      <c r="D183" s="179" t="s">
        <v>88</v>
      </c>
      <c r="E183" s="263">
        <v>1.8</v>
      </c>
      <c r="F183" s="199" t="s">
        <v>88</v>
      </c>
      <c r="G183" s="263">
        <v>0.23</v>
      </c>
      <c r="H183" s="232" t="s">
        <v>88</v>
      </c>
      <c r="I183" s="205">
        <v>0.45</v>
      </c>
      <c r="J183" s="233" t="s">
        <v>89</v>
      </c>
      <c r="K183" s="205">
        <f t="shared" si="14"/>
        <v>0.18630000000000002</v>
      </c>
      <c r="L183" s="201" t="s">
        <v>61</v>
      </c>
      <c r="M183" s="231"/>
    </row>
    <row r="184" spans="1:13" s="179" customFormat="1" ht="15.75" customHeight="1" x14ac:dyDescent="0.2">
      <c r="A184" s="187"/>
      <c r="B184" s="266" t="s">
        <v>655</v>
      </c>
      <c r="C184" s="148">
        <v>1</v>
      </c>
      <c r="D184" s="179" t="s">
        <v>88</v>
      </c>
      <c r="E184" s="263">
        <v>6.43</v>
      </c>
      <c r="F184" s="199" t="s">
        <v>88</v>
      </c>
      <c r="G184" s="263">
        <v>0.23</v>
      </c>
      <c r="H184" s="232" t="s">
        <v>88</v>
      </c>
      <c r="I184" s="205">
        <v>0.45</v>
      </c>
      <c r="J184" s="233" t="s">
        <v>89</v>
      </c>
      <c r="K184" s="205">
        <f t="shared" si="14"/>
        <v>0.66550500000000001</v>
      </c>
      <c r="L184" s="201" t="s">
        <v>61</v>
      </c>
      <c r="M184" s="231"/>
    </row>
    <row r="185" spans="1:13" s="179" customFormat="1" ht="15.75" customHeight="1" x14ac:dyDescent="0.2">
      <c r="A185" s="187"/>
      <c r="B185" s="266" t="s">
        <v>656</v>
      </c>
      <c r="C185" s="148">
        <v>1</v>
      </c>
      <c r="D185" s="179" t="s">
        <v>88</v>
      </c>
      <c r="E185" s="263">
        <v>3.58</v>
      </c>
      <c r="F185" s="199" t="s">
        <v>88</v>
      </c>
      <c r="G185" s="263">
        <v>0.23</v>
      </c>
      <c r="H185" s="232" t="s">
        <v>88</v>
      </c>
      <c r="I185" s="205">
        <v>0.45</v>
      </c>
      <c r="J185" s="233" t="s">
        <v>89</v>
      </c>
      <c r="K185" s="205">
        <f t="shared" si="14"/>
        <v>0.37053000000000003</v>
      </c>
      <c r="L185" s="201" t="s">
        <v>61</v>
      </c>
      <c r="M185" s="231"/>
    </row>
    <row r="186" spans="1:13" s="179" customFormat="1" ht="15" x14ac:dyDescent="0.2">
      <c r="A186" s="148"/>
      <c r="B186" s="266" t="s">
        <v>657</v>
      </c>
      <c r="C186" s="148">
        <v>1</v>
      </c>
      <c r="D186" s="179" t="s">
        <v>88</v>
      </c>
      <c r="E186" s="263">
        <v>6.43</v>
      </c>
      <c r="F186" s="199" t="s">
        <v>88</v>
      </c>
      <c r="G186" s="263">
        <v>0.23</v>
      </c>
      <c r="H186" s="232" t="s">
        <v>88</v>
      </c>
      <c r="I186" s="205">
        <v>0.45</v>
      </c>
      <c r="J186" s="233" t="s">
        <v>89</v>
      </c>
      <c r="K186" s="205">
        <f t="shared" si="14"/>
        <v>0.66550500000000001</v>
      </c>
      <c r="L186" s="201" t="s">
        <v>61</v>
      </c>
      <c r="M186" s="231"/>
    </row>
    <row r="187" spans="1:13" s="179" customFormat="1" ht="15" x14ac:dyDescent="0.2">
      <c r="A187" s="187"/>
      <c r="B187" s="266" t="s">
        <v>658</v>
      </c>
      <c r="C187" s="148">
        <v>1</v>
      </c>
      <c r="D187" s="179" t="s">
        <v>88</v>
      </c>
      <c r="E187" s="263">
        <v>3.2</v>
      </c>
      <c r="F187" s="199" t="s">
        <v>88</v>
      </c>
      <c r="G187" s="263">
        <v>0.23</v>
      </c>
      <c r="H187" s="232" t="s">
        <v>88</v>
      </c>
      <c r="I187" s="205">
        <v>0.45</v>
      </c>
      <c r="J187" s="233" t="s">
        <v>89</v>
      </c>
      <c r="K187" s="205">
        <f t="shared" ref="K187:K196" si="15">IF(C187,C187*E187*G187*I187,"")</f>
        <v>0.33120000000000005</v>
      </c>
      <c r="L187" s="201" t="s">
        <v>61</v>
      </c>
      <c r="M187" s="231"/>
    </row>
    <row r="188" spans="1:13" s="179" customFormat="1" ht="15" x14ac:dyDescent="0.2">
      <c r="A188" s="187"/>
      <c r="B188" s="266" t="s">
        <v>659</v>
      </c>
      <c r="C188" s="148">
        <v>1</v>
      </c>
      <c r="D188" s="179" t="s">
        <v>88</v>
      </c>
      <c r="E188" s="263">
        <v>3.2</v>
      </c>
      <c r="F188" s="199" t="s">
        <v>88</v>
      </c>
      <c r="G188" s="263">
        <v>0.23</v>
      </c>
      <c r="H188" s="232" t="s">
        <v>88</v>
      </c>
      <c r="I188" s="205">
        <v>0.45</v>
      </c>
      <c r="J188" s="233" t="s">
        <v>89</v>
      </c>
      <c r="K188" s="205">
        <f t="shared" si="15"/>
        <v>0.33120000000000005</v>
      </c>
      <c r="L188" s="201" t="s">
        <v>61</v>
      </c>
      <c r="M188" s="231"/>
    </row>
    <row r="189" spans="1:13" s="179" customFormat="1" ht="15" x14ac:dyDescent="0.2">
      <c r="A189" s="187"/>
      <c r="B189" s="266" t="s">
        <v>660</v>
      </c>
      <c r="C189" s="148">
        <v>1</v>
      </c>
      <c r="D189" s="179" t="s">
        <v>88</v>
      </c>
      <c r="E189" s="263">
        <v>5.33</v>
      </c>
      <c r="F189" s="199" t="s">
        <v>88</v>
      </c>
      <c r="G189" s="263">
        <v>0.23</v>
      </c>
      <c r="H189" s="232" t="s">
        <v>88</v>
      </c>
      <c r="I189" s="205">
        <v>0.45</v>
      </c>
      <c r="J189" s="233" t="s">
        <v>89</v>
      </c>
      <c r="K189" s="205">
        <f t="shared" si="15"/>
        <v>0.55165500000000001</v>
      </c>
      <c r="L189" s="201" t="s">
        <v>61</v>
      </c>
      <c r="M189" s="231"/>
    </row>
    <row r="190" spans="1:13" s="179" customFormat="1" ht="15" x14ac:dyDescent="0.2">
      <c r="A190" s="187"/>
      <c r="B190" s="266" t="s">
        <v>661</v>
      </c>
      <c r="C190" s="148">
        <v>1</v>
      </c>
      <c r="D190" s="179" t="s">
        <v>88</v>
      </c>
      <c r="E190" s="263">
        <v>1.8</v>
      </c>
      <c r="F190" s="199" t="s">
        <v>88</v>
      </c>
      <c r="G190" s="263">
        <v>0.23</v>
      </c>
      <c r="H190" s="232" t="s">
        <v>88</v>
      </c>
      <c r="I190" s="205">
        <v>0.45</v>
      </c>
      <c r="J190" s="233" t="s">
        <v>89</v>
      </c>
      <c r="K190" s="205">
        <f t="shared" si="15"/>
        <v>0.18630000000000002</v>
      </c>
      <c r="L190" s="201" t="s">
        <v>61</v>
      </c>
      <c r="M190" s="231"/>
    </row>
    <row r="191" spans="1:13" s="179" customFormat="1" ht="15" x14ac:dyDescent="0.2">
      <c r="A191" s="187"/>
      <c r="B191" s="266" t="s">
        <v>662</v>
      </c>
      <c r="C191" s="148">
        <v>1</v>
      </c>
      <c r="D191" s="179" t="s">
        <v>88</v>
      </c>
      <c r="E191" s="263">
        <v>1.5</v>
      </c>
      <c r="F191" s="199" t="s">
        <v>88</v>
      </c>
      <c r="G191" s="263">
        <v>0.23</v>
      </c>
      <c r="H191" s="232" t="s">
        <v>88</v>
      </c>
      <c r="I191" s="205">
        <v>0.45</v>
      </c>
      <c r="J191" s="233" t="s">
        <v>89</v>
      </c>
      <c r="K191" s="205">
        <f t="shared" si="15"/>
        <v>0.15525000000000003</v>
      </c>
      <c r="L191" s="201" t="s">
        <v>61</v>
      </c>
      <c r="M191" s="231"/>
    </row>
    <row r="192" spans="1:13" s="179" customFormat="1" ht="15.75" customHeight="1" x14ac:dyDescent="0.2">
      <c r="A192" s="187"/>
      <c r="B192" s="266" t="s">
        <v>663</v>
      </c>
      <c r="C192" s="148">
        <v>1</v>
      </c>
      <c r="D192" s="179" t="s">
        <v>88</v>
      </c>
      <c r="E192" s="263">
        <v>7.62</v>
      </c>
      <c r="F192" s="199" t="s">
        <v>88</v>
      </c>
      <c r="G192" s="263">
        <v>0.23</v>
      </c>
      <c r="H192" s="232" t="s">
        <v>88</v>
      </c>
      <c r="I192" s="205">
        <v>0.45</v>
      </c>
      <c r="J192" s="233" t="s">
        <v>89</v>
      </c>
      <c r="K192" s="205">
        <f t="shared" si="15"/>
        <v>0.78867000000000009</v>
      </c>
      <c r="L192" s="201" t="s">
        <v>61</v>
      </c>
      <c r="M192" s="231"/>
    </row>
    <row r="193" spans="1:13" s="179" customFormat="1" ht="15.75" customHeight="1" x14ac:dyDescent="0.2">
      <c r="A193" s="187"/>
      <c r="B193" s="266" t="s">
        <v>664</v>
      </c>
      <c r="C193" s="148">
        <v>1</v>
      </c>
      <c r="D193" s="179" t="s">
        <v>88</v>
      </c>
      <c r="E193" s="263">
        <v>4.57</v>
      </c>
      <c r="F193" s="199" t="s">
        <v>88</v>
      </c>
      <c r="G193" s="263">
        <v>0.23</v>
      </c>
      <c r="H193" s="232" t="s">
        <v>88</v>
      </c>
      <c r="I193" s="205">
        <v>0.45</v>
      </c>
      <c r="J193" s="233" t="s">
        <v>89</v>
      </c>
      <c r="K193" s="205">
        <f t="shared" si="15"/>
        <v>0.47299500000000005</v>
      </c>
      <c r="L193" s="201" t="s">
        <v>61</v>
      </c>
      <c r="M193" s="231"/>
    </row>
    <row r="194" spans="1:13" s="179" customFormat="1" ht="15.75" customHeight="1" x14ac:dyDescent="0.2">
      <c r="A194" s="187"/>
      <c r="B194" s="266" t="s">
        <v>665</v>
      </c>
      <c r="C194" s="148">
        <v>1</v>
      </c>
      <c r="D194" s="179" t="s">
        <v>88</v>
      </c>
      <c r="E194" s="263">
        <v>7.62</v>
      </c>
      <c r="F194" s="199" t="s">
        <v>88</v>
      </c>
      <c r="G194" s="263">
        <v>0.23</v>
      </c>
      <c r="H194" s="232" t="s">
        <v>88</v>
      </c>
      <c r="I194" s="205">
        <v>0.45</v>
      </c>
      <c r="J194" s="233" t="s">
        <v>89</v>
      </c>
      <c r="K194" s="205">
        <f t="shared" si="15"/>
        <v>0.78867000000000009</v>
      </c>
      <c r="L194" s="201" t="s">
        <v>61</v>
      </c>
      <c r="M194" s="231"/>
    </row>
    <row r="195" spans="1:13" s="179" customFormat="1" ht="15.75" customHeight="1" x14ac:dyDescent="0.2">
      <c r="A195" s="187"/>
      <c r="B195" s="266" t="s">
        <v>666</v>
      </c>
      <c r="C195" s="148">
        <v>1</v>
      </c>
      <c r="D195" s="179" t="s">
        <v>88</v>
      </c>
      <c r="E195" s="263">
        <v>1.5</v>
      </c>
      <c r="F195" s="199" t="s">
        <v>88</v>
      </c>
      <c r="G195" s="263">
        <v>0.23</v>
      </c>
      <c r="H195" s="232" t="s">
        <v>88</v>
      </c>
      <c r="I195" s="205">
        <v>0.45</v>
      </c>
      <c r="J195" s="233" t="s">
        <v>89</v>
      </c>
      <c r="K195" s="205">
        <f t="shared" si="15"/>
        <v>0.15525000000000003</v>
      </c>
      <c r="L195" s="201" t="s">
        <v>61</v>
      </c>
      <c r="M195" s="231"/>
    </row>
    <row r="196" spans="1:13" s="179" customFormat="1" ht="16.5" customHeight="1" x14ac:dyDescent="0.2">
      <c r="A196" s="187"/>
      <c r="B196" s="266" t="s">
        <v>667</v>
      </c>
      <c r="C196" s="148">
        <v>1</v>
      </c>
      <c r="D196" s="179" t="s">
        <v>88</v>
      </c>
      <c r="E196" s="263">
        <v>7.62</v>
      </c>
      <c r="F196" s="199" t="s">
        <v>88</v>
      </c>
      <c r="G196" s="263">
        <v>0.23</v>
      </c>
      <c r="H196" s="232" t="s">
        <v>88</v>
      </c>
      <c r="I196" s="205">
        <v>0.45</v>
      </c>
      <c r="J196" s="233" t="s">
        <v>89</v>
      </c>
      <c r="K196" s="205">
        <f t="shared" si="15"/>
        <v>0.78867000000000009</v>
      </c>
      <c r="L196" s="201" t="s">
        <v>61</v>
      </c>
      <c r="M196" s="231"/>
    </row>
    <row r="197" spans="1:13" s="179" customFormat="1" ht="15" x14ac:dyDescent="0.2">
      <c r="A197" s="187"/>
      <c r="B197" s="266" t="s">
        <v>668</v>
      </c>
      <c r="C197" s="148">
        <v>1</v>
      </c>
      <c r="D197" s="179" t="s">
        <v>88</v>
      </c>
      <c r="E197" s="263">
        <v>4.57</v>
      </c>
      <c r="F197" s="199" t="s">
        <v>88</v>
      </c>
      <c r="G197" s="263">
        <v>0.23</v>
      </c>
      <c r="H197" s="232" t="s">
        <v>88</v>
      </c>
      <c r="I197" s="205">
        <v>0.45</v>
      </c>
      <c r="J197" s="233" t="s">
        <v>89</v>
      </c>
      <c r="K197" s="205">
        <f t="shared" ref="K197:K204" si="16">IF(C197,C197*E197*G197*I197,"")</f>
        <v>0.47299500000000005</v>
      </c>
      <c r="L197" s="201" t="s">
        <v>61</v>
      </c>
      <c r="M197" s="231"/>
    </row>
    <row r="198" spans="1:13" s="179" customFormat="1" ht="15" x14ac:dyDescent="0.2">
      <c r="A198" s="187"/>
      <c r="B198" s="266" t="s">
        <v>669</v>
      </c>
      <c r="C198" s="148">
        <v>1</v>
      </c>
      <c r="D198" s="179" t="s">
        <v>88</v>
      </c>
      <c r="E198" s="263">
        <v>7.62</v>
      </c>
      <c r="F198" s="199" t="s">
        <v>88</v>
      </c>
      <c r="G198" s="263">
        <v>0.23</v>
      </c>
      <c r="H198" s="232" t="s">
        <v>88</v>
      </c>
      <c r="I198" s="205">
        <v>0.45</v>
      </c>
      <c r="J198" s="233" t="s">
        <v>89</v>
      </c>
      <c r="K198" s="205">
        <f t="shared" si="16"/>
        <v>0.78867000000000009</v>
      </c>
      <c r="L198" s="201" t="s">
        <v>61</v>
      </c>
      <c r="M198" s="231"/>
    </row>
    <row r="199" spans="1:13" s="179" customFormat="1" ht="15" x14ac:dyDescent="0.2">
      <c r="A199" s="187"/>
      <c r="B199" s="266" t="s">
        <v>670</v>
      </c>
      <c r="C199" s="148">
        <v>1</v>
      </c>
      <c r="D199" s="179" t="s">
        <v>88</v>
      </c>
      <c r="E199" s="263">
        <v>1.5</v>
      </c>
      <c r="F199" s="199" t="s">
        <v>88</v>
      </c>
      <c r="G199" s="263">
        <v>0.23</v>
      </c>
      <c r="H199" s="232" t="s">
        <v>88</v>
      </c>
      <c r="I199" s="205">
        <v>0.45</v>
      </c>
      <c r="J199" s="233" t="s">
        <v>89</v>
      </c>
      <c r="K199" s="205">
        <f t="shared" si="16"/>
        <v>0.15525000000000003</v>
      </c>
      <c r="L199" s="201" t="s">
        <v>61</v>
      </c>
      <c r="M199" s="231"/>
    </row>
    <row r="200" spans="1:13" s="179" customFormat="1" ht="15" x14ac:dyDescent="0.2">
      <c r="A200" s="187"/>
      <c r="B200" s="266" t="s">
        <v>671</v>
      </c>
      <c r="C200" s="148">
        <v>1</v>
      </c>
      <c r="D200" s="179" t="s">
        <v>88</v>
      </c>
      <c r="E200" s="263">
        <v>7.62</v>
      </c>
      <c r="F200" s="199" t="s">
        <v>88</v>
      </c>
      <c r="G200" s="263">
        <v>0.23</v>
      </c>
      <c r="H200" s="232" t="s">
        <v>88</v>
      </c>
      <c r="I200" s="205">
        <v>0.45</v>
      </c>
      <c r="J200" s="233" t="s">
        <v>89</v>
      </c>
      <c r="K200" s="205">
        <f t="shared" si="16"/>
        <v>0.78867000000000009</v>
      </c>
      <c r="L200" s="201" t="s">
        <v>61</v>
      </c>
      <c r="M200" s="231"/>
    </row>
    <row r="201" spans="1:13" s="179" customFormat="1" ht="15" x14ac:dyDescent="0.2">
      <c r="A201" s="187"/>
      <c r="B201" s="266" t="s">
        <v>672</v>
      </c>
      <c r="C201" s="148">
        <v>1</v>
      </c>
      <c r="D201" s="179" t="s">
        <v>88</v>
      </c>
      <c r="E201" s="263">
        <v>4.57</v>
      </c>
      <c r="F201" s="199" t="s">
        <v>88</v>
      </c>
      <c r="G201" s="263">
        <v>0.23</v>
      </c>
      <c r="H201" s="232" t="s">
        <v>88</v>
      </c>
      <c r="I201" s="205">
        <v>0.45</v>
      </c>
      <c r="J201" s="233" t="s">
        <v>89</v>
      </c>
      <c r="K201" s="205">
        <f t="shared" si="16"/>
        <v>0.47299500000000005</v>
      </c>
      <c r="L201" s="201" t="s">
        <v>61</v>
      </c>
      <c r="M201" s="231"/>
    </row>
    <row r="202" spans="1:13" s="179" customFormat="1" ht="15.75" customHeight="1" x14ac:dyDescent="0.2">
      <c r="A202" s="187"/>
      <c r="B202" s="266" t="s">
        <v>673</v>
      </c>
      <c r="C202" s="148">
        <v>1</v>
      </c>
      <c r="D202" s="179" t="s">
        <v>88</v>
      </c>
      <c r="E202" s="263">
        <v>4.57</v>
      </c>
      <c r="F202" s="199" t="s">
        <v>88</v>
      </c>
      <c r="G202" s="263">
        <v>0.23</v>
      </c>
      <c r="H202" s="232" t="s">
        <v>88</v>
      </c>
      <c r="I202" s="205">
        <v>0.45</v>
      </c>
      <c r="J202" s="233" t="s">
        <v>89</v>
      </c>
      <c r="K202" s="205">
        <f t="shared" si="16"/>
        <v>0.47299500000000005</v>
      </c>
      <c r="L202" s="201" t="s">
        <v>61</v>
      </c>
      <c r="M202" s="231"/>
    </row>
    <row r="203" spans="1:13" s="179" customFormat="1" ht="15.75" customHeight="1" x14ac:dyDescent="0.2">
      <c r="A203" s="187"/>
      <c r="B203" s="266" t="s">
        <v>674</v>
      </c>
      <c r="C203" s="148">
        <v>1</v>
      </c>
      <c r="D203" s="179" t="s">
        <v>88</v>
      </c>
      <c r="E203" s="263">
        <v>7.62</v>
      </c>
      <c r="F203" s="199" t="s">
        <v>88</v>
      </c>
      <c r="G203" s="263">
        <v>0.23</v>
      </c>
      <c r="H203" s="232" t="s">
        <v>88</v>
      </c>
      <c r="I203" s="205">
        <v>0.45</v>
      </c>
      <c r="J203" s="233" t="s">
        <v>89</v>
      </c>
      <c r="K203" s="205">
        <f t="shared" si="16"/>
        <v>0.78867000000000009</v>
      </c>
      <c r="L203" s="201" t="s">
        <v>61</v>
      </c>
      <c r="M203" s="231"/>
    </row>
    <row r="204" spans="1:13" s="179" customFormat="1" ht="15" x14ac:dyDescent="0.2">
      <c r="A204" s="148"/>
      <c r="B204" s="266" t="s">
        <v>675</v>
      </c>
      <c r="C204" s="148">
        <v>1</v>
      </c>
      <c r="D204" s="179" t="s">
        <v>88</v>
      </c>
      <c r="E204" s="263">
        <v>4.57</v>
      </c>
      <c r="F204" s="199" t="s">
        <v>88</v>
      </c>
      <c r="G204" s="263">
        <v>0.23</v>
      </c>
      <c r="H204" s="232" t="s">
        <v>88</v>
      </c>
      <c r="I204" s="205">
        <v>0.45</v>
      </c>
      <c r="J204" s="233" t="s">
        <v>89</v>
      </c>
      <c r="K204" s="205">
        <f t="shared" si="16"/>
        <v>0.47299500000000005</v>
      </c>
      <c r="L204" s="201" t="s">
        <v>61</v>
      </c>
      <c r="M204" s="231"/>
    </row>
    <row r="205" spans="1:13" s="179" customFormat="1" ht="15" x14ac:dyDescent="0.2">
      <c r="A205" s="187"/>
      <c r="B205" s="266" t="s">
        <v>676</v>
      </c>
      <c r="C205" s="148">
        <v>1</v>
      </c>
      <c r="D205" s="179" t="s">
        <v>88</v>
      </c>
      <c r="E205" s="263">
        <v>7.62</v>
      </c>
      <c r="F205" s="199" t="s">
        <v>88</v>
      </c>
      <c r="G205" s="263">
        <v>0.23</v>
      </c>
      <c r="H205" s="232" t="s">
        <v>88</v>
      </c>
      <c r="I205" s="205">
        <v>0.45</v>
      </c>
      <c r="J205" s="233" t="s">
        <v>89</v>
      </c>
      <c r="K205" s="205">
        <f t="shared" ref="K205:K213" si="17">IF(C205,C205*E205*G205*I205,"")</f>
        <v>0.78867000000000009</v>
      </c>
      <c r="L205" s="201" t="s">
        <v>61</v>
      </c>
      <c r="M205" s="231"/>
    </row>
    <row r="206" spans="1:13" s="179" customFormat="1" ht="15" x14ac:dyDescent="0.2">
      <c r="A206" s="187"/>
      <c r="B206" s="266" t="s">
        <v>677</v>
      </c>
      <c r="C206" s="148">
        <v>1</v>
      </c>
      <c r="D206" s="179" t="s">
        <v>88</v>
      </c>
      <c r="E206" s="263">
        <v>7.62</v>
      </c>
      <c r="F206" s="199" t="s">
        <v>88</v>
      </c>
      <c r="G206" s="263">
        <v>0.23</v>
      </c>
      <c r="H206" s="232" t="s">
        <v>88</v>
      </c>
      <c r="I206" s="205">
        <v>0.45</v>
      </c>
      <c r="J206" s="233" t="s">
        <v>89</v>
      </c>
      <c r="K206" s="205">
        <f t="shared" si="17"/>
        <v>0.78867000000000009</v>
      </c>
      <c r="L206" s="201" t="s">
        <v>61</v>
      </c>
      <c r="M206" s="231"/>
    </row>
    <row r="207" spans="1:13" s="179" customFormat="1" ht="15" x14ac:dyDescent="0.2">
      <c r="A207" s="187"/>
      <c r="B207" s="266" t="s">
        <v>678</v>
      </c>
      <c r="C207" s="148">
        <v>1</v>
      </c>
      <c r="D207" s="179" t="s">
        <v>88</v>
      </c>
      <c r="E207" s="263">
        <v>2.34</v>
      </c>
      <c r="F207" s="199" t="s">
        <v>88</v>
      </c>
      <c r="G207" s="263">
        <v>0.23</v>
      </c>
      <c r="H207" s="232" t="s">
        <v>88</v>
      </c>
      <c r="I207" s="205">
        <v>0.45</v>
      </c>
      <c r="J207" s="233" t="s">
        <v>89</v>
      </c>
      <c r="K207" s="205">
        <f t="shared" si="17"/>
        <v>0.24219000000000002</v>
      </c>
      <c r="L207" s="201" t="s">
        <v>61</v>
      </c>
      <c r="M207" s="231"/>
    </row>
    <row r="208" spans="1:13" s="179" customFormat="1" ht="15" x14ac:dyDescent="0.2">
      <c r="A208" s="187"/>
      <c r="B208" s="266" t="s">
        <v>679</v>
      </c>
      <c r="C208" s="148">
        <v>1</v>
      </c>
      <c r="D208" s="179" t="s">
        <v>88</v>
      </c>
      <c r="E208" s="263">
        <v>9.5500000000000007</v>
      </c>
      <c r="F208" s="199" t="s">
        <v>88</v>
      </c>
      <c r="G208" s="263">
        <v>0.23</v>
      </c>
      <c r="H208" s="232" t="s">
        <v>88</v>
      </c>
      <c r="I208" s="205">
        <v>0.45</v>
      </c>
      <c r="J208" s="233" t="s">
        <v>89</v>
      </c>
      <c r="K208" s="205">
        <f t="shared" si="17"/>
        <v>0.98842500000000022</v>
      </c>
      <c r="L208" s="201" t="s">
        <v>61</v>
      </c>
      <c r="M208" s="231"/>
    </row>
    <row r="209" spans="1:13" s="179" customFormat="1" ht="15" x14ac:dyDescent="0.2">
      <c r="A209" s="187"/>
      <c r="B209" s="266" t="s">
        <v>680</v>
      </c>
      <c r="C209" s="148">
        <v>1</v>
      </c>
      <c r="D209" s="179" t="s">
        <v>88</v>
      </c>
      <c r="E209" s="263">
        <v>9.5500000000000007</v>
      </c>
      <c r="F209" s="199" t="s">
        <v>88</v>
      </c>
      <c r="G209" s="263">
        <v>0.23</v>
      </c>
      <c r="H209" s="232" t="s">
        <v>88</v>
      </c>
      <c r="I209" s="205">
        <v>0.45</v>
      </c>
      <c r="J209" s="233" t="s">
        <v>89</v>
      </c>
      <c r="K209" s="205">
        <f t="shared" si="17"/>
        <v>0.98842500000000022</v>
      </c>
      <c r="L209" s="201" t="s">
        <v>61</v>
      </c>
      <c r="M209" s="231"/>
    </row>
    <row r="210" spans="1:13" s="179" customFormat="1" ht="15.75" customHeight="1" x14ac:dyDescent="0.2">
      <c r="A210" s="187"/>
      <c r="B210" s="266" t="s">
        <v>681</v>
      </c>
      <c r="C210" s="148">
        <v>1</v>
      </c>
      <c r="D210" s="179" t="s">
        <v>88</v>
      </c>
      <c r="E210" s="263">
        <v>5.75</v>
      </c>
      <c r="F210" s="199" t="s">
        <v>88</v>
      </c>
      <c r="G210" s="263">
        <v>0.23</v>
      </c>
      <c r="H210" s="232" t="s">
        <v>88</v>
      </c>
      <c r="I210" s="205">
        <v>0.45</v>
      </c>
      <c r="J210" s="233" t="s">
        <v>89</v>
      </c>
      <c r="K210" s="205">
        <f t="shared" si="17"/>
        <v>0.59512500000000002</v>
      </c>
      <c r="L210" s="201" t="s">
        <v>61</v>
      </c>
      <c r="M210" s="231"/>
    </row>
    <row r="211" spans="1:13" s="179" customFormat="1" ht="15.75" customHeight="1" x14ac:dyDescent="0.2">
      <c r="A211" s="187"/>
      <c r="B211" s="266" t="s">
        <v>682</v>
      </c>
      <c r="C211" s="148">
        <v>1</v>
      </c>
      <c r="D211" s="179" t="s">
        <v>88</v>
      </c>
      <c r="E211" s="263">
        <v>5.75</v>
      </c>
      <c r="F211" s="199" t="s">
        <v>88</v>
      </c>
      <c r="G211" s="263">
        <v>0.23</v>
      </c>
      <c r="H211" s="232" t="s">
        <v>88</v>
      </c>
      <c r="I211" s="205">
        <v>0.45</v>
      </c>
      <c r="J211" s="233" t="s">
        <v>89</v>
      </c>
      <c r="K211" s="205">
        <f t="shared" si="17"/>
        <v>0.59512500000000002</v>
      </c>
      <c r="L211" s="201" t="s">
        <v>61</v>
      </c>
      <c r="M211" s="231"/>
    </row>
    <row r="212" spans="1:13" s="179" customFormat="1" ht="15.75" customHeight="1" x14ac:dyDescent="0.2">
      <c r="A212" s="187"/>
      <c r="B212" s="266" t="s">
        <v>683</v>
      </c>
      <c r="C212" s="148">
        <v>1</v>
      </c>
      <c r="D212" s="179" t="s">
        <v>88</v>
      </c>
      <c r="E212" s="263">
        <v>9.3000000000000007</v>
      </c>
      <c r="F212" s="199" t="s">
        <v>88</v>
      </c>
      <c r="G212" s="263">
        <v>0.23</v>
      </c>
      <c r="H212" s="232" t="s">
        <v>88</v>
      </c>
      <c r="I212" s="205">
        <v>0.45</v>
      </c>
      <c r="J212" s="233" t="s">
        <v>89</v>
      </c>
      <c r="K212" s="205">
        <f t="shared" si="17"/>
        <v>0.96255000000000013</v>
      </c>
      <c r="L212" s="201" t="s">
        <v>61</v>
      </c>
      <c r="M212" s="231"/>
    </row>
    <row r="213" spans="1:13" s="179" customFormat="1" ht="15.75" customHeight="1" x14ac:dyDescent="0.2">
      <c r="A213" s="187"/>
      <c r="B213" s="266" t="s">
        <v>684</v>
      </c>
      <c r="C213" s="148">
        <v>1</v>
      </c>
      <c r="D213" s="179" t="s">
        <v>88</v>
      </c>
      <c r="E213" s="263">
        <v>9.3000000000000007</v>
      </c>
      <c r="F213" s="199" t="s">
        <v>88</v>
      </c>
      <c r="G213" s="263">
        <v>0.23</v>
      </c>
      <c r="H213" s="232" t="s">
        <v>88</v>
      </c>
      <c r="I213" s="205">
        <v>0.45</v>
      </c>
      <c r="J213" s="233" t="s">
        <v>89</v>
      </c>
      <c r="K213" s="205">
        <f t="shared" si="17"/>
        <v>0.96255000000000013</v>
      </c>
      <c r="L213" s="201" t="s">
        <v>61</v>
      </c>
      <c r="M213" s="231"/>
    </row>
    <row r="214" spans="1:13" s="179" customFormat="1" ht="36.75" customHeight="1" x14ac:dyDescent="0.2">
      <c r="A214" s="187"/>
      <c r="B214" s="192" t="s">
        <v>685</v>
      </c>
      <c r="C214" s="210">
        <f>SUM(K168:K213)</f>
        <v>22.653044999999999</v>
      </c>
      <c r="D214" s="264"/>
      <c r="E214" s="210" t="s">
        <v>61</v>
      </c>
      <c r="F214" s="231"/>
      <c r="G214" s="185"/>
      <c r="H214" s="232"/>
      <c r="I214" s="205"/>
      <c r="J214" s="233"/>
      <c r="K214" s="205"/>
      <c r="L214" s="201"/>
      <c r="M214" s="231"/>
    </row>
    <row r="215" spans="1:13" s="179" customFormat="1" ht="16.5" customHeight="1" x14ac:dyDescent="0.2">
      <c r="A215" s="187"/>
      <c r="B215" s="265" t="s">
        <v>688</v>
      </c>
      <c r="C215" s="148"/>
      <c r="E215" s="263"/>
      <c r="F215" s="199"/>
      <c r="G215" s="263"/>
      <c r="H215" s="232"/>
      <c r="I215" s="205"/>
      <c r="J215" s="233"/>
      <c r="K215" s="205"/>
      <c r="L215" s="201"/>
      <c r="M215" s="231"/>
    </row>
    <row r="216" spans="1:13" s="179" customFormat="1" ht="15.75" customHeight="1" x14ac:dyDescent="0.2">
      <c r="A216" s="187"/>
      <c r="B216" s="147" t="s">
        <v>689</v>
      </c>
      <c r="C216" s="231"/>
      <c r="D216" s="231"/>
      <c r="E216" s="185"/>
      <c r="F216" s="231"/>
      <c r="G216" s="185"/>
      <c r="H216" s="232"/>
      <c r="I216" s="259"/>
      <c r="J216" s="233"/>
      <c r="K216" s="205"/>
      <c r="L216" s="201"/>
      <c r="M216" s="231"/>
    </row>
    <row r="217" spans="1:13" s="179" customFormat="1" ht="30.75" customHeight="1" x14ac:dyDescent="0.2">
      <c r="A217" s="187"/>
      <c r="B217" s="147" t="s">
        <v>690</v>
      </c>
      <c r="C217" s="231">
        <v>1</v>
      </c>
      <c r="D217" s="231" t="s">
        <v>88</v>
      </c>
      <c r="E217" s="185">
        <v>14.06</v>
      </c>
      <c r="F217" s="231" t="s">
        <v>88</v>
      </c>
      <c r="G217" s="185">
        <v>21.03</v>
      </c>
      <c r="H217" s="232" t="s">
        <v>88</v>
      </c>
      <c r="I217" s="205">
        <v>0.15</v>
      </c>
      <c r="J217" s="233" t="s">
        <v>89</v>
      </c>
      <c r="K217" s="205">
        <f>IF(C217,C217*E217*G217*I217,"")</f>
        <v>44.352269999999997</v>
      </c>
      <c r="L217" s="201" t="s">
        <v>61</v>
      </c>
      <c r="M217" s="231"/>
    </row>
    <row r="218" spans="1:13" s="179" customFormat="1" ht="36.75" customHeight="1" x14ac:dyDescent="0.2">
      <c r="A218" s="187"/>
      <c r="B218" s="192" t="s">
        <v>691</v>
      </c>
      <c r="C218" s="210">
        <f>K217</f>
        <v>44.352269999999997</v>
      </c>
      <c r="D218" s="264"/>
      <c r="E218" s="210" t="s">
        <v>61</v>
      </c>
      <c r="F218" s="231"/>
      <c r="G218" s="185"/>
      <c r="H218" s="232"/>
      <c r="I218" s="205"/>
      <c r="J218" s="233"/>
      <c r="K218" s="205"/>
      <c r="L218" s="201"/>
      <c r="M218" s="231"/>
    </row>
    <row r="219" spans="1:13" s="179" customFormat="1" ht="15" x14ac:dyDescent="0.2">
      <c r="A219" s="187"/>
      <c r="B219" s="147"/>
      <c r="C219" s="148"/>
      <c r="E219" s="216"/>
      <c r="F219" s="214"/>
      <c r="G219" s="215" t="s">
        <v>610</v>
      </c>
      <c r="H219" s="214"/>
      <c r="I219" s="216"/>
      <c r="J219" s="214"/>
      <c r="K219" s="216">
        <f>SUM(K110:K217)</f>
        <v>467.71620249999995</v>
      </c>
      <c r="L219" s="234" t="s">
        <v>61</v>
      </c>
    </row>
    <row r="220" spans="1:13" s="179" customFormat="1" ht="128.25" x14ac:dyDescent="0.2">
      <c r="A220" s="148">
        <v>6</v>
      </c>
      <c r="B220" s="146" t="s">
        <v>346</v>
      </c>
      <c r="C220" s="148"/>
      <c r="D220" s="229"/>
      <c r="E220" s="184"/>
      <c r="G220" s="185"/>
    </row>
    <row r="221" spans="1:13" s="179" customFormat="1" ht="36.75" customHeight="1" x14ac:dyDescent="0.2">
      <c r="A221" s="187"/>
      <c r="B221" s="192" t="s">
        <v>636</v>
      </c>
      <c r="C221" s="210"/>
      <c r="D221" s="264"/>
      <c r="E221" s="210"/>
      <c r="F221" s="231"/>
      <c r="G221" s="185"/>
      <c r="H221" s="232"/>
      <c r="I221" s="205"/>
      <c r="J221" s="233"/>
      <c r="K221" s="205">
        <v>12.160687499999998</v>
      </c>
      <c r="L221" s="201" t="s">
        <v>61</v>
      </c>
      <c r="M221" s="231"/>
    </row>
    <row r="222" spans="1:13" s="179" customFormat="1" ht="36.75" customHeight="1" x14ac:dyDescent="0.2">
      <c r="A222" s="187"/>
      <c r="B222" s="192" t="s">
        <v>637</v>
      </c>
      <c r="C222" s="210"/>
      <c r="D222" s="264"/>
      <c r="E222" s="210"/>
      <c r="F222" s="231"/>
      <c r="G222" s="185"/>
      <c r="H222" s="232"/>
      <c r="I222" s="205"/>
      <c r="J222" s="233"/>
      <c r="K222" s="205">
        <v>12.160687499999998</v>
      </c>
      <c r="L222" s="201" t="s">
        <v>61</v>
      </c>
      <c r="M222" s="231"/>
    </row>
    <row r="223" spans="1:13" s="179" customFormat="1" ht="15" x14ac:dyDescent="0.2">
      <c r="A223" s="148"/>
      <c r="B223" s="186" t="s">
        <v>696</v>
      </c>
      <c r="C223" s="197"/>
      <c r="D223" s="187"/>
      <c r="E223" s="210"/>
      <c r="F223" s="187"/>
      <c r="G223" s="185"/>
      <c r="K223" s="184">
        <v>9.923700000000002</v>
      </c>
      <c r="L223" s="201" t="s">
        <v>61</v>
      </c>
    </row>
    <row r="224" spans="1:13" s="179" customFormat="1" ht="15" x14ac:dyDescent="0.2">
      <c r="A224" s="148"/>
      <c r="B224" s="186" t="s">
        <v>697</v>
      </c>
      <c r="C224" s="197"/>
      <c r="D224" s="187"/>
      <c r="E224" s="210"/>
      <c r="F224" s="187"/>
      <c r="G224" s="185"/>
      <c r="K224" s="184">
        <v>9.923700000000002</v>
      </c>
      <c r="L224" s="201" t="s">
        <v>61</v>
      </c>
    </row>
    <row r="225" spans="1:13" s="179" customFormat="1" ht="15" x14ac:dyDescent="0.2">
      <c r="A225" s="148"/>
      <c r="B225" s="186" t="s">
        <v>698</v>
      </c>
      <c r="C225" s="197"/>
      <c r="D225" s="187"/>
      <c r="E225" s="210"/>
      <c r="F225" s="187"/>
      <c r="G225" s="185"/>
      <c r="K225" s="184">
        <v>9.923700000000002</v>
      </c>
      <c r="L225" s="201" t="s">
        <v>61</v>
      </c>
    </row>
    <row r="226" spans="1:13" s="179" customFormat="1" ht="36.75" customHeight="1" x14ac:dyDescent="0.2">
      <c r="A226" s="187"/>
      <c r="B226" s="192" t="s">
        <v>686</v>
      </c>
      <c r="C226" s="210"/>
      <c r="D226" s="264"/>
      <c r="E226" s="210"/>
      <c r="F226" s="231"/>
      <c r="G226" s="185"/>
      <c r="H226" s="232"/>
      <c r="I226" s="205"/>
      <c r="J226" s="233"/>
      <c r="K226" s="205">
        <v>22.653044999999999</v>
      </c>
      <c r="L226" s="201" t="s">
        <v>61</v>
      </c>
      <c r="M226" s="231"/>
    </row>
    <row r="227" spans="1:13" s="179" customFormat="1" ht="36.75" customHeight="1" x14ac:dyDescent="0.2">
      <c r="A227" s="187"/>
      <c r="B227" s="192" t="s">
        <v>687</v>
      </c>
      <c r="C227" s="210"/>
      <c r="D227" s="264"/>
      <c r="E227" s="210"/>
      <c r="F227" s="231"/>
      <c r="G227" s="185"/>
      <c r="H227" s="232"/>
      <c r="I227" s="205"/>
      <c r="J227" s="233"/>
      <c r="K227" s="205">
        <v>22.653044999999999</v>
      </c>
      <c r="L227" s="201" t="s">
        <v>61</v>
      </c>
      <c r="M227" s="231"/>
    </row>
    <row r="228" spans="1:13" s="179" customFormat="1" ht="36.75" customHeight="1" x14ac:dyDescent="0.2">
      <c r="A228" s="187"/>
      <c r="B228" s="192" t="s">
        <v>692</v>
      </c>
      <c r="C228" s="210"/>
      <c r="D228" s="264"/>
      <c r="E228" s="210"/>
      <c r="F228" s="231"/>
      <c r="G228" s="185"/>
      <c r="H228" s="232"/>
      <c r="I228" s="205"/>
      <c r="J228" s="233"/>
      <c r="K228" s="205">
        <f>C218</f>
        <v>44.352269999999997</v>
      </c>
      <c r="L228" s="201" t="s">
        <v>61</v>
      </c>
      <c r="M228" s="231"/>
    </row>
    <row r="229" spans="1:13" s="179" customFormat="1" ht="36.75" customHeight="1" x14ac:dyDescent="0.2">
      <c r="A229" s="187"/>
      <c r="B229" s="192" t="s">
        <v>693</v>
      </c>
      <c r="C229" s="210"/>
      <c r="D229" s="264"/>
      <c r="E229" s="210"/>
      <c r="F229" s="231"/>
      <c r="G229" s="185"/>
      <c r="H229" s="232"/>
      <c r="I229" s="205"/>
      <c r="J229" s="233"/>
      <c r="K229" s="205">
        <f>C218</f>
        <v>44.352269999999997</v>
      </c>
      <c r="L229" s="201" t="s">
        <v>61</v>
      </c>
      <c r="M229" s="231"/>
    </row>
    <row r="230" spans="1:13" s="179" customFormat="1" ht="15" x14ac:dyDescent="0.2">
      <c r="A230" s="187"/>
      <c r="B230" s="147"/>
      <c r="C230" s="148"/>
      <c r="E230" s="216"/>
      <c r="F230" s="214"/>
      <c r="G230" s="215" t="s">
        <v>610</v>
      </c>
      <c r="H230" s="214"/>
      <c r="I230" s="216"/>
      <c r="J230" s="214"/>
      <c r="K230" s="216">
        <f>SUM(K221:K229)</f>
        <v>188.103105</v>
      </c>
      <c r="L230" s="234" t="s">
        <v>61</v>
      </c>
    </row>
    <row r="231" spans="1:13" s="179" customFormat="1" ht="111.75" customHeight="1" x14ac:dyDescent="0.2">
      <c r="A231" s="148">
        <v>3</v>
      </c>
      <c r="B231" s="147" t="s">
        <v>576</v>
      </c>
      <c r="C231" s="184"/>
      <c r="D231" s="187"/>
      <c r="E231" s="184"/>
      <c r="F231" s="187"/>
      <c r="G231" s="185"/>
    </row>
    <row r="232" spans="1:13" s="179" customFormat="1" x14ac:dyDescent="0.2">
      <c r="A232" s="148"/>
      <c r="B232" s="213" t="s">
        <v>21</v>
      </c>
      <c r="C232" s="148">
        <f>34+31+33+31+62+54</f>
        <v>245</v>
      </c>
      <c r="D232" s="179" t="s">
        <v>88</v>
      </c>
      <c r="E232" s="184">
        <f>2*(0.3+0.6)</f>
        <v>1.7999999999999998</v>
      </c>
      <c r="F232" s="179" t="s">
        <v>88</v>
      </c>
      <c r="G232" s="184">
        <v>3</v>
      </c>
      <c r="J232" s="188" t="s">
        <v>89</v>
      </c>
      <c r="K232" s="184">
        <f>IF(C232,C232*E232*G232,"")</f>
        <v>1322.9999999999998</v>
      </c>
      <c r="L232" s="148" t="s">
        <v>64</v>
      </c>
    </row>
    <row r="233" spans="1:13" s="179" customFormat="1" x14ac:dyDescent="0.2">
      <c r="A233" s="148"/>
      <c r="B233" s="213" t="s">
        <v>22</v>
      </c>
      <c r="C233" s="148">
        <f>24+24+25+24</f>
        <v>97</v>
      </c>
      <c r="D233" s="179" t="s">
        <v>88</v>
      </c>
      <c r="E233" s="184">
        <f>2*(0.3+0.3)</f>
        <v>1.2</v>
      </c>
      <c r="F233" s="179" t="s">
        <v>88</v>
      </c>
      <c r="G233" s="184">
        <v>3.3</v>
      </c>
      <c r="J233" s="188" t="s">
        <v>89</v>
      </c>
      <c r="K233" s="184">
        <f>IF(C233,C233*E233*G233,"")</f>
        <v>384.11999999999995</v>
      </c>
      <c r="L233" s="148" t="s">
        <v>64</v>
      </c>
    </row>
    <row r="234" spans="1:13" s="179" customFormat="1" ht="15" x14ac:dyDescent="0.2">
      <c r="A234" s="187"/>
      <c r="B234" s="147"/>
      <c r="C234" s="148"/>
      <c r="E234" s="197"/>
      <c r="F234" s="214"/>
      <c r="G234" s="215" t="s">
        <v>78</v>
      </c>
      <c r="H234" s="214"/>
      <c r="I234" s="216"/>
      <c r="J234" s="214"/>
      <c r="K234" s="216">
        <f>SUM(K232:K233)</f>
        <v>1707.1199999999997</v>
      </c>
      <c r="L234" s="217" t="s">
        <v>64</v>
      </c>
    </row>
    <row r="235" spans="1:13" s="271" customFormat="1" ht="129.75" customHeight="1" x14ac:dyDescent="0.2">
      <c r="A235" s="268">
        <f>A193+1</f>
        <v>1</v>
      </c>
      <c r="B235" s="269" t="s">
        <v>284</v>
      </c>
      <c r="C235" s="270"/>
      <c r="E235" s="272"/>
      <c r="F235" s="273"/>
      <c r="G235" s="260"/>
    </row>
    <row r="236" spans="1:13" s="271" customFormat="1" x14ac:dyDescent="0.2">
      <c r="A236" s="268"/>
      <c r="B236" s="269" t="s">
        <v>694</v>
      </c>
      <c r="C236" s="274">
        <f>C128</f>
        <v>72.026500000000013</v>
      </c>
      <c r="D236" s="274"/>
      <c r="E236" s="272" t="s">
        <v>111</v>
      </c>
      <c r="F236" s="273"/>
      <c r="G236" s="275">
        <v>25</v>
      </c>
      <c r="H236" s="273" t="s">
        <v>112</v>
      </c>
      <c r="J236" s="276" t="s">
        <v>89</v>
      </c>
      <c r="K236" s="270">
        <f t="shared" ref="K236:K246" si="18">C236*G236</f>
        <v>1800.6625000000004</v>
      </c>
      <c r="L236" s="271" t="s">
        <v>67</v>
      </c>
      <c r="M236" s="270"/>
    </row>
    <row r="237" spans="1:13" s="271" customFormat="1" x14ac:dyDescent="0.2">
      <c r="A237" s="268"/>
      <c r="B237" s="269" t="s">
        <v>704</v>
      </c>
      <c r="C237" s="296">
        <f>C138</f>
        <v>306.60000000000002</v>
      </c>
      <c r="D237" s="296"/>
      <c r="E237" s="272" t="s">
        <v>111</v>
      </c>
      <c r="F237" s="273"/>
      <c r="G237" s="277">
        <v>150</v>
      </c>
      <c r="H237" s="278" t="s">
        <v>112</v>
      </c>
      <c r="I237" s="279"/>
      <c r="J237" s="280" t="s">
        <v>89</v>
      </c>
      <c r="K237" s="281">
        <f t="shared" si="18"/>
        <v>45990</v>
      </c>
      <c r="L237" s="279" t="s">
        <v>67</v>
      </c>
      <c r="M237" s="270"/>
    </row>
    <row r="238" spans="1:13" s="271" customFormat="1" x14ac:dyDescent="0.2">
      <c r="A238" s="268"/>
      <c r="B238" s="269" t="s">
        <v>109</v>
      </c>
      <c r="C238" s="296">
        <f>C214</f>
        <v>22.653044999999999</v>
      </c>
      <c r="D238" s="296"/>
      <c r="E238" s="272" t="s">
        <v>111</v>
      </c>
      <c r="F238" s="273"/>
      <c r="G238" s="277">
        <v>250</v>
      </c>
      <c r="H238" s="278" t="s">
        <v>112</v>
      </c>
      <c r="I238" s="279"/>
      <c r="J238" s="280" t="s">
        <v>89</v>
      </c>
      <c r="K238" s="281">
        <f t="shared" si="18"/>
        <v>5663.2612499999996</v>
      </c>
      <c r="L238" s="279" t="s">
        <v>67</v>
      </c>
      <c r="M238" s="270"/>
    </row>
    <row r="239" spans="1:13" s="271" customFormat="1" x14ac:dyDescent="0.2">
      <c r="A239" s="268"/>
      <c r="B239" s="269" t="s">
        <v>110</v>
      </c>
      <c r="C239" s="296">
        <f>C218</f>
        <v>44.352269999999997</v>
      </c>
      <c r="D239" s="296"/>
      <c r="E239" s="272" t="s">
        <v>111</v>
      </c>
      <c r="F239" s="273"/>
      <c r="G239" s="277">
        <v>35</v>
      </c>
      <c r="H239" s="278" t="s">
        <v>112</v>
      </c>
      <c r="I239" s="279"/>
      <c r="J239" s="280" t="s">
        <v>89</v>
      </c>
      <c r="K239" s="281">
        <f t="shared" si="18"/>
        <v>1552.32945</v>
      </c>
      <c r="L239" s="279" t="s">
        <v>67</v>
      </c>
      <c r="M239" s="270"/>
    </row>
    <row r="240" spans="1:13" s="271" customFormat="1" x14ac:dyDescent="0.2">
      <c r="A240" s="268"/>
      <c r="B240" s="269" t="s">
        <v>31</v>
      </c>
      <c r="C240" s="296">
        <f>C158</f>
        <v>12.160687499999998</v>
      </c>
      <c r="D240" s="296"/>
      <c r="E240" s="272" t="s">
        <v>111</v>
      </c>
      <c r="F240" s="273"/>
      <c r="G240" s="277">
        <v>400</v>
      </c>
      <c r="H240" s="278" t="s">
        <v>112</v>
      </c>
      <c r="I240" s="279"/>
      <c r="J240" s="280" t="s">
        <v>89</v>
      </c>
      <c r="K240" s="281">
        <f t="shared" si="18"/>
        <v>4864.2749999999996</v>
      </c>
      <c r="L240" s="279" t="s">
        <v>67</v>
      </c>
      <c r="M240" s="270"/>
    </row>
    <row r="241" spans="1:13" s="271" customFormat="1" x14ac:dyDescent="0.2">
      <c r="A241" s="268"/>
      <c r="B241" s="269" t="s">
        <v>707</v>
      </c>
      <c r="C241" s="296">
        <v>22.653044999999999</v>
      </c>
      <c r="D241" s="296"/>
      <c r="E241" s="272" t="s">
        <v>111</v>
      </c>
      <c r="F241" s="273"/>
      <c r="G241" s="277">
        <v>250</v>
      </c>
      <c r="H241" s="278" t="s">
        <v>112</v>
      </c>
      <c r="I241" s="279"/>
      <c r="J241" s="280" t="s">
        <v>89</v>
      </c>
      <c r="K241" s="281">
        <f t="shared" si="18"/>
        <v>5663.2612499999996</v>
      </c>
      <c r="L241" s="279" t="s">
        <v>67</v>
      </c>
      <c r="M241" s="270"/>
    </row>
    <row r="242" spans="1:13" s="271" customFormat="1" x14ac:dyDescent="0.2">
      <c r="A242" s="268"/>
      <c r="B242" s="269" t="s">
        <v>708</v>
      </c>
      <c r="C242" s="296">
        <v>44.352269999999997</v>
      </c>
      <c r="D242" s="296"/>
      <c r="E242" s="272" t="s">
        <v>111</v>
      </c>
      <c r="F242" s="273"/>
      <c r="G242" s="277">
        <v>35</v>
      </c>
      <c r="H242" s="278" t="s">
        <v>112</v>
      </c>
      <c r="I242" s="279"/>
      <c r="J242" s="280" t="s">
        <v>89</v>
      </c>
      <c r="K242" s="281">
        <f t="shared" si="18"/>
        <v>1552.32945</v>
      </c>
      <c r="L242" s="279" t="s">
        <v>67</v>
      </c>
      <c r="M242" s="270"/>
    </row>
    <row r="243" spans="1:13" s="271" customFormat="1" x14ac:dyDescent="0.2">
      <c r="A243" s="268"/>
      <c r="B243" s="269" t="s">
        <v>709</v>
      </c>
      <c r="C243" s="296">
        <v>12.160687499999998</v>
      </c>
      <c r="D243" s="296"/>
      <c r="E243" s="272" t="s">
        <v>111</v>
      </c>
      <c r="F243" s="273"/>
      <c r="G243" s="277">
        <v>400</v>
      </c>
      <c r="H243" s="278" t="s">
        <v>112</v>
      </c>
      <c r="I243" s="279"/>
      <c r="J243" s="280" t="s">
        <v>89</v>
      </c>
      <c r="K243" s="281">
        <f t="shared" si="18"/>
        <v>4864.2749999999996</v>
      </c>
      <c r="L243" s="279" t="s">
        <v>67</v>
      </c>
      <c r="M243" s="270"/>
    </row>
    <row r="244" spans="1:13" s="271" customFormat="1" x14ac:dyDescent="0.2">
      <c r="A244" s="268"/>
      <c r="B244" s="269" t="s">
        <v>710</v>
      </c>
      <c r="C244" s="296">
        <v>22.653044999999999</v>
      </c>
      <c r="D244" s="296"/>
      <c r="E244" s="272" t="s">
        <v>111</v>
      </c>
      <c r="F244" s="273"/>
      <c r="G244" s="277">
        <v>250</v>
      </c>
      <c r="H244" s="278" t="s">
        <v>112</v>
      </c>
      <c r="I244" s="279"/>
      <c r="J244" s="280" t="s">
        <v>89</v>
      </c>
      <c r="K244" s="281">
        <f t="shared" si="18"/>
        <v>5663.2612499999996</v>
      </c>
      <c r="L244" s="279" t="s">
        <v>67</v>
      </c>
      <c r="M244" s="270"/>
    </row>
    <row r="245" spans="1:13" s="271" customFormat="1" x14ac:dyDescent="0.2">
      <c r="A245" s="268"/>
      <c r="B245" s="269" t="s">
        <v>711</v>
      </c>
      <c r="C245" s="296">
        <v>44.352269999999997</v>
      </c>
      <c r="D245" s="296"/>
      <c r="E245" s="272" t="s">
        <v>111</v>
      </c>
      <c r="F245" s="273"/>
      <c r="G245" s="277">
        <v>35</v>
      </c>
      <c r="H245" s="278" t="s">
        <v>112</v>
      </c>
      <c r="I245" s="279"/>
      <c r="J245" s="280" t="s">
        <v>89</v>
      </c>
      <c r="K245" s="281">
        <f t="shared" si="18"/>
        <v>1552.32945</v>
      </c>
      <c r="L245" s="279" t="s">
        <v>67</v>
      </c>
      <c r="M245" s="270"/>
    </row>
    <row r="246" spans="1:13" s="271" customFormat="1" x14ac:dyDescent="0.2">
      <c r="A246" s="268"/>
      <c r="B246" s="269" t="s">
        <v>712</v>
      </c>
      <c r="C246" s="296">
        <v>12.160687499999998</v>
      </c>
      <c r="D246" s="296"/>
      <c r="E246" s="272" t="s">
        <v>111</v>
      </c>
      <c r="F246" s="273"/>
      <c r="G246" s="277">
        <v>400</v>
      </c>
      <c r="H246" s="278" t="s">
        <v>112</v>
      </c>
      <c r="I246" s="279"/>
      <c r="J246" s="280" t="s">
        <v>89</v>
      </c>
      <c r="K246" s="281">
        <f t="shared" si="18"/>
        <v>4864.2749999999996</v>
      </c>
      <c r="L246" s="279" t="s">
        <v>67</v>
      </c>
      <c r="M246" s="270"/>
    </row>
    <row r="247" spans="1:13" s="271" customFormat="1" x14ac:dyDescent="0.2">
      <c r="A247" s="273"/>
      <c r="B247" s="269"/>
      <c r="C247" s="268"/>
      <c r="E247" s="272"/>
      <c r="G247" s="282" t="s">
        <v>93</v>
      </c>
      <c r="H247" s="283"/>
      <c r="I247" s="284"/>
      <c r="J247" s="283"/>
      <c r="K247" s="285">
        <f>SUM(K236:K246)</f>
        <v>84030.25959999999</v>
      </c>
      <c r="L247" s="271" t="s">
        <v>67</v>
      </c>
      <c r="M247" s="270"/>
    </row>
    <row r="248" spans="1:13" s="271" customFormat="1" x14ac:dyDescent="0.2">
      <c r="A248" s="273"/>
      <c r="B248" s="269"/>
      <c r="C248" s="286"/>
      <c r="E248" s="272"/>
      <c r="G248" s="259"/>
      <c r="H248" s="279"/>
      <c r="I248" s="287"/>
      <c r="J248" s="279"/>
      <c r="K248" s="281"/>
      <c r="M248" s="270"/>
    </row>
    <row r="249" spans="1:13" s="179" customFormat="1" ht="75" customHeight="1" x14ac:dyDescent="0.2">
      <c r="A249" s="148">
        <v>1</v>
      </c>
      <c r="B249" s="146" t="s">
        <v>16</v>
      </c>
      <c r="C249" s="184"/>
      <c r="E249" s="184"/>
      <c r="G249" s="185"/>
    </row>
    <row r="250" spans="1:13" s="179" customFormat="1" ht="15" x14ac:dyDescent="0.2">
      <c r="A250" s="187"/>
      <c r="B250" s="186" t="s">
        <v>17</v>
      </c>
      <c r="C250" s="148">
        <v>1</v>
      </c>
      <c r="D250" s="179" t="s">
        <v>88</v>
      </c>
      <c r="E250" s="184">
        <f>K22</f>
        <v>85.789999999999992</v>
      </c>
      <c r="F250" s="179" t="s">
        <v>88</v>
      </c>
      <c r="G250" s="185">
        <v>0.23</v>
      </c>
      <c r="H250" s="179" t="s">
        <v>88</v>
      </c>
      <c r="I250" s="199">
        <v>3.6</v>
      </c>
      <c r="J250" s="200" t="s">
        <v>89</v>
      </c>
      <c r="K250" s="199">
        <f>IF(C250,C250*E250*G250*I250,"")</f>
        <v>71.034120000000001</v>
      </c>
      <c r="L250" s="201" t="s">
        <v>61</v>
      </c>
    </row>
    <row r="251" spans="1:13" s="179" customFormat="1" ht="15" x14ac:dyDescent="0.2">
      <c r="A251" s="187"/>
      <c r="B251" s="186" t="s">
        <v>18</v>
      </c>
      <c r="C251" s="148">
        <v>1</v>
      </c>
      <c r="D251" s="179" t="s">
        <v>88</v>
      </c>
      <c r="E251" s="184" t="e">
        <f>#REF!</f>
        <v>#REF!</v>
      </c>
      <c r="F251" s="179" t="s">
        <v>88</v>
      </c>
      <c r="G251" s="185">
        <v>0.23</v>
      </c>
      <c r="H251" s="179" t="s">
        <v>88</v>
      </c>
      <c r="I251" s="199">
        <v>3.6</v>
      </c>
      <c r="J251" s="200" t="s">
        <v>89</v>
      </c>
      <c r="K251" s="199" t="e">
        <f>IF(C251,C251*E251*G251*I251,"")</f>
        <v>#REF!</v>
      </c>
      <c r="L251" s="201" t="s">
        <v>61</v>
      </c>
    </row>
    <row r="252" spans="1:13" s="179" customFormat="1" ht="15" x14ac:dyDescent="0.2">
      <c r="A252" s="187"/>
      <c r="B252" s="186" t="s">
        <v>189</v>
      </c>
      <c r="C252" s="148">
        <v>1</v>
      </c>
      <c r="D252" s="179" t="s">
        <v>88</v>
      </c>
      <c r="E252" s="184" t="e">
        <f>#REF!</f>
        <v>#REF!</v>
      </c>
      <c r="F252" s="179" t="s">
        <v>88</v>
      </c>
      <c r="G252" s="185">
        <v>0.23</v>
      </c>
      <c r="H252" s="179" t="s">
        <v>88</v>
      </c>
      <c r="I252" s="199">
        <v>0.75</v>
      </c>
      <c r="J252" s="200" t="s">
        <v>89</v>
      </c>
      <c r="K252" s="199" t="e">
        <f>IF(C252,C252*E252*G252*I252,"")</f>
        <v>#REF!</v>
      </c>
      <c r="L252" s="201" t="s">
        <v>61</v>
      </c>
    </row>
    <row r="253" spans="1:13" s="179" customFormat="1" x14ac:dyDescent="0.2">
      <c r="A253" s="187"/>
      <c r="B253" s="147"/>
      <c r="C253" s="148"/>
      <c r="E253" s="189"/>
      <c r="F253" s="202"/>
      <c r="G253" s="203" t="s">
        <v>95</v>
      </c>
      <c r="H253" s="202"/>
      <c r="I253" s="189"/>
      <c r="J253" s="204" t="s">
        <v>96</v>
      </c>
      <c r="K253" s="189" t="e">
        <f>SUM(K250:K252)</f>
        <v>#REF!</v>
      </c>
      <c r="L253" s="204" t="s">
        <v>61</v>
      </c>
    </row>
    <row r="254" spans="1:13" s="179" customFormat="1" ht="15" x14ac:dyDescent="0.2">
      <c r="A254" s="187"/>
      <c r="B254" s="186" t="s">
        <v>97</v>
      </c>
      <c r="C254" s="148"/>
      <c r="E254" s="184"/>
      <c r="G254" s="205"/>
      <c r="H254" s="206"/>
      <c r="I254" s="199"/>
      <c r="J254" s="201"/>
      <c r="K254" s="199"/>
      <c r="L254" s="201"/>
    </row>
    <row r="255" spans="1:13" s="179" customFormat="1" x14ac:dyDescent="0.2">
      <c r="A255" s="187"/>
      <c r="B255" s="147" t="s">
        <v>255</v>
      </c>
      <c r="C255" s="148">
        <v>63</v>
      </c>
      <c r="D255" s="179" t="s">
        <v>88</v>
      </c>
      <c r="E255" s="184">
        <v>1.2</v>
      </c>
      <c r="F255" s="179" t="s">
        <v>88</v>
      </c>
      <c r="G255" s="185">
        <v>0.23</v>
      </c>
      <c r="H255" s="179" t="s">
        <v>88</v>
      </c>
      <c r="I255" s="184">
        <v>2.1</v>
      </c>
      <c r="J255" s="188" t="s">
        <v>89</v>
      </c>
      <c r="K255" s="184">
        <f>IF(C255,C255*E255*G255*I255,"")</f>
        <v>36.514800000000001</v>
      </c>
      <c r="L255" s="187" t="s">
        <v>61</v>
      </c>
    </row>
    <row r="256" spans="1:13" s="179" customFormat="1" x14ac:dyDescent="0.2">
      <c r="A256" s="187"/>
      <c r="B256" s="147" t="s">
        <v>99</v>
      </c>
      <c r="C256" s="148">
        <v>3</v>
      </c>
      <c r="D256" s="179" t="s">
        <v>88</v>
      </c>
      <c r="E256" s="184">
        <v>3</v>
      </c>
      <c r="F256" s="179" t="s">
        <v>88</v>
      </c>
      <c r="G256" s="185">
        <v>0.23</v>
      </c>
      <c r="H256" s="179" t="s">
        <v>88</v>
      </c>
      <c r="I256" s="184">
        <v>2.1</v>
      </c>
      <c r="J256" s="188" t="s">
        <v>89</v>
      </c>
      <c r="K256" s="184">
        <f>IF(C256,C256*E256*G256*I256,"")</f>
        <v>4.3470000000000004</v>
      </c>
      <c r="L256" s="187" t="s">
        <v>61</v>
      </c>
    </row>
    <row r="257" spans="1:12" s="179" customFormat="1" x14ac:dyDescent="0.2">
      <c r="A257" s="187"/>
      <c r="B257" s="147" t="s">
        <v>263</v>
      </c>
      <c r="C257" s="148">
        <v>222</v>
      </c>
      <c r="D257" s="179" t="s">
        <v>88</v>
      </c>
      <c r="E257" s="184">
        <v>1.8</v>
      </c>
      <c r="F257" s="179" t="s">
        <v>88</v>
      </c>
      <c r="G257" s="185">
        <v>0.23</v>
      </c>
      <c r="H257" s="179" t="s">
        <v>88</v>
      </c>
      <c r="I257" s="184">
        <v>1.2</v>
      </c>
      <c r="J257" s="188" t="s">
        <v>89</v>
      </c>
      <c r="K257" s="184">
        <f>IF(C257,C257*E257*G257*I257,"")</f>
        <v>110.28960000000002</v>
      </c>
      <c r="L257" s="187" t="s">
        <v>61</v>
      </c>
    </row>
    <row r="258" spans="1:12" s="179" customFormat="1" x14ac:dyDescent="0.2">
      <c r="A258" s="187"/>
      <c r="B258" s="147" t="s">
        <v>101</v>
      </c>
      <c r="C258" s="148">
        <v>9</v>
      </c>
      <c r="D258" s="179" t="s">
        <v>88</v>
      </c>
      <c r="E258" s="184">
        <v>1.2</v>
      </c>
      <c r="F258" s="179" t="s">
        <v>88</v>
      </c>
      <c r="G258" s="185">
        <v>0.23</v>
      </c>
      <c r="H258" s="179" t="s">
        <v>88</v>
      </c>
      <c r="I258" s="184">
        <v>0.6</v>
      </c>
      <c r="J258" s="188" t="s">
        <v>89</v>
      </c>
      <c r="K258" s="184">
        <f t="shared" ref="K258:K265" si="19">IF(C258,C258*E258*G258*I258,"")</f>
        <v>1.4903999999999999</v>
      </c>
      <c r="L258" s="187" t="s">
        <v>61</v>
      </c>
    </row>
    <row r="259" spans="1:12" s="179" customFormat="1" x14ac:dyDescent="0.2">
      <c r="A259" s="187"/>
      <c r="B259" s="147" t="s">
        <v>102</v>
      </c>
      <c r="C259" s="148">
        <f>C257+C255+10</f>
        <v>295</v>
      </c>
      <c r="D259" s="179" t="s">
        <v>88</v>
      </c>
      <c r="E259" s="184">
        <v>0.9</v>
      </c>
      <c r="F259" s="179" t="s">
        <v>88</v>
      </c>
      <c r="G259" s="185">
        <v>0.23</v>
      </c>
      <c r="H259" s="179" t="s">
        <v>88</v>
      </c>
      <c r="I259" s="184">
        <v>0.6</v>
      </c>
      <c r="J259" s="188" t="s">
        <v>89</v>
      </c>
      <c r="K259" s="184">
        <f t="shared" si="19"/>
        <v>36.639000000000003</v>
      </c>
      <c r="L259" s="187" t="s">
        <v>61</v>
      </c>
    </row>
    <row r="260" spans="1:12" s="179" customFormat="1" x14ac:dyDescent="0.2">
      <c r="A260" s="187"/>
      <c r="B260" s="184">
        <f>V14</f>
        <v>0</v>
      </c>
      <c r="C260" s="148">
        <v>1</v>
      </c>
      <c r="D260" s="179" t="s">
        <v>88</v>
      </c>
      <c r="E260" s="184">
        <f>E11</f>
        <v>3.2</v>
      </c>
      <c r="F260" s="179" t="s">
        <v>88</v>
      </c>
      <c r="G260" s="185">
        <v>0.23</v>
      </c>
      <c r="H260" s="179" t="s">
        <v>88</v>
      </c>
      <c r="I260" s="184">
        <v>1.7</v>
      </c>
      <c r="J260" s="188" t="s">
        <v>89</v>
      </c>
      <c r="K260" s="184">
        <f t="shared" si="19"/>
        <v>1.2512000000000001</v>
      </c>
      <c r="L260" s="187" t="s">
        <v>61</v>
      </c>
    </row>
    <row r="261" spans="1:12" s="179" customFormat="1" x14ac:dyDescent="0.2">
      <c r="A261" s="187"/>
      <c r="B261" s="184">
        <f>V15</f>
        <v>0</v>
      </c>
      <c r="C261" s="148">
        <v>1</v>
      </c>
      <c r="D261" s="179" t="s">
        <v>88</v>
      </c>
      <c r="E261" s="184">
        <f>E12</f>
        <v>3.2</v>
      </c>
      <c r="F261" s="179" t="s">
        <v>88</v>
      </c>
      <c r="G261" s="185">
        <v>0.23</v>
      </c>
      <c r="H261" s="179" t="s">
        <v>88</v>
      </c>
      <c r="I261" s="184">
        <v>1.7</v>
      </c>
      <c r="J261" s="188" t="s">
        <v>89</v>
      </c>
      <c r="K261" s="184">
        <f t="shared" si="19"/>
        <v>1.2512000000000001</v>
      </c>
      <c r="L261" s="187" t="s">
        <v>61</v>
      </c>
    </row>
    <row r="262" spans="1:12" s="179" customFormat="1" x14ac:dyDescent="0.2">
      <c r="A262" s="187"/>
      <c r="B262" s="184" t="e">
        <f>#REF!</f>
        <v>#REF!</v>
      </c>
      <c r="C262" s="148">
        <v>1</v>
      </c>
      <c r="D262" s="179" t="s">
        <v>88</v>
      </c>
      <c r="E262" s="184" t="e">
        <f>#REF!</f>
        <v>#REF!</v>
      </c>
      <c r="F262" s="179" t="s">
        <v>88</v>
      </c>
      <c r="G262" s="185">
        <v>0.23</v>
      </c>
      <c r="H262" s="179" t="s">
        <v>88</v>
      </c>
      <c r="I262" s="184">
        <v>1.7</v>
      </c>
      <c r="J262" s="188" t="s">
        <v>89</v>
      </c>
      <c r="K262" s="184" t="e">
        <f>IF(C262,C262*E262*G262*I262,"")</f>
        <v>#REF!</v>
      </c>
      <c r="L262" s="187" t="s">
        <v>61</v>
      </c>
    </row>
    <row r="263" spans="1:12" s="179" customFormat="1" x14ac:dyDescent="0.2">
      <c r="A263" s="187"/>
      <c r="B263" s="184" t="e">
        <f>#REF!</f>
        <v>#REF!</v>
      </c>
      <c r="C263" s="148">
        <v>1</v>
      </c>
      <c r="D263" s="179" t="s">
        <v>88</v>
      </c>
      <c r="E263" s="184" t="e">
        <f>#REF!</f>
        <v>#REF!</v>
      </c>
      <c r="F263" s="179" t="s">
        <v>88</v>
      </c>
      <c r="G263" s="185">
        <v>0.23</v>
      </c>
      <c r="H263" s="179" t="s">
        <v>88</v>
      </c>
      <c r="I263" s="184">
        <v>1.7</v>
      </c>
      <c r="J263" s="188" t="s">
        <v>89</v>
      </c>
      <c r="K263" s="184" t="e">
        <f>IF(C263,C263*E263*G263*I263,"")</f>
        <v>#REF!</v>
      </c>
      <c r="L263" s="187" t="s">
        <v>61</v>
      </c>
    </row>
    <row r="264" spans="1:12" s="179" customFormat="1" x14ac:dyDescent="0.2">
      <c r="A264" s="187"/>
      <c r="B264" s="147" t="s">
        <v>275</v>
      </c>
      <c r="C264" s="148">
        <v>2</v>
      </c>
      <c r="D264" s="179" t="s">
        <v>88</v>
      </c>
      <c r="E264" s="184">
        <v>2.4</v>
      </c>
      <c r="F264" s="179" t="s">
        <v>88</v>
      </c>
      <c r="G264" s="185">
        <v>0.23</v>
      </c>
      <c r="H264" s="179" t="s">
        <v>88</v>
      </c>
      <c r="I264" s="184">
        <v>2.4</v>
      </c>
      <c r="J264" s="188" t="s">
        <v>89</v>
      </c>
      <c r="K264" s="184">
        <f t="shared" si="19"/>
        <v>2.6496</v>
      </c>
      <c r="L264" s="187" t="s">
        <v>61</v>
      </c>
    </row>
    <row r="265" spans="1:12" s="179" customFormat="1" x14ac:dyDescent="0.2">
      <c r="A265" s="187"/>
      <c r="B265" s="207" t="s">
        <v>103</v>
      </c>
      <c r="C265" s="148">
        <v>1</v>
      </c>
      <c r="D265" s="179" t="s">
        <v>88</v>
      </c>
      <c r="E265" s="184" t="e">
        <f>E250+E251</f>
        <v>#REF!</v>
      </c>
      <c r="F265" s="179" t="s">
        <v>88</v>
      </c>
      <c r="G265" s="185">
        <v>0.23</v>
      </c>
      <c r="H265" s="179" t="s">
        <v>88</v>
      </c>
      <c r="I265" s="184">
        <v>0.23</v>
      </c>
      <c r="J265" s="188" t="s">
        <v>89</v>
      </c>
      <c r="K265" s="184" t="e">
        <f t="shared" si="19"/>
        <v>#REF!</v>
      </c>
      <c r="L265" s="187" t="s">
        <v>61</v>
      </c>
    </row>
    <row r="266" spans="1:12" s="179" customFormat="1" x14ac:dyDescent="0.2">
      <c r="A266" s="187"/>
      <c r="B266" s="147"/>
      <c r="C266" s="148"/>
      <c r="E266" s="189"/>
      <c r="F266" s="202"/>
      <c r="G266" s="203" t="s">
        <v>104</v>
      </c>
      <c r="H266" s="202"/>
      <c r="I266" s="189"/>
      <c r="J266" s="204" t="s">
        <v>94</v>
      </c>
      <c r="K266" s="189" t="e">
        <f>SUM(K255:K265)</f>
        <v>#REF!</v>
      </c>
      <c r="L266" s="204" t="s">
        <v>61</v>
      </c>
    </row>
    <row r="267" spans="1:12" s="179" customFormat="1" ht="15" x14ac:dyDescent="0.2">
      <c r="A267" s="148"/>
      <c r="B267" s="192" t="s">
        <v>30</v>
      </c>
      <c r="D267" s="193" t="e">
        <f>K253</f>
        <v>#REF!</v>
      </c>
      <c r="E267" s="194"/>
      <c r="F267" s="187" t="s">
        <v>94</v>
      </c>
      <c r="G267" s="194" t="e">
        <f>K266</f>
        <v>#REF!</v>
      </c>
      <c r="H267" s="195"/>
      <c r="J267" s="196" t="s">
        <v>89</v>
      </c>
      <c r="K267" s="197" t="e">
        <f>D267-G267</f>
        <v>#REF!</v>
      </c>
      <c r="L267" s="208" t="s">
        <v>61</v>
      </c>
    </row>
    <row r="268" spans="1:12" s="179" customFormat="1" ht="15" x14ac:dyDescent="0.2">
      <c r="A268" s="187"/>
      <c r="B268" s="192"/>
      <c r="E268" s="197"/>
      <c r="F268" s="209"/>
      <c r="G268" s="210"/>
      <c r="I268" s="184"/>
      <c r="J268" s="200"/>
      <c r="K268" s="199"/>
      <c r="L268" s="201"/>
    </row>
    <row r="269" spans="1:12" s="179" customFormat="1" x14ac:dyDescent="0.2">
      <c r="A269" s="148"/>
      <c r="B269" s="146"/>
      <c r="C269" s="184"/>
      <c r="E269" s="184"/>
      <c r="G269" s="184"/>
      <c r="I269" s="205"/>
      <c r="J269" s="200"/>
      <c r="K269" s="199"/>
      <c r="L269" s="201"/>
    </row>
    <row r="270" spans="1:12" ht="75" customHeight="1" x14ac:dyDescent="0.2">
      <c r="A270" s="148">
        <v>2</v>
      </c>
      <c r="B270" s="146" t="s">
        <v>63</v>
      </c>
      <c r="C270" s="184"/>
      <c r="D270" s="179"/>
      <c r="E270" s="184"/>
      <c r="F270" s="187"/>
      <c r="G270" s="185"/>
      <c r="I270" s="206"/>
      <c r="K270" s="206"/>
    </row>
    <row r="271" spans="1:12" s="179" customFormat="1" x14ac:dyDescent="0.2">
      <c r="A271" s="187"/>
      <c r="B271" s="147" t="s">
        <v>276</v>
      </c>
      <c r="C271" s="148">
        <v>1</v>
      </c>
      <c r="D271" s="179" t="s">
        <v>88</v>
      </c>
      <c r="E271" s="184">
        <f>K46</f>
        <v>61.569999999999993</v>
      </c>
      <c r="F271" s="179" t="s">
        <v>88</v>
      </c>
      <c r="G271" s="184">
        <v>3.6</v>
      </c>
      <c r="I271" s="184"/>
      <c r="J271" s="188" t="s">
        <v>89</v>
      </c>
      <c r="K271" s="184">
        <f>IF(C271,C271*E271*G271,"")</f>
        <v>221.65199999999999</v>
      </c>
      <c r="L271" s="148" t="s">
        <v>64</v>
      </c>
    </row>
    <row r="272" spans="1:12" s="179" customFormat="1" x14ac:dyDescent="0.2">
      <c r="A272" s="187"/>
      <c r="B272" s="147"/>
      <c r="C272" s="148"/>
      <c r="E272" s="189"/>
      <c r="F272" s="202"/>
      <c r="G272" s="203" t="s">
        <v>95</v>
      </c>
      <c r="H272" s="202"/>
      <c r="I272" s="189"/>
      <c r="J272" s="204" t="s">
        <v>96</v>
      </c>
      <c r="K272" s="189">
        <f>SUM(K271:K271)</f>
        <v>221.65199999999999</v>
      </c>
      <c r="L272" s="191" t="s">
        <v>64</v>
      </c>
    </row>
    <row r="273" spans="1:12" s="179" customFormat="1" ht="15" x14ac:dyDescent="0.2">
      <c r="A273" s="187"/>
      <c r="B273" s="186" t="s">
        <v>97</v>
      </c>
      <c r="C273" s="148"/>
      <c r="E273" s="184"/>
      <c r="G273" s="205"/>
      <c r="H273" s="206"/>
      <c r="I273" s="199"/>
      <c r="J273" s="201"/>
      <c r="K273" s="199"/>
      <c r="L273" s="148"/>
    </row>
    <row r="274" spans="1:12" s="179" customFormat="1" x14ac:dyDescent="0.2">
      <c r="A274" s="187"/>
      <c r="B274" s="147" t="s">
        <v>98</v>
      </c>
      <c r="C274" s="148">
        <v>10</v>
      </c>
      <c r="D274" s="179" t="s">
        <v>88</v>
      </c>
      <c r="E274" s="184">
        <v>0.75</v>
      </c>
      <c r="F274" s="179" t="s">
        <v>88</v>
      </c>
      <c r="G274" s="184">
        <v>2.1</v>
      </c>
      <c r="I274" s="184"/>
      <c r="J274" s="188" t="s">
        <v>89</v>
      </c>
      <c r="K274" s="184">
        <f>IF(C274,C274*E274*G274,"")</f>
        <v>15.75</v>
      </c>
      <c r="L274" s="148" t="s">
        <v>64</v>
      </c>
    </row>
    <row r="275" spans="1:12" s="179" customFormat="1" ht="15" x14ac:dyDescent="0.2">
      <c r="A275" s="187"/>
      <c r="B275" s="211" t="s">
        <v>575</v>
      </c>
      <c r="C275" s="148">
        <v>1</v>
      </c>
      <c r="D275" s="179" t="s">
        <v>88</v>
      </c>
      <c r="E275" s="184">
        <f>E271</f>
        <v>61.569999999999993</v>
      </c>
      <c r="F275" s="179" t="s">
        <v>88</v>
      </c>
      <c r="G275" s="184">
        <v>0.15</v>
      </c>
      <c r="I275" s="184"/>
      <c r="J275" s="188" t="s">
        <v>89</v>
      </c>
      <c r="K275" s="184">
        <f>IF(C275,C275*E275*G275,"")</f>
        <v>9.2354999999999983</v>
      </c>
      <c r="L275" s="148" t="s">
        <v>64</v>
      </c>
    </row>
    <row r="276" spans="1:12" s="179" customFormat="1" x14ac:dyDescent="0.2">
      <c r="A276" s="187"/>
      <c r="B276" s="147"/>
      <c r="C276" s="148"/>
      <c r="E276" s="189"/>
      <c r="F276" s="202"/>
      <c r="G276" s="203" t="s">
        <v>104</v>
      </c>
      <c r="H276" s="202"/>
      <c r="I276" s="189"/>
      <c r="J276" s="204" t="s">
        <v>94</v>
      </c>
      <c r="K276" s="189">
        <f>SUM(K274:K275)</f>
        <v>24.985499999999998</v>
      </c>
      <c r="L276" s="191" t="s">
        <v>64</v>
      </c>
    </row>
    <row r="277" spans="1:12" s="179" customFormat="1" ht="15" x14ac:dyDescent="0.2">
      <c r="A277" s="148"/>
      <c r="B277" s="192" t="s">
        <v>193</v>
      </c>
      <c r="D277" s="193">
        <f>K272</f>
        <v>221.65199999999999</v>
      </c>
      <c r="E277" s="194"/>
      <c r="F277" s="187" t="s">
        <v>94</v>
      </c>
      <c r="G277" s="194">
        <f>K276</f>
        <v>24.985499999999998</v>
      </c>
      <c r="H277" s="195"/>
      <c r="J277" s="196" t="s">
        <v>89</v>
      </c>
      <c r="K277" s="197">
        <f>D277-G277</f>
        <v>196.66649999999998</v>
      </c>
      <c r="L277" s="198" t="s">
        <v>64</v>
      </c>
    </row>
    <row r="278" spans="1:12" s="179" customFormat="1" ht="15" x14ac:dyDescent="0.2">
      <c r="A278" s="148"/>
      <c r="B278" s="192" t="s">
        <v>194</v>
      </c>
      <c r="D278" s="193"/>
      <c r="E278" s="194"/>
      <c r="F278" s="187"/>
      <c r="G278" s="194"/>
      <c r="H278" s="195"/>
      <c r="J278" s="196"/>
      <c r="K278" s="197">
        <f>K277</f>
        <v>196.66649999999998</v>
      </c>
      <c r="L278" s="198" t="s">
        <v>64</v>
      </c>
    </row>
    <row r="279" spans="1:12" s="179" customFormat="1" x14ac:dyDescent="0.2">
      <c r="A279" s="148"/>
      <c r="B279" s="212"/>
      <c r="C279" s="184"/>
      <c r="D279" s="187"/>
      <c r="E279" s="184"/>
      <c r="F279" s="187"/>
      <c r="G279" s="185"/>
    </row>
    <row r="280" spans="1:12" s="179" customFormat="1" ht="111.75" customHeight="1" x14ac:dyDescent="0.2">
      <c r="A280" s="148">
        <v>3</v>
      </c>
      <c r="B280" s="147" t="s">
        <v>576</v>
      </c>
      <c r="C280" s="184"/>
      <c r="D280" s="187"/>
      <c r="E280" s="184"/>
      <c r="F280" s="187"/>
      <c r="G280" s="185"/>
    </row>
    <row r="281" spans="1:12" s="179" customFormat="1" x14ac:dyDescent="0.2">
      <c r="A281" s="148"/>
      <c r="B281" s="213" t="s">
        <v>21</v>
      </c>
      <c r="C281" s="148">
        <f>34+31+33+31+62+54</f>
        <v>245</v>
      </c>
      <c r="D281" s="179" t="s">
        <v>88</v>
      </c>
      <c r="E281" s="184">
        <f>2*(0.3+0.6)</f>
        <v>1.7999999999999998</v>
      </c>
      <c r="F281" s="179" t="s">
        <v>88</v>
      </c>
      <c r="G281" s="184">
        <v>3</v>
      </c>
      <c r="J281" s="188" t="s">
        <v>89</v>
      </c>
      <c r="K281" s="184">
        <f>IF(C281,C281*E281*G281,"")</f>
        <v>1322.9999999999998</v>
      </c>
      <c r="L281" s="148" t="s">
        <v>64</v>
      </c>
    </row>
    <row r="282" spans="1:12" s="179" customFormat="1" x14ac:dyDescent="0.2">
      <c r="A282" s="148"/>
      <c r="B282" s="213" t="s">
        <v>22</v>
      </c>
      <c r="C282" s="148">
        <f>24+24+25+24</f>
        <v>97</v>
      </c>
      <c r="D282" s="179" t="s">
        <v>88</v>
      </c>
      <c r="E282" s="184">
        <f>2*(0.3+0.3)</f>
        <v>1.2</v>
      </c>
      <c r="F282" s="179" t="s">
        <v>88</v>
      </c>
      <c r="G282" s="184">
        <v>3.3</v>
      </c>
      <c r="J282" s="188" t="s">
        <v>89</v>
      </c>
      <c r="K282" s="184">
        <f>IF(C282,C282*E282*G282,"")</f>
        <v>384.11999999999995</v>
      </c>
      <c r="L282" s="148" t="s">
        <v>64</v>
      </c>
    </row>
    <row r="283" spans="1:12" s="179" customFormat="1" ht="15" x14ac:dyDescent="0.2">
      <c r="A283" s="187"/>
      <c r="B283" s="147"/>
      <c r="C283" s="148"/>
      <c r="E283" s="197"/>
      <c r="F283" s="214"/>
      <c r="G283" s="215" t="s">
        <v>78</v>
      </c>
      <c r="H283" s="214"/>
      <c r="I283" s="216"/>
      <c r="J283" s="214"/>
      <c r="K283" s="216">
        <f>SUM(K281:K282)</f>
        <v>1707.1199999999997</v>
      </c>
      <c r="L283" s="217" t="s">
        <v>64</v>
      </c>
    </row>
    <row r="284" spans="1:12" s="179" customFormat="1" ht="91.5" customHeight="1" x14ac:dyDescent="0.2">
      <c r="A284" s="148"/>
      <c r="B284" s="192" t="s">
        <v>20</v>
      </c>
      <c r="C284" s="184"/>
      <c r="D284" s="187"/>
      <c r="E284" s="184"/>
      <c r="F284" s="187"/>
      <c r="G284" s="185"/>
    </row>
    <row r="285" spans="1:12" s="179" customFormat="1" x14ac:dyDescent="0.2">
      <c r="A285" s="148"/>
      <c r="B285" s="207" t="s">
        <v>103</v>
      </c>
      <c r="C285" s="184"/>
      <c r="E285" s="184"/>
      <c r="G285" s="185"/>
    </row>
    <row r="286" spans="1:12" s="179" customFormat="1" x14ac:dyDescent="0.2">
      <c r="A286" s="187"/>
      <c r="B286" s="147" t="s">
        <v>3</v>
      </c>
      <c r="C286" s="148">
        <v>2</v>
      </c>
      <c r="D286" s="179" t="s">
        <v>88</v>
      </c>
      <c r="E286" s="184">
        <f>E250-E11-E12</f>
        <v>79.389999999999986</v>
      </c>
      <c r="F286" s="179" t="s">
        <v>88</v>
      </c>
      <c r="G286" s="184">
        <v>0.23</v>
      </c>
      <c r="I286" s="184"/>
      <c r="J286" s="188" t="s">
        <v>89</v>
      </c>
      <c r="K286" s="184">
        <f>IF(C286,C286*E286*G286,"")</f>
        <v>36.519399999999997</v>
      </c>
      <c r="L286" s="148" t="s">
        <v>64</v>
      </c>
    </row>
    <row r="287" spans="1:12" s="179" customFormat="1" x14ac:dyDescent="0.2">
      <c r="A287" s="148"/>
      <c r="B287" s="147" t="s">
        <v>4</v>
      </c>
      <c r="C287" s="148">
        <v>2</v>
      </c>
      <c r="D287" s="179" t="s">
        <v>88</v>
      </c>
      <c r="E287" s="184" t="e">
        <f>E251-#REF!-#REF!</f>
        <v>#REF!</v>
      </c>
      <c r="F287" s="179" t="s">
        <v>88</v>
      </c>
      <c r="G287" s="184">
        <v>0.23</v>
      </c>
      <c r="J287" s="188" t="s">
        <v>89</v>
      </c>
      <c r="K287" s="184" t="e">
        <f>IF(C287,C287*E287*G287,"")</f>
        <v>#REF!</v>
      </c>
      <c r="L287" s="148" t="s">
        <v>64</v>
      </c>
    </row>
    <row r="288" spans="1:12" s="179" customFormat="1" x14ac:dyDescent="0.2">
      <c r="A288" s="148"/>
      <c r="B288" s="213" t="str">
        <f>B271</f>
        <v>Wall03</v>
      </c>
      <c r="C288" s="148">
        <v>2</v>
      </c>
      <c r="D288" s="179" t="s">
        <v>88</v>
      </c>
      <c r="E288" s="218">
        <f>E271</f>
        <v>61.569999999999993</v>
      </c>
      <c r="F288" s="179" t="s">
        <v>88</v>
      </c>
      <c r="G288" s="184">
        <v>0.15</v>
      </c>
      <c r="J288" s="188" t="s">
        <v>89</v>
      </c>
      <c r="K288" s="184">
        <f>IF(C288,C288*E288*G288,"")</f>
        <v>18.470999999999997</v>
      </c>
      <c r="L288" s="148" t="s">
        <v>64</v>
      </c>
    </row>
    <row r="289" spans="1:12" s="179" customFormat="1" x14ac:dyDescent="0.2">
      <c r="A289" s="187"/>
      <c r="B289" s="219" t="s">
        <v>197</v>
      </c>
      <c r="C289" s="148"/>
      <c r="E289" s="184"/>
      <c r="G289" s="184"/>
      <c r="I289" s="184"/>
      <c r="J289" s="188"/>
      <c r="K289" s="184"/>
      <c r="L289" s="148"/>
    </row>
    <row r="290" spans="1:12" s="179" customFormat="1" x14ac:dyDescent="0.2">
      <c r="A290" s="187"/>
      <c r="B290" s="220" t="s">
        <v>255</v>
      </c>
      <c r="C290" s="148">
        <v>63</v>
      </c>
      <c r="D290" s="179" t="s">
        <v>88</v>
      </c>
      <c r="E290" s="184">
        <v>1.2</v>
      </c>
      <c r="F290" s="179" t="s">
        <v>88</v>
      </c>
      <c r="G290" s="184">
        <v>0.23</v>
      </c>
      <c r="I290" s="184"/>
      <c r="J290" s="188" t="s">
        <v>89</v>
      </c>
      <c r="K290" s="184">
        <f>IF(C290,C290*E290*G290,"")</f>
        <v>17.387999999999998</v>
      </c>
      <c r="L290" s="148" t="s">
        <v>64</v>
      </c>
    </row>
    <row r="291" spans="1:12" s="179" customFormat="1" x14ac:dyDescent="0.2">
      <c r="A291" s="187"/>
      <c r="B291" s="220" t="s">
        <v>98</v>
      </c>
      <c r="C291" s="148">
        <v>3</v>
      </c>
      <c r="D291" s="179" t="s">
        <v>88</v>
      </c>
      <c r="E291" s="184">
        <v>3</v>
      </c>
      <c r="F291" s="179" t="s">
        <v>88</v>
      </c>
      <c r="G291" s="184">
        <v>0.23</v>
      </c>
      <c r="I291" s="184"/>
      <c r="J291" s="188" t="s">
        <v>89</v>
      </c>
      <c r="K291" s="184">
        <f>IF(C291,C291*E291*G291,"")</f>
        <v>2.0700000000000003</v>
      </c>
      <c r="L291" s="148" t="s">
        <v>64</v>
      </c>
    </row>
    <row r="292" spans="1:12" s="179" customFormat="1" x14ac:dyDescent="0.2">
      <c r="A292" s="187"/>
      <c r="B292" s="220" t="s">
        <v>99</v>
      </c>
      <c r="C292" s="148">
        <v>10</v>
      </c>
      <c r="D292" s="179" t="s">
        <v>88</v>
      </c>
      <c r="E292" s="184">
        <v>0.9</v>
      </c>
      <c r="F292" s="179" t="s">
        <v>88</v>
      </c>
      <c r="G292" s="184">
        <v>0.11</v>
      </c>
      <c r="I292" s="184"/>
      <c r="J292" s="188" t="s">
        <v>89</v>
      </c>
      <c r="K292" s="184">
        <f>IF(C292,C292*E292*G292,"")</f>
        <v>0.99</v>
      </c>
      <c r="L292" s="148" t="s">
        <v>64</v>
      </c>
    </row>
    <row r="293" spans="1:12" s="179" customFormat="1" x14ac:dyDescent="0.2">
      <c r="A293" s="187"/>
      <c r="B293" s="147" t="s">
        <v>191</v>
      </c>
      <c r="C293" s="148">
        <v>2</v>
      </c>
      <c r="D293" s="179" t="s">
        <v>88</v>
      </c>
      <c r="E293" s="184">
        <v>1.8</v>
      </c>
      <c r="F293" s="179" t="s">
        <v>88</v>
      </c>
      <c r="G293" s="184">
        <v>0.23</v>
      </c>
      <c r="I293" s="184"/>
      <c r="J293" s="188" t="s">
        <v>89</v>
      </c>
      <c r="K293" s="184">
        <f>IF(C293,C293*E293*G293,"")</f>
        <v>0.82800000000000007</v>
      </c>
      <c r="L293" s="148" t="s">
        <v>64</v>
      </c>
    </row>
    <row r="294" spans="1:12" s="179" customFormat="1" x14ac:dyDescent="0.2">
      <c r="A294" s="148"/>
      <c r="B294" s="221" t="s">
        <v>108</v>
      </c>
      <c r="C294" s="184"/>
      <c r="E294" s="184"/>
      <c r="G294" s="185"/>
    </row>
    <row r="295" spans="1:12" s="179" customFormat="1" x14ac:dyDescent="0.2">
      <c r="A295" s="187"/>
      <c r="B295" s="222" t="s">
        <v>263</v>
      </c>
      <c r="C295" s="148">
        <v>222</v>
      </c>
      <c r="D295" s="179" t="s">
        <v>88</v>
      </c>
      <c r="E295" s="184">
        <v>1.8</v>
      </c>
      <c r="F295" s="179" t="s">
        <v>88</v>
      </c>
      <c r="G295" s="184">
        <v>0.83</v>
      </c>
      <c r="I295" s="184"/>
      <c r="J295" s="188" t="s">
        <v>89</v>
      </c>
      <c r="K295" s="184">
        <f>IF(C295,C295*E295*G295,"")</f>
        <v>331.66800000000001</v>
      </c>
      <c r="L295" s="148" t="s">
        <v>64</v>
      </c>
    </row>
    <row r="296" spans="1:12" s="179" customFormat="1" x14ac:dyDescent="0.2">
      <c r="A296" s="187"/>
      <c r="B296" s="222" t="s">
        <v>101</v>
      </c>
      <c r="C296" s="148">
        <v>9</v>
      </c>
      <c r="D296" s="179" t="s">
        <v>88</v>
      </c>
      <c r="E296" s="184">
        <v>1.2</v>
      </c>
      <c r="F296" s="179" t="s">
        <v>88</v>
      </c>
      <c r="G296" s="184">
        <v>0.83</v>
      </c>
      <c r="I296" s="184"/>
      <c r="J296" s="188" t="s">
        <v>89</v>
      </c>
      <c r="K296" s="184">
        <f>IF(C296,C296*E296*G296,"")</f>
        <v>8.9639999999999986</v>
      </c>
      <c r="L296" s="148" t="s">
        <v>64</v>
      </c>
    </row>
    <row r="297" spans="1:12" s="179" customFormat="1" x14ac:dyDescent="0.2">
      <c r="A297" s="187"/>
      <c r="B297" s="222" t="s">
        <v>102</v>
      </c>
      <c r="C297" s="148">
        <v>295</v>
      </c>
      <c r="D297" s="179" t="s">
        <v>88</v>
      </c>
      <c r="E297" s="184">
        <v>0.9</v>
      </c>
      <c r="F297" s="179" t="s">
        <v>88</v>
      </c>
      <c r="G297" s="184">
        <v>0.83</v>
      </c>
      <c r="I297" s="184"/>
      <c r="J297" s="188" t="s">
        <v>89</v>
      </c>
      <c r="K297" s="184">
        <f>IF(C297,C297*E297*G297,"")</f>
        <v>220.36499999999998</v>
      </c>
      <c r="L297" s="148" t="s">
        <v>64</v>
      </c>
    </row>
    <row r="298" spans="1:12" s="179" customFormat="1" x14ac:dyDescent="0.2">
      <c r="A298" s="187"/>
      <c r="B298" s="147" t="s">
        <v>90</v>
      </c>
      <c r="C298" s="148">
        <v>1</v>
      </c>
      <c r="D298" s="179" t="s">
        <v>88</v>
      </c>
      <c r="E298" s="184">
        <v>3.9</v>
      </c>
      <c r="F298" s="179" t="s">
        <v>88</v>
      </c>
      <c r="G298" s="184">
        <v>1.28</v>
      </c>
      <c r="I298" s="184"/>
      <c r="J298" s="188" t="s">
        <v>89</v>
      </c>
      <c r="K298" s="184">
        <f>IF(C298,C298*E298*G298,"")</f>
        <v>4.992</v>
      </c>
      <c r="L298" s="148" t="s">
        <v>64</v>
      </c>
    </row>
    <row r="299" spans="1:12" s="179" customFormat="1" x14ac:dyDescent="0.2">
      <c r="A299" s="187"/>
      <c r="B299" s="147" t="s">
        <v>90</v>
      </c>
      <c r="C299" s="148">
        <v>2</v>
      </c>
      <c r="D299" s="179" t="s">
        <v>88</v>
      </c>
      <c r="E299" s="184">
        <v>4.5</v>
      </c>
      <c r="F299" s="179" t="s">
        <v>88</v>
      </c>
      <c r="G299" s="184">
        <v>1.28</v>
      </c>
      <c r="I299" s="184"/>
      <c r="J299" s="188" t="s">
        <v>89</v>
      </c>
      <c r="K299" s="184">
        <f>IF(C299,C299*E299*G299,"")</f>
        <v>11.52</v>
      </c>
      <c r="L299" s="148" t="s">
        <v>64</v>
      </c>
    </row>
    <row r="300" spans="1:12" s="179" customFormat="1" x14ac:dyDescent="0.2">
      <c r="A300" s="187"/>
      <c r="B300" s="147" t="s">
        <v>29</v>
      </c>
      <c r="C300" s="194">
        <f>SUM(K295:K299)</f>
        <v>577.5089999999999</v>
      </c>
      <c r="D300" s="195"/>
      <c r="E300" s="194"/>
      <c r="G300" s="148" t="s">
        <v>64</v>
      </c>
      <c r="I300" s="184"/>
      <c r="J300" s="188"/>
      <c r="K300" s="184"/>
      <c r="L300" s="148"/>
    </row>
    <row r="301" spans="1:12" s="179" customFormat="1" x14ac:dyDescent="0.2">
      <c r="A301" s="148"/>
      <c r="B301" s="213" t="s">
        <v>109</v>
      </c>
      <c r="C301" s="184"/>
      <c r="E301" s="184"/>
      <c r="G301" s="185"/>
    </row>
    <row r="302" spans="1:12" s="179" customFormat="1" x14ac:dyDescent="0.2">
      <c r="A302" s="187"/>
      <c r="B302" s="223" t="str">
        <f>B250</f>
        <v>Walls in X direction</v>
      </c>
      <c r="C302" s="148">
        <v>2</v>
      </c>
      <c r="D302" s="179" t="s">
        <v>88</v>
      </c>
      <c r="E302" s="218">
        <f>E250</f>
        <v>85.789999999999992</v>
      </c>
      <c r="F302" s="206" t="s">
        <v>88</v>
      </c>
      <c r="G302" s="184">
        <v>0.3</v>
      </c>
      <c r="I302" s="184"/>
      <c r="J302" s="188" t="s">
        <v>89</v>
      </c>
      <c r="K302" s="184">
        <f t="shared" ref="K302:K311" si="20">IF(C302,C302*E302*G302,"")</f>
        <v>51.473999999999997</v>
      </c>
      <c r="L302" s="148" t="s">
        <v>64</v>
      </c>
    </row>
    <row r="303" spans="1:12" s="179" customFormat="1" x14ac:dyDescent="0.2">
      <c r="A303" s="187"/>
      <c r="B303" s="147"/>
      <c r="C303" s="148">
        <v>1</v>
      </c>
      <c r="D303" s="179" t="s">
        <v>88</v>
      </c>
      <c r="E303" s="184">
        <f>E302</f>
        <v>85.789999999999992</v>
      </c>
      <c r="F303" s="206" t="s">
        <v>88</v>
      </c>
      <c r="G303" s="184">
        <v>0.3</v>
      </c>
      <c r="I303" s="184"/>
      <c r="J303" s="188" t="s">
        <v>89</v>
      </c>
      <c r="K303" s="184">
        <f t="shared" si="20"/>
        <v>25.736999999999998</v>
      </c>
      <c r="L303" s="148" t="s">
        <v>64</v>
      </c>
    </row>
    <row r="304" spans="1:12" s="179" customFormat="1" x14ac:dyDescent="0.2">
      <c r="A304" s="187"/>
      <c r="B304" s="223" t="str">
        <f>B251</f>
        <v>Walls in Y direction</v>
      </c>
      <c r="C304" s="148">
        <v>2</v>
      </c>
      <c r="D304" s="179" t="s">
        <v>88</v>
      </c>
      <c r="E304" s="218" t="e">
        <f>E251</f>
        <v>#REF!</v>
      </c>
      <c r="F304" s="206" t="s">
        <v>88</v>
      </c>
      <c r="G304" s="184">
        <v>0.3</v>
      </c>
      <c r="I304" s="184"/>
      <c r="J304" s="188" t="s">
        <v>89</v>
      </c>
      <c r="K304" s="184" t="e">
        <f t="shared" si="20"/>
        <v>#REF!</v>
      </c>
      <c r="L304" s="148" t="s">
        <v>64</v>
      </c>
    </row>
    <row r="305" spans="1:12" s="179" customFormat="1" x14ac:dyDescent="0.2">
      <c r="A305" s="187"/>
      <c r="B305" s="147"/>
      <c r="C305" s="148">
        <v>1</v>
      </c>
      <c r="D305" s="179" t="s">
        <v>88</v>
      </c>
      <c r="E305" s="184" t="e">
        <f>E304</f>
        <v>#REF!</v>
      </c>
      <c r="F305" s="206" t="s">
        <v>88</v>
      </c>
      <c r="G305" s="184">
        <v>0.3</v>
      </c>
      <c r="I305" s="184"/>
      <c r="J305" s="188" t="s">
        <v>89</v>
      </c>
      <c r="K305" s="184" t="e">
        <f t="shared" si="20"/>
        <v>#REF!</v>
      </c>
      <c r="L305" s="148" t="s">
        <v>64</v>
      </c>
    </row>
    <row r="306" spans="1:12" s="179" customFormat="1" x14ac:dyDescent="0.2">
      <c r="A306" s="187"/>
      <c r="B306" s="223" t="s">
        <v>26</v>
      </c>
      <c r="C306" s="148">
        <v>26</v>
      </c>
      <c r="D306" s="179" t="s">
        <v>88</v>
      </c>
      <c r="E306" s="218">
        <f>(28.75+1.5)*0.3048</f>
        <v>9.2202000000000002</v>
      </c>
      <c r="F306" s="206" t="s">
        <v>88</v>
      </c>
      <c r="G306" s="184">
        <v>0.3</v>
      </c>
      <c r="I306" s="184"/>
      <c r="J306" s="188" t="s">
        <v>89</v>
      </c>
      <c r="K306" s="184">
        <f t="shared" si="20"/>
        <v>71.917559999999995</v>
      </c>
      <c r="L306" s="148" t="s">
        <v>64</v>
      </c>
    </row>
    <row r="307" spans="1:12" s="179" customFormat="1" x14ac:dyDescent="0.2">
      <c r="A307" s="187"/>
      <c r="B307" s="147"/>
      <c r="C307" s="148">
        <f>C306*2</f>
        <v>52</v>
      </c>
      <c r="D307" s="179" t="s">
        <v>88</v>
      </c>
      <c r="E307" s="184">
        <f>E306</f>
        <v>9.2202000000000002</v>
      </c>
      <c r="F307" s="206" t="s">
        <v>88</v>
      </c>
      <c r="G307" s="184">
        <v>0.75</v>
      </c>
      <c r="I307" s="184"/>
      <c r="J307" s="188" t="s">
        <v>89</v>
      </c>
      <c r="K307" s="184">
        <f t="shared" si="20"/>
        <v>359.58780000000002</v>
      </c>
      <c r="L307" s="148" t="s">
        <v>64</v>
      </c>
    </row>
    <row r="308" spans="1:12" s="179" customFormat="1" x14ac:dyDescent="0.2">
      <c r="A308" s="187"/>
      <c r="B308" s="223" t="s">
        <v>26</v>
      </c>
      <c r="C308" s="148">
        <v>45</v>
      </c>
      <c r="D308" s="179" t="s">
        <v>88</v>
      </c>
      <c r="E308" s="218">
        <f>(29.5+1.5)*0.3048</f>
        <v>9.4488000000000003</v>
      </c>
      <c r="F308" s="206" t="s">
        <v>88</v>
      </c>
      <c r="G308" s="184">
        <v>0.3</v>
      </c>
      <c r="I308" s="184"/>
      <c r="J308" s="188" t="s">
        <v>89</v>
      </c>
      <c r="K308" s="184">
        <f t="shared" si="20"/>
        <v>127.55880000000001</v>
      </c>
      <c r="L308" s="148" t="s">
        <v>64</v>
      </c>
    </row>
    <row r="309" spans="1:12" s="179" customFormat="1" x14ac:dyDescent="0.2">
      <c r="A309" s="187"/>
      <c r="B309" s="147"/>
      <c r="C309" s="148">
        <f>C308*2</f>
        <v>90</v>
      </c>
      <c r="D309" s="179" t="s">
        <v>88</v>
      </c>
      <c r="E309" s="184">
        <f>E308</f>
        <v>9.4488000000000003</v>
      </c>
      <c r="F309" s="206" t="s">
        <v>88</v>
      </c>
      <c r="G309" s="184">
        <v>0.75</v>
      </c>
      <c r="I309" s="184"/>
      <c r="J309" s="188" t="s">
        <v>89</v>
      </c>
      <c r="K309" s="184">
        <f t="shared" si="20"/>
        <v>637.7940000000001</v>
      </c>
      <c r="L309" s="148" t="s">
        <v>64</v>
      </c>
    </row>
    <row r="310" spans="1:12" s="179" customFormat="1" x14ac:dyDescent="0.2">
      <c r="A310" s="187"/>
      <c r="B310" s="223" t="s">
        <v>26</v>
      </c>
      <c r="C310" s="148">
        <v>22</v>
      </c>
      <c r="D310" s="179" t="s">
        <v>88</v>
      </c>
      <c r="E310" s="218">
        <f>(25+1.5)*0.3048</f>
        <v>8.0772000000000013</v>
      </c>
      <c r="F310" s="206" t="s">
        <v>88</v>
      </c>
      <c r="G310" s="184">
        <v>0.3</v>
      </c>
      <c r="I310" s="184"/>
      <c r="J310" s="188" t="s">
        <v>89</v>
      </c>
      <c r="K310" s="184">
        <f t="shared" si="20"/>
        <v>53.309520000000006</v>
      </c>
      <c r="L310" s="148" t="s">
        <v>64</v>
      </c>
    </row>
    <row r="311" spans="1:12" s="179" customFormat="1" x14ac:dyDescent="0.2">
      <c r="A311" s="187"/>
      <c r="B311" s="147"/>
      <c r="C311" s="148">
        <f>C310*2</f>
        <v>44</v>
      </c>
      <c r="D311" s="179" t="s">
        <v>88</v>
      </c>
      <c r="E311" s="184">
        <f>E310</f>
        <v>8.0772000000000013</v>
      </c>
      <c r="F311" s="206" t="s">
        <v>88</v>
      </c>
      <c r="G311" s="184">
        <v>0.6</v>
      </c>
      <c r="I311" s="184"/>
      <c r="J311" s="188" t="s">
        <v>89</v>
      </c>
      <c r="K311" s="184">
        <f t="shared" si="20"/>
        <v>213.23808000000002</v>
      </c>
      <c r="L311" s="148" t="s">
        <v>64</v>
      </c>
    </row>
    <row r="312" spans="1:12" s="179" customFormat="1" x14ac:dyDescent="0.2">
      <c r="A312" s="187"/>
      <c r="B312" s="223">
        <f>B260</f>
        <v>0</v>
      </c>
      <c r="C312" s="148">
        <v>2</v>
      </c>
      <c r="D312" s="179" t="s">
        <v>88</v>
      </c>
      <c r="E312" s="218">
        <f>E260</f>
        <v>3.2</v>
      </c>
      <c r="F312" s="206" t="s">
        <v>88</v>
      </c>
      <c r="G312" s="184">
        <v>0.45</v>
      </c>
      <c r="I312" s="184"/>
      <c r="J312" s="188" t="s">
        <v>89</v>
      </c>
      <c r="K312" s="184">
        <f t="shared" ref="K312:K323" si="21">IF(C312,C312*E312*G312,"")</f>
        <v>2.8800000000000003</v>
      </c>
      <c r="L312" s="148" t="s">
        <v>64</v>
      </c>
    </row>
    <row r="313" spans="1:12" s="179" customFormat="1" x14ac:dyDescent="0.2">
      <c r="A313" s="187"/>
      <c r="B313" s="147"/>
      <c r="C313" s="148">
        <v>1</v>
      </c>
      <c r="D313" s="179" t="s">
        <v>88</v>
      </c>
      <c r="E313" s="184">
        <f>E312</f>
        <v>3.2</v>
      </c>
      <c r="F313" s="206" t="s">
        <v>88</v>
      </c>
      <c r="G313" s="184">
        <v>0.3</v>
      </c>
      <c r="I313" s="184"/>
      <c r="J313" s="188" t="s">
        <v>89</v>
      </c>
      <c r="K313" s="184">
        <f t="shared" si="21"/>
        <v>0.96</v>
      </c>
      <c r="L313" s="148" t="s">
        <v>64</v>
      </c>
    </row>
    <row r="314" spans="1:12" s="179" customFormat="1" x14ac:dyDescent="0.2">
      <c r="A314" s="187"/>
      <c r="B314" s="223">
        <f>B261</f>
        <v>0</v>
      </c>
      <c r="C314" s="148">
        <v>2</v>
      </c>
      <c r="D314" s="179" t="s">
        <v>88</v>
      </c>
      <c r="E314" s="218">
        <f>E261</f>
        <v>3.2</v>
      </c>
      <c r="F314" s="206" t="s">
        <v>88</v>
      </c>
      <c r="G314" s="184">
        <v>0.45</v>
      </c>
      <c r="I314" s="184"/>
      <c r="J314" s="188" t="s">
        <v>89</v>
      </c>
      <c r="K314" s="184">
        <f t="shared" ref="K314:K319" si="22">IF(C314,C314*E314*G314,"")</f>
        <v>2.8800000000000003</v>
      </c>
      <c r="L314" s="148" t="s">
        <v>64</v>
      </c>
    </row>
    <row r="315" spans="1:12" s="179" customFormat="1" x14ac:dyDescent="0.2">
      <c r="A315" s="187"/>
      <c r="B315" s="147"/>
      <c r="C315" s="148">
        <v>1</v>
      </c>
      <c r="D315" s="179" t="s">
        <v>88</v>
      </c>
      <c r="E315" s="184">
        <f>E314</f>
        <v>3.2</v>
      </c>
      <c r="F315" s="206" t="s">
        <v>88</v>
      </c>
      <c r="G315" s="184">
        <v>0.3</v>
      </c>
      <c r="I315" s="184"/>
      <c r="J315" s="188" t="s">
        <v>89</v>
      </c>
      <c r="K315" s="184">
        <f t="shared" si="22"/>
        <v>0.96</v>
      </c>
      <c r="L315" s="148" t="s">
        <v>64</v>
      </c>
    </row>
    <row r="316" spans="1:12" s="179" customFormat="1" x14ac:dyDescent="0.2">
      <c r="A316" s="187"/>
      <c r="B316" s="223" t="e">
        <f>B262</f>
        <v>#REF!</v>
      </c>
      <c r="C316" s="148">
        <v>2</v>
      </c>
      <c r="D316" s="179" t="s">
        <v>88</v>
      </c>
      <c r="E316" s="218" t="e">
        <f>E262</f>
        <v>#REF!</v>
      </c>
      <c r="F316" s="206" t="s">
        <v>88</v>
      </c>
      <c r="G316" s="184">
        <v>0.45</v>
      </c>
      <c r="I316" s="184"/>
      <c r="J316" s="188" t="s">
        <v>89</v>
      </c>
      <c r="K316" s="184" t="e">
        <f t="shared" si="22"/>
        <v>#REF!</v>
      </c>
      <c r="L316" s="148" t="s">
        <v>64</v>
      </c>
    </row>
    <row r="317" spans="1:12" s="179" customFormat="1" x14ac:dyDescent="0.2">
      <c r="A317" s="187"/>
      <c r="B317" s="147"/>
      <c r="C317" s="148">
        <v>1</v>
      </c>
      <c r="D317" s="179" t="s">
        <v>88</v>
      </c>
      <c r="E317" s="184" t="e">
        <f>E316</f>
        <v>#REF!</v>
      </c>
      <c r="F317" s="206" t="s">
        <v>88</v>
      </c>
      <c r="G317" s="184">
        <v>0.3</v>
      </c>
      <c r="I317" s="184"/>
      <c r="J317" s="188" t="s">
        <v>89</v>
      </c>
      <c r="K317" s="184" t="e">
        <f t="shared" si="22"/>
        <v>#REF!</v>
      </c>
      <c r="L317" s="148" t="s">
        <v>64</v>
      </c>
    </row>
    <row r="318" spans="1:12" s="179" customFormat="1" x14ac:dyDescent="0.2">
      <c r="A318" s="187"/>
      <c r="B318" s="223" t="e">
        <f>B263</f>
        <v>#REF!</v>
      </c>
      <c r="C318" s="148">
        <v>2</v>
      </c>
      <c r="D318" s="179" t="s">
        <v>88</v>
      </c>
      <c r="E318" s="218" t="e">
        <f>E263</f>
        <v>#REF!</v>
      </c>
      <c r="F318" s="206" t="s">
        <v>88</v>
      </c>
      <c r="G318" s="184">
        <v>0.45</v>
      </c>
      <c r="I318" s="184"/>
      <c r="J318" s="188" t="s">
        <v>89</v>
      </c>
      <c r="K318" s="184" t="e">
        <f t="shared" si="22"/>
        <v>#REF!</v>
      </c>
      <c r="L318" s="148" t="s">
        <v>64</v>
      </c>
    </row>
    <row r="319" spans="1:12" s="179" customFormat="1" x14ac:dyDescent="0.2">
      <c r="A319" s="187"/>
      <c r="B319" s="147"/>
      <c r="C319" s="148">
        <v>1</v>
      </c>
      <c r="D319" s="179" t="s">
        <v>88</v>
      </c>
      <c r="E319" s="184" t="e">
        <f>E318</f>
        <v>#REF!</v>
      </c>
      <c r="F319" s="206" t="s">
        <v>88</v>
      </c>
      <c r="G319" s="184">
        <v>0.3</v>
      </c>
      <c r="I319" s="184"/>
      <c r="J319" s="188" t="s">
        <v>89</v>
      </c>
      <c r="K319" s="184" t="e">
        <f t="shared" si="22"/>
        <v>#REF!</v>
      </c>
      <c r="L319" s="148" t="s">
        <v>64</v>
      </c>
    </row>
    <row r="320" spans="1:12" s="179" customFormat="1" x14ac:dyDescent="0.2">
      <c r="A320" s="187"/>
      <c r="B320" s="147" t="s">
        <v>182</v>
      </c>
      <c r="C320" s="148">
        <v>4</v>
      </c>
      <c r="D320" s="179" t="s">
        <v>88</v>
      </c>
      <c r="E320" s="184">
        <v>4.8</v>
      </c>
      <c r="F320" s="179" t="s">
        <v>88</v>
      </c>
      <c r="G320" s="184">
        <v>0.45</v>
      </c>
      <c r="I320" s="184"/>
      <c r="J320" s="188" t="s">
        <v>89</v>
      </c>
      <c r="K320" s="184">
        <f t="shared" si="21"/>
        <v>8.64</v>
      </c>
      <c r="L320" s="148" t="s">
        <v>64</v>
      </c>
    </row>
    <row r="321" spans="1:13" s="179" customFormat="1" x14ac:dyDescent="0.2">
      <c r="A321" s="187"/>
      <c r="B321" s="147"/>
      <c r="C321" s="148">
        <v>2</v>
      </c>
      <c r="D321" s="179" t="s">
        <v>88</v>
      </c>
      <c r="E321" s="184">
        <f>E320</f>
        <v>4.8</v>
      </c>
      <c r="F321" s="179" t="s">
        <v>88</v>
      </c>
      <c r="G321" s="184">
        <v>0.3</v>
      </c>
      <c r="I321" s="184"/>
      <c r="J321" s="188" t="s">
        <v>89</v>
      </c>
      <c r="K321" s="184">
        <f t="shared" si="21"/>
        <v>2.88</v>
      </c>
      <c r="L321" s="148" t="s">
        <v>64</v>
      </c>
    </row>
    <row r="322" spans="1:13" s="179" customFormat="1" x14ac:dyDescent="0.2">
      <c r="A322" s="187"/>
      <c r="B322" s="147" t="s">
        <v>278</v>
      </c>
      <c r="C322" s="148">
        <v>4</v>
      </c>
      <c r="D322" s="179" t="s">
        <v>88</v>
      </c>
      <c r="E322" s="184">
        <v>3.5</v>
      </c>
      <c r="F322" s="179" t="s">
        <v>88</v>
      </c>
      <c r="G322" s="184">
        <v>0.6</v>
      </c>
      <c r="I322" s="184"/>
      <c r="J322" s="188" t="s">
        <v>89</v>
      </c>
      <c r="K322" s="184">
        <f t="shared" si="21"/>
        <v>8.4</v>
      </c>
      <c r="L322" s="148" t="s">
        <v>64</v>
      </c>
    </row>
    <row r="323" spans="1:13" s="179" customFormat="1" x14ac:dyDescent="0.2">
      <c r="A323" s="187"/>
      <c r="B323" s="147"/>
      <c r="C323" s="148">
        <v>1</v>
      </c>
      <c r="D323" s="179" t="s">
        <v>88</v>
      </c>
      <c r="E323" s="184">
        <f>E322</f>
        <v>3.5</v>
      </c>
      <c r="F323" s="179" t="s">
        <v>88</v>
      </c>
      <c r="G323" s="184">
        <v>0.3</v>
      </c>
      <c r="I323" s="184"/>
      <c r="J323" s="188" t="s">
        <v>89</v>
      </c>
      <c r="K323" s="184">
        <f t="shared" si="21"/>
        <v>1.05</v>
      </c>
      <c r="L323" s="148" t="s">
        <v>64</v>
      </c>
    </row>
    <row r="324" spans="1:13" s="179" customFormat="1" x14ac:dyDescent="0.2">
      <c r="A324" s="148"/>
      <c r="B324" s="207" t="s">
        <v>110</v>
      </c>
      <c r="C324" s="184"/>
      <c r="E324" s="184"/>
      <c r="G324" s="185"/>
      <c r="M324" s="184"/>
    </row>
    <row r="325" spans="1:13" s="179" customFormat="1" ht="24" customHeight="1" x14ac:dyDescent="0.2">
      <c r="A325" s="187"/>
      <c r="B325" s="147" t="s">
        <v>27</v>
      </c>
      <c r="C325" s="148">
        <v>1</v>
      </c>
      <c r="D325" s="179" t="s">
        <v>88</v>
      </c>
      <c r="E325" s="184">
        <v>3485.1251999999995</v>
      </c>
      <c r="F325" s="179" t="s">
        <v>88</v>
      </c>
      <c r="G325" s="184">
        <v>1</v>
      </c>
      <c r="I325" s="184"/>
      <c r="J325" s="188" t="s">
        <v>89</v>
      </c>
      <c r="K325" s="184">
        <f>IF(C325,C325*E325*G325,"")</f>
        <v>3485.1251999999995</v>
      </c>
      <c r="L325" s="148" t="s">
        <v>64</v>
      </c>
    </row>
    <row r="326" spans="1:13" s="179" customFormat="1" x14ac:dyDescent="0.2">
      <c r="A326" s="187"/>
      <c r="B326" s="147" t="s">
        <v>28</v>
      </c>
      <c r="C326" s="148">
        <v>2</v>
      </c>
      <c r="D326" s="179" t="s">
        <v>88</v>
      </c>
      <c r="E326" s="184">
        <v>7.2</v>
      </c>
      <c r="F326" s="179" t="s">
        <v>88</v>
      </c>
      <c r="G326" s="184">
        <v>5</v>
      </c>
      <c r="I326" s="184"/>
      <c r="J326" s="188" t="s">
        <v>89</v>
      </c>
      <c r="K326" s="184">
        <f>IF(C326,C326*E326*G326,"")</f>
        <v>72</v>
      </c>
      <c r="L326" s="148" t="s">
        <v>64</v>
      </c>
    </row>
    <row r="327" spans="1:13" s="179" customFormat="1" x14ac:dyDescent="0.2">
      <c r="A327" s="187"/>
      <c r="B327" s="147" t="s">
        <v>199</v>
      </c>
      <c r="C327" s="148">
        <v>4</v>
      </c>
      <c r="D327" s="179" t="s">
        <v>88</v>
      </c>
      <c r="E327" s="184">
        <v>4.25</v>
      </c>
      <c r="F327" s="179" t="s">
        <v>88</v>
      </c>
      <c r="G327" s="184">
        <v>1.8</v>
      </c>
      <c r="I327" s="184"/>
      <c r="J327" s="188" t="s">
        <v>89</v>
      </c>
      <c r="K327" s="184">
        <f>IF(C327,C327*E327*G327,"")</f>
        <v>30.6</v>
      </c>
      <c r="L327" s="148" t="s">
        <v>64</v>
      </c>
    </row>
    <row r="328" spans="1:13" s="179" customFormat="1" x14ac:dyDescent="0.2">
      <c r="A328" s="187"/>
      <c r="B328" s="147" t="s">
        <v>200</v>
      </c>
      <c r="C328" s="148">
        <v>2</v>
      </c>
      <c r="D328" s="179" t="s">
        <v>88</v>
      </c>
      <c r="E328" s="184">
        <v>3.5</v>
      </c>
      <c r="F328" s="179" t="s">
        <v>88</v>
      </c>
      <c r="G328" s="184">
        <v>1.8</v>
      </c>
      <c r="I328" s="184"/>
      <c r="J328" s="188" t="s">
        <v>89</v>
      </c>
      <c r="K328" s="184">
        <f>IF(C328,C328*E328*G328,"")</f>
        <v>12.6</v>
      </c>
      <c r="L328" s="148" t="s">
        <v>64</v>
      </c>
    </row>
    <row r="329" spans="1:13" s="179" customFormat="1" x14ac:dyDescent="0.2">
      <c r="A329" s="187"/>
      <c r="B329" s="147" t="s">
        <v>90</v>
      </c>
      <c r="C329" s="148">
        <v>1</v>
      </c>
      <c r="D329" s="179" t="s">
        <v>88</v>
      </c>
      <c r="E329" s="184">
        <v>3.6</v>
      </c>
      <c r="F329" s="179" t="s">
        <v>88</v>
      </c>
      <c r="G329" s="184">
        <v>5</v>
      </c>
      <c r="I329" s="184"/>
      <c r="J329" s="188" t="s">
        <v>89</v>
      </c>
      <c r="K329" s="184">
        <f>IF(C329,C329*E329*G329,"")</f>
        <v>18</v>
      </c>
      <c r="L329" s="148" t="s">
        <v>64</v>
      </c>
    </row>
    <row r="330" spans="1:13" s="179" customFormat="1" ht="15" x14ac:dyDescent="0.2">
      <c r="A330" s="187"/>
      <c r="B330" s="192" t="s">
        <v>202</v>
      </c>
      <c r="C330" s="224">
        <f>SUM(K325:K329)</f>
        <v>3618.3251999999993</v>
      </c>
      <c r="D330" s="225"/>
      <c r="E330" s="224"/>
      <c r="F330" s="198" t="s">
        <v>64</v>
      </c>
      <c r="G330" s="197"/>
      <c r="I330" s="184"/>
      <c r="J330" s="188"/>
      <c r="K330" s="184"/>
      <c r="L330" s="148"/>
    </row>
    <row r="331" spans="1:13" s="179" customFormat="1" ht="15" x14ac:dyDescent="0.2">
      <c r="A331" s="187"/>
      <c r="B331" s="147"/>
      <c r="C331" s="148"/>
      <c r="E331" s="197"/>
      <c r="F331" s="214"/>
      <c r="G331" s="215" t="s">
        <v>198</v>
      </c>
      <c r="H331" s="214"/>
      <c r="I331" s="216"/>
      <c r="J331" s="214"/>
      <c r="K331" s="216" t="e">
        <f>SUM(K286:K330)</f>
        <v>#REF!</v>
      </c>
      <c r="L331" s="217" t="s">
        <v>64</v>
      </c>
    </row>
    <row r="332" spans="1:13" s="179" customFormat="1" ht="15" x14ac:dyDescent="0.2">
      <c r="A332" s="187"/>
      <c r="B332" s="147"/>
      <c r="C332" s="148"/>
      <c r="E332" s="197"/>
      <c r="F332" s="209"/>
      <c r="G332" s="226"/>
      <c r="H332" s="227"/>
      <c r="I332" s="228"/>
      <c r="J332" s="206"/>
      <c r="K332" s="199"/>
      <c r="L332" s="148"/>
    </row>
    <row r="333" spans="1:13" s="179" customFormat="1" ht="240" customHeight="1" x14ac:dyDescent="0.2">
      <c r="A333" s="148">
        <v>4</v>
      </c>
      <c r="B333" s="146" t="s">
        <v>279</v>
      </c>
      <c r="C333" s="148"/>
      <c r="D333" s="229"/>
      <c r="E333" s="184"/>
      <c r="G333" s="185"/>
    </row>
    <row r="334" spans="1:13" s="179" customFormat="1" x14ac:dyDescent="0.2">
      <c r="A334" s="148"/>
      <c r="B334" s="213" t="s">
        <v>109</v>
      </c>
      <c r="C334" s="184"/>
      <c r="E334" s="184"/>
      <c r="G334" s="185"/>
    </row>
    <row r="335" spans="1:13" s="179" customFormat="1" x14ac:dyDescent="0.2">
      <c r="A335" s="148"/>
      <c r="B335" s="207" t="s">
        <v>17</v>
      </c>
      <c r="C335" s="230">
        <v>1</v>
      </c>
      <c r="D335" s="231" t="s">
        <v>88</v>
      </c>
      <c r="E335" s="185">
        <v>713.00340000000006</v>
      </c>
      <c r="F335" s="231" t="s">
        <v>88</v>
      </c>
      <c r="G335" s="185">
        <v>0.3</v>
      </c>
      <c r="H335" s="232" t="s">
        <v>88</v>
      </c>
      <c r="I335" s="205">
        <v>0.3</v>
      </c>
      <c r="J335" s="233" t="s">
        <v>89</v>
      </c>
      <c r="K335" s="205">
        <f>IF(C335,C335*E335*G335*I335,"")</f>
        <v>64.170305999999997</v>
      </c>
      <c r="L335" s="201" t="s">
        <v>61</v>
      </c>
      <c r="M335" s="231"/>
    </row>
    <row r="336" spans="1:13" s="179" customFormat="1" x14ac:dyDescent="0.2">
      <c r="A336" s="187"/>
      <c r="B336" s="147" t="s">
        <v>18</v>
      </c>
      <c r="C336" s="231">
        <v>1</v>
      </c>
      <c r="D336" s="231" t="s">
        <v>88</v>
      </c>
      <c r="E336" s="185">
        <v>697.15380000000005</v>
      </c>
      <c r="F336" s="231" t="s">
        <v>88</v>
      </c>
      <c r="G336" s="185">
        <v>0.3</v>
      </c>
      <c r="H336" s="232" t="s">
        <v>88</v>
      </c>
      <c r="I336" s="205">
        <v>0.3</v>
      </c>
      <c r="J336" s="233" t="s">
        <v>89</v>
      </c>
      <c r="K336" s="205">
        <f t="shared" ref="K336:K345" si="23">IF(C336,C336*E336*G336*I336,"")</f>
        <v>62.743842000000001</v>
      </c>
      <c r="L336" s="201" t="s">
        <v>61</v>
      </c>
      <c r="M336" s="231"/>
    </row>
    <row r="337" spans="1:13" s="179" customFormat="1" x14ac:dyDescent="0.2">
      <c r="A337" s="187"/>
      <c r="B337" s="147" t="s">
        <v>26</v>
      </c>
      <c r="C337" s="231">
        <v>26</v>
      </c>
      <c r="D337" s="231" t="s">
        <v>88</v>
      </c>
      <c r="E337" s="185">
        <v>9.2202000000000002</v>
      </c>
      <c r="F337" s="231" t="s">
        <v>88</v>
      </c>
      <c r="G337" s="185">
        <v>0.3</v>
      </c>
      <c r="H337" s="232" t="s">
        <v>88</v>
      </c>
      <c r="I337" s="205">
        <v>0.75</v>
      </c>
      <c r="J337" s="233" t="s">
        <v>89</v>
      </c>
      <c r="K337" s="205">
        <f t="shared" si="23"/>
        <v>53.93817</v>
      </c>
      <c r="L337" s="201" t="s">
        <v>61</v>
      </c>
      <c r="M337" s="231"/>
    </row>
    <row r="338" spans="1:13" s="179" customFormat="1" x14ac:dyDescent="0.2">
      <c r="A338" s="187"/>
      <c r="B338" s="147" t="s">
        <v>26</v>
      </c>
      <c r="C338" s="231">
        <v>45</v>
      </c>
      <c r="D338" s="231" t="s">
        <v>88</v>
      </c>
      <c r="E338" s="185">
        <v>9.4488000000000003</v>
      </c>
      <c r="F338" s="231" t="s">
        <v>88</v>
      </c>
      <c r="G338" s="185">
        <v>0.3</v>
      </c>
      <c r="H338" s="232" t="s">
        <v>88</v>
      </c>
      <c r="I338" s="205">
        <v>0.75</v>
      </c>
      <c r="J338" s="233" t="s">
        <v>89</v>
      </c>
      <c r="K338" s="205">
        <f t="shared" si="23"/>
        <v>95.6691</v>
      </c>
      <c r="L338" s="201" t="s">
        <v>61</v>
      </c>
      <c r="M338" s="231"/>
    </row>
    <row r="339" spans="1:13" s="179" customFormat="1" x14ac:dyDescent="0.2">
      <c r="A339" s="187"/>
      <c r="B339" s="147" t="s">
        <v>26</v>
      </c>
      <c r="C339" s="231">
        <v>22</v>
      </c>
      <c r="D339" s="231" t="s">
        <v>88</v>
      </c>
      <c r="E339" s="185">
        <v>8.0772000000000013</v>
      </c>
      <c r="F339" s="231" t="s">
        <v>88</v>
      </c>
      <c r="G339" s="185">
        <v>0.3</v>
      </c>
      <c r="H339" s="232" t="s">
        <v>88</v>
      </c>
      <c r="I339" s="205">
        <v>0.6</v>
      </c>
      <c r="J339" s="233" t="s">
        <v>89</v>
      </c>
      <c r="K339" s="205">
        <f t="shared" si="23"/>
        <v>31.985712000000003</v>
      </c>
      <c r="L339" s="201" t="s">
        <v>61</v>
      </c>
      <c r="M339" s="231"/>
    </row>
    <row r="340" spans="1:13" s="179" customFormat="1" x14ac:dyDescent="0.2">
      <c r="A340" s="187"/>
      <c r="B340" s="147" t="s">
        <v>11</v>
      </c>
      <c r="C340" s="231">
        <v>1</v>
      </c>
      <c r="D340" s="231" t="s">
        <v>88</v>
      </c>
      <c r="E340" s="185">
        <v>85.877400000000009</v>
      </c>
      <c r="F340" s="231" t="s">
        <v>88</v>
      </c>
      <c r="G340" s="185">
        <v>0.45</v>
      </c>
      <c r="H340" s="232" t="s">
        <v>88</v>
      </c>
      <c r="I340" s="205">
        <v>0.3</v>
      </c>
      <c r="J340" s="233" t="s">
        <v>89</v>
      </c>
      <c r="K340" s="205">
        <f t="shared" si="23"/>
        <v>11.593449000000001</v>
      </c>
      <c r="L340" s="201" t="s">
        <v>61</v>
      </c>
      <c r="M340" s="231"/>
    </row>
    <row r="341" spans="1:13" s="179" customFormat="1" ht="15.75" customHeight="1" x14ac:dyDescent="0.2">
      <c r="A341" s="187"/>
      <c r="B341" s="147" t="s">
        <v>12</v>
      </c>
      <c r="C341" s="231">
        <v>1</v>
      </c>
      <c r="D341" s="231" t="s">
        <v>88</v>
      </c>
      <c r="E341" s="185">
        <v>85.877400000000009</v>
      </c>
      <c r="F341" s="231" t="s">
        <v>88</v>
      </c>
      <c r="G341" s="185">
        <v>0.45</v>
      </c>
      <c r="H341" s="232" t="s">
        <v>88</v>
      </c>
      <c r="I341" s="205">
        <v>0.3</v>
      </c>
      <c r="J341" s="233" t="s">
        <v>89</v>
      </c>
      <c r="K341" s="205">
        <f t="shared" si="23"/>
        <v>11.593449000000001</v>
      </c>
      <c r="L341" s="201" t="s">
        <v>61</v>
      </c>
      <c r="M341" s="231"/>
    </row>
    <row r="342" spans="1:13" s="179" customFormat="1" ht="15.75" customHeight="1" x14ac:dyDescent="0.2">
      <c r="A342" s="187"/>
      <c r="B342" s="212" t="s">
        <v>13</v>
      </c>
      <c r="C342" s="231">
        <v>1</v>
      </c>
      <c r="D342" s="231" t="s">
        <v>88</v>
      </c>
      <c r="E342" s="185">
        <v>79.705200000000005</v>
      </c>
      <c r="F342" s="231" t="s">
        <v>88</v>
      </c>
      <c r="G342" s="185">
        <v>0.45</v>
      </c>
      <c r="H342" s="232" t="s">
        <v>88</v>
      </c>
      <c r="I342" s="205">
        <v>0.3</v>
      </c>
      <c r="J342" s="233" t="s">
        <v>89</v>
      </c>
      <c r="K342" s="205">
        <f t="shared" si="23"/>
        <v>10.760202000000001</v>
      </c>
      <c r="L342" s="201" t="s">
        <v>61</v>
      </c>
      <c r="M342" s="231"/>
    </row>
    <row r="343" spans="1:13" s="179" customFormat="1" ht="15.75" customHeight="1" x14ac:dyDescent="0.2">
      <c r="A343" s="187"/>
      <c r="B343" s="147" t="s">
        <v>14</v>
      </c>
      <c r="C343" s="231">
        <v>1</v>
      </c>
      <c r="D343" s="231" t="s">
        <v>88</v>
      </c>
      <c r="E343" s="185">
        <v>79.705200000000005</v>
      </c>
      <c r="F343" s="231" t="s">
        <v>88</v>
      </c>
      <c r="G343" s="185">
        <v>0.45</v>
      </c>
      <c r="H343" s="232" t="s">
        <v>88</v>
      </c>
      <c r="I343" s="205">
        <v>0.3</v>
      </c>
      <c r="J343" s="233" t="s">
        <v>89</v>
      </c>
      <c r="K343" s="205">
        <f t="shared" si="23"/>
        <v>10.760202000000001</v>
      </c>
      <c r="L343" s="201" t="s">
        <v>61</v>
      </c>
      <c r="M343" s="231"/>
    </row>
    <row r="344" spans="1:13" s="179" customFormat="1" ht="15.75" customHeight="1" x14ac:dyDescent="0.2">
      <c r="A344" s="187"/>
      <c r="B344" s="212" t="s">
        <v>182</v>
      </c>
      <c r="C344" s="231">
        <v>2</v>
      </c>
      <c r="D344" s="231" t="s">
        <v>88</v>
      </c>
      <c r="E344" s="185">
        <v>4.8</v>
      </c>
      <c r="F344" s="231" t="s">
        <v>88</v>
      </c>
      <c r="G344" s="185">
        <v>0.45</v>
      </c>
      <c r="H344" s="232" t="s">
        <v>88</v>
      </c>
      <c r="I344" s="205">
        <v>0.3</v>
      </c>
      <c r="J344" s="233" t="s">
        <v>89</v>
      </c>
      <c r="K344" s="205">
        <f t="shared" si="23"/>
        <v>1.296</v>
      </c>
      <c r="L344" s="201" t="s">
        <v>61</v>
      </c>
      <c r="M344" s="231"/>
    </row>
    <row r="345" spans="1:13" s="179" customFormat="1" ht="16.5" customHeight="1" x14ac:dyDescent="0.2">
      <c r="A345" s="187"/>
      <c r="B345" s="147" t="s">
        <v>278</v>
      </c>
      <c r="C345" s="231">
        <v>2</v>
      </c>
      <c r="D345" s="231" t="s">
        <v>88</v>
      </c>
      <c r="E345" s="205">
        <v>3.5</v>
      </c>
      <c r="F345" s="232" t="s">
        <v>88</v>
      </c>
      <c r="G345" s="205">
        <v>0.6</v>
      </c>
      <c r="H345" s="232" t="s">
        <v>88</v>
      </c>
      <c r="I345" s="205">
        <v>0.3</v>
      </c>
      <c r="J345" s="233" t="s">
        <v>89</v>
      </c>
      <c r="K345" s="205">
        <f t="shared" si="23"/>
        <v>1.26</v>
      </c>
      <c r="L345" s="201" t="s">
        <v>61</v>
      </c>
      <c r="M345" s="231"/>
    </row>
    <row r="346" spans="1:13" s="179" customFormat="1" ht="24" customHeight="1" x14ac:dyDescent="0.2">
      <c r="A346" s="187"/>
      <c r="B346" s="147" t="s">
        <v>27</v>
      </c>
      <c r="C346" s="231">
        <v>1</v>
      </c>
      <c r="D346" s="231" t="s">
        <v>88</v>
      </c>
      <c r="E346" s="185">
        <v>3485.1251999999995</v>
      </c>
      <c r="F346" s="231" t="s">
        <v>88</v>
      </c>
      <c r="G346" s="185">
        <v>1</v>
      </c>
      <c r="H346" s="232" t="s">
        <v>88</v>
      </c>
      <c r="I346" s="205">
        <v>0.13</v>
      </c>
      <c r="J346" s="233" t="s">
        <v>89</v>
      </c>
      <c r="K346" s="205">
        <f>IF(C346,C346*E346*G346*I346,"")</f>
        <v>453.06627599999996</v>
      </c>
      <c r="L346" s="201" t="s">
        <v>61</v>
      </c>
      <c r="M346" s="231"/>
    </row>
    <row r="347" spans="1:13" s="179" customFormat="1" x14ac:dyDescent="0.2">
      <c r="A347" s="187"/>
      <c r="B347" s="147" t="s">
        <v>28</v>
      </c>
      <c r="C347" s="231">
        <v>2</v>
      </c>
      <c r="D347" s="231" t="s">
        <v>88</v>
      </c>
      <c r="E347" s="185">
        <v>7.2</v>
      </c>
      <c r="F347" s="231" t="s">
        <v>88</v>
      </c>
      <c r="G347" s="185">
        <v>5</v>
      </c>
      <c r="H347" s="232" t="s">
        <v>88</v>
      </c>
      <c r="I347" s="205">
        <v>0.13</v>
      </c>
      <c r="J347" s="233" t="s">
        <v>89</v>
      </c>
      <c r="K347" s="205">
        <f>IF(C347,C347*E347*G347*I347,"")</f>
        <v>9.36</v>
      </c>
      <c r="L347" s="201" t="s">
        <v>61</v>
      </c>
      <c r="M347" s="231"/>
    </row>
    <row r="348" spans="1:13" s="179" customFormat="1" x14ac:dyDescent="0.2">
      <c r="A348" s="187"/>
      <c r="B348" s="147" t="s">
        <v>199</v>
      </c>
      <c r="C348" s="231">
        <v>4</v>
      </c>
      <c r="D348" s="231" t="s">
        <v>88</v>
      </c>
      <c r="E348" s="185">
        <v>4.25</v>
      </c>
      <c r="F348" s="231" t="s">
        <v>88</v>
      </c>
      <c r="G348" s="185">
        <v>1.8</v>
      </c>
      <c r="H348" s="232" t="s">
        <v>88</v>
      </c>
      <c r="I348" s="205">
        <v>0.25</v>
      </c>
      <c r="J348" s="233" t="s">
        <v>89</v>
      </c>
      <c r="K348" s="205">
        <f>IF(C348,C348*E348*G348*I348,"")</f>
        <v>7.65</v>
      </c>
      <c r="L348" s="201" t="s">
        <v>61</v>
      </c>
      <c r="M348" s="231"/>
    </row>
    <row r="349" spans="1:13" s="179" customFormat="1" x14ac:dyDescent="0.2">
      <c r="A349" s="187"/>
      <c r="B349" s="147" t="s">
        <v>200</v>
      </c>
      <c r="C349" s="231">
        <v>2</v>
      </c>
      <c r="D349" s="231" t="s">
        <v>88</v>
      </c>
      <c r="E349" s="185">
        <v>3.5</v>
      </c>
      <c r="F349" s="231" t="s">
        <v>88</v>
      </c>
      <c r="G349" s="185">
        <v>1.8</v>
      </c>
      <c r="H349" s="232" t="s">
        <v>88</v>
      </c>
      <c r="I349" s="205">
        <v>0.25</v>
      </c>
      <c r="J349" s="233" t="s">
        <v>89</v>
      </c>
      <c r="K349" s="205">
        <f>IF(C349,C349*E349*G349*I349,"")</f>
        <v>3.15</v>
      </c>
      <c r="L349" s="201" t="s">
        <v>61</v>
      </c>
      <c r="M349" s="231"/>
    </row>
    <row r="350" spans="1:13" s="179" customFormat="1" x14ac:dyDescent="0.2">
      <c r="A350" s="187"/>
      <c r="B350" s="147" t="s">
        <v>90</v>
      </c>
      <c r="C350" s="231">
        <v>1</v>
      </c>
      <c r="D350" s="231" t="s">
        <v>88</v>
      </c>
      <c r="E350" s="185">
        <v>3.6</v>
      </c>
      <c r="F350" s="231" t="s">
        <v>88</v>
      </c>
      <c r="G350" s="185">
        <v>5</v>
      </c>
      <c r="H350" s="232" t="s">
        <v>88</v>
      </c>
      <c r="I350" s="205">
        <v>0.15</v>
      </c>
      <c r="J350" s="233" t="s">
        <v>89</v>
      </c>
      <c r="K350" s="205">
        <f>IF(C350,C350*E350*G350*I350,"")</f>
        <v>2.6999999999999997</v>
      </c>
      <c r="L350" s="201" t="s">
        <v>61</v>
      </c>
      <c r="M350" s="231"/>
    </row>
    <row r="351" spans="1:13" s="179" customFormat="1" ht="15" x14ac:dyDescent="0.2">
      <c r="A351" s="148"/>
      <c r="B351" s="186"/>
      <c r="C351" s="184"/>
      <c r="D351" s="187"/>
      <c r="E351" s="184"/>
      <c r="F351" s="187"/>
      <c r="G351" s="185"/>
    </row>
    <row r="352" spans="1:13" s="179" customFormat="1" ht="15" x14ac:dyDescent="0.2">
      <c r="A352" s="187"/>
      <c r="B352" s="147"/>
      <c r="C352" s="148"/>
      <c r="E352" s="216"/>
      <c r="F352" s="214"/>
      <c r="G352" s="215" t="s">
        <v>201</v>
      </c>
      <c r="H352" s="214"/>
      <c r="I352" s="216"/>
      <c r="J352" s="214"/>
      <c r="K352" s="216">
        <f>SUM(K335:K351)</f>
        <v>831.69670799999994</v>
      </c>
      <c r="L352" s="234" t="s">
        <v>61</v>
      </c>
    </row>
    <row r="353" spans="1:12" s="179" customFormat="1" ht="3.75" customHeight="1" x14ac:dyDescent="0.2">
      <c r="A353" s="148"/>
      <c r="B353" s="146"/>
      <c r="C353" s="148"/>
      <c r="D353" s="229"/>
      <c r="E353" s="184"/>
      <c r="G353" s="185"/>
    </row>
    <row r="354" spans="1:12" s="179" customFormat="1" ht="78" customHeight="1" x14ac:dyDescent="0.2">
      <c r="A354" s="148"/>
      <c r="B354" s="147" t="s">
        <v>66</v>
      </c>
      <c r="C354" s="148"/>
      <c r="D354" s="229"/>
      <c r="E354" s="184"/>
      <c r="G354" s="185"/>
    </row>
    <row r="355" spans="1:12" s="179" customFormat="1" x14ac:dyDescent="0.2">
      <c r="A355" s="148"/>
      <c r="B355" s="207" t="s">
        <v>103</v>
      </c>
      <c r="C355" s="184"/>
      <c r="E355" s="184"/>
      <c r="G355" s="185"/>
      <c r="L355" s="206"/>
    </row>
    <row r="356" spans="1:12" s="209" customFormat="1" ht="15" x14ac:dyDescent="0.2">
      <c r="A356" s="187"/>
      <c r="B356" s="147" t="s">
        <v>3</v>
      </c>
      <c r="C356" s="148">
        <v>2</v>
      </c>
      <c r="D356" s="179" t="s">
        <v>88</v>
      </c>
      <c r="E356" s="184">
        <f>E286</f>
        <v>79.389999999999986</v>
      </c>
      <c r="F356" s="179" t="s">
        <v>88</v>
      </c>
      <c r="G356" s="184">
        <v>0.23</v>
      </c>
      <c r="H356" s="206" t="s">
        <v>88</v>
      </c>
      <c r="I356" s="199">
        <v>0.23</v>
      </c>
      <c r="J356" s="188" t="s">
        <v>89</v>
      </c>
      <c r="K356" s="184">
        <f>IF(C356,C356*E356*G356*I356,"")</f>
        <v>8.3994619999999998</v>
      </c>
      <c r="L356" s="201" t="s">
        <v>61</v>
      </c>
    </row>
    <row r="357" spans="1:12" s="209" customFormat="1" ht="15" x14ac:dyDescent="0.2">
      <c r="A357" s="148"/>
      <c r="B357" s="147" t="s">
        <v>4</v>
      </c>
      <c r="C357" s="148">
        <v>2</v>
      </c>
      <c r="D357" s="179" t="s">
        <v>88</v>
      </c>
      <c r="E357" s="184" t="e">
        <f>E287</f>
        <v>#REF!</v>
      </c>
      <c r="F357" s="179" t="s">
        <v>88</v>
      </c>
      <c r="G357" s="184">
        <v>0.23</v>
      </c>
      <c r="H357" s="206" t="s">
        <v>88</v>
      </c>
      <c r="I357" s="199">
        <v>0.23</v>
      </c>
      <c r="J357" s="188" t="s">
        <v>89</v>
      </c>
      <c r="K357" s="199" t="e">
        <f t="shared" ref="K357:K364" si="24">IF(C357,C357*E357*G357*I357,"")</f>
        <v>#REF!</v>
      </c>
      <c r="L357" s="201" t="s">
        <v>61</v>
      </c>
    </row>
    <row r="358" spans="1:12" s="209" customFormat="1" ht="15" x14ac:dyDescent="0.2">
      <c r="A358" s="148"/>
      <c r="B358" s="184" t="str">
        <f>B288</f>
        <v>Wall03</v>
      </c>
      <c r="C358" s="148">
        <v>2</v>
      </c>
      <c r="D358" s="179" t="s">
        <v>88</v>
      </c>
      <c r="E358" s="184">
        <f>E288</f>
        <v>61.569999999999993</v>
      </c>
      <c r="F358" s="179" t="s">
        <v>88</v>
      </c>
      <c r="G358" s="184">
        <v>0.23</v>
      </c>
      <c r="H358" s="206" t="s">
        <v>88</v>
      </c>
      <c r="I358" s="199">
        <v>0.23</v>
      </c>
      <c r="J358" s="188" t="s">
        <v>89</v>
      </c>
      <c r="K358" s="199">
        <f t="shared" si="24"/>
        <v>6.514106</v>
      </c>
      <c r="L358" s="201" t="s">
        <v>61</v>
      </c>
    </row>
    <row r="359" spans="1:12" s="209" customFormat="1" ht="15" x14ac:dyDescent="0.2">
      <c r="A359" s="198"/>
      <c r="B359" s="207" t="s">
        <v>108</v>
      </c>
      <c r="C359" s="197"/>
      <c r="E359" s="197"/>
      <c r="G359" s="210"/>
      <c r="K359" s="228"/>
      <c r="L359" s="201"/>
    </row>
    <row r="360" spans="1:12" s="179" customFormat="1" x14ac:dyDescent="0.2">
      <c r="A360" s="187"/>
      <c r="B360" s="222" t="s">
        <v>263</v>
      </c>
      <c r="C360" s="148">
        <v>222</v>
      </c>
      <c r="D360" s="179" t="s">
        <v>88</v>
      </c>
      <c r="E360" s="184">
        <v>1.8</v>
      </c>
      <c r="F360" s="179" t="s">
        <v>88</v>
      </c>
      <c r="G360" s="184">
        <v>0.83</v>
      </c>
      <c r="H360" s="206" t="s">
        <v>88</v>
      </c>
      <c r="I360" s="199">
        <v>0.1</v>
      </c>
      <c r="J360" s="188" t="s">
        <v>89</v>
      </c>
      <c r="K360" s="199">
        <f t="shared" si="24"/>
        <v>33.166800000000002</v>
      </c>
      <c r="L360" s="201" t="s">
        <v>61</v>
      </c>
    </row>
    <row r="361" spans="1:12" s="179" customFormat="1" x14ac:dyDescent="0.2">
      <c r="A361" s="187"/>
      <c r="B361" s="222" t="s">
        <v>101</v>
      </c>
      <c r="C361" s="148">
        <v>9</v>
      </c>
      <c r="D361" s="179" t="s">
        <v>88</v>
      </c>
      <c r="E361" s="184">
        <v>1.2</v>
      </c>
      <c r="F361" s="179" t="s">
        <v>88</v>
      </c>
      <c r="G361" s="184">
        <v>0.83</v>
      </c>
      <c r="H361" s="206" t="s">
        <v>88</v>
      </c>
      <c r="I361" s="199">
        <v>0.1</v>
      </c>
      <c r="J361" s="188" t="s">
        <v>89</v>
      </c>
      <c r="K361" s="199">
        <f t="shared" si="24"/>
        <v>0.89639999999999986</v>
      </c>
      <c r="L361" s="201" t="s">
        <v>61</v>
      </c>
    </row>
    <row r="362" spans="1:12" s="179" customFormat="1" x14ac:dyDescent="0.2">
      <c r="A362" s="187"/>
      <c r="B362" s="222" t="s">
        <v>102</v>
      </c>
      <c r="C362" s="148">
        <v>295</v>
      </c>
      <c r="D362" s="179" t="s">
        <v>88</v>
      </c>
      <c r="E362" s="184">
        <v>0.9</v>
      </c>
      <c r="F362" s="179" t="s">
        <v>88</v>
      </c>
      <c r="G362" s="184">
        <v>0.83</v>
      </c>
      <c r="H362" s="206" t="s">
        <v>88</v>
      </c>
      <c r="I362" s="199">
        <v>0.1</v>
      </c>
      <c r="J362" s="188" t="s">
        <v>89</v>
      </c>
      <c r="K362" s="199">
        <f t="shared" si="24"/>
        <v>22.0365</v>
      </c>
      <c r="L362" s="201" t="s">
        <v>61</v>
      </c>
    </row>
    <row r="363" spans="1:12" s="179" customFormat="1" x14ac:dyDescent="0.2">
      <c r="A363" s="187"/>
      <c r="B363" s="147" t="s">
        <v>90</v>
      </c>
      <c r="C363" s="148">
        <v>1</v>
      </c>
      <c r="D363" s="179" t="s">
        <v>88</v>
      </c>
      <c r="E363" s="184">
        <v>3.9</v>
      </c>
      <c r="F363" s="179" t="s">
        <v>88</v>
      </c>
      <c r="G363" s="184">
        <v>1.28</v>
      </c>
      <c r="H363" s="206" t="s">
        <v>88</v>
      </c>
      <c r="I363" s="199">
        <v>0.1</v>
      </c>
      <c r="J363" s="188" t="s">
        <v>89</v>
      </c>
      <c r="K363" s="199">
        <f t="shared" si="24"/>
        <v>0.49920000000000003</v>
      </c>
      <c r="L363" s="201" t="s">
        <v>61</v>
      </c>
    </row>
    <row r="364" spans="1:12" s="179" customFormat="1" x14ac:dyDescent="0.2">
      <c r="A364" s="187"/>
      <c r="B364" s="147" t="s">
        <v>90</v>
      </c>
      <c r="C364" s="148">
        <v>2</v>
      </c>
      <c r="D364" s="179" t="s">
        <v>88</v>
      </c>
      <c r="E364" s="184">
        <v>4.5</v>
      </c>
      <c r="F364" s="179" t="s">
        <v>88</v>
      </c>
      <c r="G364" s="184">
        <v>1.28</v>
      </c>
      <c r="H364" s="206" t="s">
        <v>88</v>
      </c>
      <c r="I364" s="199">
        <v>0.1</v>
      </c>
      <c r="J364" s="188" t="s">
        <v>89</v>
      </c>
      <c r="K364" s="199">
        <f t="shared" si="24"/>
        <v>1.1519999999999999</v>
      </c>
      <c r="L364" s="201" t="s">
        <v>61</v>
      </c>
    </row>
    <row r="365" spans="1:12" s="179" customFormat="1" x14ac:dyDescent="0.2">
      <c r="A365" s="187"/>
      <c r="B365" s="147"/>
      <c r="C365" s="148"/>
      <c r="E365" s="189"/>
      <c r="F365" s="202"/>
      <c r="G365" s="203" t="s">
        <v>201</v>
      </c>
      <c r="H365" s="202"/>
      <c r="I365" s="189"/>
      <c r="J365" s="190" t="s">
        <v>89</v>
      </c>
      <c r="K365" s="189" t="e">
        <f>SUM(K356:K364)</f>
        <v>#REF!</v>
      </c>
      <c r="L365" s="204" t="s">
        <v>61</v>
      </c>
    </row>
    <row r="366" spans="1:12" s="179" customFormat="1" x14ac:dyDescent="0.2">
      <c r="A366" s="187"/>
      <c r="B366" s="147"/>
      <c r="C366" s="148"/>
      <c r="E366" s="199"/>
      <c r="F366" s="206"/>
      <c r="G366" s="205"/>
      <c r="H366" s="206"/>
      <c r="I366" s="199"/>
      <c r="J366" s="200"/>
      <c r="K366" s="199"/>
      <c r="L366" s="201"/>
    </row>
    <row r="367" spans="1:12" s="179" customFormat="1" ht="33.75" customHeight="1" x14ac:dyDescent="0.2">
      <c r="A367" s="148"/>
      <c r="B367" s="147" t="str">
        <f>GF1_ABS!B231</f>
        <v>(C) In Pillars and Columns in First floor</v>
      </c>
      <c r="C367" s="148"/>
      <c r="D367" s="229"/>
      <c r="E367" s="184"/>
      <c r="G367" s="185"/>
      <c r="L367" s="206"/>
    </row>
    <row r="368" spans="1:12" s="179" customFormat="1" x14ac:dyDescent="0.2">
      <c r="A368" s="148"/>
      <c r="B368" s="213" t="s">
        <v>21</v>
      </c>
      <c r="C368" s="148">
        <f>34+31+33+31+62+54</f>
        <v>245</v>
      </c>
      <c r="D368" s="179" t="s">
        <v>88</v>
      </c>
      <c r="E368" s="184">
        <v>0.6</v>
      </c>
      <c r="F368" s="179" t="s">
        <v>88</v>
      </c>
      <c r="G368" s="184">
        <v>0.3</v>
      </c>
      <c r="H368" s="206" t="s">
        <v>88</v>
      </c>
      <c r="I368" s="199">
        <v>3</v>
      </c>
      <c r="J368" s="188" t="s">
        <v>89</v>
      </c>
      <c r="K368" s="184">
        <f>IF(C368,C368*E368*G368*I368,"")</f>
        <v>132.30000000000001</v>
      </c>
      <c r="L368" s="201" t="s">
        <v>61</v>
      </c>
    </row>
    <row r="369" spans="1:13" s="179" customFormat="1" x14ac:dyDescent="0.2">
      <c r="A369" s="148"/>
      <c r="B369" s="213" t="s">
        <v>22</v>
      </c>
      <c r="C369" s="148">
        <f>24+24+25+24</f>
        <v>97</v>
      </c>
      <c r="D369" s="179" t="s">
        <v>88</v>
      </c>
      <c r="E369" s="184">
        <v>0.3</v>
      </c>
      <c r="F369" s="179" t="s">
        <v>88</v>
      </c>
      <c r="G369" s="184">
        <v>0.3</v>
      </c>
      <c r="H369" s="206" t="s">
        <v>88</v>
      </c>
      <c r="I369" s="199">
        <v>3.3</v>
      </c>
      <c r="J369" s="188" t="s">
        <v>89</v>
      </c>
      <c r="K369" s="184">
        <f>IF(C369,C369*E369*G369*I369,"")</f>
        <v>28.808999999999994</v>
      </c>
      <c r="L369" s="201" t="s">
        <v>61</v>
      </c>
    </row>
    <row r="370" spans="1:13" s="179" customFormat="1" x14ac:dyDescent="0.2">
      <c r="A370" s="187"/>
      <c r="B370" s="147"/>
      <c r="C370" s="148"/>
      <c r="E370" s="189"/>
      <c r="F370" s="202"/>
      <c r="G370" s="203" t="s">
        <v>201</v>
      </c>
      <c r="H370" s="202"/>
      <c r="I370" s="189"/>
      <c r="J370" s="190" t="s">
        <v>89</v>
      </c>
      <c r="K370" s="189">
        <f>SUM(K368:K369)</f>
        <v>161.10900000000001</v>
      </c>
      <c r="L370" s="204" t="s">
        <v>61</v>
      </c>
    </row>
    <row r="371" spans="1:13" s="179" customFormat="1" ht="129.75" customHeight="1" x14ac:dyDescent="0.2">
      <c r="A371" s="148">
        <f>A333+1</f>
        <v>5</v>
      </c>
      <c r="B371" s="147" t="s">
        <v>284</v>
      </c>
      <c r="C371" s="235"/>
      <c r="E371" s="184"/>
      <c r="F371" s="187"/>
      <c r="G371" s="185"/>
    </row>
    <row r="372" spans="1:13" s="179" customFormat="1" x14ac:dyDescent="0.2">
      <c r="A372" s="148"/>
      <c r="B372" s="147" t="s">
        <v>113</v>
      </c>
      <c r="C372" s="194" t="e">
        <f>K365</f>
        <v>#REF!</v>
      </c>
      <c r="D372" s="194"/>
      <c r="E372" s="184" t="s">
        <v>111</v>
      </c>
      <c r="F372" s="187"/>
      <c r="G372" s="230">
        <v>75</v>
      </c>
      <c r="H372" s="187" t="s">
        <v>112</v>
      </c>
      <c r="J372" s="188" t="s">
        <v>89</v>
      </c>
      <c r="K372" s="235" t="e">
        <f>C372*G372</f>
        <v>#REF!</v>
      </c>
      <c r="L372" s="179" t="s">
        <v>67</v>
      </c>
      <c r="M372" s="235"/>
    </row>
    <row r="373" spans="1:13" s="179" customFormat="1" x14ac:dyDescent="0.2">
      <c r="A373" s="148"/>
      <c r="B373" s="147" t="s">
        <v>183</v>
      </c>
      <c r="C373" s="297">
        <f>K352</f>
        <v>831.69670799999994</v>
      </c>
      <c r="D373" s="297"/>
      <c r="E373" s="184" t="s">
        <v>111</v>
      </c>
      <c r="F373" s="187"/>
      <c r="G373" s="237">
        <v>100</v>
      </c>
      <c r="H373" s="201" t="s">
        <v>112</v>
      </c>
      <c r="I373" s="206"/>
      <c r="J373" s="200" t="s">
        <v>89</v>
      </c>
      <c r="K373" s="238">
        <f>C373*G373</f>
        <v>83169.670799999993</v>
      </c>
      <c r="L373" s="206" t="s">
        <v>67</v>
      </c>
      <c r="M373" s="235"/>
    </row>
    <row r="374" spans="1:13" s="179" customFormat="1" x14ac:dyDescent="0.2">
      <c r="A374" s="148"/>
      <c r="B374" s="147" t="s">
        <v>31</v>
      </c>
      <c r="C374" s="297">
        <f>K370</f>
        <v>161.10900000000001</v>
      </c>
      <c r="D374" s="297"/>
      <c r="E374" s="184" t="s">
        <v>111</v>
      </c>
      <c r="F374" s="187"/>
      <c r="G374" s="237">
        <v>125</v>
      </c>
      <c r="H374" s="201" t="s">
        <v>112</v>
      </c>
      <c r="I374" s="206"/>
      <c r="J374" s="200" t="s">
        <v>89</v>
      </c>
      <c r="K374" s="238">
        <f>C374*G374</f>
        <v>20138.625</v>
      </c>
      <c r="L374" s="206" t="s">
        <v>67</v>
      </c>
      <c r="M374" s="235"/>
    </row>
    <row r="375" spans="1:13" s="179" customFormat="1" x14ac:dyDescent="0.2">
      <c r="A375" s="187"/>
      <c r="B375" s="147"/>
      <c r="C375" s="148"/>
      <c r="E375" s="184"/>
      <c r="G375" s="203" t="s">
        <v>93</v>
      </c>
      <c r="H375" s="202"/>
      <c r="I375" s="189"/>
      <c r="J375" s="202"/>
      <c r="K375" s="239" t="e">
        <f>SUM(K372:K374)</f>
        <v>#REF!</v>
      </c>
      <c r="L375" s="179" t="s">
        <v>67</v>
      </c>
      <c r="M375" s="235"/>
    </row>
    <row r="376" spans="1:13" s="179" customFormat="1" ht="75.75" customHeight="1" x14ac:dyDescent="0.2">
      <c r="A376" s="187">
        <v>6</v>
      </c>
      <c r="B376" s="146" t="s">
        <v>245</v>
      </c>
      <c r="C376" s="184"/>
      <c r="E376" s="184"/>
      <c r="F376" s="187"/>
      <c r="G376" s="185"/>
    </row>
    <row r="377" spans="1:13" s="179" customFormat="1" ht="15" x14ac:dyDescent="0.2">
      <c r="A377" s="187"/>
      <c r="B377" s="186" t="s">
        <v>277</v>
      </c>
      <c r="C377" s="184"/>
      <c r="E377" s="184"/>
      <c r="F377" s="187"/>
      <c r="G377" s="185"/>
    </row>
    <row r="378" spans="1:13" s="179" customFormat="1" x14ac:dyDescent="0.2">
      <c r="A378" s="187"/>
      <c r="B378" s="220" t="s">
        <v>314</v>
      </c>
      <c r="C378" s="148">
        <v>2</v>
      </c>
      <c r="D378" s="179" t="s">
        <v>88</v>
      </c>
      <c r="E378" s="184" t="e">
        <f>K22+#REF!</f>
        <v>#REF!</v>
      </c>
      <c r="F378" s="179" t="s">
        <v>88</v>
      </c>
      <c r="G378" s="184">
        <v>3.6</v>
      </c>
      <c r="I378" s="184"/>
      <c r="J378" s="188" t="s">
        <v>89</v>
      </c>
      <c r="K378" s="184" t="e">
        <f>IF(C378,C378*E378*G378,"")</f>
        <v>#REF!</v>
      </c>
      <c r="L378" s="148" t="s">
        <v>64</v>
      </c>
    </row>
    <row r="379" spans="1:13" s="179" customFormat="1" x14ac:dyDescent="0.2">
      <c r="A379" s="187"/>
      <c r="B379" s="220" t="s">
        <v>315</v>
      </c>
      <c r="C379" s="148">
        <v>2</v>
      </c>
      <c r="D379" s="179" t="s">
        <v>88</v>
      </c>
      <c r="E379" s="184">
        <f>K278</f>
        <v>196.66649999999998</v>
      </c>
      <c r="F379" s="179" t="s">
        <v>88</v>
      </c>
      <c r="G379" s="184">
        <v>1</v>
      </c>
      <c r="I379" s="184"/>
      <c r="J379" s="188" t="s">
        <v>89</v>
      </c>
      <c r="K379" s="184">
        <f>IF(C379,C379*E379*G379,"")</f>
        <v>393.33299999999997</v>
      </c>
      <c r="L379" s="148" t="s">
        <v>64</v>
      </c>
    </row>
    <row r="380" spans="1:13" s="179" customFormat="1" x14ac:dyDescent="0.2">
      <c r="A380" s="187"/>
      <c r="B380" s="147"/>
      <c r="C380" s="148"/>
      <c r="E380" s="189"/>
      <c r="F380" s="202"/>
      <c r="G380" s="203" t="s">
        <v>95</v>
      </c>
      <c r="H380" s="202"/>
      <c r="I380" s="189"/>
      <c r="J380" s="204" t="s">
        <v>96</v>
      </c>
      <c r="K380" s="189" t="e">
        <f>SUM(K378:K379)</f>
        <v>#REF!</v>
      </c>
      <c r="L380" s="191" t="s">
        <v>64</v>
      </c>
    </row>
    <row r="381" spans="1:13" s="179" customFormat="1" ht="15" x14ac:dyDescent="0.2">
      <c r="A381" s="187"/>
      <c r="B381" s="186" t="s">
        <v>97</v>
      </c>
      <c r="C381" s="148"/>
      <c r="E381" s="184"/>
      <c r="G381" s="205"/>
      <c r="H381" s="206"/>
      <c r="I381" s="199"/>
      <c r="J381" s="201"/>
      <c r="K381" s="199"/>
      <c r="L381" s="148"/>
    </row>
    <row r="382" spans="1:13" s="179" customFormat="1" x14ac:dyDescent="0.2">
      <c r="A382" s="187"/>
      <c r="B382" s="220" t="s">
        <v>255</v>
      </c>
      <c r="C382" s="148">
        <v>63</v>
      </c>
      <c r="D382" s="179" t="s">
        <v>88</v>
      </c>
      <c r="E382" s="184">
        <v>1.2</v>
      </c>
      <c r="F382" s="179" t="s">
        <v>88</v>
      </c>
      <c r="G382" s="184">
        <v>2.1</v>
      </c>
      <c r="I382" s="184"/>
      <c r="J382" s="188" t="s">
        <v>89</v>
      </c>
      <c r="K382" s="184">
        <f>IF(C382,C382*E382*G382,"")</f>
        <v>158.76</v>
      </c>
      <c r="L382" s="148" t="s">
        <v>64</v>
      </c>
    </row>
    <row r="383" spans="1:13" s="179" customFormat="1" x14ac:dyDescent="0.2">
      <c r="A383" s="187"/>
      <c r="B383" s="220" t="s">
        <v>98</v>
      </c>
      <c r="C383" s="148">
        <v>3</v>
      </c>
      <c r="D383" s="179" t="s">
        <v>88</v>
      </c>
      <c r="E383" s="184">
        <v>3</v>
      </c>
      <c r="F383" s="179" t="s">
        <v>88</v>
      </c>
      <c r="G383" s="184">
        <v>2.1</v>
      </c>
      <c r="I383" s="184"/>
      <c r="J383" s="188" t="s">
        <v>89</v>
      </c>
      <c r="K383" s="184">
        <f>IF(C383,C383*E383*G383,"")</f>
        <v>18.900000000000002</v>
      </c>
      <c r="L383" s="148" t="s">
        <v>64</v>
      </c>
    </row>
    <row r="384" spans="1:13" s="179" customFormat="1" x14ac:dyDescent="0.2">
      <c r="A384" s="187"/>
      <c r="B384" s="220" t="s">
        <v>99</v>
      </c>
      <c r="C384" s="148">
        <v>10</v>
      </c>
      <c r="D384" s="179" t="s">
        <v>88</v>
      </c>
      <c r="E384" s="184">
        <v>0.9</v>
      </c>
      <c r="F384" s="179" t="s">
        <v>88</v>
      </c>
      <c r="G384" s="184">
        <v>2.1</v>
      </c>
      <c r="I384" s="184"/>
      <c r="J384" s="188" t="s">
        <v>89</v>
      </c>
      <c r="K384" s="184">
        <f>IF(C384,C384*E384*G384,"")</f>
        <v>18.900000000000002</v>
      </c>
      <c r="L384" s="148" t="s">
        <v>64</v>
      </c>
    </row>
    <row r="385" spans="1:13" s="179" customFormat="1" x14ac:dyDescent="0.2">
      <c r="A385" s="187"/>
      <c r="B385" s="220" t="s">
        <v>263</v>
      </c>
      <c r="C385" s="148">
        <v>222</v>
      </c>
      <c r="D385" s="179" t="s">
        <v>88</v>
      </c>
      <c r="E385" s="184">
        <v>1.8</v>
      </c>
      <c r="F385" s="179" t="s">
        <v>88</v>
      </c>
      <c r="G385" s="184">
        <v>1.2</v>
      </c>
      <c r="I385" s="184"/>
      <c r="J385" s="188" t="s">
        <v>89</v>
      </c>
      <c r="K385" s="184">
        <f>IF(C385,C385*E385*G385,"")</f>
        <v>479.52</v>
      </c>
      <c r="L385" s="148" t="s">
        <v>64</v>
      </c>
    </row>
    <row r="386" spans="1:13" s="179" customFormat="1" x14ac:dyDescent="0.2">
      <c r="A386" s="187"/>
      <c r="B386" s="220" t="s">
        <v>106</v>
      </c>
      <c r="C386" s="148">
        <v>1</v>
      </c>
      <c r="D386" s="179" t="s">
        <v>88</v>
      </c>
      <c r="E386" s="184" t="e">
        <f>K410</f>
        <v>#REF!</v>
      </c>
      <c r="F386" s="179" t="s">
        <v>88</v>
      </c>
      <c r="G386" s="184">
        <v>1</v>
      </c>
      <c r="I386" s="184"/>
      <c r="J386" s="188" t="s">
        <v>89</v>
      </c>
      <c r="K386" s="184" t="e">
        <f>IF(C386,C386*E386*G386,"")</f>
        <v>#REF!</v>
      </c>
      <c r="L386" s="148" t="s">
        <v>64</v>
      </c>
    </row>
    <row r="387" spans="1:13" s="179" customFormat="1" x14ac:dyDescent="0.2">
      <c r="A387" s="187"/>
      <c r="B387" s="147"/>
      <c r="C387" s="148"/>
      <c r="E387" s="189"/>
      <c r="F387" s="202"/>
      <c r="G387" s="203" t="s">
        <v>104</v>
      </c>
      <c r="H387" s="202"/>
      <c r="I387" s="189"/>
      <c r="J387" s="204" t="s">
        <v>94</v>
      </c>
      <c r="K387" s="189" t="e">
        <f>SUM(K382:K386)</f>
        <v>#REF!</v>
      </c>
      <c r="L387" s="191" t="s">
        <v>64</v>
      </c>
    </row>
    <row r="388" spans="1:13" s="179" customFormat="1" ht="15" x14ac:dyDescent="0.2">
      <c r="A388" s="148"/>
      <c r="B388" s="146" t="s">
        <v>195</v>
      </c>
      <c r="D388" s="193" t="e">
        <f>K380</f>
        <v>#REF!</v>
      </c>
      <c r="E388" s="194"/>
      <c r="F388" s="187" t="s">
        <v>94</v>
      </c>
      <c r="G388" s="194" t="e">
        <f>K387</f>
        <v>#REF!</v>
      </c>
      <c r="H388" s="195"/>
      <c r="J388" s="196" t="s">
        <v>89</v>
      </c>
      <c r="K388" s="197" t="e">
        <f>D388-G388</f>
        <v>#REF!</v>
      </c>
      <c r="L388" s="148" t="s">
        <v>64</v>
      </c>
    </row>
    <row r="389" spans="1:13" s="179" customFormat="1" ht="15" x14ac:dyDescent="0.2">
      <c r="A389" s="187"/>
      <c r="B389" s="186" t="s">
        <v>317</v>
      </c>
      <c r="C389" s="184"/>
      <c r="E389" s="184"/>
      <c r="F389" s="187"/>
      <c r="G389" s="185"/>
    </row>
    <row r="390" spans="1:13" s="179" customFormat="1" x14ac:dyDescent="0.2">
      <c r="A390" s="187"/>
      <c r="B390" s="147" t="s">
        <v>182</v>
      </c>
      <c r="C390" s="148">
        <v>4</v>
      </c>
      <c r="D390" s="179" t="s">
        <v>88</v>
      </c>
      <c r="E390" s="184">
        <v>8.4</v>
      </c>
      <c r="F390" s="179" t="s">
        <v>88</v>
      </c>
      <c r="G390" s="184">
        <v>3</v>
      </c>
      <c r="I390" s="184"/>
      <c r="J390" s="188" t="s">
        <v>89</v>
      </c>
      <c r="K390" s="184">
        <f>IF(C390,C390*E390*G390,"")</f>
        <v>100.80000000000001</v>
      </c>
      <c r="L390" s="148" t="s">
        <v>64</v>
      </c>
    </row>
    <row r="391" spans="1:13" s="179" customFormat="1" x14ac:dyDescent="0.2">
      <c r="A391" s="187"/>
      <c r="B391" s="147" t="s">
        <v>189</v>
      </c>
      <c r="C391" s="148">
        <v>2</v>
      </c>
      <c r="D391" s="179" t="s">
        <v>88</v>
      </c>
      <c r="E391" s="240" t="e">
        <f>E252</f>
        <v>#REF!</v>
      </c>
      <c r="F391" s="241" t="s">
        <v>88</v>
      </c>
      <c r="G391" s="240">
        <v>0.75</v>
      </c>
      <c r="H391" s="241"/>
      <c r="I391" s="240"/>
      <c r="J391" s="242" t="s">
        <v>89</v>
      </c>
      <c r="K391" s="240" t="e">
        <f>IF(C391,C391*E391*G391,"")</f>
        <v>#REF!</v>
      </c>
      <c r="L391" s="243" t="s">
        <v>64</v>
      </c>
    </row>
    <row r="392" spans="1:13" s="179" customFormat="1" x14ac:dyDescent="0.2">
      <c r="A392" s="187"/>
      <c r="B392" s="147"/>
      <c r="C392" s="148"/>
      <c r="E392" s="189"/>
      <c r="F392" s="202"/>
      <c r="G392" s="203" t="s">
        <v>95</v>
      </c>
      <c r="H392" s="202"/>
      <c r="I392" s="189"/>
      <c r="J392" s="204" t="s">
        <v>96</v>
      </c>
      <c r="K392" s="189" t="e">
        <f>SUM(K390:K391)</f>
        <v>#REF!</v>
      </c>
      <c r="L392" s="191" t="s">
        <v>64</v>
      </c>
    </row>
    <row r="393" spans="1:13" s="179" customFormat="1" ht="15" x14ac:dyDescent="0.2">
      <c r="A393" s="187"/>
      <c r="B393" s="186" t="s">
        <v>97</v>
      </c>
      <c r="C393" s="148"/>
      <c r="E393" s="184"/>
      <c r="G393" s="205"/>
      <c r="H393" s="206"/>
      <c r="I393" s="199"/>
      <c r="J393" s="201"/>
      <c r="K393" s="199"/>
      <c r="L393" s="148"/>
    </row>
    <row r="394" spans="1:13" s="179" customFormat="1" x14ac:dyDescent="0.2">
      <c r="A394" s="187"/>
      <c r="B394" s="147" t="s">
        <v>182</v>
      </c>
      <c r="C394" s="148">
        <v>2</v>
      </c>
      <c r="D394" s="179" t="s">
        <v>88</v>
      </c>
      <c r="E394" s="184">
        <v>1.2</v>
      </c>
      <c r="F394" s="179" t="s">
        <v>88</v>
      </c>
      <c r="G394" s="184">
        <v>2.1</v>
      </c>
      <c r="I394" s="184"/>
      <c r="J394" s="188" t="s">
        <v>89</v>
      </c>
      <c r="K394" s="184">
        <f>IF(C394,C394*E394*G394,"")</f>
        <v>5.04</v>
      </c>
      <c r="L394" s="148" t="s">
        <v>64</v>
      </c>
    </row>
    <row r="395" spans="1:13" s="179" customFormat="1" x14ac:dyDescent="0.2">
      <c r="A395" s="187"/>
      <c r="B395" s="147" t="s">
        <v>318</v>
      </c>
      <c r="C395" s="148">
        <v>2</v>
      </c>
      <c r="D395" s="179" t="s">
        <v>88</v>
      </c>
      <c r="E395" s="184">
        <v>1.8</v>
      </c>
      <c r="F395" s="179" t="s">
        <v>88</v>
      </c>
      <c r="G395" s="184">
        <v>2.4</v>
      </c>
      <c r="I395" s="184"/>
      <c r="J395" s="188" t="s">
        <v>89</v>
      </c>
      <c r="K395" s="184">
        <f>IF(C395,C395*E395*G395,"")</f>
        <v>8.64</v>
      </c>
      <c r="L395" s="148" t="s">
        <v>64</v>
      </c>
    </row>
    <row r="396" spans="1:13" s="179" customFormat="1" x14ac:dyDescent="0.2">
      <c r="A396" s="187"/>
      <c r="B396" s="147"/>
      <c r="C396" s="148"/>
      <c r="E396" s="189"/>
      <c r="F396" s="202"/>
      <c r="G396" s="203" t="s">
        <v>104</v>
      </c>
      <c r="H396" s="202"/>
      <c r="I396" s="189"/>
      <c r="J396" s="204" t="s">
        <v>94</v>
      </c>
      <c r="K396" s="189">
        <f>SUM(K394:K395)</f>
        <v>13.68</v>
      </c>
      <c r="L396" s="191" t="s">
        <v>64</v>
      </c>
      <c r="M396" s="184"/>
    </row>
    <row r="397" spans="1:13" s="179" customFormat="1" ht="15" x14ac:dyDescent="0.2">
      <c r="A397" s="148"/>
      <c r="B397" s="146" t="s">
        <v>195</v>
      </c>
      <c r="D397" s="193" t="e">
        <f>K392</f>
        <v>#REF!</v>
      </c>
      <c r="E397" s="194"/>
      <c r="F397" s="187" t="s">
        <v>94</v>
      </c>
      <c r="G397" s="194">
        <f>K396</f>
        <v>13.68</v>
      </c>
      <c r="H397" s="195"/>
      <c r="J397" s="196" t="s">
        <v>89</v>
      </c>
      <c r="K397" s="197" t="e">
        <f>D397-G397</f>
        <v>#REF!</v>
      </c>
      <c r="L397" s="148" t="s">
        <v>64</v>
      </c>
    </row>
    <row r="398" spans="1:13" s="179" customFormat="1" ht="7.5" customHeight="1" x14ac:dyDescent="0.2">
      <c r="A398" s="148"/>
      <c r="B398" s="146"/>
      <c r="D398" s="193"/>
      <c r="E398" s="194"/>
      <c r="F398" s="187"/>
      <c r="G398" s="194"/>
      <c r="H398" s="195"/>
      <c r="J398" s="196"/>
      <c r="K398" s="197"/>
      <c r="L398" s="148"/>
    </row>
    <row r="399" spans="1:13" s="179" customFormat="1" ht="15" x14ac:dyDescent="0.2">
      <c r="A399" s="148"/>
      <c r="B399" s="211" t="s">
        <v>196</v>
      </c>
      <c r="D399" s="193"/>
      <c r="E399" s="194" t="e">
        <f>K388</f>
        <v>#REF!</v>
      </c>
      <c r="F399" s="187" t="s">
        <v>96</v>
      </c>
      <c r="G399" s="194" t="e">
        <f>K397</f>
        <v>#REF!</v>
      </c>
      <c r="H399" s="195"/>
      <c r="J399" s="196" t="s">
        <v>89</v>
      </c>
      <c r="K399" s="197" t="e">
        <f>+K397+K388</f>
        <v>#REF!</v>
      </c>
      <c r="L399" s="148" t="s">
        <v>64</v>
      </c>
    </row>
    <row r="400" spans="1:13" s="179" customFormat="1" ht="5.25" customHeight="1" x14ac:dyDescent="0.2">
      <c r="A400" s="148"/>
      <c r="B400" s="211"/>
      <c r="D400" s="193"/>
      <c r="E400" s="194"/>
      <c r="F400" s="187"/>
      <c r="G400" s="194"/>
      <c r="H400" s="195"/>
      <c r="J400" s="196"/>
      <c r="K400" s="197"/>
      <c r="L400" s="148"/>
    </row>
    <row r="401" spans="1:13" s="179" customFormat="1" x14ac:dyDescent="0.2">
      <c r="A401" s="187"/>
      <c r="B401" s="207" t="s">
        <v>106</v>
      </c>
      <c r="C401" s="184"/>
      <c r="E401" s="184"/>
      <c r="F401" s="187"/>
      <c r="G401" s="185"/>
    </row>
    <row r="402" spans="1:13" s="179" customFormat="1" x14ac:dyDescent="0.2">
      <c r="A402" s="187"/>
      <c r="B402" s="147"/>
      <c r="C402" s="148">
        <v>2</v>
      </c>
      <c r="D402" s="179" t="s">
        <v>88</v>
      </c>
      <c r="E402" s="184">
        <v>103.1</v>
      </c>
      <c r="F402" s="179" t="s">
        <v>88</v>
      </c>
      <c r="G402" s="184">
        <v>4.3499999999999996</v>
      </c>
      <c r="I402" s="184"/>
      <c r="J402" s="188" t="s">
        <v>89</v>
      </c>
      <c r="K402" s="184">
        <f>IF(C402,C402*E402*G402,"")</f>
        <v>896.96999999999991</v>
      </c>
      <c r="L402" s="148" t="s">
        <v>64</v>
      </c>
    </row>
    <row r="403" spans="1:13" s="179" customFormat="1" x14ac:dyDescent="0.2">
      <c r="A403" s="187"/>
      <c r="B403" s="147"/>
      <c r="C403" s="148">
        <v>2</v>
      </c>
      <c r="D403" s="179" t="s">
        <v>88</v>
      </c>
      <c r="E403" s="184">
        <v>100.2</v>
      </c>
      <c r="F403" s="179" t="s">
        <v>88</v>
      </c>
      <c r="G403" s="184">
        <v>4.3499999999999996</v>
      </c>
      <c r="I403" s="184"/>
      <c r="J403" s="188" t="s">
        <v>89</v>
      </c>
      <c r="K403" s="184">
        <f>IF(C403,C403*E403*G403,"")</f>
        <v>871.74</v>
      </c>
      <c r="L403" s="148" t="s">
        <v>64</v>
      </c>
    </row>
    <row r="404" spans="1:13" s="179" customFormat="1" x14ac:dyDescent="0.2">
      <c r="A404" s="187"/>
      <c r="B404" s="147"/>
      <c r="C404" s="148">
        <v>2</v>
      </c>
      <c r="D404" s="179" t="s">
        <v>88</v>
      </c>
      <c r="E404" s="184">
        <v>79.709999999999994</v>
      </c>
      <c r="F404" s="179" t="s">
        <v>88</v>
      </c>
      <c r="G404" s="184">
        <v>4.3499999999999996</v>
      </c>
      <c r="I404" s="184"/>
      <c r="J404" s="188" t="s">
        <v>89</v>
      </c>
      <c r="K404" s="184">
        <f>IF(C404,C404*E404*G404,"")</f>
        <v>693.47699999999986</v>
      </c>
      <c r="L404" s="148" t="s">
        <v>64</v>
      </c>
    </row>
    <row r="405" spans="1:13" s="179" customFormat="1" x14ac:dyDescent="0.2">
      <c r="A405" s="187"/>
      <c r="B405" s="147"/>
      <c r="C405" s="148">
        <v>2</v>
      </c>
      <c r="D405" s="179" t="s">
        <v>88</v>
      </c>
      <c r="E405" s="184">
        <v>85.88</v>
      </c>
      <c r="F405" s="179" t="s">
        <v>88</v>
      </c>
      <c r="G405" s="184">
        <v>4.3499999999999996</v>
      </c>
      <c r="I405" s="184"/>
      <c r="J405" s="188" t="s">
        <v>89</v>
      </c>
      <c r="K405" s="184">
        <f>IF(C405,C405*E405*G405,"")</f>
        <v>747.15599999999995</v>
      </c>
      <c r="L405" s="148" t="s">
        <v>64</v>
      </c>
    </row>
    <row r="406" spans="1:13" s="179" customFormat="1" x14ac:dyDescent="0.2">
      <c r="A406" s="187"/>
      <c r="B406" s="147"/>
      <c r="C406" s="191"/>
      <c r="D406" s="202"/>
      <c r="E406" s="189"/>
      <c r="F406" s="244" t="s">
        <v>321</v>
      </c>
      <c r="G406" s="203"/>
      <c r="H406" s="202"/>
      <c r="I406" s="189"/>
      <c r="J406" s="204" t="s">
        <v>320</v>
      </c>
      <c r="K406" s="189">
        <f>SUM(K402:K405)</f>
        <v>3209.3429999999998</v>
      </c>
      <c r="L406" s="191" t="s">
        <v>64</v>
      </c>
    </row>
    <row r="407" spans="1:13" s="179" customFormat="1" ht="15" x14ac:dyDescent="0.2">
      <c r="A407" s="187"/>
      <c r="B407" s="186" t="s">
        <v>97</v>
      </c>
      <c r="C407" s="148"/>
      <c r="E407" s="184"/>
      <c r="G407" s="205"/>
      <c r="H407" s="206"/>
      <c r="I407" s="199"/>
      <c r="J407" s="201"/>
      <c r="K407" s="199"/>
      <c r="L407" s="148"/>
    </row>
    <row r="408" spans="1:13" s="179" customFormat="1" x14ac:dyDescent="0.2">
      <c r="A408" s="187"/>
      <c r="B408" s="220" t="s">
        <v>316</v>
      </c>
      <c r="C408" s="148">
        <v>1</v>
      </c>
      <c r="D408" s="179" t="s">
        <v>88</v>
      </c>
      <c r="E408" s="184" t="e">
        <f>E285+E286+E287+E288</f>
        <v>#REF!</v>
      </c>
      <c r="F408" s="179" t="s">
        <v>88</v>
      </c>
      <c r="G408" s="184">
        <v>1.7</v>
      </c>
      <c r="I408" s="184"/>
      <c r="J408" s="188" t="s">
        <v>89</v>
      </c>
      <c r="K408" s="184" t="e">
        <f>IF(C408,C408*E408*G408,"")</f>
        <v>#REF!</v>
      </c>
      <c r="L408" s="148" t="s">
        <v>64</v>
      </c>
    </row>
    <row r="409" spans="1:13" s="179" customFormat="1" x14ac:dyDescent="0.2">
      <c r="A409" s="187"/>
      <c r="B409" s="147"/>
      <c r="C409" s="148"/>
      <c r="E409" s="189"/>
      <c r="F409" s="202"/>
      <c r="G409" s="203" t="s">
        <v>104</v>
      </c>
      <c r="H409" s="202"/>
      <c r="I409" s="189"/>
      <c r="J409" s="204" t="s">
        <v>94</v>
      </c>
      <c r="K409" s="189" t="e">
        <f>SUM(K408:K408)</f>
        <v>#REF!</v>
      </c>
      <c r="L409" s="191" t="s">
        <v>64</v>
      </c>
    </row>
    <row r="410" spans="1:13" s="179" customFormat="1" ht="15" x14ac:dyDescent="0.2">
      <c r="A410" s="148"/>
      <c r="B410" s="146" t="s">
        <v>319</v>
      </c>
      <c r="D410" s="193">
        <f>K406</f>
        <v>3209.3429999999998</v>
      </c>
      <c r="E410" s="194"/>
      <c r="F410" s="187" t="s">
        <v>94</v>
      </c>
      <c r="G410" s="194" t="e">
        <f>K409</f>
        <v>#REF!</v>
      </c>
      <c r="H410" s="195"/>
      <c r="J410" s="196" t="s">
        <v>89</v>
      </c>
      <c r="K410" s="197" t="e">
        <f>D410-G410</f>
        <v>#REF!</v>
      </c>
      <c r="L410" s="148" t="s">
        <v>64</v>
      </c>
    </row>
    <row r="411" spans="1:13" s="179" customFormat="1" x14ac:dyDescent="0.2">
      <c r="A411" s="187"/>
      <c r="B411" s="147"/>
      <c r="C411" s="148"/>
      <c r="E411" s="184"/>
      <c r="F411" s="245"/>
      <c r="G411" s="205"/>
      <c r="H411" s="206"/>
      <c r="I411" s="199"/>
      <c r="J411" s="201"/>
      <c r="K411" s="199"/>
      <c r="L411" s="148"/>
    </row>
    <row r="412" spans="1:13" s="179" customFormat="1" ht="15" x14ac:dyDescent="0.2">
      <c r="A412" s="148"/>
      <c r="B412" s="146" t="s">
        <v>107</v>
      </c>
      <c r="D412" s="193" t="e">
        <f>K399</f>
        <v>#REF!</v>
      </c>
      <c r="E412" s="194"/>
      <c r="F412" s="187" t="s">
        <v>96</v>
      </c>
      <c r="G412" s="194" t="e">
        <f>K410</f>
        <v>#REF!</v>
      </c>
      <c r="H412" s="195"/>
      <c r="J412" s="196" t="s">
        <v>89</v>
      </c>
      <c r="K412" s="197" t="e">
        <f>D412+G412</f>
        <v>#REF!</v>
      </c>
      <c r="L412" s="148" t="s">
        <v>64</v>
      </c>
    </row>
    <row r="413" spans="1:13" s="179" customFormat="1" ht="15" x14ac:dyDescent="0.2">
      <c r="A413" s="187"/>
      <c r="B413" s="147"/>
      <c r="C413" s="194"/>
      <c r="D413" s="195"/>
      <c r="E413" s="195"/>
      <c r="G413" s="197"/>
      <c r="H413" s="246"/>
      <c r="I413" s="197"/>
      <c r="J413" s="196"/>
      <c r="K413" s="197"/>
      <c r="L413" s="209"/>
    </row>
    <row r="414" spans="1:13" s="179" customFormat="1" ht="181.5" customHeight="1" x14ac:dyDescent="0.2">
      <c r="A414" s="148">
        <v>7</v>
      </c>
      <c r="B414" s="147" t="str">
        <f>GF1_ABS!B234</f>
        <v>Providing and fixing T-iron/angle iron frames for doors windows and ventilators of mild steel tee or angle sections joints mitered and welded with 15 x 3 mm lugs, 10 cm. long embedded in cement concrete blocks 15x15x10 cm. size of 1:3:6 (1 cement : 3 coarse sand : 6 graded stone aggregate 20 mm nominal size) or with wooden plugs and screws or rawl plugs and screws or with fixing clips and screws or with bolt and nuts as required including fixing of necessary butt hinges and screws and applying a priming coat of approved steel primer.</v>
      </c>
      <c r="C414" s="184"/>
      <c r="E414" s="184"/>
      <c r="F414" s="187"/>
      <c r="G414" s="185"/>
    </row>
    <row r="415" spans="1:13" s="179" customFormat="1" x14ac:dyDescent="0.2">
      <c r="A415" s="187"/>
      <c r="B415" s="147" t="s">
        <v>255</v>
      </c>
      <c r="C415" s="148">
        <f>C255</f>
        <v>63</v>
      </c>
      <c r="D415" s="187" t="s">
        <v>114</v>
      </c>
      <c r="E415" s="184">
        <v>1.5</v>
      </c>
      <c r="F415" s="187" t="s">
        <v>96</v>
      </c>
      <c r="G415" s="185">
        <v>2.15</v>
      </c>
      <c r="H415" s="187" t="s">
        <v>96</v>
      </c>
      <c r="I415" s="184">
        <v>2.15</v>
      </c>
      <c r="J415" s="187" t="s">
        <v>115</v>
      </c>
      <c r="K415" s="184">
        <f>IF(C415,C415*E415*G415*I415,"")</f>
        <v>436.82624999999996</v>
      </c>
      <c r="L415" s="148" t="s">
        <v>73</v>
      </c>
    </row>
    <row r="416" spans="1:13" s="179" customFormat="1" x14ac:dyDescent="0.2">
      <c r="A416" s="187"/>
      <c r="B416" s="147" t="s">
        <v>98</v>
      </c>
      <c r="C416" s="148">
        <f>C274</f>
        <v>10</v>
      </c>
      <c r="D416" s="187" t="s">
        <v>114</v>
      </c>
      <c r="E416" s="184">
        <v>1.2</v>
      </c>
      <c r="F416" s="187" t="s">
        <v>96</v>
      </c>
      <c r="G416" s="205">
        <v>2.15</v>
      </c>
      <c r="H416" s="201" t="s">
        <v>96</v>
      </c>
      <c r="I416" s="199">
        <v>2.15</v>
      </c>
      <c r="J416" s="201" t="s">
        <v>115</v>
      </c>
      <c r="K416" s="199">
        <f>IF(C416,C416*E416*G416*I416,"")</f>
        <v>55.469999999999992</v>
      </c>
      <c r="L416" s="247" t="s">
        <v>73</v>
      </c>
      <c r="M416" s="206"/>
    </row>
    <row r="417" spans="1:13" s="179" customFormat="1" x14ac:dyDescent="0.2">
      <c r="A417" s="187"/>
      <c r="B417" s="147"/>
      <c r="C417" s="148"/>
      <c r="E417" s="184"/>
      <c r="G417" s="203" t="s">
        <v>93</v>
      </c>
      <c r="H417" s="202"/>
      <c r="I417" s="189"/>
      <c r="J417" s="202"/>
      <c r="K417" s="189">
        <f>SUM(K415:K416)</f>
        <v>492.29624999999993</v>
      </c>
      <c r="L417" s="191" t="s">
        <v>73</v>
      </c>
      <c r="M417" s="206"/>
    </row>
    <row r="418" spans="1:13" s="179" customFormat="1" ht="27" customHeight="1" x14ac:dyDescent="0.2">
      <c r="A418" s="187"/>
      <c r="B418" s="147"/>
      <c r="C418" s="148"/>
      <c r="E418" s="184">
        <f>K417</f>
        <v>492.29624999999993</v>
      </c>
      <c r="F418" s="179" t="s">
        <v>73</v>
      </c>
      <c r="G418" s="205"/>
      <c r="H418" s="200" t="s">
        <v>19</v>
      </c>
      <c r="I418" s="199"/>
      <c r="J418" s="206"/>
      <c r="K418" s="199">
        <f>E418*4.15</f>
        <v>2043.0294374999999</v>
      </c>
      <c r="L418" s="148" t="s">
        <v>67</v>
      </c>
    </row>
    <row r="419" spans="1:13" s="179" customFormat="1" ht="27" customHeight="1" x14ac:dyDescent="0.2">
      <c r="A419" s="187"/>
      <c r="B419" s="147"/>
      <c r="C419" s="148"/>
      <c r="E419" s="184"/>
      <c r="G419" s="205"/>
      <c r="H419" s="200"/>
      <c r="I419" s="199"/>
      <c r="J419" s="206"/>
      <c r="K419" s="199"/>
      <c r="L419" s="148"/>
    </row>
    <row r="420" spans="1:13" s="179" customFormat="1" ht="338.25" customHeight="1" x14ac:dyDescent="0.2">
      <c r="A420" s="148">
        <f>A414+1</f>
        <v>8</v>
      </c>
      <c r="B420" s="147" t="s">
        <v>5</v>
      </c>
      <c r="C420" s="184"/>
      <c r="E420" s="184"/>
      <c r="F420" s="187"/>
      <c r="G420" s="185"/>
    </row>
    <row r="421" spans="1:13" s="179" customFormat="1" x14ac:dyDescent="0.2">
      <c r="A421" s="187"/>
      <c r="B421" s="220" t="s">
        <v>263</v>
      </c>
      <c r="C421" s="180">
        <f>C257</f>
        <v>222</v>
      </c>
      <c r="D421" s="179" t="s">
        <v>88</v>
      </c>
      <c r="E421" s="236">
        <f>E257</f>
        <v>1.8</v>
      </c>
      <c r="F421" s="179" t="s">
        <v>88</v>
      </c>
      <c r="G421" s="185">
        <v>1.2</v>
      </c>
      <c r="I421" s="184"/>
      <c r="J421" s="188" t="s">
        <v>89</v>
      </c>
      <c r="K421" s="184">
        <f>IF(C421,C421*E421*G421,"")</f>
        <v>479.52</v>
      </c>
      <c r="L421" s="148" t="s">
        <v>64</v>
      </c>
    </row>
    <row r="422" spans="1:13" s="179" customFormat="1" x14ac:dyDescent="0.2">
      <c r="A422" s="187"/>
      <c r="B422" s="220" t="s">
        <v>101</v>
      </c>
      <c r="C422" s="180">
        <f>C258</f>
        <v>9</v>
      </c>
      <c r="D422" s="179" t="s">
        <v>88</v>
      </c>
      <c r="E422" s="236">
        <f>E258</f>
        <v>1.2</v>
      </c>
      <c r="F422" s="179" t="s">
        <v>88</v>
      </c>
      <c r="G422" s="184">
        <v>0.6</v>
      </c>
      <c r="I422" s="184"/>
      <c r="J422" s="188" t="s">
        <v>89</v>
      </c>
      <c r="K422" s="184">
        <f>IF(C422,C422*E422*G422,"")</f>
        <v>6.4799999999999995</v>
      </c>
      <c r="L422" s="148" t="s">
        <v>64</v>
      </c>
    </row>
    <row r="423" spans="1:13" s="179" customFormat="1" x14ac:dyDescent="0.2">
      <c r="A423" s="187"/>
      <c r="B423" s="220" t="s">
        <v>102</v>
      </c>
      <c r="C423" s="180">
        <f>C259</f>
        <v>295</v>
      </c>
      <c r="D423" s="179" t="s">
        <v>88</v>
      </c>
      <c r="E423" s="236">
        <f>E259</f>
        <v>0.9</v>
      </c>
      <c r="F423" s="179" t="s">
        <v>88</v>
      </c>
      <c r="G423" s="184">
        <v>0.6</v>
      </c>
      <c r="I423" s="184"/>
      <c r="J423" s="188" t="s">
        <v>89</v>
      </c>
      <c r="K423" s="184">
        <f>IF(C423,C423*E423*G423,"")</f>
        <v>159.29999999999998</v>
      </c>
      <c r="L423" s="148" t="s">
        <v>64</v>
      </c>
    </row>
    <row r="424" spans="1:13" s="179" customFormat="1" x14ac:dyDescent="0.2">
      <c r="A424" s="187"/>
      <c r="B424" s="147"/>
      <c r="C424" s="148"/>
      <c r="E424" s="184"/>
      <c r="G424" s="203" t="s">
        <v>93</v>
      </c>
      <c r="H424" s="202"/>
      <c r="I424" s="189"/>
      <c r="J424" s="202"/>
      <c r="K424" s="189">
        <f>SUM(K421:K423)</f>
        <v>645.29999999999995</v>
      </c>
      <c r="L424" s="191" t="s">
        <v>64</v>
      </c>
    </row>
    <row r="425" spans="1:13" s="179" customFormat="1" x14ac:dyDescent="0.2">
      <c r="A425" s="148"/>
      <c r="B425" s="146"/>
      <c r="C425" s="184"/>
      <c r="E425" s="184"/>
      <c r="F425" s="187"/>
      <c r="G425" s="185"/>
    </row>
    <row r="426" spans="1:13" s="179" customFormat="1" ht="28.5" x14ac:dyDescent="0.2">
      <c r="A426" s="148">
        <f>A420+1</f>
        <v>9</v>
      </c>
      <c r="B426" s="147" t="s">
        <v>69</v>
      </c>
      <c r="C426" s="184"/>
      <c r="E426" s="184"/>
      <c r="F426" s="187"/>
      <c r="G426" s="185"/>
    </row>
    <row r="427" spans="1:13" s="179" customFormat="1" x14ac:dyDescent="0.2">
      <c r="A427" s="187"/>
      <c r="B427" s="220" t="s">
        <v>263</v>
      </c>
      <c r="C427" s="180">
        <f>C421</f>
        <v>222</v>
      </c>
      <c r="D427" s="179" t="s">
        <v>88</v>
      </c>
      <c r="E427" s="184">
        <v>1.8</v>
      </c>
      <c r="F427" s="179" t="s">
        <v>88</v>
      </c>
      <c r="G427" s="230">
        <v>10</v>
      </c>
      <c r="H427" s="187" t="s">
        <v>116</v>
      </c>
      <c r="I427" s="184">
        <v>1.1299999999999999</v>
      </c>
      <c r="J427" s="188" t="s">
        <v>89</v>
      </c>
      <c r="K427" s="184">
        <f>C427*E427*G427*I427</f>
        <v>4515.4799999999996</v>
      </c>
      <c r="L427" s="148" t="s">
        <v>67</v>
      </c>
    </row>
    <row r="428" spans="1:13" s="179" customFormat="1" x14ac:dyDescent="0.2">
      <c r="A428" s="187"/>
      <c r="B428" s="220" t="s">
        <v>101</v>
      </c>
      <c r="C428" s="180">
        <f>C422</f>
        <v>9</v>
      </c>
      <c r="D428" s="179" t="s">
        <v>88</v>
      </c>
      <c r="E428" s="184">
        <v>1.2</v>
      </c>
      <c r="F428" s="179" t="s">
        <v>88</v>
      </c>
      <c r="G428" s="230">
        <v>4</v>
      </c>
      <c r="H428" s="187" t="s">
        <v>116</v>
      </c>
      <c r="I428" s="184">
        <v>1.1299999999999999</v>
      </c>
      <c r="J428" s="188" t="s">
        <v>89</v>
      </c>
      <c r="K428" s="184">
        <f>C428*E428*G428*I428</f>
        <v>48.815999999999988</v>
      </c>
      <c r="L428" s="148" t="s">
        <v>67</v>
      </c>
    </row>
    <row r="429" spans="1:13" s="179" customFormat="1" x14ac:dyDescent="0.2">
      <c r="A429" s="187"/>
      <c r="B429" s="220" t="s">
        <v>102</v>
      </c>
      <c r="C429" s="180">
        <f>C423</f>
        <v>295</v>
      </c>
      <c r="D429" s="179" t="s">
        <v>88</v>
      </c>
      <c r="E429" s="184">
        <v>0.9</v>
      </c>
      <c r="F429" s="179" t="s">
        <v>88</v>
      </c>
      <c r="G429" s="230">
        <v>4</v>
      </c>
      <c r="H429" s="187" t="s">
        <v>116</v>
      </c>
      <c r="I429" s="184">
        <v>1.1299999999999999</v>
      </c>
      <c r="J429" s="188" t="s">
        <v>89</v>
      </c>
      <c r="K429" s="184">
        <f>C429*E429*G429*I429</f>
        <v>1200.06</v>
      </c>
      <c r="L429" s="148" t="s">
        <v>67</v>
      </c>
    </row>
    <row r="430" spans="1:13" s="179" customFormat="1" ht="15" x14ac:dyDescent="0.2">
      <c r="A430" s="187"/>
      <c r="B430" s="147"/>
      <c r="C430" s="148"/>
      <c r="E430" s="184"/>
      <c r="G430" s="203" t="s">
        <v>93</v>
      </c>
      <c r="H430" s="202"/>
      <c r="I430" s="189"/>
      <c r="J430" s="202"/>
      <c r="K430" s="216">
        <f>SUM(K427:K429)</f>
        <v>5764.3559999999998</v>
      </c>
      <c r="L430" s="191" t="s">
        <v>67</v>
      </c>
    </row>
    <row r="431" spans="1:13" s="179" customFormat="1" x14ac:dyDescent="0.2">
      <c r="A431" s="148"/>
      <c r="B431" s="147"/>
      <c r="C431" s="184"/>
      <c r="E431" s="184"/>
      <c r="F431" s="187"/>
      <c r="G431" s="185"/>
    </row>
    <row r="432" spans="1:13" s="179" customFormat="1" ht="87" customHeight="1" x14ac:dyDescent="0.2">
      <c r="A432" s="148">
        <f>A426+1</f>
        <v>10</v>
      </c>
      <c r="B432" s="147" t="s">
        <v>70</v>
      </c>
      <c r="C432" s="184"/>
      <c r="E432" s="184"/>
      <c r="F432" s="187"/>
      <c r="G432" s="185"/>
    </row>
    <row r="433" spans="1:13" s="179" customFormat="1" ht="15" x14ac:dyDescent="0.2">
      <c r="A433" s="187"/>
      <c r="B433" s="146" t="s">
        <v>325</v>
      </c>
      <c r="C433" s="194">
        <f>K424</f>
        <v>645.29999999999995</v>
      </c>
      <c r="D433" s="195"/>
      <c r="E433" s="195"/>
      <c r="F433" s="179" t="s">
        <v>88</v>
      </c>
      <c r="G433" s="298">
        <v>0.1</v>
      </c>
      <c r="H433" s="298"/>
      <c r="I433" s="197"/>
      <c r="J433" s="209"/>
      <c r="K433" s="197">
        <f>C433*G433</f>
        <v>64.53</v>
      </c>
      <c r="L433" s="148" t="s">
        <v>64</v>
      </c>
    </row>
    <row r="434" spans="1:13" s="179" customFormat="1" ht="15" x14ac:dyDescent="0.2">
      <c r="A434" s="187"/>
      <c r="B434" s="146"/>
      <c r="C434" s="194"/>
      <c r="D434" s="195"/>
      <c r="E434" s="195"/>
      <c r="G434" s="197"/>
      <c r="H434" s="248"/>
      <c r="I434" s="197"/>
      <c r="J434" s="209"/>
      <c r="K434" s="197"/>
      <c r="L434" s="148"/>
    </row>
    <row r="435" spans="1:13" s="179" customFormat="1" ht="116.25" customHeight="1" x14ac:dyDescent="0.2">
      <c r="A435" s="148">
        <f>A432+1</f>
        <v>11</v>
      </c>
      <c r="B435" s="146" t="s">
        <v>71</v>
      </c>
      <c r="C435" s="184"/>
      <c r="E435" s="184"/>
      <c r="F435" s="187"/>
      <c r="G435" s="185"/>
    </row>
    <row r="436" spans="1:13" s="179" customFormat="1" x14ac:dyDescent="0.2">
      <c r="A436" s="187"/>
      <c r="B436" s="147" t="s">
        <v>117</v>
      </c>
      <c r="C436" s="148">
        <v>72</v>
      </c>
      <c r="D436" s="179" t="s">
        <v>88</v>
      </c>
      <c r="E436" s="184">
        <v>1.2</v>
      </c>
      <c r="F436" s="187" t="s">
        <v>118</v>
      </c>
      <c r="G436" s="184">
        <f>0.2*0.002*7850</f>
        <v>3.14</v>
      </c>
      <c r="J436" s="188" t="s">
        <v>89</v>
      </c>
      <c r="K436" s="184">
        <f>C436*E436*G436</f>
        <v>271.29599999999999</v>
      </c>
      <c r="L436" s="148" t="s">
        <v>67</v>
      </c>
    </row>
    <row r="437" spans="1:13" s="179" customFormat="1" x14ac:dyDescent="0.2">
      <c r="A437" s="187"/>
      <c r="B437" s="147"/>
      <c r="C437" s="148">
        <v>72</v>
      </c>
      <c r="D437" s="179" t="s">
        <v>88</v>
      </c>
      <c r="E437" s="184">
        <v>0.05</v>
      </c>
      <c r="F437" s="187" t="s">
        <v>118</v>
      </c>
      <c r="G437" s="184">
        <f>0.2*0.002*7850</f>
        <v>3.14</v>
      </c>
      <c r="J437" s="188" t="s">
        <v>89</v>
      </c>
      <c r="K437" s="184">
        <f>C437*E437*G437</f>
        <v>11.304</v>
      </c>
      <c r="L437" s="148" t="s">
        <v>67</v>
      </c>
    </row>
    <row r="438" spans="1:13" s="179" customFormat="1" x14ac:dyDescent="0.2">
      <c r="A438" s="187"/>
      <c r="B438" s="147" t="s">
        <v>119</v>
      </c>
      <c r="C438" s="148">
        <v>3</v>
      </c>
      <c r="D438" s="179" t="s">
        <v>88</v>
      </c>
      <c r="E438" s="184">
        <v>9.4499999999999993</v>
      </c>
      <c r="F438" s="187" t="s">
        <v>118</v>
      </c>
      <c r="G438" s="240">
        <f>0.05*0.005*7850</f>
        <v>1.9625000000000001</v>
      </c>
      <c r="H438" s="249"/>
      <c r="I438" s="240"/>
      <c r="J438" s="242" t="s">
        <v>89</v>
      </c>
      <c r="K438" s="240">
        <f>C438*E438*G438</f>
        <v>55.636874999999996</v>
      </c>
      <c r="L438" s="243" t="s">
        <v>67</v>
      </c>
    </row>
    <row r="439" spans="1:13" s="179" customFormat="1" ht="15" x14ac:dyDescent="0.2">
      <c r="A439" s="187"/>
      <c r="B439" s="147"/>
      <c r="C439" s="148"/>
      <c r="E439" s="184"/>
      <c r="G439" s="203" t="s">
        <v>93</v>
      </c>
      <c r="H439" s="202"/>
      <c r="I439" s="189"/>
      <c r="J439" s="202"/>
      <c r="K439" s="216">
        <f>SUM(K436:K438)</f>
        <v>338.23687499999994</v>
      </c>
      <c r="L439" s="191" t="s">
        <v>67</v>
      </c>
    </row>
    <row r="440" spans="1:13" s="179" customFormat="1" x14ac:dyDescent="0.2">
      <c r="A440" s="148"/>
      <c r="B440" s="147"/>
      <c r="C440" s="184"/>
      <c r="E440" s="184"/>
      <c r="F440" s="187"/>
      <c r="G440" s="185"/>
    </row>
    <row r="441" spans="1:13" s="179" customFormat="1" ht="95.25" customHeight="1" x14ac:dyDescent="0.2">
      <c r="A441" s="148">
        <v>12</v>
      </c>
      <c r="B441" s="150" t="str">
        <f>GF1_ABS!B239</f>
        <v xml:space="preserve">Polished Blue Kota stone flooring skirting laid over 20 mm thick base CM 1:4 and jointed with Grey cement slurry to match the shade of the slab including rubbing and polishing complete </v>
      </c>
      <c r="C441" s="184"/>
      <c r="E441" s="184"/>
      <c r="F441" s="187"/>
      <c r="G441" s="185"/>
    </row>
    <row r="442" spans="1:13" s="179" customFormat="1" ht="36.75" customHeight="1" x14ac:dyDescent="0.2">
      <c r="A442" s="148"/>
      <c r="B442" s="150" t="s">
        <v>326</v>
      </c>
      <c r="C442" s="184">
        <v>1</v>
      </c>
      <c r="D442" s="179" t="s">
        <v>88</v>
      </c>
      <c r="E442" s="184">
        <v>3485.1251999999995</v>
      </c>
      <c r="F442" s="187" t="s">
        <v>88</v>
      </c>
      <c r="G442" s="185">
        <v>1</v>
      </c>
      <c r="J442" s="179" t="s">
        <v>89</v>
      </c>
      <c r="K442" s="184">
        <v>3485.1251999999995</v>
      </c>
      <c r="L442" s="179" t="s">
        <v>64</v>
      </c>
    </row>
    <row r="443" spans="1:13" s="179" customFormat="1" x14ac:dyDescent="0.2">
      <c r="A443" s="148"/>
      <c r="B443" s="219" t="s">
        <v>28</v>
      </c>
      <c r="C443" s="184">
        <v>2</v>
      </c>
      <c r="D443" s="179" t="s">
        <v>88</v>
      </c>
      <c r="E443" s="184">
        <v>7.2</v>
      </c>
      <c r="F443" s="187" t="s">
        <v>88</v>
      </c>
      <c r="G443" s="205">
        <v>5</v>
      </c>
      <c r="J443" s="179" t="s">
        <v>89</v>
      </c>
      <c r="K443" s="185">
        <v>72</v>
      </c>
      <c r="L443" s="179" t="s">
        <v>64</v>
      </c>
    </row>
    <row r="444" spans="1:13" s="179" customFormat="1" x14ac:dyDescent="0.2">
      <c r="A444" s="187"/>
      <c r="B444" s="147" t="s">
        <v>199</v>
      </c>
      <c r="C444" s="148">
        <v>4</v>
      </c>
      <c r="D444" s="179" t="s">
        <v>88</v>
      </c>
      <c r="E444" s="184">
        <v>4.25</v>
      </c>
      <c r="F444" s="179" t="s">
        <v>88</v>
      </c>
      <c r="G444" s="184">
        <v>1.8</v>
      </c>
      <c r="I444" s="184"/>
      <c r="J444" s="188" t="s">
        <v>89</v>
      </c>
      <c r="K444" s="184">
        <v>30.6</v>
      </c>
      <c r="L444" s="148" t="s">
        <v>64</v>
      </c>
      <c r="M444" s="184"/>
    </row>
    <row r="445" spans="1:13" s="179" customFormat="1" x14ac:dyDescent="0.2">
      <c r="A445" s="187"/>
      <c r="B445" s="147" t="s">
        <v>200</v>
      </c>
      <c r="C445" s="148">
        <v>2</v>
      </c>
      <c r="D445" s="179" t="s">
        <v>88</v>
      </c>
      <c r="E445" s="184">
        <v>3.5</v>
      </c>
      <c r="F445" s="179" t="s">
        <v>88</v>
      </c>
      <c r="G445" s="184">
        <v>1.8</v>
      </c>
      <c r="I445" s="184"/>
      <c r="J445" s="188" t="s">
        <v>89</v>
      </c>
      <c r="K445" s="184">
        <v>12.6</v>
      </c>
      <c r="L445" s="148" t="s">
        <v>64</v>
      </c>
      <c r="M445" s="184"/>
    </row>
    <row r="446" spans="1:13" s="179" customFormat="1" x14ac:dyDescent="0.2">
      <c r="A446" s="187"/>
      <c r="B446" s="147" t="s">
        <v>90</v>
      </c>
      <c r="C446" s="148">
        <v>1</v>
      </c>
      <c r="D446" s="179" t="s">
        <v>88</v>
      </c>
      <c r="E446" s="184">
        <v>3.6</v>
      </c>
      <c r="F446" s="179" t="s">
        <v>88</v>
      </c>
      <c r="G446" s="184">
        <v>5</v>
      </c>
      <c r="I446" s="184"/>
      <c r="J446" s="188" t="s">
        <v>89</v>
      </c>
      <c r="K446" s="184">
        <v>18</v>
      </c>
      <c r="L446" s="148" t="s">
        <v>64</v>
      </c>
      <c r="M446" s="184"/>
    </row>
    <row r="447" spans="1:13" s="179" customFormat="1" x14ac:dyDescent="0.2">
      <c r="A447" s="187"/>
      <c r="B447" s="212" t="s">
        <v>120</v>
      </c>
      <c r="C447" s="148">
        <v>14</v>
      </c>
      <c r="D447" s="179" t="s">
        <v>88</v>
      </c>
      <c r="E447" s="184">
        <v>3</v>
      </c>
      <c r="F447" s="179" t="s">
        <v>88</v>
      </c>
      <c r="G447" s="184">
        <v>0.3</v>
      </c>
      <c r="I447" s="184"/>
      <c r="J447" s="188" t="s">
        <v>89</v>
      </c>
      <c r="K447" s="184">
        <f>IF(C447,C447*E447*G447,"")</f>
        <v>12.6</v>
      </c>
      <c r="L447" s="148" t="s">
        <v>64</v>
      </c>
      <c r="M447" s="184"/>
    </row>
    <row r="448" spans="1:13" s="179" customFormat="1" ht="15" x14ac:dyDescent="0.2">
      <c r="A448" s="187"/>
      <c r="B448" s="147"/>
      <c r="C448" s="148"/>
      <c r="E448" s="184"/>
      <c r="G448" s="203" t="s">
        <v>93</v>
      </c>
      <c r="H448" s="202"/>
      <c r="I448" s="189"/>
      <c r="J448" s="202"/>
      <c r="K448" s="216">
        <f>SUM(K442:K447)</f>
        <v>3630.9251999999992</v>
      </c>
      <c r="L448" s="148" t="s">
        <v>64</v>
      </c>
    </row>
    <row r="449" spans="1:13" s="179" customFormat="1" x14ac:dyDescent="0.2">
      <c r="A449" s="187"/>
      <c r="B449" s="147"/>
      <c r="C449" s="148"/>
      <c r="D449" s="187"/>
      <c r="E449" s="184"/>
      <c r="F449" s="187"/>
      <c r="G449" s="185"/>
      <c r="H449" s="206"/>
      <c r="I449" s="199"/>
      <c r="J449" s="200"/>
      <c r="K449" s="199"/>
      <c r="L449" s="247"/>
    </row>
    <row r="450" spans="1:13" s="179" customFormat="1" ht="36.75" customHeight="1" x14ac:dyDescent="0.2">
      <c r="A450" s="148"/>
      <c r="B450" s="150" t="s">
        <v>324</v>
      </c>
      <c r="C450" s="184"/>
      <c r="E450" s="184"/>
      <c r="F450" s="187"/>
      <c r="G450" s="185"/>
    </row>
    <row r="451" spans="1:13" s="179" customFormat="1" x14ac:dyDescent="0.2">
      <c r="A451" s="187"/>
      <c r="B451" s="147" t="s">
        <v>199</v>
      </c>
      <c r="C451" s="148">
        <v>4</v>
      </c>
      <c r="D451" s="179" t="s">
        <v>88</v>
      </c>
      <c r="E451" s="184">
        <v>4.25</v>
      </c>
      <c r="F451" s="179" t="s">
        <v>88</v>
      </c>
      <c r="G451" s="184">
        <v>1.8</v>
      </c>
      <c r="I451" s="184"/>
      <c r="J451" s="188" t="s">
        <v>89</v>
      </c>
      <c r="K451" s="184">
        <v>30.6</v>
      </c>
      <c r="L451" s="148" t="s">
        <v>64</v>
      </c>
      <c r="M451" s="184"/>
    </row>
    <row r="452" spans="1:13" s="179" customFormat="1" x14ac:dyDescent="0.2">
      <c r="A452" s="187"/>
      <c r="B452" s="147" t="s">
        <v>200</v>
      </c>
      <c r="C452" s="148">
        <v>2</v>
      </c>
      <c r="D452" s="179" t="s">
        <v>88</v>
      </c>
      <c r="E452" s="184">
        <v>3.5</v>
      </c>
      <c r="F452" s="179" t="s">
        <v>88</v>
      </c>
      <c r="G452" s="184">
        <v>1.8</v>
      </c>
      <c r="I452" s="184"/>
      <c r="J452" s="188" t="s">
        <v>89</v>
      </c>
      <c r="K452" s="184">
        <v>12.6</v>
      </c>
      <c r="L452" s="148" t="s">
        <v>64</v>
      </c>
      <c r="M452" s="184"/>
    </row>
    <row r="453" spans="1:13" s="179" customFormat="1" x14ac:dyDescent="0.2">
      <c r="A453" s="187"/>
      <c r="B453" s="147" t="s">
        <v>90</v>
      </c>
      <c r="C453" s="148">
        <v>1</v>
      </c>
      <c r="D453" s="179" t="s">
        <v>88</v>
      </c>
      <c r="E453" s="184">
        <v>3.6</v>
      </c>
      <c r="F453" s="179" t="s">
        <v>88</v>
      </c>
      <c r="G453" s="184">
        <v>5</v>
      </c>
      <c r="I453" s="184"/>
      <c r="J453" s="188" t="s">
        <v>89</v>
      </c>
      <c r="K453" s="184">
        <v>18</v>
      </c>
      <c r="L453" s="148" t="s">
        <v>64</v>
      </c>
      <c r="M453" s="184"/>
    </row>
    <row r="454" spans="1:13" s="179" customFormat="1" x14ac:dyDescent="0.2">
      <c r="A454" s="187"/>
      <c r="B454" s="212" t="s">
        <v>120</v>
      </c>
      <c r="C454" s="148">
        <v>14</v>
      </c>
      <c r="D454" s="179" t="s">
        <v>88</v>
      </c>
      <c r="E454" s="184">
        <v>3</v>
      </c>
      <c r="F454" s="179" t="s">
        <v>88</v>
      </c>
      <c r="G454" s="184">
        <v>0.3</v>
      </c>
      <c r="I454" s="184"/>
      <c r="J454" s="188" t="s">
        <v>89</v>
      </c>
      <c r="K454" s="184">
        <f>IF(C454,C454*E454*G454,"")</f>
        <v>12.6</v>
      </c>
      <c r="L454" s="148" t="s">
        <v>64</v>
      </c>
      <c r="M454" s="184"/>
    </row>
    <row r="455" spans="1:13" s="179" customFormat="1" ht="15" x14ac:dyDescent="0.2">
      <c r="A455" s="187"/>
      <c r="B455" s="147"/>
      <c r="C455" s="148"/>
      <c r="E455" s="184"/>
      <c r="G455" s="203" t="s">
        <v>93</v>
      </c>
      <c r="H455" s="202"/>
      <c r="I455" s="189"/>
      <c r="J455" s="202"/>
      <c r="K455" s="216">
        <f>SUM(K451:K454)</f>
        <v>73.8</v>
      </c>
      <c r="L455" s="148" t="s">
        <v>64</v>
      </c>
    </row>
    <row r="456" spans="1:13" s="179" customFormat="1" x14ac:dyDescent="0.2">
      <c r="A456" s="148"/>
      <c r="B456" s="147"/>
      <c r="C456" s="184"/>
      <c r="E456" s="184"/>
      <c r="F456" s="187"/>
      <c r="G456" s="185"/>
    </row>
    <row r="457" spans="1:13" s="179" customFormat="1" ht="204.75" customHeight="1" x14ac:dyDescent="0.2">
      <c r="A457" s="145">
        <f>A441+1</f>
        <v>13</v>
      </c>
      <c r="B457" s="147" t="s">
        <v>43</v>
      </c>
      <c r="C457" s="184"/>
      <c r="E457" s="184"/>
      <c r="F457" s="187"/>
      <c r="G457" s="185"/>
    </row>
    <row r="458" spans="1:13" s="179" customFormat="1" x14ac:dyDescent="0.2">
      <c r="A458" s="187"/>
      <c r="B458" s="147" t="s">
        <v>255</v>
      </c>
      <c r="C458" s="148">
        <v>63</v>
      </c>
      <c r="D458" s="187" t="s">
        <v>88</v>
      </c>
      <c r="E458" s="184">
        <v>1.2</v>
      </c>
      <c r="F458" s="187" t="s">
        <v>88</v>
      </c>
      <c r="G458" s="205">
        <v>2.1</v>
      </c>
      <c r="H458" s="206"/>
      <c r="I458" s="199"/>
      <c r="J458" s="200" t="s">
        <v>89</v>
      </c>
      <c r="K458" s="199">
        <f>IF(C458,C458*E458*G458,"")</f>
        <v>158.76</v>
      </c>
      <c r="L458" s="247" t="s">
        <v>64</v>
      </c>
    </row>
    <row r="459" spans="1:13" s="179" customFormat="1" ht="14.25" customHeight="1" x14ac:dyDescent="0.2">
      <c r="A459" s="187"/>
      <c r="B459" s="147"/>
      <c r="C459" s="148"/>
      <c r="E459" s="184"/>
      <c r="G459" s="203" t="s">
        <v>93</v>
      </c>
      <c r="H459" s="202"/>
      <c r="I459" s="189"/>
      <c r="J459" s="202"/>
      <c r="K459" s="216">
        <f>SUM(K458:K458)</f>
        <v>158.76</v>
      </c>
      <c r="L459" s="191" t="s">
        <v>64</v>
      </c>
    </row>
    <row r="460" spans="1:13" s="179" customFormat="1" hidden="1" x14ac:dyDescent="0.2">
      <c r="A460" s="148"/>
      <c r="B460" s="150"/>
      <c r="C460" s="184"/>
      <c r="E460" s="184"/>
      <c r="F460" s="187"/>
      <c r="G460" s="185" t="str">
        <f>IF(C460,ROUNDUP(C460*E460,0),"")</f>
        <v/>
      </c>
    </row>
    <row r="461" spans="1:13" s="179" customFormat="1" ht="204.75" customHeight="1" x14ac:dyDescent="0.2">
      <c r="A461" s="145">
        <f>A457+1</f>
        <v>14</v>
      </c>
      <c r="B461" s="147" t="s">
        <v>44</v>
      </c>
      <c r="C461" s="184"/>
      <c r="E461" s="184"/>
      <c r="F461" s="187"/>
      <c r="G461" s="185"/>
    </row>
    <row r="462" spans="1:13" s="179" customFormat="1" x14ac:dyDescent="0.2">
      <c r="A462" s="187"/>
      <c r="B462" s="147" t="s">
        <v>98</v>
      </c>
      <c r="C462" s="148">
        <v>10</v>
      </c>
      <c r="D462" s="187" t="s">
        <v>88</v>
      </c>
      <c r="E462" s="184">
        <v>0.9</v>
      </c>
      <c r="F462" s="187" t="s">
        <v>88</v>
      </c>
      <c r="G462" s="205">
        <v>2.1</v>
      </c>
      <c r="H462" s="206"/>
      <c r="I462" s="199"/>
      <c r="J462" s="200" t="s">
        <v>89</v>
      </c>
      <c r="K462" s="199">
        <f>IF(C462,C462*E462*G462,"")</f>
        <v>18.900000000000002</v>
      </c>
      <c r="L462" s="247" t="s">
        <v>64</v>
      </c>
    </row>
    <row r="463" spans="1:13" s="179" customFormat="1" ht="15" x14ac:dyDescent="0.2">
      <c r="A463" s="187"/>
      <c r="B463" s="147"/>
      <c r="C463" s="148"/>
      <c r="E463" s="184"/>
      <c r="G463" s="203" t="s">
        <v>93</v>
      </c>
      <c r="H463" s="202"/>
      <c r="I463" s="189"/>
      <c r="J463" s="202"/>
      <c r="K463" s="216">
        <f>SUM(K462:K462)</f>
        <v>18.900000000000002</v>
      </c>
      <c r="L463" s="191" t="s">
        <v>64</v>
      </c>
    </row>
    <row r="464" spans="1:13" s="179" customFormat="1" x14ac:dyDescent="0.2">
      <c r="A464" s="148"/>
      <c r="B464" s="150"/>
      <c r="C464" s="184"/>
      <c r="E464" s="184"/>
      <c r="F464" s="187"/>
      <c r="G464" s="185" t="str">
        <f>IF(C464,ROUNDUP(C464*E464,0),"")</f>
        <v/>
      </c>
    </row>
    <row r="465" spans="1:12" s="179" customFormat="1" x14ac:dyDescent="0.2">
      <c r="A465" s="187"/>
      <c r="B465" s="147"/>
      <c r="C465" s="148"/>
      <c r="E465" s="184"/>
      <c r="G465" s="205"/>
      <c r="H465" s="206"/>
      <c r="I465" s="199"/>
      <c r="J465" s="206"/>
      <c r="K465" s="199"/>
      <c r="L465" s="148"/>
    </row>
    <row r="466" spans="1:12" s="179" customFormat="1" ht="54" customHeight="1" x14ac:dyDescent="0.2">
      <c r="A466" s="145">
        <f>A461+1</f>
        <v>15</v>
      </c>
      <c r="B466" s="147" t="s">
        <v>48</v>
      </c>
      <c r="C466" s="184"/>
      <c r="E466" s="184"/>
      <c r="F466" s="187"/>
      <c r="G466" s="185"/>
    </row>
    <row r="467" spans="1:12" s="179" customFormat="1" x14ac:dyDescent="0.2">
      <c r="A467" s="148"/>
      <c r="B467" s="147" t="s">
        <v>121</v>
      </c>
      <c r="C467" s="184"/>
      <c r="E467" s="184"/>
      <c r="F467" s="187"/>
      <c r="G467" s="185"/>
      <c r="J467" s="201" t="s">
        <v>89</v>
      </c>
      <c r="K467" s="184" t="e">
        <f>K399</f>
        <v>#REF!</v>
      </c>
      <c r="L467" s="179" t="s">
        <v>64</v>
      </c>
    </row>
    <row r="468" spans="1:12" s="179" customFormat="1" x14ac:dyDescent="0.2">
      <c r="A468" s="148"/>
      <c r="B468" s="146" t="s">
        <v>124</v>
      </c>
      <c r="C468" s="235">
        <v>2</v>
      </c>
      <c r="D468" s="187" t="s">
        <v>88</v>
      </c>
      <c r="E468" s="184">
        <f>C300</f>
        <v>577.5089999999999</v>
      </c>
      <c r="F468" s="187"/>
      <c r="G468" s="205"/>
      <c r="H468" s="206"/>
      <c r="I468" s="206"/>
      <c r="J468" s="201" t="s">
        <v>89</v>
      </c>
      <c r="K468" s="199">
        <f>C468*E468</f>
        <v>1155.0179999999998</v>
      </c>
      <c r="L468" s="206" t="s">
        <v>64</v>
      </c>
    </row>
    <row r="469" spans="1:12" s="179" customFormat="1" x14ac:dyDescent="0.2">
      <c r="A469" s="148"/>
      <c r="B469" s="146" t="s">
        <v>122</v>
      </c>
      <c r="C469" s="184"/>
      <c r="E469" s="184"/>
      <c r="F469" s="187"/>
      <c r="G469" s="205"/>
      <c r="H469" s="206"/>
      <c r="I469" s="206"/>
      <c r="J469" s="201" t="s">
        <v>89</v>
      </c>
      <c r="K469" s="199">
        <f>C330</f>
        <v>3618.3251999999993</v>
      </c>
      <c r="L469" s="206" t="s">
        <v>64</v>
      </c>
    </row>
    <row r="470" spans="1:12" s="179" customFormat="1" x14ac:dyDescent="0.2">
      <c r="A470" s="187"/>
      <c r="B470" s="147"/>
      <c r="C470" s="148"/>
      <c r="E470" s="184"/>
      <c r="G470" s="203" t="s">
        <v>93</v>
      </c>
      <c r="H470" s="202"/>
      <c r="I470" s="189"/>
      <c r="J470" s="202"/>
      <c r="K470" s="189" t="e">
        <f>SUM(K467:K469)</f>
        <v>#REF!</v>
      </c>
      <c r="L470" s="191" t="s">
        <v>64</v>
      </c>
    </row>
    <row r="471" spans="1:12" s="179" customFormat="1" x14ac:dyDescent="0.2">
      <c r="A471" s="187"/>
      <c r="B471" s="147"/>
      <c r="C471" s="148"/>
      <c r="E471" s="184"/>
      <c r="G471" s="205"/>
      <c r="H471" s="206"/>
      <c r="I471" s="199"/>
      <c r="J471" s="206"/>
      <c r="K471" s="199"/>
      <c r="L471" s="148"/>
    </row>
    <row r="472" spans="1:12" s="179" customFormat="1" ht="74.25" customHeight="1" x14ac:dyDescent="0.2">
      <c r="A472" s="148">
        <f>A466+1</f>
        <v>16</v>
      </c>
      <c r="B472" s="146" t="s">
        <v>246</v>
      </c>
      <c r="C472" s="184"/>
      <c r="E472" s="184"/>
      <c r="F472" s="187"/>
      <c r="G472" s="185"/>
    </row>
    <row r="473" spans="1:12" s="179" customFormat="1" x14ac:dyDescent="0.2">
      <c r="A473" s="148"/>
      <c r="B473" s="146" t="s">
        <v>123</v>
      </c>
      <c r="C473" s="235">
        <v>1</v>
      </c>
      <c r="D473" s="187" t="s">
        <v>88</v>
      </c>
      <c r="E473" s="194">
        <f>K406</f>
        <v>3209.3429999999998</v>
      </c>
      <c r="F473" s="250"/>
      <c r="G473" s="251"/>
      <c r="H473" s="241"/>
      <c r="I473" s="241"/>
      <c r="J473" s="249" t="s">
        <v>89</v>
      </c>
      <c r="K473" s="240">
        <f>K406</f>
        <v>3209.3429999999998</v>
      </c>
      <c r="L473" s="241" t="s">
        <v>64</v>
      </c>
    </row>
    <row r="474" spans="1:12" s="179" customFormat="1" x14ac:dyDescent="0.2">
      <c r="A474" s="187"/>
      <c r="B474" s="147"/>
      <c r="C474" s="148"/>
      <c r="E474" s="184"/>
      <c r="G474" s="205" t="s">
        <v>93</v>
      </c>
      <c r="H474" s="206"/>
      <c r="I474" s="199"/>
      <c r="J474" s="206"/>
      <c r="K474" s="199">
        <f>SUM(K473:K473)</f>
        <v>3209.3429999999998</v>
      </c>
      <c r="L474" s="148" t="s">
        <v>64</v>
      </c>
    </row>
    <row r="475" spans="1:12" s="179" customFormat="1" x14ac:dyDescent="0.2">
      <c r="A475" s="148"/>
      <c r="B475" s="146" t="s">
        <v>72</v>
      </c>
      <c r="C475" s="184"/>
      <c r="E475" s="184"/>
      <c r="F475" s="187"/>
      <c r="G475" s="185"/>
    </row>
    <row r="476" spans="1:12" s="179" customFormat="1" ht="71.25" customHeight="1" x14ac:dyDescent="0.2">
      <c r="A476" s="148">
        <f>A472+1</f>
        <v>17</v>
      </c>
      <c r="B476" s="147" t="s">
        <v>204</v>
      </c>
      <c r="C476" s="184"/>
      <c r="E476" s="184"/>
      <c r="F476" s="187"/>
      <c r="G476" s="185"/>
    </row>
    <row r="477" spans="1:12" s="179" customFormat="1" x14ac:dyDescent="0.2">
      <c r="A477" s="187"/>
      <c r="B477" s="146" t="s">
        <v>127</v>
      </c>
      <c r="C477" s="193">
        <f>K459</f>
        <v>158.76</v>
      </c>
      <c r="D477" s="195"/>
      <c r="E477" s="194"/>
      <c r="F477" s="179" t="s">
        <v>64</v>
      </c>
      <c r="G477" s="185"/>
      <c r="H477" s="187" t="s">
        <v>126</v>
      </c>
      <c r="I477" s="252">
        <v>2.25</v>
      </c>
      <c r="J477" s="200" t="s">
        <v>89</v>
      </c>
      <c r="K477" s="199">
        <f>C477*I477</f>
        <v>357.21</v>
      </c>
      <c r="L477" s="201" t="s">
        <v>64</v>
      </c>
    </row>
    <row r="478" spans="1:12" s="179" customFormat="1" x14ac:dyDescent="0.2">
      <c r="A478" s="187"/>
      <c r="B478" s="147" t="s">
        <v>125</v>
      </c>
      <c r="C478" s="193">
        <f>K463</f>
        <v>18.900000000000002</v>
      </c>
      <c r="D478" s="195"/>
      <c r="E478" s="194"/>
      <c r="F478" s="179" t="s">
        <v>64</v>
      </c>
      <c r="G478" s="185"/>
      <c r="H478" s="187" t="s">
        <v>126</v>
      </c>
      <c r="I478" s="252">
        <v>2.25</v>
      </c>
      <c r="J478" s="200" t="s">
        <v>89</v>
      </c>
      <c r="K478" s="199">
        <f>C478*I478</f>
        <v>42.525000000000006</v>
      </c>
      <c r="L478" s="201" t="s">
        <v>64</v>
      </c>
    </row>
    <row r="479" spans="1:12" s="179" customFormat="1" x14ac:dyDescent="0.2">
      <c r="A479" s="187"/>
      <c r="B479" s="146" t="s">
        <v>128</v>
      </c>
      <c r="C479" s="193">
        <f>K424</f>
        <v>645.29999999999995</v>
      </c>
      <c r="D479" s="195"/>
      <c r="E479" s="194"/>
      <c r="F479" s="179" t="s">
        <v>64</v>
      </c>
      <c r="G479" s="185"/>
      <c r="H479" s="187" t="s">
        <v>126</v>
      </c>
      <c r="I479" s="252">
        <v>2.6</v>
      </c>
      <c r="J479" s="200" t="s">
        <v>89</v>
      </c>
      <c r="K479" s="199">
        <f>C479*I479</f>
        <v>1677.78</v>
      </c>
      <c r="L479" s="201" t="s">
        <v>64</v>
      </c>
    </row>
    <row r="480" spans="1:12" s="179" customFormat="1" x14ac:dyDescent="0.2">
      <c r="A480" s="187"/>
      <c r="B480" s="147" t="s">
        <v>129</v>
      </c>
      <c r="C480" s="187">
        <v>3</v>
      </c>
      <c r="D480" s="179" t="s">
        <v>88</v>
      </c>
      <c r="E480" s="184">
        <v>3</v>
      </c>
      <c r="F480" s="179" t="s">
        <v>88</v>
      </c>
      <c r="G480" s="185">
        <v>2.4</v>
      </c>
      <c r="H480" s="187" t="s">
        <v>126</v>
      </c>
      <c r="I480" s="252">
        <v>2</v>
      </c>
      <c r="J480" s="200" t="s">
        <v>89</v>
      </c>
      <c r="K480" s="199">
        <f>C480*E480*G480*I480</f>
        <v>43.199999999999996</v>
      </c>
      <c r="L480" s="201" t="s">
        <v>64</v>
      </c>
    </row>
    <row r="481" spans="1:13" s="179" customFormat="1" x14ac:dyDescent="0.2">
      <c r="A481" s="187"/>
      <c r="B481" s="147" t="s">
        <v>130</v>
      </c>
      <c r="C481" s="187">
        <v>3</v>
      </c>
      <c r="D481" s="179" t="s">
        <v>88</v>
      </c>
      <c r="E481" s="184">
        <f>E438</f>
        <v>9.4499999999999993</v>
      </c>
      <c r="F481" s="179" t="s">
        <v>88</v>
      </c>
      <c r="G481" s="185">
        <v>1</v>
      </c>
      <c r="H481" s="187" t="s">
        <v>126</v>
      </c>
      <c r="I481" s="253">
        <v>1</v>
      </c>
      <c r="J481" s="242" t="s">
        <v>89</v>
      </c>
      <c r="K481" s="240">
        <f>C481*E481*G481*I481</f>
        <v>28.349999999999998</v>
      </c>
      <c r="L481" s="249" t="s">
        <v>64</v>
      </c>
    </row>
    <row r="482" spans="1:13" s="179" customFormat="1" ht="15" x14ac:dyDescent="0.2">
      <c r="A482" s="187"/>
      <c r="B482" s="146"/>
      <c r="C482" s="187"/>
      <c r="E482" s="184"/>
      <c r="I482" s="203" t="s">
        <v>93</v>
      </c>
      <c r="J482" s="190" t="s">
        <v>89</v>
      </c>
      <c r="K482" s="216">
        <f>SUM(K477:K481)</f>
        <v>2149.0649999999996</v>
      </c>
      <c r="L482" s="204" t="s">
        <v>64</v>
      </c>
    </row>
    <row r="483" spans="1:13" s="179" customFormat="1" x14ac:dyDescent="0.2">
      <c r="A483" s="148"/>
      <c r="B483" s="147"/>
      <c r="C483" s="184"/>
      <c r="E483" s="184"/>
      <c r="F483" s="187"/>
      <c r="G483" s="185"/>
    </row>
    <row r="484" spans="1:13" s="179" customFormat="1" ht="54" customHeight="1" x14ac:dyDescent="0.2">
      <c r="A484" s="148">
        <f>A476+1</f>
        <v>18</v>
      </c>
      <c r="B484" s="146" t="s">
        <v>75</v>
      </c>
      <c r="C484" s="184"/>
      <c r="E484" s="184"/>
      <c r="F484" s="187"/>
      <c r="G484" s="185"/>
    </row>
    <row r="485" spans="1:13" s="179" customFormat="1" ht="15" x14ac:dyDescent="0.2">
      <c r="A485" s="148"/>
      <c r="B485" s="147" t="s">
        <v>131</v>
      </c>
      <c r="C485" s="184"/>
      <c r="E485" s="184"/>
      <c r="F485" s="187"/>
      <c r="G485" s="185"/>
      <c r="K485" s="228">
        <f>K482</f>
        <v>2149.0649999999996</v>
      </c>
      <c r="L485" s="201" t="s">
        <v>64</v>
      </c>
    </row>
    <row r="486" spans="1:13" s="179" customFormat="1" ht="15" x14ac:dyDescent="0.2">
      <c r="A486" s="148"/>
      <c r="B486" s="147"/>
      <c r="C486" s="184"/>
      <c r="E486" s="184"/>
      <c r="F486" s="187"/>
      <c r="G486" s="185"/>
      <c r="K486" s="228"/>
      <c r="L486" s="201"/>
    </row>
    <row r="487" spans="1:13" ht="219.75" customHeight="1" x14ac:dyDescent="0.2">
      <c r="A487" s="148">
        <f>A484+1</f>
        <v>19</v>
      </c>
      <c r="B487" s="146" t="s">
        <v>47</v>
      </c>
      <c r="C487" s="184"/>
      <c r="D487" s="179"/>
      <c r="E487" s="184"/>
      <c r="F487" s="187"/>
      <c r="G487" s="185"/>
      <c r="I487" s="206"/>
      <c r="K487" s="206"/>
    </row>
    <row r="488" spans="1:13" s="179" customFormat="1" x14ac:dyDescent="0.2">
      <c r="A488" s="187"/>
      <c r="B488" s="147" t="s">
        <v>129</v>
      </c>
      <c r="C488" s="187">
        <v>3</v>
      </c>
      <c r="D488" s="179" t="s">
        <v>88</v>
      </c>
      <c r="E488" s="184">
        <v>3</v>
      </c>
      <c r="F488" s="179" t="s">
        <v>88</v>
      </c>
      <c r="G488" s="185">
        <v>2.4</v>
      </c>
      <c r="H488" s="187"/>
      <c r="I488" s="252"/>
      <c r="J488" s="200" t="s">
        <v>89</v>
      </c>
      <c r="K488" s="199">
        <f>C488*E488*G488</f>
        <v>21.599999999999998</v>
      </c>
      <c r="L488" s="201" t="s">
        <v>64</v>
      </c>
    </row>
    <row r="489" spans="1:13" s="179" customFormat="1" ht="15" x14ac:dyDescent="0.2">
      <c r="A489" s="187"/>
      <c r="C489" s="187"/>
      <c r="E489" s="184"/>
      <c r="I489" s="203" t="s">
        <v>93</v>
      </c>
      <c r="J489" s="190" t="s">
        <v>89</v>
      </c>
      <c r="K489" s="216">
        <f>SUM(K488:K488)</f>
        <v>21.599999999999998</v>
      </c>
      <c r="L489" s="204" t="s">
        <v>64</v>
      </c>
    </row>
    <row r="490" spans="1:13" s="179" customFormat="1" x14ac:dyDescent="0.2">
      <c r="A490" s="148"/>
      <c r="B490" s="146"/>
      <c r="C490" s="184"/>
      <c r="E490" s="184"/>
      <c r="G490" s="185"/>
    </row>
    <row r="491" spans="1:13" s="179" customFormat="1" ht="72.75" customHeight="1" x14ac:dyDescent="0.2">
      <c r="A491" s="148">
        <v>20</v>
      </c>
      <c r="B491" s="146" t="s">
        <v>76</v>
      </c>
      <c r="C491" s="184"/>
      <c r="E491" s="184"/>
      <c r="F491" s="187"/>
      <c r="G491" s="185"/>
    </row>
    <row r="492" spans="1:13" s="179" customFormat="1" ht="36.75" customHeight="1" x14ac:dyDescent="0.2">
      <c r="A492" s="148"/>
      <c r="B492" s="150" t="s">
        <v>326</v>
      </c>
      <c r="C492" s="184">
        <v>1</v>
      </c>
      <c r="D492" s="179" t="s">
        <v>88</v>
      </c>
      <c r="E492" s="184">
        <v>3485.1251999999995</v>
      </c>
      <c r="F492" s="187" t="s">
        <v>88</v>
      </c>
      <c r="G492" s="185">
        <v>1</v>
      </c>
      <c r="J492" s="179" t="s">
        <v>89</v>
      </c>
      <c r="K492" s="184">
        <v>3485.1251999999995</v>
      </c>
      <c r="L492" s="179" t="s">
        <v>64</v>
      </c>
    </row>
    <row r="493" spans="1:13" s="179" customFormat="1" x14ac:dyDescent="0.2">
      <c r="A493" s="148"/>
      <c r="B493" s="219" t="s">
        <v>28</v>
      </c>
      <c r="C493" s="184">
        <v>2</v>
      </c>
      <c r="D493" s="179" t="s">
        <v>88</v>
      </c>
      <c r="E493" s="184">
        <v>7.2</v>
      </c>
      <c r="F493" s="187" t="s">
        <v>88</v>
      </c>
      <c r="G493" s="205">
        <v>5</v>
      </c>
      <c r="J493" s="179" t="s">
        <v>89</v>
      </c>
      <c r="K493" s="185">
        <v>72</v>
      </c>
      <c r="L493" s="179" t="s">
        <v>64</v>
      </c>
    </row>
    <row r="494" spans="1:13" s="179" customFormat="1" x14ac:dyDescent="0.2">
      <c r="A494" s="187"/>
      <c r="B494" s="147" t="s">
        <v>90</v>
      </c>
      <c r="C494" s="148">
        <v>1</v>
      </c>
      <c r="D494" s="179" t="s">
        <v>88</v>
      </c>
      <c r="E494" s="184">
        <v>3.6</v>
      </c>
      <c r="F494" s="179" t="s">
        <v>88</v>
      </c>
      <c r="G494" s="184">
        <v>5</v>
      </c>
      <c r="I494" s="184"/>
      <c r="J494" s="188" t="s">
        <v>89</v>
      </c>
      <c r="K494" s="184">
        <v>18</v>
      </c>
      <c r="L494" s="148" t="s">
        <v>64</v>
      </c>
      <c r="M494" s="184"/>
    </row>
    <row r="495" spans="1:13" s="179" customFormat="1" ht="15" x14ac:dyDescent="0.2">
      <c r="A495" s="187"/>
      <c r="B495" s="147"/>
      <c r="C495" s="148"/>
      <c r="E495" s="184"/>
      <c r="G495" s="203" t="s">
        <v>93</v>
      </c>
      <c r="H495" s="202"/>
      <c r="I495" s="189"/>
      <c r="J495" s="202"/>
      <c r="K495" s="216">
        <f>SUM(K492:K494)</f>
        <v>3575.1251999999995</v>
      </c>
      <c r="L495" s="148" t="s">
        <v>64</v>
      </c>
    </row>
    <row r="496" spans="1:13" s="179" customFormat="1" x14ac:dyDescent="0.2">
      <c r="A496" s="187"/>
      <c r="B496" s="147"/>
      <c r="C496" s="148"/>
      <c r="D496" s="187"/>
      <c r="E496" s="184"/>
      <c r="F496" s="187"/>
      <c r="G496" s="185"/>
      <c r="H496" s="206"/>
      <c r="I496" s="199"/>
      <c r="J496" s="200"/>
      <c r="K496" s="199"/>
      <c r="L496" s="247"/>
    </row>
    <row r="497" spans="1:29" ht="73.5" customHeight="1" x14ac:dyDescent="0.2">
      <c r="A497" s="148">
        <v>21</v>
      </c>
      <c r="B497" s="229" t="s">
        <v>331</v>
      </c>
      <c r="C497" s="184"/>
      <c r="D497" s="179"/>
      <c r="E497" s="184" t="s">
        <v>299</v>
      </c>
      <c r="F497" s="187"/>
      <c r="G497" s="185"/>
      <c r="I497" s="206"/>
      <c r="J497" s="200" t="s">
        <v>89</v>
      </c>
      <c r="K497" s="199">
        <f>K495</f>
        <v>3575.1251999999995</v>
      </c>
      <c r="L497" s="206" t="s">
        <v>64</v>
      </c>
    </row>
    <row r="498" spans="1:29" x14ac:dyDescent="0.2">
      <c r="A498" s="148"/>
      <c r="B498" s="229"/>
      <c r="C498" s="184"/>
      <c r="D498" s="179"/>
      <c r="E498" s="184"/>
      <c r="F498" s="187"/>
      <c r="G498" s="185"/>
      <c r="I498" s="206"/>
      <c r="K498" s="206"/>
    </row>
    <row r="499" spans="1:29" ht="76.5" customHeight="1" x14ac:dyDescent="0.2">
      <c r="A499" s="148">
        <v>22</v>
      </c>
      <c r="B499" s="149" t="s">
        <v>77</v>
      </c>
      <c r="C499" s="184"/>
      <c r="D499" s="179"/>
      <c r="E499" s="184"/>
      <c r="F499" s="187"/>
      <c r="G499" s="185"/>
      <c r="I499" s="206"/>
      <c r="K499" s="206"/>
    </row>
    <row r="500" spans="1:29" ht="20.25" customHeight="1" x14ac:dyDescent="0.2">
      <c r="A500" s="148"/>
      <c r="B500" s="149" t="s">
        <v>298</v>
      </c>
      <c r="C500" s="184"/>
      <c r="D500" s="179"/>
      <c r="E500" s="184">
        <f>K495</f>
        <v>3575.1251999999995</v>
      </c>
      <c r="F500" s="187" t="s">
        <v>297</v>
      </c>
      <c r="G500" s="187"/>
      <c r="H500" s="187"/>
      <c r="I500" s="187"/>
      <c r="J500" s="187" t="s">
        <v>89</v>
      </c>
      <c r="K500" s="254">
        <f>E500*0.25</f>
        <v>893.78129999999987</v>
      </c>
      <c r="L500" s="148" t="s">
        <v>64</v>
      </c>
    </row>
    <row r="501" spans="1:29" x14ac:dyDescent="0.2">
      <c r="A501" s="148"/>
      <c r="B501" s="149"/>
      <c r="C501" s="184"/>
      <c r="D501" s="179"/>
      <c r="E501" s="184"/>
      <c r="F501" s="187"/>
      <c r="G501" s="187"/>
      <c r="H501" s="187"/>
      <c r="I501" s="187"/>
      <c r="J501" s="187"/>
      <c r="K501" s="254"/>
      <c r="L501" s="148"/>
    </row>
    <row r="502" spans="1:29" ht="90" customHeight="1" x14ac:dyDescent="0.2">
      <c r="A502" s="148">
        <f>IF(A499,A499+1,#REF!+1)</f>
        <v>23</v>
      </c>
      <c r="B502" s="149" t="s">
        <v>185</v>
      </c>
      <c r="C502" s="184"/>
      <c r="D502" s="179"/>
      <c r="E502" s="184" t="s">
        <v>299</v>
      </c>
      <c r="F502" s="187"/>
      <c r="G502" s="185"/>
      <c r="I502" s="206"/>
      <c r="J502" s="200" t="s">
        <v>89</v>
      </c>
      <c r="K502" s="199">
        <f>K495</f>
        <v>3575.1251999999995</v>
      </c>
      <c r="L502" s="206" t="s">
        <v>64</v>
      </c>
    </row>
    <row r="503" spans="1:29" x14ac:dyDescent="0.2">
      <c r="A503" s="148"/>
      <c r="B503" s="149"/>
      <c r="C503" s="184"/>
      <c r="D503" s="179"/>
      <c r="E503" s="184"/>
      <c r="F503" s="187"/>
      <c r="G503" s="185"/>
      <c r="I503" s="206"/>
      <c r="J503" s="200"/>
    </row>
    <row r="504" spans="1:29" s="179" customFormat="1" ht="61.5" customHeight="1" x14ac:dyDescent="0.2">
      <c r="A504" s="148">
        <v>24</v>
      </c>
      <c r="B504" s="255" t="s">
        <v>2</v>
      </c>
      <c r="C504" s="184"/>
      <c r="E504" s="184" t="s">
        <v>299</v>
      </c>
      <c r="F504" s="187"/>
      <c r="G504" s="185"/>
      <c r="H504" s="206"/>
      <c r="I504" s="206"/>
      <c r="J504" s="206" t="s">
        <v>89</v>
      </c>
      <c r="K504" s="199">
        <v>3575.1251999999995</v>
      </c>
      <c r="L504" s="206" t="s">
        <v>64</v>
      </c>
      <c r="M504" s="206"/>
      <c r="N504" s="206"/>
      <c r="O504" s="206"/>
      <c r="P504" s="206"/>
      <c r="Q504" s="206"/>
      <c r="R504" s="206"/>
      <c r="S504" s="206"/>
      <c r="T504" s="206"/>
      <c r="U504" s="206"/>
      <c r="V504" s="206"/>
      <c r="W504" s="206"/>
      <c r="X504" s="206"/>
      <c r="Y504" s="206"/>
      <c r="Z504" s="206"/>
      <c r="AA504" s="206"/>
      <c r="AB504" s="206"/>
      <c r="AC504" s="206"/>
    </row>
    <row r="505" spans="1:29" s="179" customFormat="1" x14ac:dyDescent="0.2">
      <c r="A505" s="148"/>
      <c r="B505" s="229"/>
      <c r="C505" s="184"/>
      <c r="E505" s="184"/>
      <c r="F505" s="187"/>
      <c r="G505" s="185"/>
      <c r="H505" s="206"/>
      <c r="I505" s="206"/>
      <c r="J505" s="206"/>
      <c r="K505" s="206"/>
      <c r="L505" s="206"/>
      <c r="M505" s="206"/>
      <c r="N505" s="206"/>
      <c r="O505" s="206"/>
      <c r="P505" s="206"/>
      <c r="Q505" s="206"/>
      <c r="R505" s="206"/>
      <c r="S505" s="206"/>
      <c r="T505" s="206"/>
      <c r="U505" s="206"/>
      <c r="V505" s="206"/>
      <c r="W505" s="206"/>
      <c r="X505" s="206"/>
      <c r="Y505" s="206"/>
      <c r="Z505" s="206"/>
      <c r="AA505" s="206"/>
      <c r="AB505" s="206"/>
      <c r="AC505" s="206"/>
    </row>
    <row r="506" spans="1:29" s="179" customFormat="1" ht="123" customHeight="1" x14ac:dyDescent="0.2">
      <c r="A506" s="148">
        <v>25</v>
      </c>
      <c r="B506" s="150" t="s">
        <v>333</v>
      </c>
      <c r="C506" s="184"/>
      <c r="E506" s="184"/>
      <c r="F506" s="187"/>
      <c r="G506" s="185"/>
    </row>
    <row r="507" spans="1:29" s="179" customFormat="1" x14ac:dyDescent="0.2">
      <c r="A507" s="187"/>
      <c r="B507" s="147" t="s">
        <v>328</v>
      </c>
      <c r="C507" s="148">
        <v>55</v>
      </c>
      <c r="D507" s="187" t="s">
        <v>88</v>
      </c>
      <c r="E507" s="184">
        <v>18</v>
      </c>
      <c r="F507" s="187" t="s">
        <v>88</v>
      </c>
      <c r="G507" s="185">
        <v>1.8</v>
      </c>
      <c r="I507" s="184"/>
      <c r="J507" s="188" t="s">
        <v>89</v>
      </c>
      <c r="K507" s="184">
        <f>IF(C507,C507*E507*G507,"")</f>
        <v>1782</v>
      </c>
      <c r="L507" s="148" t="s">
        <v>64</v>
      </c>
    </row>
    <row r="508" spans="1:29" s="179" customFormat="1" x14ac:dyDescent="0.2">
      <c r="A508" s="187"/>
      <c r="B508" s="147" t="s">
        <v>172</v>
      </c>
      <c r="C508" s="148">
        <v>3</v>
      </c>
      <c r="D508" s="187" t="s">
        <v>88</v>
      </c>
      <c r="E508" s="184">
        <v>2.7</v>
      </c>
      <c r="F508" s="187" t="s">
        <v>88</v>
      </c>
      <c r="G508" s="185">
        <v>1.5</v>
      </c>
      <c r="I508" s="184"/>
      <c r="J508" s="188" t="s">
        <v>89</v>
      </c>
      <c r="K508" s="184">
        <f>IF(C508,C508*E508*G508,"")</f>
        <v>12.150000000000002</v>
      </c>
      <c r="L508" s="148" t="s">
        <v>64</v>
      </c>
    </row>
    <row r="509" spans="1:29" s="179" customFormat="1" x14ac:dyDescent="0.2">
      <c r="A509" s="187"/>
      <c r="B509" s="256" t="s">
        <v>45</v>
      </c>
      <c r="C509" s="148">
        <v>4</v>
      </c>
      <c r="D509" s="187" t="s">
        <v>88</v>
      </c>
      <c r="E509" s="184">
        <v>1.2</v>
      </c>
      <c r="F509" s="187" t="s">
        <v>88</v>
      </c>
      <c r="G509" s="185">
        <v>0.75</v>
      </c>
      <c r="I509" s="184"/>
      <c r="J509" s="188" t="s">
        <v>89</v>
      </c>
      <c r="K509" s="184">
        <f>IF(C509,C509*E509*G509,"")</f>
        <v>3.5999999999999996</v>
      </c>
      <c r="L509" s="148" t="s">
        <v>64</v>
      </c>
    </row>
    <row r="510" spans="1:29" s="179" customFormat="1" x14ac:dyDescent="0.2">
      <c r="A510" s="187"/>
      <c r="B510" s="147" t="s">
        <v>327</v>
      </c>
      <c r="C510" s="148">
        <v>2</v>
      </c>
      <c r="D510" s="187" t="s">
        <v>88</v>
      </c>
      <c r="E510" s="184">
        <v>5.25</v>
      </c>
      <c r="F510" s="187" t="s">
        <v>88</v>
      </c>
      <c r="G510" s="185">
        <v>0.9</v>
      </c>
      <c r="I510" s="184"/>
      <c r="J510" s="188" t="s">
        <v>89</v>
      </c>
      <c r="K510" s="184">
        <f>IF(C510,C510*E510*G510,"")</f>
        <v>9.4500000000000011</v>
      </c>
      <c r="L510" s="148" t="s">
        <v>64</v>
      </c>
    </row>
    <row r="511" spans="1:29" s="179" customFormat="1" ht="15" x14ac:dyDescent="0.2">
      <c r="A511" s="187"/>
      <c r="B511" s="192"/>
      <c r="C511" s="148"/>
      <c r="E511" s="184"/>
      <c r="G511" s="257"/>
      <c r="H511" s="206"/>
      <c r="I511" s="203" t="s">
        <v>93</v>
      </c>
      <c r="J511" s="190" t="s">
        <v>89</v>
      </c>
      <c r="K511" s="216">
        <f>SUM(K507:K510)</f>
        <v>1807.2</v>
      </c>
      <c r="L511" s="191" t="s">
        <v>64</v>
      </c>
    </row>
    <row r="512" spans="1:29" s="179" customFormat="1" ht="15" x14ac:dyDescent="0.2">
      <c r="A512" s="187"/>
      <c r="B512" s="192"/>
      <c r="C512" s="148"/>
      <c r="E512" s="184"/>
      <c r="G512" s="257"/>
      <c r="H512" s="206"/>
      <c r="I512" s="205"/>
      <c r="J512" s="188"/>
      <c r="K512" s="228"/>
      <c r="L512" s="148"/>
    </row>
    <row r="513" spans="1:12" s="179" customFormat="1" ht="109.5" customHeight="1" x14ac:dyDescent="0.2">
      <c r="A513" s="148">
        <f>A506+1</f>
        <v>26</v>
      </c>
      <c r="B513" s="147" t="s">
        <v>46</v>
      </c>
      <c r="C513" s="148">
        <v>360</v>
      </c>
      <c r="D513" s="187" t="s">
        <v>88</v>
      </c>
      <c r="E513" s="184">
        <v>0.6</v>
      </c>
      <c r="F513" s="187"/>
      <c r="G513" s="185"/>
      <c r="I513" s="199"/>
      <c r="J513" s="200" t="s">
        <v>89</v>
      </c>
      <c r="K513" s="199">
        <f>C513*E513</f>
        <v>216</v>
      </c>
      <c r="L513" s="247" t="s">
        <v>73</v>
      </c>
    </row>
    <row r="514" spans="1:12" s="179" customFormat="1" ht="15" x14ac:dyDescent="0.2">
      <c r="A514" s="187"/>
      <c r="B514" s="192"/>
      <c r="C514" s="148"/>
      <c r="E514" s="184"/>
      <c r="G514" s="257"/>
      <c r="H514" s="206"/>
      <c r="I514" s="203" t="s">
        <v>93</v>
      </c>
      <c r="J514" s="190" t="s">
        <v>89</v>
      </c>
      <c r="K514" s="216">
        <f>SUM(K513:K513)</f>
        <v>216</v>
      </c>
      <c r="L514" s="247" t="s">
        <v>73</v>
      </c>
    </row>
    <row r="515" spans="1:12" s="179" customFormat="1" ht="15" x14ac:dyDescent="0.2">
      <c r="A515" s="187"/>
      <c r="B515" s="192"/>
      <c r="C515" s="148"/>
      <c r="E515" s="184"/>
      <c r="G515" s="257"/>
      <c r="H515" s="206"/>
      <c r="I515" s="205"/>
      <c r="J515" s="200"/>
      <c r="K515" s="228"/>
      <c r="L515" s="247"/>
    </row>
    <row r="516" spans="1:12" s="179" customFormat="1" ht="42.75" x14ac:dyDescent="0.2">
      <c r="A516" s="145">
        <v>27</v>
      </c>
      <c r="B516" s="150" t="s">
        <v>295</v>
      </c>
      <c r="C516" s="180"/>
      <c r="D516" s="236"/>
      <c r="E516" s="180"/>
      <c r="F516" s="184"/>
      <c r="L516" s="236"/>
    </row>
    <row r="517" spans="1:12" s="179" customFormat="1" x14ac:dyDescent="0.2">
      <c r="A517" s="187"/>
      <c r="B517" s="147" t="s">
        <v>329</v>
      </c>
      <c r="C517" s="148">
        <v>1</v>
      </c>
      <c r="D517" s="179" t="s">
        <v>88</v>
      </c>
      <c r="E517" s="184" t="e">
        <f>#REF!</f>
        <v>#REF!</v>
      </c>
      <c r="F517" s="179" t="s">
        <v>88</v>
      </c>
      <c r="G517" s="185">
        <v>0.32</v>
      </c>
      <c r="I517" s="184"/>
      <c r="J517" s="200" t="s">
        <v>89</v>
      </c>
      <c r="K517" s="199" t="e">
        <f>IF(C517,C517*E517*G517,"")</f>
        <v>#REF!</v>
      </c>
      <c r="L517" s="247" t="s">
        <v>64</v>
      </c>
    </row>
    <row r="518" spans="1:12" s="179" customFormat="1" x14ac:dyDescent="0.2">
      <c r="A518" s="187"/>
      <c r="B518" s="147"/>
      <c r="C518" s="148"/>
      <c r="D518" s="187"/>
      <c r="E518" s="184"/>
      <c r="F518" s="187"/>
      <c r="G518" s="185"/>
      <c r="H518" s="206"/>
      <c r="I518" s="203" t="s">
        <v>93</v>
      </c>
      <c r="J518" s="190" t="s">
        <v>89</v>
      </c>
      <c r="K518" s="189" t="e">
        <f>SUM(K517:K517)</f>
        <v>#REF!</v>
      </c>
      <c r="L518" s="191" t="s">
        <v>64</v>
      </c>
    </row>
    <row r="519" spans="1:12" s="179" customFormat="1" ht="98.25" customHeight="1" x14ac:dyDescent="0.2">
      <c r="A519" s="148">
        <v>28</v>
      </c>
      <c r="B519" s="147" t="s">
        <v>294</v>
      </c>
      <c r="C519" s="148"/>
      <c r="E519" s="184"/>
      <c r="G519" s="184"/>
      <c r="I519" s="184"/>
      <c r="J519" s="200"/>
      <c r="K519" s="199"/>
      <c r="L519" s="201"/>
    </row>
    <row r="520" spans="1:12" s="179" customFormat="1" x14ac:dyDescent="0.2">
      <c r="A520" s="148"/>
      <c r="B520" s="147" t="s">
        <v>330</v>
      </c>
      <c r="C520" s="148">
        <v>684</v>
      </c>
      <c r="D520" s="179" t="s">
        <v>88</v>
      </c>
      <c r="E520" s="184">
        <v>0.3</v>
      </c>
      <c r="F520" s="179" t="s">
        <v>88</v>
      </c>
      <c r="G520" s="184">
        <v>0.23</v>
      </c>
      <c r="I520" s="184">
        <v>0.75</v>
      </c>
      <c r="J520" s="200" t="s">
        <v>89</v>
      </c>
      <c r="K520" s="199">
        <f>IF(C520,C520*E520*G520*I520,"")</f>
        <v>35.396999999999998</v>
      </c>
      <c r="L520" s="201" t="s">
        <v>61</v>
      </c>
    </row>
    <row r="521" spans="1:12" s="179" customFormat="1" ht="15" x14ac:dyDescent="0.2">
      <c r="A521" s="187"/>
      <c r="B521" s="192"/>
      <c r="E521" s="184"/>
      <c r="G521" s="257"/>
      <c r="H521" s="202" t="s">
        <v>93</v>
      </c>
      <c r="I521" s="203"/>
      <c r="J521" s="190"/>
      <c r="K521" s="216">
        <f>SUM(K519:K520)</f>
        <v>35.396999999999998</v>
      </c>
      <c r="L521" s="191" t="s">
        <v>61</v>
      </c>
    </row>
    <row r="522" spans="1:12" s="179" customFormat="1" ht="147.75" customHeight="1" x14ac:dyDescent="0.2">
      <c r="A522" s="148">
        <v>29</v>
      </c>
      <c r="B522" s="150" t="s">
        <v>332</v>
      </c>
      <c r="C522" s="148">
        <v>2</v>
      </c>
      <c r="D522" s="179" t="s">
        <v>88</v>
      </c>
      <c r="E522" s="184">
        <v>15</v>
      </c>
      <c r="G522" s="184"/>
      <c r="I522" s="184"/>
      <c r="J522" s="258" t="s">
        <v>89</v>
      </c>
      <c r="K522" s="199">
        <v>30</v>
      </c>
      <c r="L522" s="247" t="s">
        <v>73</v>
      </c>
    </row>
    <row r="523" spans="1:12" s="179" customFormat="1" ht="15" x14ac:dyDescent="0.2">
      <c r="B523" s="209" t="s">
        <v>335</v>
      </c>
    </row>
    <row r="524" spans="1:12" s="179" customFormat="1" x14ac:dyDescent="0.2">
      <c r="A524" s="180">
        <v>30</v>
      </c>
      <c r="B524" s="150" t="s">
        <v>334</v>
      </c>
      <c r="C524" s="148">
        <v>1</v>
      </c>
      <c r="D524" s="179" t="s">
        <v>88</v>
      </c>
      <c r="E524" s="184">
        <v>27</v>
      </c>
      <c r="G524" s="184"/>
      <c r="I524" s="184"/>
      <c r="J524" s="258" t="s">
        <v>89</v>
      </c>
      <c r="K524" s="199">
        <v>27</v>
      </c>
      <c r="L524" s="247" t="s">
        <v>82</v>
      </c>
    </row>
    <row r="525" spans="1:12" s="179" customFormat="1" ht="15" x14ac:dyDescent="0.2">
      <c r="A525" s="187"/>
      <c r="B525" s="192"/>
      <c r="E525" s="184"/>
      <c r="G525" s="257"/>
      <c r="H525" s="206"/>
      <c r="I525" s="205"/>
      <c r="J525" s="200"/>
      <c r="K525" s="228"/>
      <c r="L525" s="247"/>
    </row>
    <row r="526" spans="1:12" s="179" customFormat="1" x14ac:dyDescent="0.2">
      <c r="A526" s="187"/>
      <c r="B526" s="147"/>
      <c r="C526" s="148"/>
      <c r="D526" s="187"/>
      <c r="E526" s="184"/>
      <c r="F526" s="187"/>
      <c r="G526" s="185"/>
      <c r="H526" s="206"/>
      <c r="I526" s="199"/>
      <c r="J526" s="200"/>
      <c r="K526" s="199"/>
      <c r="L526" s="247"/>
    </row>
    <row r="527" spans="1:12" s="179" customFormat="1" ht="15" x14ac:dyDescent="0.2">
      <c r="A527" s="187"/>
      <c r="B527" s="147"/>
      <c r="C527" s="148"/>
      <c r="D527" s="187"/>
      <c r="E527" s="184"/>
      <c r="F527" s="187"/>
      <c r="G527" s="198" t="s">
        <v>9</v>
      </c>
      <c r="H527" s="206"/>
      <c r="I527" s="199"/>
      <c r="J527" s="200"/>
      <c r="K527" s="199"/>
      <c r="L527" s="247"/>
    </row>
    <row r="528" spans="1:12" ht="15" x14ac:dyDescent="0.2">
      <c r="G528" s="209" t="s">
        <v>10</v>
      </c>
    </row>
  </sheetData>
  <mergeCells count="17">
    <mergeCell ref="C237:D237"/>
    <mergeCell ref="C374:D374"/>
    <mergeCell ref="G433:H433"/>
    <mergeCell ref="A1:L1"/>
    <mergeCell ref="A2:L2"/>
    <mergeCell ref="A3:L3"/>
    <mergeCell ref="A4:L4"/>
    <mergeCell ref="C373:D373"/>
    <mergeCell ref="C239:D239"/>
    <mergeCell ref="C240:D240"/>
    <mergeCell ref="C238:D238"/>
    <mergeCell ref="C244:D244"/>
    <mergeCell ref="C245:D245"/>
    <mergeCell ref="C246:D246"/>
    <mergeCell ref="C241:D241"/>
    <mergeCell ref="C242:D242"/>
    <mergeCell ref="C243:D243"/>
  </mergeCells>
  <phoneticPr fontId="0" type="noConversion"/>
  <printOptions horizontalCentered="1"/>
  <pageMargins left="0.75" right="0.75" top="0.76" bottom="1" header="0.5" footer="0.5"/>
  <pageSetup paperSize="9" scale="63" fitToHeight="11" orientation="portrait" horizontalDpi="180" verticalDpi="180" r:id="rId1"/>
  <headerFooter alignWithMargins="0">
    <oddFooter>&amp;LGIRLS PHARMACY BNI&amp;R&amp;D&amp;'  Page-&amp;P</oddFooter>
  </headerFooter>
  <rowBreaks count="2" manualBreakCount="2">
    <brk id="413" max="17" man="1"/>
    <brk id="42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7"/>
  <sheetViews>
    <sheetView zoomScaleNormal="100" zoomScaleSheetLayoutView="100" workbookViewId="0">
      <selection activeCell="C11" sqref="C11"/>
    </sheetView>
    <sheetView topLeftCell="A96" workbookViewId="1">
      <selection activeCell="E98" sqref="E98"/>
    </sheetView>
  </sheetViews>
  <sheetFormatPr defaultRowHeight="15" x14ac:dyDescent="0.2"/>
  <cols>
    <col min="1" max="1" width="4.44140625" style="34" bestFit="1" customWidth="1"/>
    <col min="2" max="2" width="36.44140625" style="17" customWidth="1"/>
    <col min="3" max="3" width="7.88671875" style="21" customWidth="1"/>
    <col min="4" max="4" width="5.21875" style="35" customWidth="1"/>
    <col min="5" max="5" width="7.44140625" style="4" bestFit="1" customWidth="1"/>
    <col min="6" max="6" width="5.21875" style="35" customWidth="1"/>
    <col min="7" max="7" width="8.44140625" style="71" bestFit="1" customWidth="1"/>
  </cols>
  <sheetData>
    <row r="1" spans="1:7" s="11" customFormat="1" ht="45" customHeight="1" x14ac:dyDescent="0.2">
      <c r="A1" s="302" t="str">
        <f>'gen-abstract'!A2</f>
        <v>NAME OF WORK :- CONSTRUCTION OF COMMERCIAL COMPLEX FOR PANCHAYAT SAMITI GIRWA, UDAIPUR</v>
      </c>
      <c r="B1" s="302"/>
      <c r="C1" s="302"/>
      <c r="D1" s="302"/>
      <c r="E1" s="302"/>
      <c r="F1" s="302"/>
      <c r="G1" s="302"/>
    </row>
    <row r="2" spans="1:7" s="11" customFormat="1" x14ac:dyDescent="0.2">
      <c r="A2" s="303" t="s">
        <v>179</v>
      </c>
      <c r="B2" s="303"/>
      <c r="C2" s="303"/>
      <c r="D2" s="303"/>
      <c r="E2" s="303"/>
      <c r="F2" s="303"/>
      <c r="G2" s="303"/>
    </row>
    <row r="3" spans="1:7" s="11" customFormat="1" x14ac:dyDescent="0.2">
      <c r="A3" s="304" t="s">
        <v>54</v>
      </c>
      <c r="B3" s="304"/>
      <c r="C3" s="304"/>
      <c r="D3" s="304"/>
      <c r="E3" s="304"/>
      <c r="F3" s="304"/>
      <c r="G3" s="304"/>
    </row>
    <row r="4" spans="1:7" s="11" customFormat="1" x14ac:dyDescent="0.2">
      <c r="A4" s="33" t="s">
        <v>55</v>
      </c>
      <c r="B4" s="130" t="s">
        <v>56</v>
      </c>
      <c r="C4" s="28" t="s">
        <v>57</v>
      </c>
      <c r="D4" s="46"/>
      <c r="E4" s="28" t="s">
        <v>58</v>
      </c>
      <c r="F4" s="46" t="s">
        <v>59</v>
      </c>
      <c r="G4" s="70" t="s">
        <v>60</v>
      </c>
    </row>
    <row r="5" spans="1:7" ht="89.25" customHeight="1" x14ac:dyDescent="0.2">
      <c r="A5" s="1">
        <v>1</v>
      </c>
      <c r="B5" s="118" t="s">
        <v>203</v>
      </c>
      <c r="C5" s="69">
        <v>3</v>
      </c>
      <c r="D5" s="36" t="s">
        <v>82</v>
      </c>
      <c r="E5" s="4">
        <v>890</v>
      </c>
      <c r="F5" s="35" t="s">
        <v>134</v>
      </c>
      <c r="G5" s="60">
        <f t="shared" ref="G5:G40" si="0">IF(C5,ROUNDUP(C5*E5,0),"")</f>
        <v>2670</v>
      </c>
    </row>
    <row r="6" spans="1:7" ht="67.5" customHeight="1" x14ac:dyDescent="0.2">
      <c r="A6" s="1">
        <f>A5+1</f>
        <v>2</v>
      </c>
      <c r="B6" s="118" t="s">
        <v>135</v>
      </c>
      <c r="C6" s="69">
        <v>3</v>
      </c>
      <c r="D6" s="36" t="s">
        <v>82</v>
      </c>
      <c r="E6" s="4">
        <v>650</v>
      </c>
      <c r="F6" s="35" t="s">
        <v>134</v>
      </c>
      <c r="G6" s="60">
        <f t="shared" si="0"/>
        <v>1950</v>
      </c>
    </row>
    <row r="7" spans="1:7" ht="127.5" customHeight="1" x14ac:dyDescent="0.2">
      <c r="A7" s="1">
        <f>IF(A6,A6+1,#REF!+1)</f>
        <v>3</v>
      </c>
      <c r="B7" s="17" t="s">
        <v>306</v>
      </c>
      <c r="C7" s="69">
        <f>sanitary_MEASUR!K12</f>
        <v>3</v>
      </c>
      <c r="D7" s="36" t="s">
        <v>82</v>
      </c>
      <c r="E7" s="4">
        <v>1250</v>
      </c>
      <c r="F7" s="35" t="s">
        <v>134</v>
      </c>
      <c r="G7" s="60">
        <f t="shared" si="0"/>
        <v>3750</v>
      </c>
    </row>
    <row r="8" spans="1:7" ht="93.75" customHeight="1" x14ac:dyDescent="0.2">
      <c r="A8" s="1">
        <f>IF(A7,A7+1,A6+1)</f>
        <v>4</v>
      </c>
      <c r="B8" s="17" t="s">
        <v>6</v>
      </c>
      <c r="C8" s="69">
        <f>sanitary_MEASUR!K13</f>
        <v>3</v>
      </c>
      <c r="D8" s="36" t="s">
        <v>82</v>
      </c>
      <c r="E8" s="4">
        <v>210</v>
      </c>
      <c r="F8" s="35" t="s">
        <v>134</v>
      </c>
      <c r="G8" s="60">
        <f t="shared" si="0"/>
        <v>630</v>
      </c>
    </row>
    <row r="9" spans="1:7" ht="45" customHeight="1" x14ac:dyDescent="0.2">
      <c r="A9" s="1">
        <f>IF(A8,A8+1,A7+1)</f>
        <v>5</v>
      </c>
      <c r="B9" s="118" t="s">
        <v>137</v>
      </c>
      <c r="C9" s="69">
        <f>sanitary_MEASUR!K17</f>
        <v>6</v>
      </c>
      <c r="D9" s="36" t="s">
        <v>82</v>
      </c>
      <c r="E9" s="4">
        <v>30</v>
      </c>
      <c r="F9" s="35" t="s">
        <v>134</v>
      </c>
      <c r="G9" s="60">
        <f t="shared" si="0"/>
        <v>180</v>
      </c>
    </row>
    <row r="10" spans="1:7" ht="45" x14ac:dyDescent="0.2">
      <c r="A10" s="1">
        <f>IF(A9,A9+1,A8+1)</f>
        <v>6</v>
      </c>
      <c r="B10" s="17" t="s">
        <v>138</v>
      </c>
      <c r="C10" s="68"/>
      <c r="D10" s="36"/>
      <c r="G10" s="60" t="str">
        <f t="shared" si="0"/>
        <v/>
      </c>
    </row>
    <row r="11" spans="1:7" ht="24.75" customHeight="1" x14ac:dyDescent="0.2">
      <c r="A11" s="66" t="s">
        <v>139</v>
      </c>
      <c r="B11" s="17" t="s">
        <v>206</v>
      </c>
      <c r="C11" s="68">
        <f>sanitary_MEASUR!K22</f>
        <v>27</v>
      </c>
      <c r="D11" s="36" t="s">
        <v>73</v>
      </c>
      <c r="E11" s="4">
        <v>70</v>
      </c>
      <c r="F11" s="39" t="s">
        <v>74</v>
      </c>
      <c r="G11" s="60">
        <f t="shared" si="0"/>
        <v>1890</v>
      </c>
    </row>
    <row r="12" spans="1:7" ht="26.25" customHeight="1" x14ac:dyDescent="0.2">
      <c r="A12" s="66" t="s">
        <v>141</v>
      </c>
      <c r="B12" s="17" t="s">
        <v>207</v>
      </c>
      <c r="C12" s="68">
        <f>sanitary_MEASUR!K27</f>
        <v>90.600000000000009</v>
      </c>
      <c r="D12" s="36" t="s">
        <v>73</v>
      </c>
      <c r="E12" s="4">
        <v>117</v>
      </c>
      <c r="F12" s="39" t="s">
        <v>74</v>
      </c>
      <c r="G12" s="60">
        <f t="shared" si="0"/>
        <v>10601</v>
      </c>
    </row>
    <row r="13" spans="1:7" ht="56.25" customHeight="1" x14ac:dyDescent="0.2">
      <c r="A13" s="1">
        <v>7</v>
      </c>
      <c r="B13" s="118" t="s">
        <v>143</v>
      </c>
      <c r="C13" s="68"/>
      <c r="D13" s="36"/>
      <c r="G13" s="60" t="str">
        <f t="shared" si="0"/>
        <v/>
      </c>
    </row>
    <row r="14" spans="1:7" ht="20.25" customHeight="1" x14ac:dyDescent="0.2">
      <c r="A14" s="66" t="s">
        <v>139</v>
      </c>
      <c r="B14" s="17" t="s">
        <v>208</v>
      </c>
      <c r="C14" s="68">
        <f>sanitary_MEASUR!K32</f>
        <v>120</v>
      </c>
      <c r="D14" s="36" t="s">
        <v>73</v>
      </c>
      <c r="E14" s="4">
        <v>98</v>
      </c>
      <c r="F14" s="39" t="s">
        <v>74</v>
      </c>
      <c r="G14" s="60">
        <f t="shared" si="0"/>
        <v>11760</v>
      </c>
    </row>
    <row r="15" spans="1:7" s="9" customFormat="1" ht="54" customHeight="1" x14ac:dyDescent="0.2">
      <c r="A15" s="34">
        <f>A13+1</f>
        <v>8</v>
      </c>
      <c r="B15" s="17" t="s">
        <v>209</v>
      </c>
      <c r="C15" s="69">
        <f>sanitary_MEASUR!K35</f>
        <v>9</v>
      </c>
      <c r="D15" s="36" t="s">
        <v>82</v>
      </c>
      <c r="E15" s="4">
        <v>100</v>
      </c>
      <c r="F15" s="35" t="s">
        <v>134</v>
      </c>
      <c r="G15" s="60">
        <f t="shared" si="0"/>
        <v>900</v>
      </c>
    </row>
    <row r="16" spans="1:7" ht="54" customHeight="1" x14ac:dyDescent="0.2">
      <c r="A16" s="1">
        <v>9</v>
      </c>
      <c r="B16" s="118" t="s">
        <v>186</v>
      </c>
      <c r="C16" s="69">
        <f>sanitary_MEASUR!K39</f>
        <v>4</v>
      </c>
      <c r="D16" s="36" t="s">
        <v>82</v>
      </c>
      <c r="E16" s="4">
        <v>120</v>
      </c>
      <c r="F16" s="35" t="s">
        <v>134</v>
      </c>
      <c r="G16" s="60">
        <f t="shared" si="0"/>
        <v>480</v>
      </c>
    </row>
    <row r="17" spans="1:7" ht="45" x14ac:dyDescent="0.2">
      <c r="A17" s="1">
        <f>IF(A16,A16+1,#REF!+1)</f>
        <v>10</v>
      </c>
      <c r="B17" s="118" t="s">
        <v>187</v>
      </c>
      <c r="C17" s="69">
        <f>sanitary_MEASUR!K42</f>
        <v>3</v>
      </c>
      <c r="D17" s="36" t="s">
        <v>82</v>
      </c>
      <c r="E17" s="4">
        <v>120</v>
      </c>
      <c r="F17" s="35" t="s">
        <v>134</v>
      </c>
      <c r="G17" s="60">
        <f t="shared" si="0"/>
        <v>360</v>
      </c>
    </row>
    <row r="18" spans="1:7" ht="37.5" customHeight="1" x14ac:dyDescent="0.2">
      <c r="A18" s="1">
        <v>11</v>
      </c>
      <c r="B18" s="118" t="s">
        <v>146</v>
      </c>
      <c r="C18" s="69"/>
      <c r="D18" s="36"/>
      <c r="G18" s="60" t="str">
        <f t="shared" si="0"/>
        <v/>
      </c>
    </row>
    <row r="19" spans="1:7" ht="21" customHeight="1" x14ac:dyDescent="0.2">
      <c r="A19" s="1"/>
      <c r="B19" s="118" t="s">
        <v>147</v>
      </c>
      <c r="C19" s="69">
        <f>sanitary_MEASUR!K46</f>
        <v>3</v>
      </c>
      <c r="D19" s="36" t="s">
        <v>82</v>
      </c>
      <c r="E19" s="4">
        <v>150</v>
      </c>
      <c r="F19" s="35" t="s">
        <v>134</v>
      </c>
      <c r="G19" s="60">
        <f t="shared" si="0"/>
        <v>450</v>
      </c>
    </row>
    <row r="20" spans="1:7" ht="20.25" customHeight="1" x14ac:dyDescent="0.2">
      <c r="A20" s="1"/>
      <c r="B20" s="118" t="s">
        <v>148</v>
      </c>
      <c r="C20" s="69">
        <f>sanitary_MEASUR!K49</f>
        <v>2</v>
      </c>
      <c r="D20" s="36" t="s">
        <v>82</v>
      </c>
      <c r="E20" s="4">
        <v>300</v>
      </c>
      <c r="F20" s="35" t="s">
        <v>134</v>
      </c>
      <c r="G20" s="60">
        <f t="shared" si="0"/>
        <v>600</v>
      </c>
    </row>
    <row r="21" spans="1:7" ht="99.75" customHeight="1" x14ac:dyDescent="0.2">
      <c r="A21" s="1">
        <f>IF(A18,A18+1,#REF!+1)</f>
        <v>12</v>
      </c>
      <c r="B21" s="17" t="s">
        <v>210</v>
      </c>
      <c r="C21"/>
      <c r="D21"/>
      <c r="E21"/>
      <c r="F21"/>
      <c r="G21" s="60" t="str">
        <f t="shared" si="0"/>
        <v/>
      </c>
    </row>
    <row r="22" spans="1:7" s="9" customFormat="1" ht="22.5" customHeight="1" x14ac:dyDescent="0.2">
      <c r="A22" s="1"/>
      <c r="B22" s="17" t="s">
        <v>7</v>
      </c>
      <c r="C22" s="69">
        <v>4</v>
      </c>
      <c r="D22" s="36" t="s">
        <v>82</v>
      </c>
      <c r="E22" s="4">
        <f>5000</f>
        <v>5000</v>
      </c>
      <c r="F22" s="35" t="s">
        <v>134</v>
      </c>
      <c r="G22" s="60">
        <f t="shared" si="0"/>
        <v>20000</v>
      </c>
    </row>
    <row r="23" spans="1:7" s="9" customFormat="1" ht="20.25" customHeight="1" x14ac:dyDescent="0.2">
      <c r="A23" s="1"/>
      <c r="B23" s="17" t="s">
        <v>8</v>
      </c>
      <c r="C23" s="69">
        <f>sanitary_MEASUR!K52</f>
        <v>1</v>
      </c>
      <c r="D23" s="36" t="s">
        <v>82</v>
      </c>
      <c r="E23" s="4">
        <f>2500</f>
        <v>2500</v>
      </c>
      <c r="F23" s="35" t="s">
        <v>134</v>
      </c>
      <c r="G23" s="60">
        <f t="shared" si="0"/>
        <v>2500</v>
      </c>
    </row>
    <row r="24" spans="1:7" ht="39" customHeight="1" x14ac:dyDescent="0.2">
      <c r="A24" s="1">
        <f>IF(A21,A21+1,A18+1)</f>
        <v>13</v>
      </c>
      <c r="B24" s="118" t="s">
        <v>150</v>
      </c>
      <c r="C24" s="69"/>
      <c r="D24" s="36"/>
      <c r="G24" s="60" t="str">
        <f t="shared" si="0"/>
        <v/>
      </c>
    </row>
    <row r="25" spans="1:7" s="9" customFormat="1" ht="24" customHeight="1" x14ac:dyDescent="0.2">
      <c r="A25" s="1"/>
      <c r="B25" s="118" t="s">
        <v>151</v>
      </c>
      <c r="C25" s="69">
        <v>5</v>
      </c>
      <c r="D25" s="36" t="s">
        <v>82</v>
      </c>
      <c r="E25" s="4">
        <v>150</v>
      </c>
      <c r="F25" s="35" t="s">
        <v>134</v>
      </c>
      <c r="G25" s="60">
        <f t="shared" si="0"/>
        <v>750</v>
      </c>
    </row>
    <row r="26" spans="1:7" ht="90" x14ac:dyDescent="0.2">
      <c r="A26" s="1">
        <f>IF(A24,A24+1,A21+1)</f>
        <v>14</v>
      </c>
      <c r="B26" s="17" t="s">
        <v>305</v>
      </c>
      <c r="C26" s="68"/>
      <c r="D26" s="39"/>
      <c r="G26" s="60" t="str">
        <f t="shared" si="0"/>
        <v/>
      </c>
    </row>
    <row r="27" spans="1:7" ht="24.75" customHeight="1" x14ac:dyDescent="0.2">
      <c r="B27" s="118" t="s">
        <v>249</v>
      </c>
      <c r="C27" s="68">
        <f>sanitary_MEASUR!K60</f>
        <v>11</v>
      </c>
      <c r="D27" s="36" t="s">
        <v>73</v>
      </c>
      <c r="E27" s="4">
        <f>200</f>
        <v>200</v>
      </c>
      <c r="F27" s="35" t="s">
        <v>74</v>
      </c>
      <c r="G27" s="60">
        <f t="shared" si="0"/>
        <v>2200</v>
      </c>
    </row>
    <row r="28" spans="1:7" ht="90" x14ac:dyDescent="0.2">
      <c r="A28" s="34">
        <v>15</v>
      </c>
      <c r="B28" s="17" t="s">
        <v>250</v>
      </c>
      <c r="C28" s="69"/>
      <c r="D28" s="39"/>
      <c r="G28" s="60" t="str">
        <f t="shared" si="0"/>
        <v/>
      </c>
    </row>
    <row r="29" spans="1:7" ht="18" customHeight="1" x14ac:dyDescent="0.2">
      <c r="A29" s="34" t="s">
        <v>139</v>
      </c>
      <c r="B29" s="118" t="s">
        <v>251</v>
      </c>
      <c r="C29" s="69">
        <v>1</v>
      </c>
      <c r="D29" s="36" t="s">
        <v>82</v>
      </c>
      <c r="E29" s="4">
        <v>162</v>
      </c>
      <c r="F29" s="35" t="s">
        <v>134</v>
      </c>
      <c r="G29" s="60">
        <f t="shared" si="0"/>
        <v>162</v>
      </c>
    </row>
    <row r="30" spans="1:7" ht="18" customHeight="1" x14ac:dyDescent="0.2">
      <c r="A30" s="34" t="s">
        <v>141</v>
      </c>
      <c r="B30" s="118" t="s">
        <v>253</v>
      </c>
      <c r="C30" s="69">
        <v>5</v>
      </c>
      <c r="D30" s="36" t="s">
        <v>82</v>
      </c>
      <c r="E30" s="4">
        <v>62</v>
      </c>
      <c r="F30" s="35" t="s">
        <v>134</v>
      </c>
      <c r="G30" s="60">
        <f t="shared" si="0"/>
        <v>310</v>
      </c>
    </row>
    <row r="31" spans="1:7" ht="18" customHeight="1" x14ac:dyDescent="0.2">
      <c r="A31" s="34" t="s">
        <v>152</v>
      </c>
      <c r="B31" s="118" t="s">
        <v>286</v>
      </c>
      <c r="C31" s="69">
        <v>1</v>
      </c>
      <c r="D31" s="36" t="s">
        <v>82</v>
      </c>
      <c r="E31" s="4">
        <v>199</v>
      </c>
      <c r="F31" s="35" t="s">
        <v>134</v>
      </c>
      <c r="G31" s="60">
        <f t="shared" si="0"/>
        <v>199</v>
      </c>
    </row>
    <row r="32" spans="1:7" ht="18" customHeight="1" x14ac:dyDescent="0.2">
      <c r="A32" s="34" t="s">
        <v>153</v>
      </c>
      <c r="B32" s="17" t="s">
        <v>252</v>
      </c>
      <c r="C32" s="69">
        <f>sanitary_MEASUR!K65</f>
        <v>3</v>
      </c>
      <c r="D32" s="36" t="s">
        <v>82</v>
      </c>
      <c r="E32" s="4">
        <v>34</v>
      </c>
      <c r="F32" s="35" t="s">
        <v>134</v>
      </c>
      <c r="G32" s="60">
        <f t="shared" si="0"/>
        <v>102</v>
      </c>
    </row>
    <row r="33" spans="1:11" ht="18" customHeight="1" x14ac:dyDescent="0.2">
      <c r="A33" s="34" t="s">
        <v>154</v>
      </c>
      <c r="B33" s="118" t="s">
        <v>287</v>
      </c>
      <c r="C33" s="69">
        <v>1</v>
      </c>
      <c r="D33" s="36" t="s">
        <v>82</v>
      </c>
      <c r="E33" s="4">
        <v>159</v>
      </c>
      <c r="F33" s="35" t="s">
        <v>134</v>
      </c>
      <c r="G33" s="60">
        <f t="shared" si="0"/>
        <v>159</v>
      </c>
    </row>
    <row r="34" spans="1:11" s="9" customFormat="1" ht="18" customHeight="1" x14ac:dyDescent="0.2">
      <c r="A34" s="34" t="s">
        <v>155</v>
      </c>
      <c r="B34" s="118" t="s">
        <v>288</v>
      </c>
      <c r="C34" s="69">
        <v>1</v>
      </c>
      <c r="D34" s="36" t="s">
        <v>82</v>
      </c>
      <c r="E34" s="4">
        <v>111</v>
      </c>
      <c r="F34" s="35" t="s">
        <v>134</v>
      </c>
      <c r="G34" s="60">
        <f t="shared" si="0"/>
        <v>111</v>
      </c>
    </row>
    <row r="35" spans="1:11" s="9" customFormat="1" ht="18" customHeight="1" x14ac:dyDescent="0.2">
      <c r="A35" s="34" t="s">
        <v>156</v>
      </c>
      <c r="B35" s="118" t="s">
        <v>289</v>
      </c>
      <c r="C35" s="69">
        <v>1</v>
      </c>
      <c r="D35" s="36" t="s">
        <v>82</v>
      </c>
      <c r="E35" s="4">
        <v>89</v>
      </c>
      <c r="F35" s="35" t="s">
        <v>134</v>
      </c>
      <c r="G35" s="60">
        <f t="shared" si="0"/>
        <v>89</v>
      </c>
    </row>
    <row r="36" spans="1:11" ht="90" customHeight="1" x14ac:dyDescent="0.2">
      <c r="A36" s="34">
        <v>16</v>
      </c>
      <c r="B36" s="118" t="s">
        <v>157</v>
      </c>
      <c r="C36" s="69">
        <f>sanitary_MEASUR!K69</f>
        <v>2</v>
      </c>
      <c r="D36" s="36" t="s">
        <v>82</v>
      </c>
      <c r="E36" s="4">
        <v>140</v>
      </c>
      <c r="F36" s="35" t="s">
        <v>134</v>
      </c>
      <c r="G36" s="60">
        <f t="shared" si="0"/>
        <v>280</v>
      </c>
    </row>
    <row r="37" spans="1:11" ht="180" x14ac:dyDescent="0.2">
      <c r="A37" s="1">
        <v>17</v>
      </c>
      <c r="B37" s="17" t="s">
        <v>304</v>
      </c>
      <c r="C37" s="69"/>
      <c r="D37" s="36"/>
      <c r="G37" s="60" t="str">
        <f t="shared" si="0"/>
        <v/>
      </c>
    </row>
    <row r="38" spans="1:11" ht="24" customHeight="1" x14ac:dyDescent="0.2">
      <c r="A38" s="1"/>
      <c r="B38" s="17" t="s">
        <v>158</v>
      </c>
      <c r="C38" s="69">
        <f>sanitary_MEASUR!K71</f>
        <v>2</v>
      </c>
      <c r="D38" s="36" t="s">
        <v>82</v>
      </c>
      <c r="E38" s="4">
        <v>1500</v>
      </c>
      <c r="F38" s="35" t="s">
        <v>134</v>
      </c>
      <c r="G38" s="60">
        <f t="shared" si="0"/>
        <v>3000</v>
      </c>
    </row>
    <row r="39" spans="1:11" ht="24" customHeight="1" x14ac:dyDescent="0.2">
      <c r="A39" s="1"/>
      <c r="B39" s="118" t="s">
        <v>159</v>
      </c>
      <c r="C39" s="69">
        <f>sanitary_MEASUR!K72</f>
        <v>1</v>
      </c>
      <c r="D39" s="36" t="s">
        <v>82</v>
      </c>
      <c r="E39" s="4">
        <v>2050</v>
      </c>
      <c r="F39" s="35" t="s">
        <v>134</v>
      </c>
      <c r="G39" s="60">
        <f t="shared" si="0"/>
        <v>2050</v>
      </c>
    </row>
    <row r="40" spans="1:11" s="11" customFormat="1" ht="42.75" customHeight="1" x14ac:dyDescent="0.2">
      <c r="A40" s="1">
        <f>IF(A37,A37+1,#REF!+1)</f>
        <v>18</v>
      </c>
      <c r="B40" s="131" t="s">
        <v>160</v>
      </c>
      <c r="C40" s="68">
        <f>sanitary_MEASUR!K73</f>
        <v>75</v>
      </c>
      <c r="D40" s="11" t="s">
        <v>161</v>
      </c>
      <c r="E40" s="12">
        <v>12</v>
      </c>
      <c r="F40" s="11" t="s">
        <v>162</v>
      </c>
      <c r="G40" s="60">
        <f t="shared" si="0"/>
        <v>900</v>
      </c>
    </row>
    <row r="41" spans="1:11" ht="117.75" customHeight="1" x14ac:dyDescent="0.2">
      <c r="A41" s="34">
        <v>19</v>
      </c>
      <c r="B41" s="17" t="s">
        <v>303</v>
      </c>
      <c r="C41" s="68">
        <f>sanitary_MEASUR!K80</f>
        <v>43</v>
      </c>
      <c r="D41" s="36" t="s">
        <v>73</v>
      </c>
      <c r="E41" s="4">
        <v>95</v>
      </c>
      <c r="F41" s="35" t="s">
        <v>74</v>
      </c>
      <c r="G41" s="60">
        <f t="shared" ref="G41:G46" si="1">IF(C41,ROUNDUP(C41*E41,0),"")</f>
        <v>4085</v>
      </c>
    </row>
    <row r="42" spans="1:11" s="11" customFormat="1" ht="91.5" customHeight="1" x14ac:dyDescent="0.2">
      <c r="A42" s="67">
        <v>20</v>
      </c>
      <c r="B42" s="132" t="s">
        <v>211</v>
      </c>
      <c r="C42" s="12">
        <f>sanitary_MEASUR!K81</f>
        <v>43</v>
      </c>
      <c r="D42" s="11" t="s">
        <v>132</v>
      </c>
      <c r="E42" s="12">
        <v>115</v>
      </c>
      <c r="F42" s="11" t="s">
        <v>164</v>
      </c>
      <c r="G42" s="60">
        <f t="shared" si="1"/>
        <v>4945</v>
      </c>
    </row>
    <row r="43" spans="1:11" ht="138.75" customHeight="1" x14ac:dyDescent="0.2">
      <c r="A43" s="50">
        <v>21</v>
      </c>
      <c r="B43" s="17" t="s">
        <v>302</v>
      </c>
      <c r="C43" s="69">
        <f>sanitary_MEASUR!K82</f>
        <v>3</v>
      </c>
      <c r="D43" s="11" t="s">
        <v>133</v>
      </c>
      <c r="E43" s="12">
        <v>500</v>
      </c>
      <c r="F43" s="11" t="s">
        <v>134</v>
      </c>
      <c r="G43" s="60">
        <f t="shared" si="1"/>
        <v>1500</v>
      </c>
    </row>
    <row r="44" spans="1:11" ht="46.5" customHeight="1" x14ac:dyDescent="0.2">
      <c r="A44" s="89">
        <v>22</v>
      </c>
      <c r="B44" s="17" t="s">
        <v>212</v>
      </c>
      <c r="C44" s="81">
        <f>sanitary_MEASUR!K84</f>
        <v>3</v>
      </c>
      <c r="D44" s="36" t="s">
        <v>82</v>
      </c>
      <c r="E44" s="4">
        <v>35</v>
      </c>
      <c r="F44" s="35" t="s">
        <v>134</v>
      </c>
      <c r="G44" s="60">
        <f t="shared" si="1"/>
        <v>105</v>
      </c>
      <c r="J44" s="25"/>
      <c r="K44" s="6"/>
    </row>
    <row r="45" spans="1:11" s="11" customFormat="1" ht="84.75" customHeight="1" x14ac:dyDescent="0.2">
      <c r="A45" s="67">
        <v>23</v>
      </c>
      <c r="B45" s="132" t="s">
        <v>293</v>
      </c>
      <c r="C45" s="11">
        <v>2</v>
      </c>
      <c r="D45" s="11" t="s">
        <v>82</v>
      </c>
      <c r="E45" s="12">
        <v>450</v>
      </c>
      <c r="F45" s="11" t="s">
        <v>134</v>
      </c>
      <c r="G45" s="60">
        <f t="shared" si="1"/>
        <v>900</v>
      </c>
    </row>
    <row r="46" spans="1:11" s="11" customFormat="1" ht="99" customHeight="1" x14ac:dyDescent="0.2">
      <c r="A46" s="67">
        <v>24</v>
      </c>
      <c r="B46" s="132" t="s">
        <v>307</v>
      </c>
      <c r="C46" s="11">
        <v>2</v>
      </c>
      <c r="D46" s="11" t="s">
        <v>133</v>
      </c>
      <c r="E46" s="12">
        <v>425</v>
      </c>
      <c r="F46" s="11" t="s">
        <v>134</v>
      </c>
      <c r="G46" s="60">
        <f t="shared" si="1"/>
        <v>850</v>
      </c>
    </row>
    <row r="47" spans="1:11" x14ac:dyDescent="0.2">
      <c r="A47" s="1"/>
      <c r="C47"/>
      <c r="D47" s="106" t="s">
        <v>78</v>
      </c>
      <c r="E47" s="105"/>
      <c r="F47" s="127" t="s">
        <v>50</v>
      </c>
      <c r="G47" s="128">
        <f>SUM(G5:G46)</f>
        <v>81418</v>
      </c>
    </row>
    <row r="48" spans="1:11" x14ac:dyDescent="0.2">
      <c r="A48" s="1"/>
      <c r="C48"/>
      <c r="D48" s="5"/>
      <c r="E48" s="9"/>
      <c r="F48" s="24"/>
      <c r="G48" s="73"/>
    </row>
    <row r="49" spans="1:10" ht="15.75" x14ac:dyDescent="0.2">
      <c r="A49" s="1"/>
      <c r="D49" s="11"/>
      <c r="E49" s="12"/>
      <c r="F49" s="60"/>
      <c r="G49" s="126" t="s">
        <v>9</v>
      </c>
    </row>
    <row r="50" spans="1:10" s="61" customFormat="1" ht="15.75" x14ac:dyDescent="0.25">
      <c r="A50" s="62"/>
      <c r="E50" s="11"/>
      <c r="F50" s="48"/>
      <c r="G50" s="126" t="s">
        <v>10</v>
      </c>
    </row>
    <row r="51" spans="1:10" s="61" customFormat="1" ht="15.75" x14ac:dyDescent="0.25">
      <c r="A51" s="62"/>
      <c r="B51" s="120"/>
      <c r="C51" s="11"/>
      <c r="E51" s="11"/>
      <c r="F51" s="48"/>
    </row>
    <row r="52" spans="1:10" s="45" customFormat="1" x14ac:dyDescent="0.2">
      <c r="A52" s="65"/>
      <c r="B52" s="116"/>
      <c r="C52" s="42"/>
      <c r="E52" s="59"/>
      <c r="G52" s="43"/>
      <c r="H52" s="59"/>
      <c r="J52" s="59"/>
    </row>
    <row r="53" spans="1:10" s="45" customFormat="1" x14ac:dyDescent="0.2">
      <c r="A53" s="65"/>
      <c r="B53" s="116"/>
      <c r="C53" s="42"/>
      <c r="E53" s="59"/>
      <c r="G53" s="43"/>
      <c r="H53" s="59"/>
      <c r="J53" s="59"/>
    </row>
    <row r="54" spans="1:10" x14ac:dyDescent="0.2">
      <c r="A54" s="1"/>
      <c r="C54"/>
      <c r="D54" s="5"/>
      <c r="E54" s="9"/>
      <c r="F54" s="24"/>
      <c r="G54" s="73"/>
    </row>
    <row r="55" spans="1:10" x14ac:dyDescent="0.2">
      <c r="A55" s="1"/>
      <c r="B55" s="129"/>
      <c r="C55"/>
      <c r="D55"/>
      <c r="E55"/>
      <c r="F55"/>
      <c r="G55" s="72"/>
    </row>
    <row r="56" spans="1:10" s="9" customFormat="1" x14ac:dyDescent="0.2">
      <c r="A56" s="37"/>
      <c r="B56" s="38"/>
      <c r="C56" s="22"/>
      <c r="D56" s="41"/>
      <c r="E56" s="5"/>
      <c r="F56" s="41"/>
      <c r="G56" s="73"/>
    </row>
    <row r="57" spans="1:10" s="9" customFormat="1" x14ac:dyDescent="0.2">
      <c r="A57" s="37"/>
      <c r="B57" s="38"/>
      <c r="C57" s="22"/>
      <c r="D57" s="41"/>
      <c r="E57" s="5"/>
      <c r="F57" s="41"/>
      <c r="G57" s="73"/>
    </row>
    <row r="58" spans="1:10" s="9" customFormat="1" x14ac:dyDescent="0.2">
      <c r="A58" s="37"/>
      <c r="B58" s="38"/>
      <c r="C58" s="22"/>
      <c r="D58" s="41"/>
      <c r="E58" s="5"/>
      <c r="F58" s="41"/>
      <c r="G58" s="73"/>
    </row>
    <row r="59" spans="1:10" s="9" customFormat="1" x14ac:dyDescent="0.2">
      <c r="A59" s="37"/>
      <c r="B59" s="38"/>
      <c r="C59" s="22"/>
      <c r="D59" s="41"/>
      <c r="E59" s="5"/>
      <c r="F59" s="41"/>
      <c r="G59" s="73"/>
    </row>
    <row r="60" spans="1:10" s="9" customFormat="1" x14ac:dyDescent="0.2">
      <c r="A60" s="37"/>
      <c r="B60" s="38"/>
      <c r="C60" s="22"/>
      <c r="D60" s="41"/>
      <c r="E60" s="5"/>
      <c r="F60" s="41"/>
      <c r="G60" s="73"/>
    </row>
    <row r="61" spans="1:10" s="9" customFormat="1" x14ac:dyDescent="0.2">
      <c r="A61" s="37"/>
      <c r="B61" s="38"/>
      <c r="C61" s="22"/>
      <c r="D61" s="41"/>
      <c r="E61" s="5"/>
      <c r="F61" s="41"/>
      <c r="G61" s="73"/>
    </row>
    <row r="62" spans="1:10" s="9" customFormat="1" x14ac:dyDescent="0.2">
      <c r="A62" s="37"/>
      <c r="B62" s="38"/>
      <c r="C62" s="22"/>
      <c r="D62" s="41"/>
      <c r="E62" s="5"/>
      <c r="F62" s="41"/>
      <c r="G62" s="73"/>
    </row>
    <row r="63" spans="1:10" s="9" customFormat="1" x14ac:dyDescent="0.2">
      <c r="A63" s="37"/>
      <c r="B63" s="38"/>
      <c r="C63" s="22"/>
      <c r="D63" s="41"/>
      <c r="E63" s="5"/>
      <c r="F63" s="41"/>
      <c r="G63" s="73"/>
    </row>
    <row r="64" spans="1:10" s="9" customFormat="1" x14ac:dyDescent="0.2">
      <c r="A64" s="37"/>
      <c r="B64" s="38"/>
      <c r="C64" s="22"/>
      <c r="D64" s="41"/>
      <c r="E64" s="5"/>
      <c r="F64" s="41"/>
      <c r="G64" s="73"/>
    </row>
    <row r="65" spans="1:7" s="9" customFormat="1" x14ac:dyDescent="0.2">
      <c r="A65" s="37"/>
      <c r="B65" s="38"/>
      <c r="C65" s="22"/>
      <c r="D65" s="41"/>
      <c r="E65" s="5"/>
      <c r="F65" s="41"/>
      <c r="G65" s="73"/>
    </row>
    <row r="66" spans="1:7" s="9" customFormat="1" x14ac:dyDescent="0.2">
      <c r="A66" s="37"/>
      <c r="B66" s="38"/>
      <c r="C66" s="22"/>
      <c r="D66" s="41"/>
      <c r="E66" s="5"/>
      <c r="F66" s="41"/>
      <c r="G66" s="73"/>
    </row>
    <row r="67" spans="1:7" s="9" customFormat="1" x14ac:dyDescent="0.2">
      <c r="A67" s="37"/>
      <c r="B67" s="38"/>
      <c r="C67" s="22"/>
      <c r="D67" s="41"/>
      <c r="E67" s="5"/>
      <c r="F67" s="41"/>
      <c r="G67" s="73"/>
    </row>
    <row r="68" spans="1:7" s="9" customFormat="1" x14ac:dyDescent="0.2">
      <c r="A68" s="37"/>
      <c r="B68" s="38"/>
      <c r="C68" s="22"/>
      <c r="D68" s="41"/>
      <c r="E68" s="5"/>
      <c r="F68" s="41"/>
      <c r="G68" s="73"/>
    </row>
    <row r="69" spans="1:7" s="9" customFormat="1" x14ac:dyDescent="0.2">
      <c r="A69" s="37"/>
      <c r="B69" s="38"/>
      <c r="C69" s="22"/>
      <c r="D69" s="41"/>
      <c r="E69" s="5"/>
      <c r="F69" s="41"/>
      <c r="G69" s="73"/>
    </row>
    <row r="70" spans="1:7" s="9" customFormat="1" x14ac:dyDescent="0.2">
      <c r="A70" s="37"/>
      <c r="B70" s="38"/>
      <c r="C70" s="22"/>
      <c r="D70" s="41"/>
      <c r="E70" s="5"/>
      <c r="F70" s="41"/>
      <c r="G70" s="73"/>
    </row>
    <row r="71" spans="1:7" s="9" customFormat="1" x14ac:dyDescent="0.2">
      <c r="A71" s="37"/>
      <c r="B71" s="38"/>
      <c r="C71" s="22"/>
      <c r="D71" s="41"/>
      <c r="E71" s="5"/>
      <c r="F71" s="41"/>
      <c r="G71" s="73"/>
    </row>
    <row r="72" spans="1:7" s="9" customFormat="1" x14ac:dyDescent="0.2">
      <c r="A72" s="37"/>
      <c r="B72" s="38"/>
      <c r="C72" s="22"/>
      <c r="D72" s="41"/>
      <c r="E72" s="5"/>
      <c r="F72" s="41"/>
      <c r="G72" s="73"/>
    </row>
    <row r="73" spans="1:7" s="9" customFormat="1" x14ac:dyDescent="0.2">
      <c r="A73" s="37"/>
      <c r="B73" s="38"/>
      <c r="C73" s="22"/>
      <c r="D73" s="41"/>
      <c r="E73" s="5"/>
      <c r="F73" s="41"/>
      <c r="G73" s="73"/>
    </row>
    <row r="74" spans="1:7" s="9" customFormat="1" x14ac:dyDescent="0.2">
      <c r="A74" s="37"/>
      <c r="B74" s="38"/>
      <c r="C74" s="22"/>
      <c r="D74" s="41"/>
      <c r="E74" s="5"/>
      <c r="F74" s="41"/>
      <c r="G74" s="73"/>
    </row>
    <row r="75" spans="1:7" s="9" customFormat="1" x14ac:dyDescent="0.2">
      <c r="A75" s="37"/>
      <c r="B75" s="38"/>
      <c r="C75" s="22"/>
      <c r="D75" s="41"/>
      <c r="E75" s="5"/>
      <c r="F75" s="41"/>
      <c r="G75" s="73"/>
    </row>
    <row r="76" spans="1:7" s="9" customFormat="1" x14ac:dyDescent="0.2">
      <c r="A76" s="37"/>
      <c r="B76" s="38"/>
      <c r="C76" s="22"/>
      <c r="D76" s="41"/>
      <c r="E76" s="5"/>
      <c r="F76" s="41"/>
      <c r="G76" s="73"/>
    </row>
    <row r="77" spans="1:7" s="9" customFormat="1" x14ac:dyDescent="0.2">
      <c r="A77" s="37"/>
      <c r="B77" s="38"/>
      <c r="C77" s="22"/>
      <c r="D77" s="41"/>
      <c r="E77" s="5"/>
      <c r="F77" s="41"/>
      <c r="G77" s="73"/>
    </row>
    <row r="78" spans="1:7" s="9" customFormat="1" x14ac:dyDescent="0.2">
      <c r="A78" s="37"/>
      <c r="B78" s="38"/>
      <c r="C78" s="22"/>
      <c r="D78" s="41"/>
      <c r="E78" s="5"/>
      <c r="F78" s="41"/>
      <c r="G78" s="73"/>
    </row>
    <row r="79" spans="1:7" s="9" customFormat="1" x14ac:dyDescent="0.2">
      <c r="A79" s="37"/>
      <c r="B79" s="38"/>
      <c r="C79" s="22"/>
      <c r="D79" s="41"/>
      <c r="E79" s="5"/>
      <c r="F79" s="41"/>
      <c r="G79" s="73"/>
    </row>
    <row r="80" spans="1:7" s="9" customFormat="1" x14ac:dyDescent="0.2">
      <c r="A80" s="37"/>
      <c r="B80" s="38"/>
      <c r="C80" s="22"/>
      <c r="D80" s="41"/>
      <c r="E80" s="5"/>
      <c r="F80" s="41"/>
      <c r="G80" s="73"/>
    </row>
    <row r="81" spans="1:7" s="9" customFormat="1" x14ac:dyDescent="0.2">
      <c r="A81" s="37"/>
      <c r="B81" s="38"/>
      <c r="C81" s="22"/>
      <c r="D81" s="41"/>
      <c r="E81" s="5"/>
      <c r="F81" s="41"/>
      <c r="G81" s="73"/>
    </row>
    <row r="82" spans="1:7" s="9" customFormat="1" x14ac:dyDescent="0.2">
      <c r="A82" s="37"/>
      <c r="B82" s="38"/>
      <c r="C82" s="22"/>
      <c r="D82" s="41"/>
      <c r="E82" s="5"/>
      <c r="F82" s="41"/>
      <c r="G82" s="73"/>
    </row>
    <row r="83" spans="1:7" s="9" customFormat="1" x14ac:dyDescent="0.2">
      <c r="A83" s="37"/>
      <c r="B83" s="38"/>
      <c r="C83" s="22"/>
      <c r="D83" s="41"/>
      <c r="E83" s="5"/>
      <c r="F83" s="41"/>
      <c r="G83" s="73"/>
    </row>
    <row r="84" spans="1:7" s="9" customFormat="1" x14ac:dyDescent="0.2">
      <c r="A84" s="37"/>
      <c r="B84" s="38"/>
      <c r="C84" s="22"/>
      <c r="D84" s="41"/>
      <c r="E84" s="5"/>
      <c r="F84" s="41"/>
      <c r="G84" s="73"/>
    </row>
    <row r="85" spans="1:7" s="9" customFormat="1" x14ac:dyDescent="0.2">
      <c r="A85" s="37"/>
      <c r="B85" s="38"/>
      <c r="C85" s="22"/>
      <c r="D85" s="41"/>
      <c r="E85" s="5"/>
      <c r="F85" s="41"/>
      <c r="G85" s="73"/>
    </row>
    <row r="86" spans="1:7" s="9" customFormat="1" x14ac:dyDescent="0.2">
      <c r="A86" s="37"/>
      <c r="B86" s="38"/>
      <c r="C86" s="22"/>
      <c r="D86" s="41"/>
      <c r="E86" s="5"/>
      <c r="F86" s="41"/>
      <c r="G86" s="73"/>
    </row>
    <row r="87" spans="1:7" s="9" customFormat="1" x14ac:dyDescent="0.2">
      <c r="A87" s="37"/>
      <c r="B87" s="38"/>
      <c r="C87" s="22"/>
      <c r="D87" s="41"/>
      <c r="E87" s="5"/>
      <c r="F87" s="41"/>
      <c r="G87" s="73"/>
    </row>
  </sheetData>
  <mergeCells count="3">
    <mergeCell ref="A1:G1"/>
    <mergeCell ref="A2:G2"/>
    <mergeCell ref="A3:G3"/>
  </mergeCells>
  <phoneticPr fontId="0" type="noConversion"/>
  <printOptions horizontalCentered="1"/>
  <pageMargins left="0.75" right="0.75" top="0.76" bottom="1" header="0.5" footer="0.5"/>
  <pageSetup paperSize="9" scale="90" firstPageNumber="11" fitToHeight="5" orientation="portrait" horizontalDpi="180" verticalDpi="180" r:id="rId1"/>
  <headerFooter alignWithMargins="0">
    <oddFooter>&amp;LGIRLS PHARMACY BNI&amp;R&amp;D&amp;'  Page-&amp;P</oddFooter>
  </headerFooter>
  <rowBreaks count="2" manualBreakCount="2">
    <brk id="20" max="6" man="1"/>
    <brk id="39"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91"/>
  <sheetViews>
    <sheetView topLeftCell="A186" zoomScaleNormal="100" workbookViewId="0">
      <selection activeCell="C192" sqref="C192"/>
    </sheetView>
    <sheetView topLeftCell="A186" workbookViewId="1">
      <selection activeCell="A190" sqref="A190"/>
    </sheetView>
  </sheetViews>
  <sheetFormatPr defaultRowHeight="15" x14ac:dyDescent="0.2"/>
  <cols>
    <col min="1" max="1" width="4.21875" style="37" customWidth="1"/>
    <col min="2" max="2" width="42.109375" style="38" customWidth="1"/>
    <col min="3" max="3" width="4" style="22" customWidth="1"/>
    <col min="4" max="4" width="1.77734375" style="9" customWidth="1"/>
    <col min="5" max="5" width="6.44140625" style="5" customWidth="1"/>
    <col min="6" max="6" width="2.77734375" style="9" customWidth="1"/>
    <col min="7" max="7" width="5.21875" style="24" customWidth="1"/>
    <col min="8" max="8" width="2.88671875" style="9" customWidth="1"/>
    <col min="9" max="9" width="4.5546875" style="9" customWidth="1"/>
    <col min="10" max="10" width="2" style="9" customWidth="1"/>
    <col min="11" max="11" width="8" style="5" customWidth="1"/>
    <col min="12" max="12" width="13.21875" style="9" customWidth="1"/>
    <col min="13" max="16384" width="8.88671875" style="9"/>
  </cols>
  <sheetData>
    <row r="1" spans="1:12" s="11" customFormat="1" ht="36" x14ac:dyDescent="0.2">
      <c r="A1" s="55" t="str">
        <f>'gen-abstract'!A2</f>
        <v>NAME OF WORK :- CONSTRUCTION OF COMMERCIAL COMPLEX FOR PANCHAYAT SAMITI GIRWA, UDAIPUR</v>
      </c>
      <c r="B1" s="13"/>
      <c r="C1" s="14"/>
      <c r="D1" s="13"/>
      <c r="E1" s="14"/>
      <c r="F1" s="13"/>
      <c r="G1" s="15"/>
      <c r="H1" s="13"/>
      <c r="I1" s="13"/>
      <c r="J1" s="13"/>
      <c r="K1" s="13"/>
      <c r="L1" s="13"/>
    </row>
    <row r="2" spans="1:12" s="11" customFormat="1" x14ac:dyDescent="0.2">
      <c r="A2" s="80" t="s">
        <v>179</v>
      </c>
      <c r="B2" s="13"/>
      <c r="C2" s="44"/>
      <c r="D2" s="40"/>
      <c r="E2" s="47"/>
      <c r="F2" s="40"/>
      <c r="G2" s="14"/>
      <c r="H2" s="13"/>
      <c r="I2" s="13"/>
      <c r="J2" s="13"/>
      <c r="K2" s="13"/>
      <c r="L2" s="13"/>
    </row>
    <row r="3" spans="1:12" s="45" customFormat="1" ht="18" x14ac:dyDescent="0.25">
      <c r="A3" s="56" t="s">
        <v>79</v>
      </c>
      <c r="B3" s="3"/>
      <c r="C3" s="3"/>
      <c r="D3" s="13"/>
      <c r="E3" s="14"/>
      <c r="F3" s="13"/>
      <c r="G3" s="15"/>
      <c r="H3" s="13"/>
      <c r="I3" s="14"/>
      <c r="J3" s="13"/>
      <c r="K3" s="13"/>
      <c r="L3" s="13"/>
    </row>
    <row r="4" spans="1:12" s="45" customFormat="1" x14ac:dyDescent="0.2">
      <c r="A4" s="33" t="s">
        <v>80</v>
      </c>
      <c r="B4" s="26" t="s">
        <v>81</v>
      </c>
      <c r="C4" s="30" t="s">
        <v>82</v>
      </c>
      <c r="D4" s="27"/>
      <c r="E4" s="28" t="s">
        <v>83</v>
      </c>
      <c r="F4" s="27"/>
      <c r="G4" s="31" t="s">
        <v>84</v>
      </c>
      <c r="H4" s="28"/>
      <c r="I4" s="28" t="s">
        <v>85</v>
      </c>
      <c r="J4" s="28"/>
      <c r="K4" s="28" t="s">
        <v>86</v>
      </c>
      <c r="L4" s="28" t="s">
        <v>87</v>
      </c>
    </row>
    <row r="5" spans="1:12" ht="60" x14ac:dyDescent="0.2">
      <c r="A5" s="1">
        <v>1</v>
      </c>
      <c r="B5" s="18" t="s">
        <v>203</v>
      </c>
      <c r="C5"/>
      <c r="D5"/>
      <c r="E5"/>
      <c r="F5"/>
      <c r="G5"/>
      <c r="H5"/>
      <c r="I5"/>
      <c r="J5"/>
      <c r="K5"/>
      <c r="L5"/>
    </row>
    <row r="6" spans="1:12" x14ac:dyDescent="0.2">
      <c r="A6" s="1"/>
      <c r="B6" s="17"/>
      <c r="C6" s="21">
        <v>3</v>
      </c>
      <c r="D6" s="6" t="s">
        <v>88</v>
      </c>
      <c r="E6" s="25">
        <v>1</v>
      </c>
      <c r="F6"/>
      <c r="G6" s="23"/>
      <c r="H6" s="7"/>
      <c r="I6" s="7"/>
      <c r="J6" s="52" t="str">
        <f>IF(K6,"=","")</f>
        <v>=</v>
      </c>
      <c r="K6" s="78">
        <f>C6*E6</f>
        <v>3</v>
      </c>
      <c r="L6" s="77" t="s">
        <v>82</v>
      </c>
    </row>
    <row r="7" spans="1:12" ht="45" x14ac:dyDescent="0.2">
      <c r="A7" s="1">
        <f>A5+1</f>
        <v>2</v>
      </c>
      <c r="B7" s="18" t="s">
        <v>135</v>
      </c>
      <c r="C7" s="21"/>
      <c r="D7" s="6"/>
      <c r="E7" s="25"/>
      <c r="F7"/>
      <c r="G7" s="23"/>
      <c r="H7"/>
      <c r="I7"/>
      <c r="J7" s="52" t="str">
        <f t="shared" ref="J7:J41" si="0">IF(K7,"=","")</f>
        <v/>
      </c>
      <c r="K7" s="25"/>
      <c r="L7" s="6"/>
    </row>
    <row r="8" spans="1:12" x14ac:dyDescent="0.2">
      <c r="A8" s="1"/>
      <c r="B8" s="17"/>
      <c r="C8" s="21">
        <v>3</v>
      </c>
      <c r="D8" s="6" t="s">
        <v>88</v>
      </c>
      <c r="E8" s="25">
        <v>1</v>
      </c>
      <c r="F8"/>
      <c r="G8" s="23"/>
      <c r="H8" s="7"/>
      <c r="I8" s="7"/>
      <c r="J8" s="52" t="str">
        <f t="shared" si="0"/>
        <v>=</v>
      </c>
      <c r="K8" s="78">
        <f>C8*E8</f>
        <v>3</v>
      </c>
      <c r="L8" s="77" t="s">
        <v>82</v>
      </c>
    </row>
    <row r="9" spans="1:12" x14ac:dyDescent="0.2">
      <c r="A9" s="1"/>
      <c r="B9" s="17"/>
      <c r="C9" s="21"/>
      <c r="D9" s="6"/>
      <c r="E9" s="25"/>
      <c r="F9"/>
      <c r="G9" s="23"/>
      <c r="H9" t="s">
        <v>93</v>
      </c>
      <c r="I9"/>
      <c r="J9" s="52" t="str">
        <f t="shared" si="0"/>
        <v>=</v>
      </c>
      <c r="K9" s="25">
        <f>SUM(K8:K8)</f>
        <v>3</v>
      </c>
      <c r="L9" s="6" t="s">
        <v>82</v>
      </c>
    </row>
    <row r="10" spans="1:12" x14ac:dyDescent="0.2">
      <c r="A10" s="1">
        <f>IF(A7,A7+1,A5+1)</f>
        <v>3</v>
      </c>
      <c r="B10" s="17"/>
      <c r="C10" s="21"/>
      <c r="D10" s="6"/>
      <c r="E10" s="25"/>
      <c r="F10"/>
      <c r="G10" s="23"/>
      <c r="H10"/>
      <c r="I10"/>
      <c r="J10" s="52" t="str">
        <f t="shared" si="0"/>
        <v/>
      </c>
      <c r="K10" s="25"/>
      <c r="L10" s="6"/>
    </row>
    <row r="11" spans="1:12" x14ac:dyDescent="0.2">
      <c r="A11" s="1"/>
      <c r="B11" s="18"/>
      <c r="C11" s="21">
        <v>3</v>
      </c>
      <c r="D11" s="6" t="s">
        <v>88</v>
      </c>
      <c r="E11" s="25">
        <v>1</v>
      </c>
      <c r="F11"/>
      <c r="G11" s="23"/>
      <c r="H11" s="7"/>
      <c r="I11" s="7"/>
      <c r="J11" s="52" t="str">
        <f t="shared" si="0"/>
        <v>=</v>
      </c>
      <c r="K11" s="78">
        <f>C11*E11</f>
        <v>3</v>
      </c>
      <c r="L11" s="77" t="s">
        <v>82</v>
      </c>
    </row>
    <row r="12" spans="1:12" x14ac:dyDescent="0.2">
      <c r="A12" s="1"/>
      <c r="B12" s="17"/>
      <c r="C12" s="21"/>
      <c r="D12" s="6"/>
      <c r="E12" s="25"/>
      <c r="F12"/>
      <c r="G12" s="23"/>
      <c r="H12" t="s">
        <v>93</v>
      </c>
      <c r="I12"/>
      <c r="J12" s="52" t="str">
        <f t="shared" si="0"/>
        <v>=</v>
      </c>
      <c r="K12" s="25">
        <f>SUM(K11:K11)</f>
        <v>3</v>
      </c>
      <c r="L12" s="6" t="s">
        <v>82</v>
      </c>
    </row>
    <row r="13" spans="1:12" ht="75" x14ac:dyDescent="0.2">
      <c r="A13" s="1">
        <f>IF(A10,A10+1,A7+1)</f>
        <v>4</v>
      </c>
      <c r="B13" s="18" t="s">
        <v>136</v>
      </c>
      <c r="C13" s="81">
        <f>K12</f>
        <v>3</v>
      </c>
      <c r="D13" s="6" t="s">
        <v>88</v>
      </c>
      <c r="E13" s="25">
        <v>1</v>
      </c>
      <c r="F13"/>
      <c r="G13" s="23"/>
      <c r="H13"/>
      <c r="I13"/>
      <c r="J13" s="52" t="str">
        <f t="shared" si="0"/>
        <v>=</v>
      </c>
      <c r="K13" s="25">
        <f>C13*E13</f>
        <v>3</v>
      </c>
      <c r="L13" s="6" t="s">
        <v>82</v>
      </c>
    </row>
    <row r="14" spans="1:12" x14ac:dyDescent="0.2">
      <c r="A14" s="1"/>
      <c r="B14" s="18"/>
      <c r="C14" s="81"/>
      <c r="D14" s="6"/>
      <c r="E14" s="25"/>
      <c r="F14"/>
      <c r="G14" s="23"/>
      <c r="H14"/>
      <c r="I14"/>
      <c r="J14" s="52"/>
      <c r="K14" s="25"/>
      <c r="L14" s="6"/>
    </row>
    <row r="15" spans="1:12" x14ac:dyDescent="0.2">
      <c r="A15" s="1">
        <v>5</v>
      </c>
      <c r="B15" s="18" t="s">
        <v>137</v>
      </c>
      <c r="C15" s="21"/>
      <c r="D15" s="6"/>
      <c r="E15" s="25"/>
      <c r="F15"/>
      <c r="G15" s="23"/>
      <c r="H15"/>
      <c r="I15"/>
      <c r="J15" s="52" t="str">
        <f t="shared" si="0"/>
        <v/>
      </c>
      <c r="K15" s="25"/>
      <c r="L15" s="6"/>
    </row>
    <row r="16" spans="1:12" x14ac:dyDescent="0.2">
      <c r="A16" s="1"/>
      <c r="B16" s="18" t="s">
        <v>165</v>
      </c>
      <c r="C16" s="21">
        <v>6</v>
      </c>
      <c r="D16" s="6" t="s">
        <v>88</v>
      </c>
      <c r="E16" s="25">
        <v>1</v>
      </c>
      <c r="F16"/>
      <c r="G16" s="23"/>
      <c r="J16" s="52" t="str">
        <f t="shared" si="0"/>
        <v>=</v>
      </c>
      <c r="K16" s="82">
        <f>C16*E16</f>
        <v>6</v>
      </c>
      <c r="L16" s="20" t="s">
        <v>82</v>
      </c>
    </row>
    <row r="17" spans="1:12" x14ac:dyDescent="0.2">
      <c r="A17" s="1"/>
      <c r="B17" s="17"/>
      <c r="C17" s="21"/>
      <c r="D17" s="6"/>
      <c r="E17" s="25"/>
      <c r="F17"/>
      <c r="G17" s="23"/>
      <c r="H17" s="105" t="s">
        <v>93</v>
      </c>
      <c r="I17" s="105"/>
      <c r="J17" s="121" t="str">
        <f t="shared" si="0"/>
        <v>=</v>
      </c>
      <c r="K17" s="122">
        <f>SUM(K16:K16)</f>
        <v>6</v>
      </c>
      <c r="L17" s="123" t="s">
        <v>82</v>
      </c>
    </row>
    <row r="18" spans="1:12" ht="45" x14ac:dyDescent="0.2">
      <c r="A18" s="1">
        <v>6</v>
      </c>
      <c r="B18" s="18" t="s">
        <v>166</v>
      </c>
      <c r="C18" s="21"/>
      <c r="D18" s="6"/>
      <c r="E18" s="25"/>
      <c r="F18"/>
      <c r="G18" s="23"/>
      <c r="H18"/>
      <c r="I18"/>
      <c r="J18" s="52" t="str">
        <f t="shared" si="0"/>
        <v/>
      </c>
      <c r="K18" s="25"/>
      <c r="L18" s="6"/>
    </row>
    <row r="19" spans="1:12" x14ac:dyDescent="0.2">
      <c r="A19" s="66" t="s">
        <v>139</v>
      </c>
      <c r="B19" s="17" t="s">
        <v>140</v>
      </c>
      <c r="C19" s="21"/>
      <c r="D19" s="6"/>
      <c r="E19" s="4"/>
      <c r="F19"/>
      <c r="G19" s="23"/>
      <c r="H19"/>
      <c r="I19"/>
      <c r="J19" s="52" t="str">
        <f t="shared" si="0"/>
        <v/>
      </c>
      <c r="K19" s="4"/>
      <c r="L19" s="21"/>
    </row>
    <row r="20" spans="1:12" x14ac:dyDescent="0.2">
      <c r="A20" s="66"/>
      <c r="B20" s="17" t="s">
        <v>167</v>
      </c>
      <c r="C20" s="21">
        <v>3</v>
      </c>
      <c r="D20" s="6" t="s">
        <v>88</v>
      </c>
      <c r="E20" s="4">
        <v>4.5</v>
      </c>
      <c r="F20"/>
      <c r="G20" s="23"/>
      <c r="H20"/>
      <c r="I20"/>
      <c r="J20" s="52" t="str">
        <f t="shared" si="0"/>
        <v>=</v>
      </c>
      <c r="K20" s="4">
        <f>C20*E20</f>
        <v>13.5</v>
      </c>
      <c r="L20" s="21" t="s">
        <v>73</v>
      </c>
    </row>
    <row r="21" spans="1:12" x14ac:dyDescent="0.2">
      <c r="A21" s="66"/>
      <c r="B21" s="17" t="s">
        <v>168</v>
      </c>
      <c r="C21" s="21">
        <v>3</v>
      </c>
      <c r="D21" s="6" t="s">
        <v>88</v>
      </c>
      <c r="E21" s="4">
        <v>4.5</v>
      </c>
      <c r="F21"/>
      <c r="G21" s="23"/>
      <c r="H21"/>
      <c r="I21"/>
      <c r="J21" s="52" t="str">
        <f t="shared" si="0"/>
        <v>=</v>
      </c>
      <c r="K21" s="4">
        <f>C21*E21</f>
        <v>13.5</v>
      </c>
      <c r="L21" s="21" t="s">
        <v>73</v>
      </c>
    </row>
    <row r="22" spans="1:12" x14ac:dyDescent="0.2">
      <c r="A22" s="66"/>
      <c r="B22" s="17"/>
      <c r="C22" s="21"/>
      <c r="D22" s="6"/>
      <c r="E22" s="4"/>
      <c r="F22"/>
      <c r="G22" s="23"/>
      <c r="H22" s="105" t="s">
        <v>78</v>
      </c>
      <c r="I22" s="105"/>
      <c r="J22" s="121" t="str">
        <f t="shared" si="0"/>
        <v>=</v>
      </c>
      <c r="K22" s="106">
        <f>SUM(K19:K21)</f>
        <v>27</v>
      </c>
      <c r="L22" s="124" t="s">
        <v>73</v>
      </c>
    </row>
    <row r="23" spans="1:12" x14ac:dyDescent="0.2">
      <c r="A23" s="66" t="s">
        <v>141</v>
      </c>
      <c r="B23" s="17" t="s">
        <v>142</v>
      </c>
      <c r="C23" s="21"/>
      <c r="D23" s="6"/>
      <c r="E23" s="25"/>
      <c r="F23"/>
      <c r="G23" s="23"/>
      <c r="H23"/>
      <c r="I23"/>
      <c r="J23" s="52" t="str">
        <f t="shared" si="0"/>
        <v/>
      </c>
      <c r="K23" s="25"/>
      <c r="L23" s="6"/>
    </row>
    <row r="24" spans="1:12" x14ac:dyDescent="0.2">
      <c r="A24" s="66"/>
      <c r="B24" s="18" t="s">
        <v>169</v>
      </c>
      <c r="C24" s="21">
        <v>2</v>
      </c>
      <c r="D24" s="6" t="s">
        <v>88</v>
      </c>
      <c r="E24" s="4">
        <v>16.2</v>
      </c>
      <c r="F24"/>
      <c r="G24" s="23"/>
      <c r="H24"/>
      <c r="I24"/>
      <c r="J24" s="52" t="str">
        <f t="shared" si="0"/>
        <v>=</v>
      </c>
      <c r="K24" s="4">
        <f>C24*E24</f>
        <v>32.4</v>
      </c>
      <c r="L24" s="21" t="s">
        <v>73</v>
      </c>
    </row>
    <row r="25" spans="1:12" x14ac:dyDescent="0.2">
      <c r="A25" s="66"/>
      <c r="B25" s="18" t="s">
        <v>285</v>
      </c>
      <c r="C25" s="21">
        <v>3</v>
      </c>
      <c r="D25" s="6" t="s">
        <v>88</v>
      </c>
      <c r="E25" s="4">
        <v>14</v>
      </c>
      <c r="F25"/>
      <c r="J25" s="52" t="str">
        <f>IF(K25,"=","")</f>
        <v>=</v>
      </c>
      <c r="K25" s="5">
        <f>C25*E25</f>
        <v>42</v>
      </c>
      <c r="L25" s="22" t="s">
        <v>73</v>
      </c>
    </row>
    <row r="26" spans="1:12" x14ac:dyDescent="0.2">
      <c r="A26" s="66"/>
      <c r="B26" s="18" t="s">
        <v>170</v>
      </c>
      <c r="C26" s="21">
        <v>2</v>
      </c>
      <c r="D26" s="6" t="s">
        <v>88</v>
      </c>
      <c r="E26" s="4">
        <v>8.1</v>
      </c>
      <c r="F26"/>
      <c r="J26" s="52" t="str">
        <f t="shared" si="0"/>
        <v>=</v>
      </c>
      <c r="K26" s="5">
        <f>C26*E26</f>
        <v>16.2</v>
      </c>
      <c r="L26" s="22" t="s">
        <v>73</v>
      </c>
    </row>
    <row r="27" spans="1:12" x14ac:dyDescent="0.2">
      <c r="A27" s="66"/>
      <c r="B27" s="17"/>
      <c r="C27" s="21"/>
      <c r="D27" s="6"/>
      <c r="E27" s="4"/>
      <c r="F27"/>
      <c r="G27" s="23"/>
      <c r="H27" s="105" t="s">
        <v>78</v>
      </c>
      <c r="I27" s="105"/>
      <c r="J27" s="121" t="str">
        <f t="shared" si="0"/>
        <v>=</v>
      </c>
      <c r="K27" s="106">
        <f>SUM(K23:K26)</f>
        <v>90.600000000000009</v>
      </c>
      <c r="L27" s="124" t="s">
        <v>73</v>
      </c>
    </row>
    <row r="28" spans="1:12" ht="45" x14ac:dyDescent="0.2">
      <c r="A28" s="1">
        <f>A18+1</f>
        <v>7</v>
      </c>
      <c r="B28" s="18" t="s">
        <v>143</v>
      </c>
      <c r="C28" s="21"/>
      <c r="D28" s="6"/>
      <c r="E28" s="25"/>
      <c r="F28"/>
      <c r="G28" s="23"/>
      <c r="H28"/>
      <c r="I28"/>
      <c r="J28" s="52" t="str">
        <f t="shared" si="0"/>
        <v/>
      </c>
      <c r="K28" s="25"/>
      <c r="L28" s="6"/>
    </row>
    <row r="29" spans="1:12" x14ac:dyDescent="0.2">
      <c r="A29" s="34" t="s">
        <v>139</v>
      </c>
      <c r="B29" s="18" t="s">
        <v>144</v>
      </c>
      <c r="C29" s="21"/>
      <c r="D29" s="6"/>
      <c r="E29" s="25"/>
      <c r="F29"/>
      <c r="G29" s="23"/>
      <c r="H29"/>
      <c r="I29"/>
      <c r="J29" s="52" t="str">
        <f t="shared" si="0"/>
        <v/>
      </c>
      <c r="K29" s="25"/>
      <c r="L29" s="6"/>
    </row>
    <row r="30" spans="1:12" x14ac:dyDescent="0.2">
      <c r="A30" s="66"/>
      <c r="B30" s="17" t="s">
        <v>171</v>
      </c>
      <c r="C30" s="21">
        <v>2</v>
      </c>
      <c r="D30" s="6" t="s">
        <v>88</v>
      </c>
      <c r="E30" s="4">
        <v>30</v>
      </c>
      <c r="F30"/>
      <c r="G30" s="23"/>
      <c r="H30"/>
      <c r="I30"/>
      <c r="J30" s="52" t="str">
        <f t="shared" si="0"/>
        <v>=</v>
      </c>
      <c r="K30" s="4">
        <f>C30*E30</f>
        <v>60</v>
      </c>
      <c r="L30" s="21" t="s">
        <v>73</v>
      </c>
    </row>
    <row r="31" spans="1:12" x14ac:dyDescent="0.2">
      <c r="A31" s="66"/>
      <c r="B31" s="17" t="s">
        <v>91</v>
      </c>
      <c r="C31" s="21">
        <v>4</v>
      </c>
      <c r="D31" s="6" t="s">
        <v>88</v>
      </c>
      <c r="E31" s="4">
        <v>15</v>
      </c>
      <c r="F31"/>
      <c r="G31" s="23"/>
      <c r="H31"/>
      <c r="I31"/>
      <c r="J31" s="52" t="str">
        <f t="shared" si="0"/>
        <v>=</v>
      </c>
      <c r="K31" s="4">
        <f>C31*E31</f>
        <v>60</v>
      </c>
      <c r="L31" s="21" t="s">
        <v>73</v>
      </c>
    </row>
    <row r="32" spans="1:12" x14ac:dyDescent="0.2">
      <c r="A32" s="66"/>
      <c r="B32" s="17"/>
      <c r="C32" s="21"/>
      <c r="D32" s="6"/>
      <c r="E32" s="4"/>
      <c r="F32"/>
      <c r="G32" s="23"/>
      <c r="H32" s="105" t="s">
        <v>78</v>
      </c>
      <c r="I32" s="105"/>
      <c r="J32" s="121" t="str">
        <f t="shared" si="0"/>
        <v>=</v>
      </c>
      <c r="K32" s="106">
        <f>SUM(K30:K31)</f>
        <v>120</v>
      </c>
      <c r="L32" s="124" t="s">
        <v>73</v>
      </c>
    </row>
    <row r="33" spans="1:12" ht="30" x14ac:dyDescent="0.2">
      <c r="A33" s="34">
        <f>A28+1</f>
        <v>8</v>
      </c>
      <c r="B33" s="18" t="s">
        <v>145</v>
      </c>
      <c r="C33" s="21"/>
      <c r="D33" s="6"/>
      <c r="E33" s="25"/>
      <c r="F33"/>
      <c r="G33" s="23"/>
      <c r="H33"/>
      <c r="I33"/>
      <c r="J33" s="52" t="str">
        <f t="shared" si="0"/>
        <v/>
      </c>
      <c r="K33" s="25"/>
      <c r="L33" s="6"/>
    </row>
    <row r="34" spans="1:12" x14ac:dyDescent="0.2">
      <c r="A34" s="1"/>
      <c r="B34" s="2" t="s">
        <v>172</v>
      </c>
      <c r="C34" s="21">
        <v>3</v>
      </c>
      <c r="D34" s="6" t="s">
        <v>88</v>
      </c>
      <c r="E34" s="25">
        <v>3</v>
      </c>
      <c r="F34"/>
      <c r="G34" s="23"/>
      <c r="H34"/>
      <c r="I34"/>
      <c r="J34" s="52" t="str">
        <f t="shared" si="0"/>
        <v>=</v>
      </c>
      <c r="K34" s="25">
        <f>C34*E34</f>
        <v>9</v>
      </c>
      <c r="L34" s="6" t="s">
        <v>82</v>
      </c>
    </row>
    <row r="35" spans="1:12" x14ac:dyDescent="0.2">
      <c r="A35" s="1"/>
      <c r="B35" s="17"/>
      <c r="C35" s="21"/>
      <c r="D35" s="6"/>
      <c r="E35" s="25"/>
      <c r="F35"/>
      <c r="G35" s="23"/>
      <c r="H35" t="s">
        <v>93</v>
      </c>
      <c r="I35"/>
      <c r="J35" s="52" t="str">
        <f t="shared" si="0"/>
        <v>=</v>
      </c>
      <c r="K35" s="25">
        <f>SUM(K34:K34)</f>
        <v>9</v>
      </c>
      <c r="L35" s="6" t="s">
        <v>82</v>
      </c>
    </row>
    <row r="36" spans="1:12" ht="30" x14ac:dyDescent="0.2">
      <c r="A36" s="1">
        <f>A33+1</f>
        <v>9</v>
      </c>
      <c r="B36" s="18" t="s">
        <v>186</v>
      </c>
      <c r="C36" s="21"/>
      <c r="D36" s="6"/>
      <c r="E36" s="25"/>
      <c r="F36"/>
      <c r="G36" s="23"/>
      <c r="H36"/>
      <c r="I36"/>
      <c r="J36" s="52" t="str">
        <f t="shared" si="0"/>
        <v/>
      </c>
      <c r="K36" s="25"/>
      <c r="L36" s="6"/>
    </row>
    <row r="37" spans="1:12" x14ac:dyDescent="0.2">
      <c r="A37" s="1"/>
      <c r="B37" s="17" t="s">
        <v>92</v>
      </c>
      <c r="C37" s="21">
        <v>3</v>
      </c>
      <c r="D37" s="6" t="s">
        <v>88</v>
      </c>
      <c r="E37" s="25">
        <v>1</v>
      </c>
      <c r="F37"/>
      <c r="G37" s="23"/>
      <c r="J37" s="52" t="str">
        <f>IF(K37,"=","")</f>
        <v>=</v>
      </c>
      <c r="K37" s="82">
        <f>C37*E37</f>
        <v>3</v>
      </c>
      <c r="L37" s="20" t="s">
        <v>82</v>
      </c>
    </row>
    <row r="38" spans="1:12" x14ac:dyDescent="0.2">
      <c r="A38" s="1"/>
      <c r="B38" s="17" t="s">
        <v>254</v>
      </c>
      <c r="C38" s="21">
        <v>1</v>
      </c>
      <c r="D38" s="6" t="s">
        <v>88</v>
      </c>
      <c r="E38" s="25">
        <v>1</v>
      </c>
      <c r="F38"/>
      <c r="G38" s="23"/>
      <c r="J38" s="91" t="str">
        <f t="shared" si="0"/>
        <v>=</v>
      </c>
      <c r="K38" s="82">
        <f>C38*E38</f>
        <v>1</v>
      </c>
      <c r="L38" s="20" t="s">
        <v>82</v>
      </c>
    </row>
    <row r="39" spans="1:12" x14ac:dyDescent="0.2">
      <c r="A39" s="1"/>
      <c r="B39" s="17"/>
      <c r="C39" s="21"/>
      <c r="D39" s="6"/>
      <c r="E39" s="25"/>
      <c r="F39"/>
      <c r="G39" s="23"/>
      <c r="H39" s="105" t="s">
        <v>93</v>
      </c>
      <c r="I39" s="105"/>
      <c r="J39" s="121" t="str">
        <f t="shared" si="0"/>
        <v>=</v>
      </c>
      <c r="K39" s="122">
        <f>SUM(K37:K38)</f>
        <v>4</v>
      </c>
      <c r="L39" s="123" t="s">
        <v>82</v>
      </c>
    </row>
    <row r="40" spans="1:12" ht="30" x14ac:dyDescent="0.2">
      <c r="A40" s="1">
        <f>IF(A36,A36+1,#REF!+1)</f>
        <v>10</v>
      </c>
      <c r="B40" s="18" t="s">
        <v>187</v>
      </c>
      <c r="C40" s="21"/>
      <c r="D40" s="6"/>
      <c r="E40" s="25"/>
      <c r="F40"/>
      <c r="G40" s="23"/>
      <c r="H40"/>
      <c r="I40"/>
      <c r="J40" s="52" t="str">
        <f t="shared" si="0"/>
        <v/>
      </c>
      <c r="K40" s="25"/>
      <c r="L40" s="6"/>
    </row>
    <row r="41" spans="1:12" x14ac:dyDescent="0.2">
      <c r="A41" s="1"/>
      <c r="B41" s="18" t="s">
        <v>173</v>
      </c>
      <c r="C41" s="21">
        <v>3</v>
      </c>
      <c r="D41" s="6" t="s">
        <v>88</v>
      </c>
      <c r="E41" s="25">
        <v>1</v>
      </c>
      <c r="F41"/>
      <c r="G41" s="23"/>
      <c r="J41" s="52" t="str">
        <f t="shared" si="0"/>
        <v>=</v>
      </c>
      <c r="K41" s="82">
        <f>C41*E41</f>
        <v>3</v>
      </c>
      <c r="L41" s="20" t="s">
        <v>82</v>
      </c>
    </row>
    <row r="42" spans="1:12" x14ac:dyDescent="0.2">
      <c r="A42" s="1"/>
      <c r="B42" s="17"/>
      <c r="C42" s="21"/>
      <c r="D42" s="6"/>
      <c r="E42" s="25"/>
      <c r="F42"/>
      <c r="G42" s="23"/>
      <c r="H42" t="s">
        <v>93</v>
      </c>
      <c r="I42"/>
      <c r="J42" s="52" t="str">
        <f t="shared" ref="J42:J61" si="1">IF(K42,"=","")</f>
        <v>=</v>
      </c>
      <c r="K42" s="25">
        <f>SUM(K41:K41)</f>
        <v>3</v>
      </c>
      <c r="L42" s="6" t="s">
        <v>82</v>
      </c>
    </row>
    <row r="43" spans="1:12" ht="30" x14ac:dyDescent="0.2">
      <c r="A43" s="1">
        <v>11</v>
      </c>
      <c r="B43" s="18" t="s">
        <v>146</v>
      </c>
      <c r="C43" s="21"/>
      <c r="D43" s="6"/>
      <c r="E43" s="25"/>
      <c r="F43"/>
      <c r="G43" s="23"/>
      <c r="H43"/>
      <c r="I43"/>
      <c r="J43" s="52" t="str">
        <f t="shared" si="1"/>
        <v/>
      </c>
      <c r="K43" s="25"/>
      <c r="L43" s="6"/>
    </row>
    <row r="44" spans="1:12" customFormat="1" x14ac:dyDescent="0.2">
      <c r="A44" s="1"/>
      <c r="B44" s="18" t="s">
        <v>147</v>
      </c>
      <c r="C44" s="69"/>
      <c r="D44" s="36"/>
      <c r="E44" s="4"/>
      <c r="F44" s="35"/>
      <c r="G44" s="52"/>
      <c r="J44" s="52" t="str">
        <f t="shared" si="1"/>
        <v/>
      </c>
    </row>
    <row r="45" spans="1:12" x14ac:dyDescent="0.2">
      <c r="A45" s="1"/>
      <c r="B45" s="2" t="s">
        <v>174</v>
      </c>
      <c r="C45" s="21">
        <v>3</v>
      </c>
      <c r="D45" s="6" t="s">
        <v>88</v>
      </c>
      <c r="E45" s="25">
        <v>1</v>
      </c>
      <c r="F45"/>
      <c r="G45" s="23"/>
      <c r="H45" s="7"/>
      <c r="I45" s="7"/>
      <c r="J45" s="52" t="str">
        <f t="shared" si="1"/>
        <v>=</v>
      </c>
      <c r="K45" s="78">
        <f>C45*E45</f>
        <v>3</v>
      </c>
      <c r="L45" s="77" t="s">
        <v>82</v>
      </c>
    </row>
    <row r="46" spans="1:12" x14ac:dyDescent="0.2">
      <c r="A46" s="1"/>
      <c r="B46" s="17"/>
      <c r="C46" s="21"/>
      <c r="D46" s="6"/>
      <c r="E46" s="25"/>
      <c r="F46"/>
      <c r="G46" s="23"/>
      <c r="H46" t="s">
        <v>93</v>
      </c>
      <c r="I46"/>
      <c r="J46" s="52" t="str">
        <f t="shared" si="1"/>
        <v>=</v>
      </c>
      <c r="K46" s="25">
        <f>SUM(K45)</f>
        <v>3</v>
      </c>
      <c r="L46" s="6" t="s">
        <v>82</v>
      </c>
    </row>
    <row r="47" spans="1:12" customFormat="1" x14ac:dyDescent="0.2">
      <c r="A47" s="1"/>
      <c r="B47" s="18" t="s">
        <v>148</v>
      </c>
      <c r="C47" s="69"/>
      <c r="D47" s="36"/>
      <c r="E47" s="4"/>
      <c r="F47" s="35"/>
      <c r="G47" s="52"/>
      <c r="J47" s="52" t="str">
        <f t="shared" si="1"/>
        <v/>
      </c>
    </row>
    <row r="48" spans="1:12" x14ac:dyDescent="0.2">
      <c r="A48" s="1"/>
      <c r="B48" s="18" t="s">
        <v>175</v>
      </c>
      <c r="C48" s="21">
        <v>2</v>
      </c>
      <c r="D48" s="6" t="s">
        <v>88</v>
      </c>
      <c r="E48" s="25">
        <v>1</v>
      </c>
      <c r="F48"/>
      <c r="G48" s="23"/>
      <c r="H48" s="7"/>
      <c r="I48" s="7"/>
      <c r="J48" s="52" t="str">
        <f t="shared" si="1"/>
        <v>=</v>
      </c>
      <c r="K48" s="78">
        <f>C48*E48</f>
        <v>2</v>
      </c>
      <c r="L48" s="77" t="s">
        <v>82</v>
      </c>
    </row>
    <row r="49" spans="1:13" x14ac:dyDescent="0.2">
      <c r="A49" s="1"/>
      <c r="B49" s="17"/>
      <c r="C49" s="21"/>
      <c r="D49" s="6"/>
      <c r="E49" s="25"/>
      <c r="F49"/>
      <c r="G49" s="23"/>
      <c r="H49" t="s">
        <v>93</v>
      </c>
      <c r="I49"/>
      <c r="J49" s="52" t="str">
        <f t="shared" si="1"/>
        <v>=</v>
      </c>
      <c r="K49" s="25">
        <f>SUM(K48:K48)</f>
        <v>2</v>
      </c>
      <c r="L49" s="6" t="s">
        <v>82</v>
      </c>
    </row>
    <row r="50" spans="1:13" ht="75" x14ac:dyDescent="0.2">
      <c r="A50" s="1">
        <f>IF(A43,A43+1,#REF!+1)</f>
        <v>12</v>
      </c>
      <c r="B50" s="18" t="s">
        <v>149</v>
      </c>
      <c r="C50"/>
      <c r="D50"/>
      <c r="E50"/>
      <c r="F50"/>
      <c r="G50"/>
      <c r="H50"/>
      <c r="I50"/>
      <c r="J50" s="52" t="str">
        <f t="shared" si="1"/>
        <v/>
      </c>
      <c r="K50"/>
      <c r="L50"/>
      <c r="M50"/>
    </row>
    <row r="51" spans="1:13" x14ac:dyDescent="0.2">
      <c r="A51" s="1"/>
      <c r="B51" s="18" t="s">
        <v>247</v>
      </c>
      <c r="C51" s="21">
        <v>4</v>
      </c>
      <c r="D51" s="6" t="s">
        <v>88</v>
      </c>
      <c r="E51" s="25">
        <v>1</v>
      </c>
      <c r="F51"/>
      <c r="G51" s="23"/>
      <c r="H51"/>
      <c r="I51"/>
      <c r="J51" s="52" t="str">
        <f>IF(K51,"=","")</f>
        <v>=</v>
      </c>
      <c r="K51" s="25">
        <f>C51*E51</f>
        <v>4</v>
      </c>
      <c r="L51" s="6" t="s">
        <v>82</v>
      </c>
    </row>
    <row r="52" spans="1:13" x14ac:dyDescent="0.2">
      <c r="A52" s="1"/>
      <c r="B52" s="18" t="s">
        <v>248</v>
      </c>
      <c r="C52" s="21">
        <v>1</v>
      </c>
      <c r="D52" s="6" t="s">
        <v>88</v>
      </c>
      <c r="E52" s="25">
        <v>1</v>
      </c>
      <c r="F52"/>
      <c r="G52" s="23"/>
      <c r="H52"/>
      <c r="I52"/>
      <c r="J52" s="52" t="str">
        <f>IF(K52,"=","")</f>
        <v>=</v>
      </c>
      <c r="K52" s="25">
        <f>C52*E52</f>
        <v>1</v>
      </c>
      <c r="L52" s="6" t="s">
        <v>82</v>
      </c>
    </row>
    <row r="53" spans="1:13" ht="30" x14ac:dyDescent="0.2">
      <c r="A53" s="1">
        <f>IF(A50,A50+1,A43+1)</f>
        <v>13</v>
      </c>
      <c r="B53" s="18" t="s">
        <v>150</v>
      </c>
      <c r="C53"/>
      <c r="D53"/>
      <c r="E53"/>
      <c r="F53"/>
      <c r="G53"/>
      <c r="H53"/>
      <c r="I53"/>
      <c r="J53" s="52" t="str">
        <f t="shared" si="1"/>
        <v/>
      </c>
      <c r="K53"/>
      <c r="L53"/>
    </row>
    <row r="54" spans="1:13" x14ac:dyDescent="0.2">
      <c r="A54" s="1"/>
      <c r="B54" s="18" t="s">
        <v>151</v>
      </c>
      <c r="C54" s="21">
        <v>5</v>
      </c>
      <c r="D54" s="6" t="s">
        <v>88</v>
      </c>
      <c r="E54" s="25">
        <v>1</v>
      </c>
      <c r="F54"/>
      <c r="G54" s="23"/>
      <c r="H54"/>
      <c r="I54"/>
      <c r="J54" s="52" t="str">
        <f t="shared" si="1"/>
        <v>=</v>
      </c>
      <c r="K54" s="25">
        <f>C54*E54</f>
        <v>5</v>
      </c>
      <c r="L54" s="6" t="s">
        <v>82</v>
      </c>
    </row>
    <row r="55" spans="1:13" x14ac:dyDescent="0.2">
      <c r="A55" s="1">
        <f>IF(A53,A53+1,A50+1)</f>
        <v>14</v>
      </c>
      <c r="B55" s="17"/>
      <c r="C55" s="21"/>
      <c r="D55" s="6"/>
      <c r="E55" s="25"/>
      <c r="F55"/>
      <c r="G55" s="23"/>
      <c r="H55"/>
      <c r="I55"/>
      <c r="J55" s="52" t="str">
        <f t="shared" si="1"/>
        <v/>
      </c>
      <c r="K55" s="25"/>
      <c r="L55" s="6"/>
    </row>
    <row r="56" spans="1:13" customFormat="1" x14ac:dyDescent="0.2">
      <c r="A56" s="34"/>
      <c r="B56" s="18" t="s">
        <v>249</v>
      </c>
      <c r="C56" s="68"/>
      <c r="D56" s="36"/>
      <c r="E56" s="4"/>
      <c r="F56" s="35"/>
      <c r="G56" s="52"/>
    </row>
    <row r="57" spans="1:13" x14ac:dyDescent="0.2">
      <c r="A57" s="66"/>
      <c r="B57" s="83" t="s">
        <v>176</v>
      </c>
      <c r="C57" s="21"/>
      <c r="D57" s="6"/>
      <c r="E57" s="4"/>
      <c r="F57"/>
      <c r="G57" s="23"/>
      <c r="H57"/>
      <c r="I57"/>
      <c r="J57" s="52" t="str">
        <f>IF(K57,"=","")</f>
        <v/>
      </c>
      <c r="K57" s="4"/>
      <c r="L57" s="21"/>
    </row>
    <row r="58" spans="1:13" x14ac:dyDescent="0.2">
      <c r="A58" s="66"/>
      <c r="B58" s="17" t="s">
        <v>92</v>
      </c>
      <c r="C58" s="21">
        <v>3</v>
      </c>
      <c r="D58" s="6" t="s">
        <v>88</v>
      </c>
      <c r="E58" s="4">
        <v>2.2000000000000002</v>
      </c>
      <c r="F58"/>
      <c r="G58" s="23"/>
      <c r="H58"/>
      <c r="I58"/>
      <c r="J58" s="52" t="str">
        <f>IF(K58,"=","")</f>
        <v>=</v>
      </c>
      <c r="K58" s="4">
        <f>C58*E58</f>
        <v>6.6000000000000005</v>
      </c>
      <c r="L58" s="21" t="s">
        <v>73</v>
      </c>
    </row>
    <row r="59" spans="1:13" x14ac:dyDescent="0.2">
      <c r="A59" s="66"/>
      <c r="B59" s="17" t="s">
        <v>173</v>
      </c>
      <c r="C59" s="21">
        <v>2</v>
      </c>
      <c r="D59" s="6" t="s">
        <v>88</v>
      </c>
      <c r="E59" s="4">
        <v>2.2000000000000002</v>
      </c>
      <c r="F59"/>
      <c r="G59" s="23"/>
      <c r="H59"/>
      <c r="I59"/>
      <c r="J59" s="52" t="str">
        <f>IF(K59,"=","")</f>
        <v>=</v>
      </c>
      <c r="K59" s="4">
        <f>C59*E59</f>
        <v>4.4000000000000004</v>
      </c>
      <c r="L59" s="21" t="s">
        <v>73</v>
      </c>
    </row>
    <row r="60" spans="1:13" x14ac:dyDescent="0.2">
      <c r="A60" s="66"/>
      <c r="B60" s="17"/>
      <c r="C60" s="21"/>
      <c r="D60" s="6"/>
      <c r="E60" s="4"/>
      <c r="F60"/>
      <c r="G60" s="23"/>
      <c r="H60" t="s">
        <v>78</v>
      </c>
      <c r="I60"/>
      <c r="J60" s="52" t="str">
        <f>IF(K60,"=","")</f>
        <v>=</v>
      </c>
      <c r="K60" s="4">
        <f>SUM(K58:K59)</f>
        <v>11</v>
      </c>
      <c r="L60" s="21" t="s">
        <v>73</v>
      </c>
    </row>
    <row r="61" spans="1:13" ht="75" x14ac:dyDescent="0.2">
      <c r="A61" s="34">
        <v>15</v>
      </c>
      <c r="B61" s="17" t="s">
        <v>250</v>
      </c>
      <c r="C61" s="21"/>
      <c r="D61" s="6"/>
      <c r="E61" s="25"/>
      <c r="F61"/>
      <c r="G61" s="23"/>
      <c r="H61"/>
      <c r="I61"/>
      <c r="J61" s="52" t="str">
        <f t="shared" si="1"/>
        <v/>
      </c>
      <c r="K61" s="25"/>
      <c r="L61" s="6"/>
    </row>
    <row r="62" spans="1:13" customFormat="1" x14ac:dyDescent="0.2">
      <c r="A62" s="34" t="s">
        <v>139</v>
      </c>
      <c r="B62" s="18" t="s">
        <v>251</v>
      </c>
      <c r="C62" s="69">
        <v>1</v>
      </c>
      <c r="D62" s="6" t="s">
        <v>88</v>
      </c>
      <c r="E62" s="25">
        <v>1</v>
      </c>
      <c r="G62" s="23"/>
      <c r="J62" s="52" t="str">
        <f t="shared" ref="J62:J68" si="2">IF(K62,"=","")</f>
        <v>=</v>
      </c>
      <c r="K62" s="25">
        <f t="shared" ref="K62:K69" si="3">C62*E62</f>
        <v>1</v>
      </c>
      <c r="L62" s="6" t="s">
        <v>82</v>
      </c>
    </row>
    <row r="63" spans="1:13" customFormat="1" x14ac:dyDescent="0.2">
      <c r="A63" s="34" t="s">
        <v>141</v>
      </c>
      <c r="B63" s="18" t="s">
        <v>253</v>
      </c>
      <c r="C63" s="69">
        <v>5</v>
      </c>
      <c r="D63" s="6" t="s">
        <v>88</v>
      </c>
      <c r="E63" s="25">
        <v>1</v>
      </c>
      <c r="G63" s="23"/>
      <c r="J63" s="52" t="str">
        <f t="shared" si="2"/>
        <v>=</v>
      </c>
      <c r="K63" s="25">
        <f t="shared" si="3"/>
        <v>5</v>
      </c>
      <c r="L63" s="6" t="s">
        <v>82</v>
      </c>
    </row>
    <row r="64" spans="1:13" customFormat="1" x14ac:dyDescent="0.2">
      <c r="A64" s="34" t="s">
        <v>152</v>
      </c>
      <c r="B64" s="18" t="s">
        <v>286</v>
      </c>
      <c r="C64" s="69">
        <v>1</v>
      </c>
      <c r="D64" s="6" t="s">
        <v>88</v>
      </c>
      <c r="E64" s="25">
        <v>1</v>
      </c>
      <c r="G64" s="23"/>
      <c r="J64" s="52" t="str">
        <f t="shared" si="2"/>
        <v>=</v>
      </c>
      <c r="K64" s="25">
        <f t="shared" si="3"/>
        <v>1</v>
      </c>
      <c r="L64" s="6" t="s">
        <v>82</v>
      </c>
    </row>
    <row r="65" spans="1:12" customFormat="1" x14ac:dyDescent="0.2">
      <c r="A65" s="34" t="s">
        <v>153</v>
      </c>
      <c r="B65" s="2" t="s">
        <v>252</v>
      </c>
      <c r="C65" s="69">
        <v>3</v>
      </c>
      <c r="D65" s="6" t="s">
        <v>88</v>
      </c>
      <c r="E65" s="25">
        <v>1</v>
      </c>
      <c r="G65" s="23"/>
      <c r="J65" s="52" t="str">
        <f t="shared" si="2"/>
        <v>=</v>
      </c>
      <c r="K65" s="25">
        <f t="shared" si="3"/>
        <v>3</v>
      </c>
      <c r="L65" s="6" t="s">
        <v>82</v>
      </c>
    </row>
    <row r="66" spans="1:12" customFormat="1" x14ac:dyDescent="0.2">
      <c r="A66" s="34" t="s">
        <v>154</v>
      </c>
      <c r="B66" s="18" t="s">
        <v>287</v>
      </c>
      <c r="C66" s="69">
        <v>1</v>
      </c>
      <c r="D66" s="6" t="s">
        <v>88</v>
      </c>
      <c r="E66" s="25">
        <v>1</v>
      </c>
      <c r="G66" s="23"/>
      <c r="J66" s="52" t="str">
        <f t="shared" si="2"/>
        <v>=</v>
      </c>
      <c r="K66" s="25">
        <f t="shared" si="3"/>
        <v>1</v>
      </c>
      <c r="L66" s="6" t="s">
        <v>82</v>
      </c>
    </row>
    <row r="67" spans="1:12" x14ac:dyDescent="0.2">
      <c r="A67" s="34" t="s">
        <v>155</v>
      </c>
      <c r="B67" s="18" t="s">
        <v>288</v>
      </c>
      <c r="C67" s="69">
        <v>1</v>
      </c>
      <c r="D67" s="6" t="s">
        <v>88</v>
      </c>
      <c r="E67" s="25">
        <v>1</v>
      </c>
      <c r="F67"/>
      <c r="G67" s="23"/>
      <c r="H67"/>
      <c r="I67"/>
      <c r="J67" s="52" t="str">
        <f t="shared" si="2"/>
        <v>=</v>
      </c>
      <c r="K67" s="25">
        <f t="shared" si="3"/>
        <v>1</v>
      </c>
      <c r="L67" s="6" t="s">
        <v>82</v>
      </c>
    </row>
    <row r="68" spans="1:12" x14ac:dyDescent="0.2">
      <c r="A68" s="34" t="s">
        <v>156</v>
      </c>
      <c r="B68" s="18" t="s">
        <v>289</v>
      </c>
      <c r="C68" s="69">
        <v>1</v>
      </c>
      <c r="D68" s="6" t="s">
        <v>88</v>
      </c>
      <c r="E68" s="25">
        <v>1</v>
      </c>
      <c r="F68"/>
      <c r="G68" s="23"/>
      <c r="H68"/>
      <c r="I68"/>
      <c r="J68" s="52" t="str">
        <f t="shared" si="2"/>
        <v>=</v>
      </c>
      <c r="K68" s="25">
        <f t="shared" si="3"/>
        <v>1</v>
      </c>
      <c r="L68" s="6" t="s">
        <v>82</v>
      </c>
    </row>
    <row r="69" spans="1:12" ht="75" x14ac:dyDescent="0.2">
      <c r="A69" s="34">
        <f>A61+1</f>
        <v>16</v>
      </c>
      <c r="B69" s="18" t="s">
        <v>157</v>
      </c>
      <c r="C69" s="21">
        <v>2</v>
      </c>
      <c r="D69" s="6" t="s">
        <v>88</v>
      </c>
      <c r="E69" s="25">
        <v>1</v>
      </c>
      <c r="F69"/>
      <c r="G69" s="23"/>
      <c r="H69"/>
      <c r="I69"/>
      <c r="J69" s="52" t="str">
        <f t="shared" ref="J69:J84" si="4">IF(K69,"=","")</f>
        <v>=</v>
      </c>
      <c r="K69" s="25">
        <f t="shared" si="3"/>
        <v>2</v>
      </c>
      <c r="L69" s="6" t="s">
        <v>82</v>
      </c>
    </row>
    <row r="70" spans="1:12" ht="150" x14ac:dyDescent="0.2">
      <c r="A70" s="1">
        <v>17</v>
      </c>
      <c r="B70" s="18" t="s">
        <v>308</v>
      </c>
      <c r="C70" s="21"/>
      <c r="E70" s="25"/>
      <c r="F70"/>
      <c r="G70" s="23"/>
      <c r="H70"/>
      <c r="I70"/>
      <c r="J70" s="52" t="str">
        <f t="shared" si="4"/>
        <v/>
      </c>
      <c r="K70" s="25"/>
      <c r="L70" s="6"/>
    </row>
    <row r="71" spans="1:12" customFormat="1" x14ac:dyDescent="0.2">
      <c r="A71" s="1"/>
      <c r="B71" s="17" t="s">
        <v>158</v>
      </c>
      <c r="C71" s="21">
        <v>2</v>
      </c>
      <c r="D71" s="6" t="s">
        <v>309</v>
      </c>
      <c r="E71" s="25">
        <v>1</v>
      </c>
      <c r="G71" s="23"/>
      <c r="J71" s="52" t="str">
        <f t="shared" si="4"/>
        <v>=</v>
      </c>
      <c r="K71" s="25">
        <f>C71*E71</f>
        <v>2</v>
      </c>
      <c r="L71" s="6" t="s">
        <v>82</v>
      </c>
    </row>
    <row r="72" spans="1:12" customFormat="1" x14ac:dyDescent="0.2">
      <c r="A72" s="1"/>
      <c r="B72" s="18" t="s">
        <v>159</v>
      </c>
      <c r="C72" s="21">
        <v>1</v>
      </c>
      <c r="D72" s="6" t="s">
        <v>88</v>
      </c>
      <c r="E72" s="25">
        <v>1</v>
      </c>
      <c r="G72" s="23"/>
      <c r="J72" s="52" t="str">
        <f t="shared" si="4"/>
        <v>=</v>
      </c>
      <c r="K72" s="25">
        <f>C72*E72</f>
        <v>1</v>
      </c>
      <c r="L72" s="6" t="s">
        <v>82</v>
      </c>
    </row>
    <row r="73" spans="1:12" s="45" customFormat="1" ht="30" x14ac:dyDescent="0.2">
      <c r="A73" s="1">
        <f>IF(A70,A70+1,#REF!+1)</f>
        <v>18</v>
      </c>
      <c r="B73" s="19" t="s">
        <v>177</v>
      </c>
      <c r="C73" s="21">
        <v>3</v>
      </c>
      <c r="D73" s="6" t="s">
        <v>88</v>
      </c>
      <c r="E73" s="25">
        <v>25</v>
      </c>
      <c r="F73"/>
      <c r="G73" s="23"/>
      <c r="H73"/>
      <c r="I73"/>
      <c r="J73" s="52" t="str">
        <f t="shared" si="4"/>
        <v>=</v>
      </c>
      <c r="K73" s="25">
        <f>C73*E73</f>
        <v>75</v>
      </c>
      <c r="L73" s="21" t="s">
        <v>161</v>
      </c>
    </row>
    <row r="74" spans="1:12" customFormat="1" x14ac:dyDescent="0.2">
      <c r="A74" s="34"/>
      <c r="B74" s="18"/>
      <c r="C74" s="21"/>
      <c r="D74" s="6"/>
      <c r="E74" s="25"/>
      <c r="G74" s="23"/>
      <c r="J74" s="52" t="str">
        <f t="shared" si="4"/>
        <v/>
      </c>
      <c r="K74" s="25"/>
      <c r="L74" s="6"/>
    </row>
    <row r="75" spans="1:12" customFormat="1" ht="90" x14ac:dyDescent="0.2">
      <c r="A75" s="34">
        <f>A73+1</f>
        <v>19</v>
      </c>
      <c r="B75" s="133" t="s">
        <v>303</v>
      </c>
      <c r="C75" s="68"/>
      <c r="D75" s="36"/>
      <c r="E75" s="5"/>
      <c r="F75" s="35"/>
      <c r="G75" s="52"/>
      <c r="J75" s="52" t="str">
        <f t="shared" si="4"/>
        <v/>
      </c>
      <c r="K75" s="4"/>
      <c r="L75" s="21"/>
    </row>
    <row r="76" spans="1:12" x14ac:dyDescent="0.2">
      <c r="A76" s="66"/>
      <c r="B76" s="83" t="s">
        <v>178</v>
      </c>
      <c r="C76" s="21"/>
      <c r="D76" s="6"/>
      <c r="E76" s="4"/>
      <c r="F76"/>
      <c r="G76" s="23"/>
      <c r="H76"/>
      <c r="I76"/>
      <c r="J76" s="52" t="str">
        <f t="shared" si="4"/>
        <v/>
      </c>
      <c r="K76" s="4"/>
      <c r="L76" s="21"/>
    </row>
    <row r="77" spans="1:12" x14ac:dyDescent="0.2">
      <c r="A77" s="66"/>
      <c r="B77" s="17" t="s">
        <v>290</v>
      </c>
      <c r="C77" s="21">
        <v>1</v>
      </c>
      <c r="D77" s="6" t="s">
        <v>88</v>
      </c>
      <c r="E77" s="4">
        <v>18</v>
      </c>
      <c r="F77"/>
      <c r="G77" s="23"/>
      <c r="H77"/>
      <c r="I77"/>
      <c r="J77" s="52" t="str">
        <f t="shared" si="4"/>
        <v>=</v>
      </c>
      <c r="K77" s="4">
        <f>C77*E77</f>
        <v>18</v>
      </c>
      <c r="L77" s="21" t="s">
        <v>73</v>
      </c>
    </row>
    <row r="78" spans="1:12" x14ac:dyDescent="0.2">
      <c r="A78" s="66"/>
      <c r="B78" s="17" t="s">
        <v>291</v>
      </c>
      <c r="C78" s="21">
        <v>1</v>
      </c>
      <c r="D78" s="6" t="s">
        <v>88</v>
      </c>
      <c r="E78" s="4">
        <v>7</v>
      </c>
      <c r="F78"/>
      <c r="G78" s="23"/>
      <c r="H78"/>
      <c r="I78"/>
      <c r="J78" s="52" t="str">
        <f t="shared" si="4"/>
        <v>=</v>
      </c>
      <c r="K78" s="4">
        <f>C78*E78</f>
        <v>7</v>
      </c>
      <c r="L78" s="21" t="s">
        <v>73</v>
      </c>
    </row>
    <row r="79" spans="1:12" x14ac:dyDescent="0.2">
      <c r="A79" s="66"/>
      <c r="B79" s="17" t="s">
        <v>292</v>
      </c>
      <c r="C79" s="21">
        <v>1</v>
      </c>
      <c r="D79" s="6" t="s">
        <v>88</v>
      </c>
      <c r="E79" s="4">
        <v>18</v>
      </c>
      <c r="F79"/>
      <c r="G79" s="23"/>
      <c r="H79"/>
      <c r="I79"/>
      <c r="J79" s="52" t="str">
        <f t="shared" si="4"/>
        <v>=</v>
      </c>
      <c r="K79" s="4">
        <f>C79*E79</f>
        <v>18</v>
      </c>
      <c r="L79" s="21" t="s">
        <v>73</v>
      </c>
    </row>
    <row r="80" spans="1:12" x14ac:dyDescent="0.2">
      <c r="A80" s="66"/>
      <c r="B80" s="17"/>
      <c r="C80" s="21"/>
      <c r="D80" s="6"/>
      <c r="E80" s="4"/>
      <c r="F80"/>
      <c r="G80" s="23"/>
      <c r="H80" s="105" t="s">
        <v>78</v>
      </c>
      <c r="I80" s="105"/>
      <c r="J80" s="121" t="str">
        <f t="shared" si="4"/>
        <v>=</v>
      </c>
      <c r="K80" s="106">
        <f>SUM(K77:K79)</f>
        <v>43</v>
      </c>
      <c r="L80" s="124" t="s">
        <v>73</v>
      </c>
    </row>
    <row r="81" spans="1:12" s="11" customFormat="1" ht="75" x14ac:dyDescent="0.2">
      <c r="A81" s="67">
        <f>A75+1</f>
        <v>20</v>
      </c>
      <c r="B81" s="58" t="s">
        <v>163</v>
      </c>
      <c r="G81" s="12"/>
      <c r="J81" s="52" t="str">
        <f t="shared" si="4"/>
        <v>=</v>
      </c>
      <c r="K81" s="12">
        <f>K80</f>
        <v>43</v>
      </c>
      <c r="L81" s="11" t="s">
        <v>73</v>
      </c>
    </row>
    <row r="82" spans="1:12" customFormat="1" ht="120" x14ac:dyDescent="0.2">
      <c r="A82" s="50">
        <f>A81+1</f>
        <v>21</v>
      </c>
      <c r="B82" s="134" t="s">
        <v>42</v>
      </c>
      <c r="C82" s="21">
        <v>3</v>
      </c>
      <c r="D82" s="6" t="s">
        <v>88</v>
      </c>
      <c r="E82" s="25">
        <v>1</v>
      </c>
      <c r="G82" s="23"/>
      <c r="J82" s="52" t="str">
        <f>IF(K82,"=","")</f>
        <v>=</v>
      </c>
      <c r="K82" s="25">
        <f>C82*E82</f>
        <v>3</v>
      </c>
      <c r="L82" s="6" t="s">
        <v>82</v>
      </c>
    </row>
    <row r="83" spans="1:12" customFormat="1" x14ac:dyDescent="0.2">
      <c r="A83" s="89"/>
      <c r="B83" s="17"/>
      <c r="C83" s="21"/>
      <c r="D83" s="6"/>
      <c r="E83" s="25"/>
      <c r="G83" s="23"/>
      <c r="J83" s="52" t="str">
        <f t="shared" si="4"/>
        <v/>
      </c>
      <c r="K83" s="25"/>
      <c r="L83" s="6"/>
    </row>
    <row r="84" spans="1:12" customFormat="1" ht="30" x14ac:dyDescent="0.2">
      <c r="A84" s="89">
        <v>22</v>
      </c>
      <c r="B84" s="17" t="s">
        <v>184</v>
      </c>
      <c r="C84" s="21">
        <v>3</v>
      </c>
      <c r="D84" s="6" t="s">
        <v>88</v>
      </c>
      <c r="E84" s="25">
        <v>1</v>
      </c>
      <c r="G84" s="23"/>
      <c r="J84" s="52" t="str">
        <f t="shared" si="4"/>
        <v>=</v>
      </c>
      <c r="K84" s="25">
        <f>C84*E84</f>
        <v>3</v>
      </c>
      <c r="L84" s="6" t="s">
        <v>82</v>
      </c>
    </row>
    <row r="85" spans="1:12" x14ac:dyDescent="0.2">
      <c r="A85" s="1"/>
      <c r="B85"/>
      <c r="C85"/>
      <c r="D85"/>
      <c r="E85"/>
      <c r="F85"/>
      <c r="G85"/>
      <c r="H85"/>
      <c r="I85"/>
      <c r="J85"/>
      <c r="K85"/>
      <c r="L85"/>
    </row>
    <row r="87" spans="1:12" customFormat="1" x14ac:dyDescent="0.2">
      <c r="A87" s="1"/>
      <c r="B87" s="17"/>
      <c r="C87" s="11"/>
      <c r="D87" s="11"/>
      <c r="E87" s="12"/>
      <c r="F87" s="60"/>
      <c r="G87" s="60"/>
    </row>
    <row r="88" spans="1:12" s="61" customFormat="1" ht="15.75" x14ac:dyDescent="0.25">
      <c r="A88" s="62"/>
      <c r="B88" s="120"/>
      <c r="C88" s="11"/>
      <c r="D88" s="87" t="s">
        <v>9</v>
      </c>
      <c r="E88" s="11"/>
      <c r="F88" s="48"/>
      <c r="H88" s="11"/>
    </row>
    <row r="89" spans="1:12" s="61" customFormat="1" ht="15.75" x14ac:dyDescent="0.25">
      <c r="A89" s="62"/>
      <c r="B89" s="120"/>
      <c r="C89" s="11"/>
      <c r="D89" s="62" t="s">
        <v>10</v>
      </c>
      <c r="E89" s="11"/>
      <c r="F89" s="48"/>
      <c r="H89" s="11"/>
    </row>
    <row r="90" spans="1:12" s="45" customFormat="1" x14ac:dyDescent="0.2">
      <c r="A90" s="65"/>
      <c r="B90" s="116"/>
      <c r="C90" s="42"/>
      <c r="E90" s="59"/>
      <c r="G90" s="43"/>
      <c r="I90" s="59"/>
      <c r="K90" s="59"/>
    </row>
    <row r="91" spans="1:12" s="45" customFormat="1" x14ac:dyDescent="0.2">
      <c r="A91" s="65"/>
      <c r="B91" s="116"/>
      <c r="C91" s="42"/>
      <c r="E91" s="59"/>
      <c r="G91" s="43"/>
      <c r="I91" s="59"/>
      <c r="K91" s="59"/>
    </row>
  </sheetData>
  <phoneticPr fontId="0" type="noConversion"/>
  <printOptions horizontalCentered="1"/>
  <pageMargins left="0.75" right="0.75" top="0.76" bottom="1" header="0.5" footer="0.5"/>
  <pageSetup paperSize="9" scale="74" firstPageNumber="29" fitToHeight="11" orientation="portrait" horizontalDpi="180" verticalDpi="180" r:id="rId1"/>
  <headerFooter alignWithMargins="0">
    <oddFooter>&amp;LGIRLS PHARMACY BNI&amp;R&amp;D&amp;'  Page-&amp;P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43"/>
  <sheetViews>
    <sheetView zoomScaleNormal="100" workbookViewId="0"/>
    <sheetView workbookViewId="1"/>
  </sheetViews>
  <sheetFormatPr defaultRowHeight="15" x14ac:dyDescent="0.2"/>
  <cols>
    <col min="1" max="1" width="3.44140625" style="11" customWidth="1"/>
    <col min="2" max="2" width="22.5546875" style="11" customWidth="1"/>
    <col min="3" max="3" width="1.5546875" style="95" customWidth="1"/>
    <col min="4" max="4" width="49.6640625" style="11" customWidth="1"/>
    <col min="5" max="16384" width="8.88671875" style="45"/>
  </cols>
  <sheetData>
    <row r="1" spans="1:4" ht="18" customHeight="1" x14ac:dyDescent="0.2">
      <c r="A1" s="55" t="str">
        <f>'gen-abstract'!A2</f>
        <v>NAME OF WORK :- CONSTRUCTION OF COMMERCIAL COMPLEX FOR PANCHAYAT SAMITI GIRWA, UDAIPUR</v>
      </c>
      <c r="B1" s="74"/>
      <c r="C1" s="92"/>
      <c r="D1" s="93"/>
    </row>
    <row r="2" spans="1:4" ht="18" x14ac:dyDescent="0.2">
      <c r="B2" s="94"/>
      <c r="D2" s="52"/>
    </row>
    <row r="3" spans="1:4" ht="15.75" x14ac:dyDescent="0.25">
      <c r="A3" s="48" t="s">
        <v>213</v>
      </c>
      <c r="B3" s="3"/>
      <c r="C3" s="96"/>
      <c r="D3" s="13"/>
    </row>
    <row r="5" spans="1:4" ht="34.5" customHeight="1" x14ac:dyDescent="0.2">
      <c r="A5" s="53" t="s">
        <v>214</v>
      </c>
      <c r="B5"/>
      <c r="C5" s="96" t="s">
        <v>215</v>
      </c>
      <c r="D5" s="58" t="s">
        <v>300</v>
      </c>
    </row>
    <row r="6" spans="1:4" ht="15.75" x14ac:dyDescent="0.2">
      <c r="A6" s="53"/>
      <c r="B6"/>
      <c r="C6" s="96"/>
      <c r="D6" s="50"/>
    </row>
    <row r="7" spans="1:4" ht="15.75" x14ac:dyDescent="0.2">
      <c r="A7" s="53" t="s">
        <v>216</v>
      </c>
      <c r="B7"/>
      <c r="C7" s="96" t="s">
        <v>215</v>
      </c>
      <c r="D7" s="19"/>
    </row>
    <row r="8" spans="1:4" ht="15.75" x14ac:dyDescent="0.2">
      <c r="A8" s="53"/>
      <c r="B8"/>
      <c r="C8" s="96"/>
      <c r="D8" s="19"/>
    </row>
    <row r="9" spans="1:4" ht="30" x14ac:dyDescent="0.2">
      <c r="A9" s="53" t="s">
        <v>217</v>
      </c>
      <c r="B9"/>
      <c r="C9" s="96" t="s">
        <v>215</v>
      </c>
      <c r="D9" s="19" t="s">
        <v>301</v>
      </c>
    </row>
    <row r="10" spans="1:4" ht="15.75" x14ac:dyDescent="0.2">
      <c r="A10" s="97"/>
      <c r="B10"/>
      <c r="C10" s="96"/>
      <c r="D10" s="19"/>
    </row>
    <row r="11" spans="1:4" ht="45" x14ac:dyDescent="0.2">
      <c r="A11" s="98" t="s">
        <v>218</v>
      </c>
      <c r="B11"/>
      <c r="C11" s="96" t="s">
        <v>215</v>
      </c>
      <c r="D11" s="19" t="s">
        <v>219</v>
      </c>
    </row>
    <row r="12" spans="1:4" ht="15.75" x14ac:dyDescent="0.2">
      <c r="B12" s="98"/>
      <c r="C12" s="96"/>
      <c r="D12" s="19"/>
    </row>
    <row r="13" spans="1:4" ht="21" customHeight="1" x14ac:dyDescent="0.2">
      <c r="B13" s="99" t="s">
        <v>220</v>
      </c>
      <c r="C13" s="96" t="s">
        <v>215</v>
      </c>
      <c r="D13" s="19" t="s">
        <v>310</v>
      </c>
    </row>
    <row r="14" spans="1:4" x14ac:dyDescent="0.2">
      <c r="B14" s="99"/>
      <c r="C14" s="96"/>
      <c r="D14" s="100"/>
    </row>
    <row r="15" spans="1:4" x14ac:dyDescent="0.2">
      <c r="B15" s="49" t="s">
        <v>221</v>
      </c>
      <c r="C15" s="96" t="s">
        <v>215</v>
      </c>
      <c r="D15" s="19" t="s">
        <v>222</v>
      </c>
    </row>
    <row r="16" spans="1:4" x14ac:dyDescent="0.2">
      <c r="B16" s="10"/>
      <c r="C16" s="96"/>
      <c r="D16" s="51"/>
    </row>
    <row r="17" spans="2:4" x14ac:dyDescent="0.2">
      <c r="B17" s="49" t="s">
        <v>223</v>
      </c>
      <c r="C17" s="96" t="s">
        <v>215</v>
      </c>
      <c r="D17" s="19" t="s">
        <v>311</v>
      </c>
    </row>
    <row r="18" spans="2:4" ht="17.25" customHeight="1" x14ac:dyDescent="0.2">
      <c r="B18" s="10"/>
      <c r="C18" s="96"/>
      <c r="D18" s="51"/>
    </row>
    <row r="19" spans="2:4" x14ac:dyDescent="0.2">
      <c r="B19" s="10" t="s">
        <v>224</v>
      </c>
      <c r="C19" s="96" t="s">
        <v>215</v>
      </c>
      <c r="D19" s="19" t="s">
        <v>225</v>
      </c>
    </row>
    <row r="20" spans="2:4" x14ac:dyDescent="0.2">
      <c r="B20" s="10"/>
      <c r="C20" s="96"/>
      <c r="D20" s="19"/>
    </row>
    <row r="21" spans="2:4" x14ac:dyDescent="0.2">
      <c r="B21" s="10" t="s">
        <v>226</v>
      </c>
      <c r="C21" s="96" t="s">
        <v>215</v>
      </c>
      <c r="D21" s="100" t="s">
        <v>227</v>
      </c>
    </row>
    <row r="22" spans="2:4" ht="20.25" customHeight="1" x14ac:dyDescent="0.2">
      <c r="B22" s="10"/>
      <c r="C22" s="96"/>
      <c r="D22" s="100"/>
    </row>
    <row r="23" spans="2:4" x14ac:dyDescent="0.2">
      <c r="B23" s="49" t="s">
        <v>228</v>
      </c>
      <c r="C23" s="96" t="s">
        <v>215</v>
      </c>
      <c r="D23" s="19" t="s">
        <v>229</v>
      </c>
    </row>
    <row r="24" spans="2:4" x14ac:dyDescent="0.2">
      <c r="B24" s="10"/>
      <c r="C24" s="96"/>
      <c r="D24" s="51"/>
    </row>
    <row r="25" spans="2:4" ht="18" customHeight="1" x14ac:dyDescent="0.2">
      <c r="B25" s="49" t="s">
        <v>230</v>
      </c>
      <c r="C25" s="96" t="s">
        <v>215</v>
      </c>
      <c r="D25" s="19" t="s">
        <v>312</v>
      </c>
    </row>
    <row r="26" spans="2:4" ht="18" customHeight="1" x14ac:dyDescent="0.2">
      <c r="B26" s="49"/>
      <c r="C26" s="96"/>
      <c r="D26" s="19"/>
    </row>
    <row r="27" spans="2:4" x14ac:dyDescent="0.2">
      <c r="B27" s="49" t="s">
        <v>231</v>
      </c>
      <c r="C27" s="96"/>
      <c r="D27" s="58" t="s">
        <v>313</v>
      </c>
    </row>
    <row r="28" spans="2:4" x14ac:dyDescent="0.2">
      <c r="B28" s="49"/>
      <c r="C28" s="96"/>
      <c r="D28" s="19"/>
    </row>
    <row r="29" spans="2:4" ht="15.75" x14ac:dyDescent="0.2">
      <c r="B29" s="101" t="s">
        <v>233</v>
      </c>
      <c r="C29" s="96" t="s">
        <v>215</v>
      </c>
      <c r="D29" s="102" t="s">
        <v>232</v>
      </c>
    </row>
    <row r="30" spans="2:4" x14ac:dyDescent="0.2">
      <c r="B30" s="67"/>
      <c r="C30" s="96"/>
      <c r="D30" s="58" t="s">
        <v>39</v>
      </c>
    </row>
    <row r="31" spans="2:4" x14ac:dyDescent="0.2">
      <c r="B31" s="67"/>
      <c r="C31" s="96"/>
      <c r="D31" s="19"/>
    </row>
    <row r="32" spans="2:4" ht="30" x14ac:dyDescent="0.2">
      <c r="B32" s="49" t="s">
        <v>234</v>
      </c>
      <c r="C32" s="96" t="s">
        <v>215</v>
      </c>
      <c r="D32" s="58" t="s">
        <v>32</v>
      </c>
    </row>
    <row r="33" spans="1:4" x14ac:dyDescent="0.2">
      <c r="B33" s="10"/>
      <c r="C33" s="96"/>
      <c r="D33" s="58"/>
    </row>
    <row r="34" spans="1:4" x14ac:dyDescent="0.2">
      <c r="B34" s="49" t="s">
        <v>235</v>
      </c>
      <c r="C34" s="96" t="s">
        <v>215</v>
      </c>
      <c r="D34" s="19" t="s">
        <v>33</v>
      </c>
    </row>
    <row r="35" spans="1:4" ht="21" customHeight="1" x14ac:dyDescent="0.2">
      <c r="B35" s="10"/>
      <c r="C35" s="96"/>
      <c r="D35" s="19"/>
    </row>
    <row r="36" spans="1:4" ht="90" customHeight="1" x14ac:dyDescent="0.2">
      <c r="B36" s="49" t="s">
        <v>236</v>
      </c>
      <c r="C36" s="96" t="s">
        <v>215</v>
      </c>
      <c r="D36" s="58" t="s">
        <v>34</v>
      </c>
    </row>
    <row r="37" spans="1:4" x14ac:dyDescent="0.2">
      <c r="B37" s="10"/>
      <c r="C37" s="96"/>
      <c r="D37" s="51"/>
    </row>
    <row r="38" spans="1:4" ht="30" x14ac:dyDescent="0.2">
      <c r="B38" s="49" t="s">
        <v>237</v>
      </c>
      <c r="C38" s="96" t="s">
        <v>215</v>
      </c>
      <c r="D38" s="58" t="s">
        <v>35</v>
      </c>
    </row>
    <row r="39" spans="1:4" x14ac:dyDescent="0.2">
      <c r="B39" s="10"/>
      <c r="C39" s="96"/>
      <c r="D39" s="51"/>
    </row>
    <row r="40" spans="1:4" ht="15.75" customHeight="1" x14ac:dyDescent="0.2">
      <c r="A40" s="45"/>
      <c r="B40" s="103" t="s">
        <v>238</v>
      </c>
      <c r="C40" s="96" t="s">
        <v>215</v>
      </c>
      <c r="D40" s="51" t="s">
        <v>239</v>
      </c>
    </row>
    <row r="41" spans="1:4" ht="15.75" customHeight="1" x14ac:dyDescent="0.2">
      <c r="A41" s="98"/>
      <c r="B41"/>
      <c r="C41" s="96"/>
      <c r="D41" s="51"/>
    </row>
    <row r="42" spans="1:4" ht="15.75" customHeight="1" x14ac:dyDescent="0.2">
      <c r="A42" s="98" t="s">
        <v>240</v>
      </c>
      <c r="B42"/>
      <c r="C42" s="96" t="s">
        <v>215</v>
      </c>
      <c r="D42" s="51"/>
    </row>
    <row r="43" spans="1:4" x14ac:dyDescent="0.2">
      <c r="B43" s="10"/>
      <c r="C43" s="96"/>
      <c r="D43" s="58"/>
    </row>
    <row r="44" spans="1:4" ht="15.75" x14ac:dyDescent="0.25">
      <c r="B44" s="76" t="s">
        <v>36</v>
      </c>
      <c r="C44" s="96"/>
      <c r="D44" s="45" t="s">
        <v>41</v>
      </c>
    </row>
    <row r="45" spans="1:4" ht="60" x14ac:dyDescent="0.2">
      <c r="B45" s="10"/>
      <c r="C45" s="96"/>
      <c r="D45" s="58" t="s">
        <v>40</v>
      </c>
    </row>
    <row r="46" spans="1:4" ht="15.75" customHeight="1" x14ac:dyDescent="0.2">
      <c r="A46" s="98"/>
      <c r="B46" s="102"/>
      <c r="C46" s="96"/>
      <c r="D46" s="51"/>
    </row>
    <row r="47" spans="1:4" ht="15.75" x14ac:dyDescent="0.2">
      <c r="A47" s="98" t="s">
        <v>241</v>
      </c>
      <c r="B47"/>
      <c r="C47" s="96" t="s">
        <v>215</v>
      </c>
      <c r="D47" s="19" t="s">
        <v>37</v>
      </c>
    </row>
    <row r="48" spans="1:4" ht="15.75" x14ac:dyDescent="0.2">
      <c r="A48" s="98"/>
      <c r="B48"/>
      <c r="C48" s="96"/>
      <c r="D48" s="51"/>
    </row>
    <row r="49" spans="1:8" ht="30.75" x14ac:dyDescent="0.2">
      <c r="A49" s="98" t="s">
        <v>242</v>
      </c>
      <c r="B49"/>
      <c r="C49" s="96" t="s">
        <v>215</v>
      </c>
      <c r="D49" s="19" t="s">
        <v>38</v>
      </c>
    </row>
    <row r="50" spans="1:8" ht="15.75" x14ac:dyDescent="0.2">
      <c r="A50" s="98"/>
      <c r="B50"/>
      <c r="C50" s="96"/>
      <c r="D50" s="19"/>
    </row>
    <row r="51" spans="1:8" ht="15.75" x14ac:dyDescent="0.2">
      <c r="A51" s="53" t="s">
        <v>243</v>
      </c>
      <c r="B51"/>
      <c r="C51" s="96" t="s">
        <v>215</v>
      </c>
      <c r="D51" s="19" t="s">
        <v>244</v>
      </c>
    </row>
    <row r="54" spans="1:8" s="125" customFormat="1" ht="15.75" x14ac:dyDescent="0.25">
      <c r="A54" s="87" t="s">
        <v>282</v>
      </c>
      <c r="C54" s="87"/>
      <c r="D54" s="126" t="s">
        <v>280</v>
      </c>
      <c r="H54" s="88"/>
    </row>
    <row r="55" spans="1:8" s="125" customFormat="1" ht="15.75" x14ac:dyDescent="0.25">
      <c r="A55" s="87" t="s">
        <v>283</v>
      </c>
      <c r="C55" s="87"/>
      <c r="D55" s="126" t="s">
        <v>281</v>
      </c>
      <c r="H55" s="88"/>
    </row>
    <row r="56" spans="1:8" ht="15.75" x14ac:dyDescent="0.2">
      <c r="D56" s="64"/>
    </row>
    <row r="57" spans="1:8" ht="15.75" x14ac:dyDescent="0.2">
      <c r="D57" s="62"/>
    </row>
    <row r="61" spans="1:8" x14ac:dyDescent="0.2">
      <c r="A61" s="45"/>
      <c r="B61" s="45"/>
      <c r="C61" s="104"/>
      <c r="D61" s="45"/>
    </row>
    <row r="62" spans="1:8" x14ac:dyDescent="0.2">
      <c r="A62" s="45"/>
      <c r="B62" s="45"/>
      <c r="C62" s="104"/>
      <c r="D62" s="45"/>
    </row>
    <row r="63" spans="1:8" x14ac:dyDescent="0.2">
      <c r="A63" s="45"/>
      <c r="B63" s="45"/>
      <c r="C63" s="104"/>
      <c r="D63" s="45"/>
    </row>
    <row r="64" spans="1:8" x14ac:dyDescent="0.2">
      <c r="A64" s="45"/>
      <c r="B64" s="45"/>
      <c r="C64" s="104"/>
      <c r="D64" s="45"/>
    </row>
    <row r="65" spans="1:4" x14ac:dyDescent="0.2">
      <c r="A65" s="45"/>
      <c r="B65" s="45"/>
      <c r="C65" s="104"/>
      <c r="D65" s="45"/>
    </row>
    <row r="66" spans="1:4" x14ac:dyDescent="0.2">
      <c r="A66" s="45"/>
      <c r="B66" s="45"/>
      <c r="C66" s="104"/>
      <c r="D66" s="45"/>
    </row>
    <row r="67" spans="1:4" x14ac:dyDescent="0.2">
      <c r="A67" s="45"/>
      <c r="B67" s="45"/>
      <c r="C67" s="104"/>
      <c r="D67" s="45"/>
    </row>
    <row r="68" spans="1:4" x14ac:dyDescent="0.2">
      <c r="A68" s="45"/>
      <c r="B68" s="45"/>
      <c r="C68" s="104"/>
      <c r="D68" s="45"/>
    </row>
    <row r="69" spans="1:4" x14ac:dyDescent="0.2">
      <c r="A69" s="45"/>
      <c r="B69" s="45"/>
      <c r="C69" s="104"/>
      <c r="D69" s="45"/>
    </row>
    <row r="70" spans="1:4" x14ac:dyDescent="0.2">
      <c r="A70" s="45"/>
      <c r="B70" s="45"/>
      <c r="C70" s="104"/>
      <c r="D70" s="45"/>
    </row>
    <row r="71" spans="1:4" x14ac:dyDescent="0.2">
      <c r="A71" s="45"/>
      <c r="B71" s="45"/>
      <c r="C71" s="104"/>
      <c r="D71" s="45"/>
    </row>
    <row r="72" spans="1:4" x14ac:dyDescent="0.2">
      <c r="A72" s="45"/>
      <c r="B72" s="45"/>
      <c r="C72" s="104"/>
      <c r="D72" s="45"/>
    </row>
    <row r="73" spans="1:4" x14ac:dyDescent="0.2">
      <c r="A73" s="45"/>
      <c r="B73" s="45"/>
      <c r="C73" s="104"/>
      <c r="D73" s="45"/>
    </row>
    <row r="74" spans="1:4" x14ac:dyDescent="0.2">
      <c r="A74" s="45"/>
      <c r="B74" s="45"/>
      <c r="C74" s="104"/>
      <c r="D74" s="45"/>
    </row>
    <row r="75" spans="1:4" x14ac:dyDescent="0.2">
      <c r="A75" s="45"/>
      <c r="B75" s="45"/>
      <c r="C75" s="104"/>
      <c r="D75" s="45"/>
    </row>
    <row r="76" spans="1:4" x14ac:dyDescent="0.2">
      <c r="A76" s="45"/>
      <c r="B76" s="45"/>
      <c r="C76" s="104"/>
      <c r="D76" s="45"/>
    </row>
    <row r="77" spans="1:4" x14ac:dyDescent="0.2">
      <c r="A77" s="45"/>
      <c r="B77" s="45"/>
      <c r="C77" s="104"/>
      <c r="D77" s="45"/>
    </row>
    <row r="78" spans="1:4" x14ac:dyDescent="0.2">
      <c r="A78" s="45"/>
      <c r="B78" s="45"/>
      <c r="C78" s="104"/>
      <c r="D78" s="45"/>
    </row>
    <row r="79" spans="1:4" x14ac:dyDescent="0.2">
      <c r="A79" s="45"/>
      <c r="B79" s="45"/>
      <c r="C79" s="104"/>
      <c r="D79" s="45"/>
    </row>
    <row r="80" spans="1:4" x14ac:dyDescent="0.2">
      <c r="A80" s="45"/>
      <c r="B80" s="45"/>
      <c r="C80" s="104"/>
      <c r="D80" s="45"/>
    </row>
    <row r="81" spans="1:4" x14ac:dyDescent="0.2">
      <c r="A81" s="45"/>
      <c r="B81" s="45"/>
      <c r="C81" s="104"/>
      <c r="D81" s="45"/>
    </row>
    <row r="82" spans="1:4" x14ac:dyDescent="0.2">
      <c r="A82" s="45"/>
      <c r="B82" s="45"/>
      <c r="C82" s="104"/>
      <c r="D82" s="45"/>
    </row>
    <row r="83" spans="1:4" x14ac:dyDescent="0.2">
      <c r="A83" s="45"/>
      <c r="B83" s="45"/>
      <c r="C83" s="104"/>
      <c r="D83" s="45"/>
    </row>
    <row r="84" spans="1:4" x14ac:dyDescent="0.2">
      <c r="A84" s="45"/>
      <c r="B84" s="45"/>
      <c r="C84" s="104"/>
      <c r="D84" s="45"/>
    </row>
    <row r="85" spans="1:4" x14ac:dyDescent="0.2">
      <c r="A85" s="45"/>
      <c r="B85" s="45"/>
      <c r="C85" s="104"/>
      <c r="D85" s="45"/>
    </row>
    <row r="86" spans="1:4" x14ac:dyDescent="0.2">
      <c r="A86" s="45"/>
      <c r="B86" s="45"/>
      <c r="C86" s="104"/>
      <c r="D86" s="45"/>
    </row>
    <row r="87" spans="1:4" x14ac:dyDescent="0.2">
      <c r="A87" s="45"/>
      <c r="B87" s="45"/>
      <c r="C87" s="104"/>
      <c r="D87" s="45"/>
    </row>
    <row r="88" spans="1:4" x14ac:dyDescent="0.2">
      <c r="A88" s="45"/>
      <c r="B88" s="45"/>
      <c r="C88" s="104"/>
      <c r="D88" s="45"/>
    </row>
    <row r="89" spans="1:4" x14ac:dyDescent="0.2">
      <c r="A89" s="45"/>
      <c r="B89" s="45"/>
      <c r="C89" s="104"/>
      <c r="D89" s="45"/>
    </row>
    <row r="90" spans="1:4" x14ac:dyDescent="0.2">
      <c r="A90" s="45"/>
      <c r="B90" s="45"/>
      <c r="C90" s="104"/>
      <c r="D90" s="45"/>
    </row>
    <row r="91" spans="1:4" x14ac:dyDescent="0.2">
      <c r="A91" s="45"/>
      <c r="B91" s="45"/>
      <c r="C91" s="104"/>
      <c r="D91" s="45"/>
    </row>
    <row r="92" spans="1:4" x14ac:dyDescent="0.2">
      <c r="A92" s="45"/>
      <c r="B92" s="45"/>
      <c r="C92" s="104"/>
      <c r="D92" s="45"/>
    </row>
    <row r="93" spans="1:4" x14ac:dyDescent="0.2">
      <c r="A93" s="45"/>
      <c r="B93" s="45"/>
      <c r="C93" s="104"/>
      <c r="D93" s="45"/>
    </row>
    <row r="94" spans="1:4" x14ac:dyDescent="0.2">
      <c r="A94" s="45"/>
      <c r="B94" s="45"/>
      <c r="C94" s="104"/>
      <c r="D94" s="45"/>
    </row>
    <row r="95" spans="1:4" x14ac:dyDescent="0.2">
      <c r="A95" s="45"/>
      <c r="B95" s="45"/>
      <c r="C95" s="104"/>
      <c r="D95" s="45"/>
    </row>
    <row r="96" spans="1:4" x14ac:dyDescent="0.2">
      <c r="A96" s="45"/>
      <c r="B96" s="45"/>
      <c r="C96" s="104"/>
      <c r="D96" s="45"/>
    </row>
    <row r="97" spans="1:4" x14ac:dyDescent="0.2">
      <c r="A97" s="45"/>
      <c r="B97" s="45"/>
      <c r="C97" s="104"/>
      <c r="D97" s="45"/>
    </row>
    <row r="98" spans="1:4" x14ac:dyDescent="0.2">
      <c r="A98" s="45"/>
      <c r="B98" s="45"/>
      <c r="C98" s="104"/>
      <c r="D98" s="45"/>
    </row>
    <row r="99" spans="1:4" x14ac:dyDescent="0.2">
      <c r="A99" s="45"/>
      <c r="B99" s="45"/>
      <c r="C99" s="104"/>
      <c r="D99" s="45"/>
    </row>
    <row r="100" spans="1:4" x14ac:dyDescent="0.2">
      <c r="A100" s="45"/>
      <c r="B100" s="45"/>
      <c r="C100" s="104"/>
      <c r="D100" s="45"/>
    </row>
    <row r="101" spans="1:4" x14ac:dyDescent="0.2">
      <c r="A101" s="45"/>
      <c r="B101" s="45"/>
      <c r="C101" s="104"/>
      <c r="D101" s="45"/>
    </row>
    <row r="102" spans="1:4" x14ac:dyDescent="0.2">
      <c r="A102" s="45"/>
      <c r="B102" s="45"/>
      <c r="C102" s="104"/>
      <c r="D102" s="45"/>
    </row>
    <row r="103" spans="1:4" x14ac:dyDescent="0.2">
      <c r="A103" s="45"/>
      <c r="B103" s="45"/>
      <c r="C103" s="104"/>
      <c r="D103" s="45"/>
    </row>
    <row r="104" spans="1:4" x14ac:dyDescent="0.2">
      <c r="A104" s="45"/>
      <c r="B104" s="45"/>
      <c r="C104" s="104"/>
      <c r="D104" s="45"/>
    </row>
    <row r="105" spans="1:4" x14ac:dyDescent="0.2">
      <c r="A105" s="45"/>
      <c r="B105" s="45"/>
      <c r="C105" s="104"/>
      <c r="D105" s="45"/>
    </row>
    <row r="106" spans="1:4" x14ac:dyDescent="0.2">
      <c r="A106" s="45"/>
      <c r="B106" s="45"/>
      <c r="C106" s="104"/>
      <c r="D106" s="45"/>
    </row>
    <row r="107" spans="1:4" x14ac:dyDescent="0.2">
      <c r="A107" s="45"/>
      <c r="B107" s="45"/>
      <c r="C107" s="104"/>
      <c r="D107" s="45"/>
    </row>
    <row r="108" spans="1:4" x14ac:dyDescent="0.2">
      <c r="A108" s="45"/>
      <c r="B108" s="45"/>
      <c r="C108" s="104"/>
      <c r="D108" s="45"/>
    </row>
    <row r="109" spans="1:4" x14ac:dyDescent="0.2">
      <c r="A109" s="45"/>
      <c r="B109" s="45"/>
      <c r="C109" s="104"/>
      <c r="D109" s="45"/>
    </row>
    <row r="110" spans="1:4" x14ac:dyDescent="0.2">
      <c r="A110" s="45"/>
      <c r="B110" s="45"/>
      <c r="C110" s="104"/>
      <c r="D110" s="45"/>
    </row>
    <row r="111" spans="1:4" x14ac:dyDescent="0.2">
      <c r="A111" s="45"/>
      <c r="B111" s="45"/>
      <c r="C111" s="104"/>
      <c r="D111" s="45"/>
    </row>
    <row r="112" spans="1:4" x14ac:dyDescent="0.2">
      <c r="A112" s="45"/>
      <c r="B112" s="45"/>
      <c r="C112" s="104"/>
      <c r="D112" s="45"/>
    </row>
    <row r="113" spans="1:4" x14ac:dyDescent="0.2">
      <c r="A113" s="45"/>
      <c r="B113" s="45"/>
      <c r="C113" s="104"/>
      <c r="D113" s="45"/>
    </row>
    <row r="114" spans="1:4" x14ac:dyDescent="0.2">
      <c r="A114" s="45"/>
      <c r="B114" s="45"/>
      <c r="C114" s="104"/>
      <c r="D114" s="45"/>
    </row>
    <row r="115" spans="1:4" x14ac:dyDescent="0.2">
      <c r="A115" s="45"/>
      <c r="B115" s="45"/>
      <c r="C115" s="104"/>
      <c r="D115" s="45"/>
    </row>
    <row r="116" spans="1:4" x14ac:dyDescent="0.2">
      <c r="A116" s="45"/>
      <c r="B116" s="45"/>
      <c r="C116" s="104"/>
      <c r="D116" s="45"/>
    </row>
    <row r="117" spans="1:4" x14ac:dyDescent="0.2">
      <c r="A117" s="45"/>
      <c r="B117" s="45"/>
      <c r="C117" s="104"/>
      <c r="D117" s="45"/>
    </row>
    <row r="118" spans="1:4" x14ac:dyDescent="0.2">
      <c r="A118" s="45"/>
      <c r="B118" s="45"/>
      <c r="C118" s="104"/>
      <c r="D118" s="45"/>
    </row>
    <row r="119" spans="1:4" x14ac:dyDescent="0.2">
      <c r="A119" s="45"/>
      <c r="B119" s="45"/>
      <c r="C119" s="104"/>
      <c r="D119" s="45"/>
    </row>
    <row r="120" spans="1:4" x14ac:dyDescent="0.2">
      <c r="A120" s="45"/>
      <c r="B120" s="45"/>
      <c r="C120" s="104"/>
      <c r="D120" s="45"/>
    </row>
    <row r="121" spans="1:4" x14ac:dyDescent="0.2">
      <c r="A121" s="45"/>
      <c r="B121" s="45"/>
      <c r="C121" s="104"/>
      <c r="D121" s="45"/>
    </row>
    <row r="122" spans="1:4" x14ac:dyDescent="0.2">
      <c r="A122" s="45"/>
      <c r="B122" s="45"/>
      <c r="C122" s="104"/>
      <c r="D122" s="45"/>
    </row>
    <row r="123" spans="1:4" x14ac:dyDescent="0.2">
      <c r="A123" s="45"/>
      <c r="B123" s="45"/>
      <c r="C123" s="104"/>
      <c r="D123" s="45"/>
    </row>
    <row r="124" spans="1:4" x14ac:dyDescent="0.2">
      <c r="A124" s="45"/>
      <c r="B124" s="45"/>
      <c r="C124" s="104"/>
      <c r="D124" s="45"/>
    </row>
    <row r="125" spans="1:4" x14ac:dyDescent="0.2">
      <c r="A125" s="45"/>
      <c r="B125" s="45"/>
      <c r="C125" s="104"/>
      <c r="D125" s="45"/>
    </row>
    <row r="126" spans="1:4" x14ac:dyDescent="0.2">
      <c r="A126" s="45"/>
      <c r="B126" s="45"/>
      <c r="C126" s="104"/>
      <c r="D126" s="45"/>
    </row>
    <row r="127" spans="1:4" x14ac:dyDescent="0.2">
      <c r="A127" s="45"/>
      <c r="B127" s="45"/>
      <c r="C127" s="104"/>
      <c r="D127" s="45"/>
    </row>
    <row r="128" spans="1:4" x14ac:dyDescent="0.2">
      <c r="A128" s="45"/>
      <c r="B128" s="45"/>
      <c r="C128" s="104"/>
      <c r="D128" s="45"/>
    </row>
    <row r="129" spans="1:4" x14ac:dyDescent="0.2">
      <c r="A129" s="45"/>
      <c r="B129" s="45"/>
      <c r="C129" s="104"/>
      <c r="D129" s="45"/>
    </row>
    <row r="130" spans="1:4" x14ac:dyDescent="0.2">
      <c r="A130" s="45"/>
      <c r="B130" s="45"/>
      <c r="C130" s="104"/>
      <c r="D130" s="45"/>
    </row>
    <row r="131" spans="1:4" x14ac:dyDescent="0.2">
      <c r="A131" s="45"/>
      <c r="B131" s="45"/>
      <c r="C131" s="104"/>
      <c r="D131" s="45"/>
    </row>
    <row r="132" spans="1:4" x14ac:dyDescent="0.2">
      <c r="A132" s="45"/>
      <c r="B132" s="45"/>
      <c r="C132" s="104"/>
      <c r="D132" s="45"/>
    </row>
    <row r="133" spans="1:4" x14ac:dyDescent="0.2">
      <c r="A133" s="45"/>
      <c r="B133" s="45"/>
      <c r="C133" s="104"/>
      <c r="D133" s="45"/>
    </row>
    <row r="134" spans="1:4" x14ac:dyDescent="0.2">
      <c r="A134" s="45"/>
      <c r="B134" s="45"/>
      <c r="C134" s="104"/>
      <c r="D134" s="45"/>
    </row>
    <row r="135" spans="1:4" x14ac:dyDescent="0.2">
      <c r="A135" s="45"/>
      <c r="B135" s="45"/>
      <c r="C135" s="104"/>
      <c r="D135" s="45"/>
    </row>
    <row r="136" spans="1:4" x14ac:dyDescent="0.2">
      <c r="A136" s="45"/>
      <c r="B136" s="45"/>
      <c r="C136" s="104"/>
      <c r="D136" s="45"/>
    </row>
    <row r="137" spans="1:4" x14ac:dyDescent="0.2">
      <c r="A137" s="45"/>
      <c r="B137" s="45"/>
      <c r="C137" s="104"/>
      <c r="D137" s="45"/>
    </row>
    <row r="138" spans="1:4" x14ac:dyDescent="0.2">
      <c r="A138" s="45"/>
      <c r="B138" s="45"/>
      <c r="C138" s="104"/>
      <c r="D138" s="45"/>
    </row>
    <row r="139" spans="1:4" x14ac:dyDescent="0.2">
      <c r="A139" s="45"/>
      <c r="B139" s="45"/>
      <c r="C139" s="104"/>
      <c r="D139" s="45"/>
    </row>
    <row r="140" spans="1:4" x14ac:dyDescent="0.2">
      <c r="A140" s="45"/>
      <c r="B140" s="45"/>
      <c r="C140" s="104"/>
      <c r="D140" s="45"/>
    </row>
    <row r="141" spans="1:4" x14ac:dyDescent="0.2">
      <c r="A141" s="45"/>
      <c r="B141" s="45"/>
      <c r="C141" s="104"/>
      <c r="D141" s="45"/>
    </row>
    <row r="142" spans="1:4" x14ac:dyDescent="0.2">
      <c r="A142" s="45"/>
      <c r="B142" s="45"/>
      <c r="C142" s="104"/>
      <c r="D142" s="45"/>
    </row>
    <row r="143" spans="1:4" x14ac:dyDescent="0.2">
      <c r="A143" s="45"/>
      <c r="B143" s="45"/>
      <c r="C143" s="104"/>
      <c r="D143" s="45"/>
    </row>
    <row r="144" spans="1:4" x14ac:dyDescent="0.2">
      <c r="A144" s="45"/>
      <c r="B144" s="45"/>
      <c r="C144" s="104"/>
      <c r="D144" s="45"/>
    </row>
    <row r="145" spans="1:4" x14ac:dyDescent="0.2">
      <c r="A145" s="45"/>
      <c r="B145" s="45"/>
      <c r="C145" s="104"/>
      <c r="D145" s="45"/>
    </row>
    <row r="146" spans="1:4" x14ac:dyDescent="0.2">
      <c r="A146" s="45"/>
      <c r="B146" s="45"/>
      <c r="C146" s="104"/>
      <c r="D146" s="45"/>
    </row>
    <row r="147" spans="1:4" x14ac:dyDescent="0.2">
      <c r="A147" s="45"/>
      <c r="B147" s="45"/>
      <c r="C147" s="104"/>
      <c r="D147" s="45"/>
    </row>
    <row r="148" spans="1:4" x14ac:dyDescent="0.2">
      <c r="A148" s="45"/>
      <c r="B148" s="45"/>
      <c r="C148" s="104"/>
      <c r="D148" s="45"/>
    </row>
    <row r="149" spans="1:4" x14ac:dyDescent="0.2">
      <c r="A149" s="45"/>
      <c r="B149" s="45"/>
      <c r="C149" s="104"/>
      <c r="D149" s="45"/>
    </row>
    <row r="150" spans="1:4" x14ac:dyDescent="0.2">
      <c r="A150" s="45"/>
      <c r="B150" s="45"/>
      <c r="C150" s="104"/>
      <c r="D150" s="45"/>
    </row>
    <row r="151" spans="1:4" x14ac:dyDescent="0.2">
      <c r="A151" s="45"/>
      <c r="B151" s="45"/>
      <c r="C151" s="104"/>
      <c r="D151" s="45"/>
    </row>
    <row r="152" spans="1:4" x14ac:dyDescent="0.2">
      <c r="A152" s="45"/>
      <c r="B152" s="45"/>
      <c r="C152" s="104"/>
      <c r="D152" s="45"/>
    </row>
    <row r="153" spans="1:4" x14ac:dyDescent="0.2">
      <c r="A153" s="45"/>
      <c r="B153" s="45"/>
      <c r="C153" s="104"/>
      <c r="D153" s="45"/>
    </row>
    <row r="154" spans="1:4" x14ac:dyDescent="0.2">
      <c r="A154" s="45"/>
      <c r="B154" s="45"/>
      <c r="C154" s="104"/>
      <c r="D154" s="45"/>
    </row>
    <row r="155" spans="1:4" x14ac:dyDescent="0.2">
      <c r="A155" s="45"/>
      <c r="B155" s="45"/>
      <c r="C155" s="104"/>
      <c r="D155" s="45"/>
    </row>
    <row r="156" spans="1:4" x14ac:dyDescent="0.2">
      <c r="A156" s="45"/>
      <c r="B156" s="45"/>
      <c r="C156" s="104"/>
      <c r="D156" s="45"/>
    </row>
    <row r="157" spans="1:4" x14ac:dyDescent="0.2">
      <c r="A157" s="45"/>
      <c r="B157" s="45"/>
      <c r="C157" s="104"/>
      <c r="D157" s="45"/>
    </row>
    <row r="158" spans="1:4" x14ac:dyDescent="0.2">
      <c r="A158" s="45"/>
      <c r="B158" s="45"/>
      <c r="C158" s="104"/>
      <c r="D158" s="45"/>
    </row>
    <row r="159" spans="1:4" x14ac:dyDescent="0.2">
      <c r="A159" s="45"/>
      <c r="B159" s="45"/>
      <c r="C159" s="104"/>
      <c r="D159" s="45"/>
    </row>
    <row r="160" spans="1:4" x14ac:dyDescent="0.2">
      <c r="A160" s="45"/>
      <c r="B160" s="45"/>
      <c r="C160" s="104"/>
      <c r="D160" s="45"/>
    </row>
    <row r="161" spans="1:4" x14ac:dyDescent="0.2">
      <c r="A161" s="45"/>
      <c r="B161" s="45"/>
      <c r="C161" s="104"/>
      <c r="D161" s="45"/>
    </row>
    <row r="162" spans="1:4" x14ac:dyDescent="0.2">
      <c r="A162" s="45"/>
      <c r="B162" s="45"/>
      <c r="C162" s="104"/>
      <c r="D162" s="45"/>
    </row>
    <row r="163" spans="1:4" x14ac:dyDescent="0.2">
      <c r="A163" s="45"/>
      <c r="B163" s="45"/>
      <c r="C163" s="104"/>
      <c r="D163" s="45"/>
    </row>
    <row r="164" spans="1:4" x14ac:dyDescent="0.2">
      <c r="A164" s="45"/>
      <c r="B164" s="45"/>
      <c r="C164" s="104"/>
      <c r="D164" s="45"/>
    </row>
    <row r="165" spans="1:4" x14ac:dyDescent="0.2">
      <c r="A165" s="45"/>
      <c r="B165" s="45"/>
      <c r="C165" s="104"/>
      <c r="D165" s="45"/>
    </row>
    <row r="166" spans="1:4" x14ac:dyDescent="0.2">
      <c r="A166" s="45"/>
      <c r="B166" s="45"/>
      <c r="C166" s="104"/>
      <c r="D166" s="45"/>
    </row>
    <row r="167" spans="1:4" x14ac:dyDescent="0.2">
      <c r="A167" s="45"/>
      <c r="B167" s="45"/>
      <c r="C167" s="104"/>
      <c r="D167" s="45"/>
    </row>
    <row r="168" spans="1:4" x14ac:dyDescent="0.2">
      <c r="A168" s="45"/>
      <c r="B168" s="45"/>
      <c r="C168" s="104"/>
      <c r="D168" s="45"/>
    </row>
    <row r="169" spans="1:4" x14ac:dyDescent="0.2">
      <c r="A169" s="45"/>
      <c r="B169" s="45"/>
      <c r="C169" s="104"/>
      <c r="D169" s="45"/>
    </row>
    <row r="170" spans="1:4" x14ac:dyDescent="0.2">
      <c r="A170" s="45"/>
      <c r="B170" s="45"/>
      <c r="C170" s="104"/>
      <c r="D170" s="45"/>
    </row>
    <row r="171" spans="1:4" x14ac:dyDescent="0.2">
      <c r="A171" s="45"/>
      <c r="B171" s="45"/>
      <c r="C171" s="104"/>
      <c r="D171" s="45"/>
    </row>
    <row r="172" spans="1:4" x14ac:dyDescent="0.2">
      <c r="A172" s="45"/>
      <c r="B172" s="45"/>
      <c r="C172" s="104"/>
      <c r="D172" s="45"/>
    </row>
    <row r="173" spans="1:4" x14ac:dyDescent="0.2">
      <c r="A173" s="45"/>
      <c r="B173" s="45"/>
      <c r="C173" s="104"/>
      <c r="D173" s="45"/>
    </row>
    <row r="174" spans="1:4" x14ac:dyDescent="0.2">
      <c r="A174" s="45"/>
      <c r="B174" s="45"/>
      <c r="C174" s="104"/>
      <c r="D174" s="45"/>
    </row>
    <row r="175" spans="1:4" x14ac:dyDescent="0.2">
      <c r="A175" s="45"/>
      <c r="B175" s="45"/>
      <c r="C175" s="104"/>
      <c r="D175" s="45"/>
    </row>
    <row r="176" spans="1:4" x14ac:dyDescent="0.2">
      <c r="A176" s="45"/>
      <c r="B176" s="45"/>
      <c r="C176" s="104"/>
      <c r="D176" s="45"/>
    </row>
    <row r="177" spans="1:4" x14ac:dyDescent="0.2">
      <c r="A177" s="45"/>
      <c r="B177" s="45"/>
      <c r="C177" s="104"/>
      <c r="D177" s="45"/>
    </row>
    <row r="178" spans="1:4" x14ac:dyDescent="0.2">
      <c r="A178" s="45"/>
      <c r="B178" s="45"/>
      <c r="C178" s="104"/>
      <c r="D178" s="45"/>
    </row>
    <row r="179" spans="1:4" x14ac:dyDescent="0.2">
      <c r="A179" s="45"/>
      <c r="B179" s="45"/>
      <c r="C179" s="104"/>
      <c r="D179" s="45"/>
    </row>
    <row r="180" spans="1:4" x14ac:dyDescent="0.2">
      <c r="A180" s="45"/>
      <c r="B180" s="45"/>
      <c r="C180" s="104"/>
      <c r="D180" s="45"/>
    </row>
    <row r="181" spans="1:4" x14ac:dyDescent="0.2">
      <c r="A181" s="45"/>
      <c r="B181" s="45"/>
      <c r="C181" s="104"/>
      <c r="D181" s="45"/>
    </row>
    <row r="182" spans="1:4" x14ac:dyDescent="0.2">
      <c r="A182" s="45"/>
      <c r="B182" s="45"/>
      <c r="C182" s="104"/>
      <c r="D182" s="45"/>
    </row>
    <row r="183" spans="1:4" x14ac:dyDescent="0.2">
      <c r="A183" s="45"/>
      <c r="B183" s="45"/>
      <c r="C183" s="104"/>
      <c r="D183" s="45"/>
    </row>
    <row r="184" spans="1:4" x14ac:dyDescent="0.2">
      <c r="A184" s="45"/>
      <c r="B184" s="45"/>
      <c r="C184" s="104"/>
      <c r="D184" s="45"/>
    </row>
    <row r="185" spans="1:4" x14ac:dyDescent="0.2">
      <c r="A185" s="45"/>
      <c r="B185" s="45"/>
      <c r="C185" s="104"/>
      <c r="D185" s="45"/>
    </row>
    <row r="186" spans="1:4" x14ac:dyDescent="0.2">
      <c r="A186" s="45"/>
      <c r="B186" s="45"/>
      <c r="C186" s="104"/>
      <c r="D186" s="45"/>
    </row>
    <row r="187" spans="1:4" x14ac:dyDescent="0.2">
      <c r="A187" s="45"/>
      <c r="B187" s="45"/>
      <c r="C187" s="104"/>
      <c r="D187" s="45"/>
    </row>
    <row r="188" spans="1:4" x14ac:dyDescent="0.2">
      <c r="A188" s="45"/>
      <c r="B188" s="45"/>
      <c r="C188" s="104"/>
      <c r="D188" s="45"/>
    </row>
    <row r="189" spans="1:4" x14ac:dyDescent="0.2">
      <c r="A189" s="45"/>
      <c r="B189" s="45"/>
      <c r="C189" s="104"/>
      <c r="D189" s="45"/>
    </row>
    <row r="190" spans="1:4" x14ac:dyDescent="0.2">
      <c r="A190" s="45"/>
      <c r="B190" s="45"/>
      <c r="C190" s="104"/>
      <c r="D190" s="45"/>
    </row>
    <row r="191" spans="1:4" x14ac:dyDescent="0.2">
      <c r="A191" s="45"/>
      <c r="B191" s="45"/>
      <c r="C191" s="104"/>
      <c r="D191" s="45"/>
    </row>
    <row r="192" spans="1:4" x14ac:dyDescent="0.2">
      <c r="A192" s="45"/>
      <c r="B192" s="45"/>
      <c r="C192" s="104"/>
      <c r="D192" s="45"/>
    </row>
    <row r="193" spans="1:4" x14ac:dyDescent="0.2">
      <c r="A193" s="45"/>
      <c r="B193" s="45"/>
      <c r="C193" s="104"/>
      <c r="D193" s="45"/>
    </row>
    <row r="194" spans="1:4" x14ac:dyDescent="0.2">
      <c r="A194" s="45"/>
      <c r="B194" s="45"/>
      <c r="C194" s="104"/>
      <c r="D194" s="45"/>
    </row>
    <row r="195" spans="1:4" x14ac:dyDescent="0.2">
      <c r="A195" s="45"/>
      <c r="B195" s="45"/>
      <c r="C195" s="104"/>
      <c r="D195" s="45"/>
    </row>
    <row r="196" spans="1:4" x14ac:dyDescent="0.2">
      <c r="A196" s="45"/>
      <c r="B196" s="45"/>
      <c r="C196" s="104"/>
      <c r="D196" s="45"/>
    </row>
    <row r="197" spans="1:4" x14ac:dyDescent="0.2">
      <c r="A197" s="45"/>
      <c r="B197" s="45"/>
      <c r="C197" s="104"/>
      <c r="D197" s="45"/>
    </row>
    <row r="198" spans="1:4" x14ac:dyDescent="0.2">
      <c r="A198" s="45"/>
      <c r="B198" s="45"/>
      <c r="C198" s="104"/>
      <c r="D198" s="45"/>
    </row>
    <row r="199" spans="1:4" x14ac:dyDescent="0.2">
      <c r="A199" s="45"/>
      <c r="B199" s="45"/>
      <c r="C199" s="104"/>
      <c r="D199" s="45"/>
    </row>
    <row r="200" spans="1:4" x14ac:dyDescent="0.2">
      <c r="A200" s="45"/>
      <c r="B200" s="45"/>
      <c r="C200" s="104"/>
      <c r="D200" s="45"/>
    </row>
    <row r="201" spans="1:4" x14ac:dyDescent="0.2">
      <c r="A201" s="45"/>
      <c r="B201" s="45"/>
      <c r="C201" s="104"/>
      <c r="D201" s="45"/>
    </row>
    <row r="202" spans="1:4" x14ac:dyDescent="0.2">
      <c r="A202" s="45"/>
      <c r="B202" s="45"/>
      <c r="C202" s="104"/>
      <c r="D202" s="45"/>
    </row>
    <row r="203" spans="1:4" x14ac:dyDescent="0.2">
      <c r="A203" s="45"/>
      <c r="B203" s="45"/>
      <c r="C203" s="104"/>
      <c r="D203" s="45"/>
    </row>
    <row r="204" spans="1:4" x14ac:dyDescent="0.2">
      <c r="A204" s="45"/>
      <c r="B204" s="45"/>
      <c r="C204" s="104"/>
      <c r="D204" s="45"/>
    </row>
    <row r="205" spans="1:4" x14ac:dyDescent="0.2">
      <c r="A205" s="45"/>
      <c r="B205" s="45"/>
      <c r="C205" s="104"/>
      <c r="D205" s="45"/>
    </row>
    <row r="206" spans="1:4" x14ac:dyDescent="0.2">
      <c r="A206" s="45"/>
      <c r="B206" s="45"/>
      <c r="C206" s="104"/>
      <c r="D206" s="45"/>
    </row>
    <row r="207" spans="1:4" x14ac:dyDescent="0.2">
      <c r="A207" s="45"/>
      <c r="B207" s="45"/>
      <c r="C207" s="104"/>
      <c r="D207" s="45"/>
    </row>
    <row r="208" spans="1:4" x14ac:dyDescent="0.2">
      <c r="A208" s="45"/>
      <c r="B208" s="45"/>
      <c r="C208" s="104"/>
      <c r="D208" s="45"/>
    </row>
    <row r="209" spans="1:4" x14ac:dyDescent="0.2">
      <c r="A209" s="45"/>
      <c r="B209" s="45"/>
      <c r="C209" s="104"/>
      <c r="D209" s="45"/>
    </row>
    <row r="210" spans="1:4" x14ac:dyDescent="0.2">
      <c r="A210" s="45"/>
      <c r="B210" s="45"/>
      <c r="C210" s="104"/>
      <c r="D210" s="45"/>
    </row>
    <row r="211" spans="1:4" x14ac:dyDescent="0.2">
      <c r="A211" s="45"/>
      <c r="B211" s="45"/>
      <c r="C211" s="104"/>
      <c r="D211" s="45"/>
    </row>
    <row r="212" spans="1:4" x14ac:dyDescent="0.2">
      <c r="A212" s="45"/>
      <c r="B212" s="45"/>
      <c r="C212" s="104"/>
      <c r="D212" s="45"/>
    </row>
    <row r="213" spans="1:4" x14ac:dyDescent="0.2">
      <c r="A213" s="45"/>
      <c r="B213" s="45"/>
      <c r="C213" s="104"/>
      <c r="D213" s="45"/>
    </row>
    <row r="214" spans="1:4" x14ac:dyDescent="0.2">
      <c r="A214" s="45"/>
      <c r="B214" s="45"/>
      <c r="C214" s="104"/>
      <c r="D214" s="45"/>
    </row>
    <row r="215" spans="1:4" x14ac:dyDescent="0.2">
      <c r="A215" s="45"/>
      <c r="B215" s="45"/>
      <c r="C215" s="104"/>
      <c r="D215" s="45"/>
    </row>
    <row r="216" spans="1:4" x14ac:dyDescent="0.2">
      <c r="A216" s="45"/>
      <c r="B216" s="45"/>
      <c r="C216" s="104"/>
      <c r="D216" s="45"/>
    </row>
    <row r="217" spans="1:4" x14ac:dyDescent="0.2">
      <c r="A217" s="45"/>
      <c r="B217" s="45"/>
      <c r="C217" s="104"/>
      <c r="D217" s="45"/>
    </row>
    <row r="218" spans="1:4" x14ac:dyDescent="0.2">
      <c r="A218" s="45"/>
      <c r="B218" s="45"/>
      <c r="C218" s="104"/>
      <c r="D218" s="45"/>
    </row>
    <row r="219" spans="1:4" x14ac:dyDescent="0.2">
      <c r="A219" s="45"/>
      <c r="B219" s="45"/>
      <c r="C219" s="104"/>
      <c r="D219" s="45"/>
    </row>
    <row r="220" spans="1:4" x14ac:dyDescent="0.2">
      <c r="A220" s="45"/>
      <c r="B220" s="45"/>
      <c r="C220" s="104"/>
      <c r="D220" s="45"/>
    </row>
    <row r="221" spans="1:4" x14ac:dyDescent="0.2">
      <c r="A221" s="45"/>
      <c r="B221" s="45"/>
      <c r="C221" s="104"/>
      <c r="D221" s="45"/>
    </row>
    <row r="222" spans="1:4" x14ac:dyDescent="0.2">
      <c r="A222" s="45"/>
      <c r="B222" s="45"/>
      <c r="C222" s="104"/>
      <c r="D222" s="45"/>
    </row>
    <row r="223" spans="1:4" x14ac:dyDescent="0.2">
      <c r="A223" s="45"/>
      <c r="B223" s="45"/>
      <c r="C223" s="104"/>
      <c r="D223" s="45"/>
    </row>
    <row r="224" spans="1:4" x14ac:dyDescent="0.2">
      <c r="A224" s="45"/>
      <c r="B224" s="45"/>
      <c r="C224" s="104"/>
      <c r="D224" s="45"/>
    </row>
    <row r="225" spans="1:4" x14ac:dyDescent="0.2">
      <c r="A225" s="45"/>
      <c r="B225" s="45"/>
      <c r="C225" s="104"/>
      <c r="D225" s="45"/>
    </row>
    <row r="226" spans="1:4" x14ac:dyDescent="0.2">
      <c r="A226" s="45"/>
      <c r="B226" s="45"/>
      <c r="C226" s="104"/>
      <c r="D226" s="45"/>
    </row>
    <row r="227" spans="1:4" x14ac:dyDescent="0.2">
      <c r="A227" s="45"/>
      <c r="B227" s="45"/>
      <c r="C227" s="104"/>
      <c r="D227" s="45"/>
    </row>
    <row r="228" spans="1:4" x14ac:dyDescent="0.2">
      <c r="A228" s="45"/>
      <c r="B228" s="45"/>
      <c r="C228" s="104"/>
      <c r="D228" s="45"/>
    </row>
    <row r="229" spans="1:4" x14ac:dyDescent="0.2">
      <c r="A229" s="45"/>
      <c r="B229" s="45"/>
      <c r="C229" s="104"/>
      <c r="D229" s="45"/>
    </row>
    <row r="230" spans="1:4" x14ac:dyDescent="0.2">
      <c r="A230" s="45"/>
      <c r="B230" s="45"/>
      <c r="C230" s="104"/>
      <c r="D230" s="45"/>
    </row>
    <row r="231" spans="1:4" x14ac:dyDescent="0.2">
      <c r="A231" s="45"/>
      <c r="B231" s="45"/>
      <c r="C231" s="104"/>
      <c r="D231" s="45"/>
    </row>
    <row r="232" spans="1:4" x14ac:dyDescent="0.2">
      <c r="A232" s="45"/>
      <c r="B232" s="45"/>
      <c r="C232" s="104"/>
      <c r="D232" s="45"/>
    </row>
    <row r="233" spans="1:4" x14ac:dyDescent="0.2">
      <c r="A233" s="45"/>
      <c r="B233" s="45"/>
      <c r="C233" s="104"/>
      <c r="D233" s="45"/>
    </row>
    <row r="234" spans="1:4" x14ac:dyDescent="0.2">
      <c r="A234" s="45"/>
      <c r="B234" s="45"/>
      <c r="C234" s="104"/>
      <c r="D234" s="45"/>
    </row>
    <row r="235" spans="1:4" x14ac:dyDescent="0.2">
      <c r="A235" s="45"/>
      <c r="B235" s="45"/>
      <c r="C235" s="104"/>
      <c r="D235" s="45"/>
    </row>
    <row r="236" spans="1:4" x14ac:dyDescent="0.2">
      <c r="A236" s="45"/>
      <c r="B236" s="45"/>
      <c r="C236" s="104"/>
      <c r="D236" s="45"/>
    </row>
    <row r="237" spans="1:4" x14ac:dyDescent="0.2">
      <c r="A237" s="45"/>
      <c r="B237" s="45"/>
      <c r="C237" s="104"/>
      <c r="D237" s="45"/>
    </row>
    <row r="238" spans="1:4" x14ac:dyDescent="0.2">
      <c r="A238" s="45"/>
      <c r="B238" s="45"/>
      <c r="C238" s="104"/>
      <c r="D238" s="45"/>
    </row>
    <row r="239" spans="1:4" x14ac:dyDescent="0.2">
      <c r="A239" s="45"/>
      <c r="B239" s="45"/>
      <c r="C239" s="104"/>
      <c r="D239" s="45"/>
    </row>
    <row r="240" spans="1:4" x14ac:dyDescent="0.2">
      <c r="A240" s="45"/>
      <c r="B240" s="45"/>
      <c r="C240" s="104"/>
      <c r="D240" s="45"/>
    </row>
    <row r="241" spans="1:4" x14ac:dyDescent="0.2">
      <c r="A241" s="45"/>
      <c r="B241" s="45"/>
      <c r="C241" s="104"/>
      <c r="D241" s="45"/>
    </row>
    <row r="242" spans="1:4" x14ac:dyDescent="0.2">
      <c r="A242" s="45"/>
      <c r="B242" s="45"/>
      <c r="C242" s="104"/>
      <c r="D242" s="45"/>
    </row>
    <row r="243" spans="1:4" x14ac:dyDescent="0.2">
      <c r="A243" s="45"/>
      <c r="B243" s="45"/>
      <c r="C243" s="104"/>
      <c r="D243" s="45"/>
    </row>
    <row r="244" spans="1:4" x14ac:dyDescent="0.2">
      <c r="A244" s="45"/>
      <c r="B244" s="45"/>
      <c r="C244" s="104"/>
      <c r="D244" s="45"/>
    </row>
    <row r="245" spans="1:4" x14ac:dyDescent="0.2">
      <c r="A245" s="45"/>
      <c r="B245" s="45"/>
      <c r="C245" s="104"/>
      <c r="D245" s="45"/>
    </row>
    <row r="246" spans="1:4" x14ac:dyDescent="0.2">
      <c r="A246" s="45"/>
      <c r="B246" s="45"/>
      <c r="C246" s="104"/>
      <c r="D246" s="45"/>
    </row>
    <row r="247" spans="1:4" x14ac:dyDescent="0.2">
      <c r="A247" s="45"/>
      <c r="B247" s="45"/>
      <c r="C247" s="104"/>
      <c r="D247" s="45"/>
    </row>
    <row r="248" spans="1:4" x14ac:dyDescent="0.2">
      <c r="A248" s="45"/>
      <c r="B248" s="45"/>
      <c r="C248" s="104"/>
      <c r="D248" s="45"/>
    </row>
    <row r="249" spans="1:4" x14ac:dyDescent="0.2">
      <c r="A249" s="45"/>
      <c r="B249" s="45"/>
      <c r="C249" s="104"/>
      <c r="D249" s="45"/>
    </row>
    <row r="250" spans="1:4" x14ac:dyDescent="0.2">
      <c r="A250" s="45"/>
      <c r="B250" s="45"/>
      <c r="C250" s="104"/>
      <c r="D250" s="45"/>
    </row>
    <row r="251" spans="1:4" x14ac:dyDescent="0.2">
      <c r="A251" s="45"/>
      <c r="B251" s="45"/>
      <c r="C251" s="104"/>
      <c r="D251" s="45"/>
    </row>
    <row r="252" spans="1:4" x14ac:dyDescent="0.2">
      <c r="A252" s="45"/>
      <c r="B252" s="45"/>
      <c r="C252" s="104"/>
      <c r="D252" s="45"/>
    </row>
    <row r="253" spans="1:4" x14ac:dyDescent="0.2">
      <c r="A253" s="45"/>
      <c r="B253" s="45"/>
      <c r="C253" s="104"/>
      <c r="D253" s="45"/>
    </row>
    <row r="254" spans="1:4" x14ac:dyDescent="0.2">
      <c r="A254" s="45"/>
      <c r="B254" s="45"/>
      <c r="C254" s="104"/>
      <c r="D254" s="45"/>
    </row>
    <row r="255" spans="1:4" x14ac:dyDescent="0.2">
      <c r="A255" s="45"/>
      <c r="B255" s="45"/>
      <c r="C255" s="104"/>
      <c r="D255" s="45"/>
    </row>
    <row r="256" spans="1:4" x14ac:dyDescent="0.2">
      <c r="A256" s="45"/>
      <c r="B256" s="45"/>
      <c r="C256" s="104"/>
      <c r="D256" s="45"/>
    </row>
    <row r="257" spans="1:4" x14ac:dyDescent="0.2">
      <c r="A257" s="45"/>
      <c r="B257" s="45"/>
      <c r="C257" s="104"/>
      <c r="D257" s="45"/>
    </row>
    <row r="258" spans="1:4" x14ac:dyDescent="0.2">
      <c r="A258" s="45"/>
      <c r="B258" s="45"/>
      <c r="C258" s="104"/>
      <c r="D258" s="45"/>
    </row>
    <row r="259" spans="1:4" x14ac:dyDescent="0.2">
      <c r="A259" s="45"/>
      <c r="B259" s="45"/>
      <c r="C259" s="104"/>
      <c r="D259" s="45"/>
    </row>
    <row r="260" spans="1:4" x14ac:dyDescent="0.2">
      <c r="A260" s="45"/>
      <c r="B260" s="45"/>
      <c r="C260" s="104"/>
      <c r="D260" s="45"/>
    </row>
    <row r="261" spans="1:4" x14ac:dyDescent="0.2">
      <c r="A261" s="45"/>
      <c r="B261" s="45"/>
      <c r="C261" s="104"/>
      <c r="D261" s="45"/>
    </row>
    <row r="262" spans="1:4" x14ac:dyDescent="0.2">
      <c r="A262" s="45"/>
      <c r="B262" s="45"/>
      <c r="C262" s="104"/>
      <c r="D262" s="45"/>
    </row>
    <row r="263" spans="1:4" x14ac:dyDescent="0.2">
      <c r="A263" s="45"/>
      <c r="B263" s="45"/>
      <c r="C263" s="104"/>
      <c r="D263" s="45"/>
    </row>
    <row r="264" spans="1:4" x14ac:dyDescent="0.2">
      <c r="A264" s="45"/>
      <c r="B264" s="45"/>
      <c r="C264" s="104"/>
      <c r="D264" s="45"/>
    </row>
    <row r="265" spans="1:4" x14ac:dyDescent="0.2">
      <c r="A265" s="45"/>
      <c r="B265" s="45"/>
      <c r="C265" s="104"/>
      <c r="D265" s="45"/>
    </row>
    <row r="266" spans="1:4" x14ac:dyDescent="0.2">
      <c r="A266" s="45"/>
      <c r="B266" s="45"/>
      <c r="C266" s="104"/>
      <c r="D266" s="45"/>
    </row>
    <row r="267" spans="1:4" x14ac:dyDescent="0.2">
      <c r="A267" s="45"/>
      <c r="B267" s="45"/>
      <c r="C267" s="104"/>
      <c r="D267" s="45"/>
    </row>
    <row r="268" spans="1:4" x14ac:dyDescent="0.2">
      <c r="A268" s="45"/>
      <c r="B268" s="45"/>
      <c r="C268" s="104"/>
      <c r="D268" s="45"/>
    </row>
    <row r="269" spans="1:4" x14ac:dyDescent="0.2">
      <c r="A269" s="45"/>
      <c r="B269" s="45"/>
      <c r="C269" s="104"/>
      <c r="D269" s="45"/>
    </row>
    <row r="270" spans="1:4" x14ac:dyDescent="0.2">
      <c r="A270" s="45"/>
      <c r="B270" s="45"/>
      <c r="C270" s="104"/>
      <c r="D270" s="45"/>
    </row>
    <row r="271" spans="1:4" x14ac:dyDescent="0.2">
      <c r="A271" s="45"/>
      <c r="B271" s="45"/>
      <c r="C271" s="104"/>
      <c r="D271" s="45"/>
    </row>
    <row r="272" spans="1:4" x14ac:dyDescent="0.2">
      <c r="A272" s="45"/>
      <c r="B272" s="45"/>
      <c r="C272" s="104"/>
      <c r="D272" s="45"/>
    </row>
    <row r="273" spans="1:4" x14ac:dyDescent="0.2">
      <c r="A273" s="45"/>
      <c r="B273" s="45"/>
      <c r="C273" s="104"/>
      <c r="D273" s="45"/>
    </row>
    <row r="274" spans="1:4" x14ac:dyDescent="0.2">
      <c r="A274" s="45"/>
      <c r="B274" s="45"/>
      <c r="C274" s="104"/>
      <c r="D274" s="45"/>
    </row>
    <row r="275" spans="1:4" x14ac:dyDescent="0.2">
      <c r="A275" s="45"/>
      <c r="B275" s="45"/>
      <c r="C275" s="104"/>
      <c r="D275" s="45"/>
    </row>
    <row r="276" spans="1:4" x14ac:dyDescent="0.2">
      <c r="A276" s="45"/>
      <c r="B276" s="45"/>
      <c r="C276" s="104"/>
      <c r="D276" s="45"/>
    </row>
    <row r="277" spans="1:4" x14ac:dyDescent="0.2">
      <c r="A277" s="45"/>
      <c r="B277" s="45"/>
      <c r="C277" s="104"/>
      <c r="D277" s="45"/>
    </row>
    <row r="278" spans="1:4" x14ac:dyDescent="0.2">
      <c r="A278" s="45"/>
      <c r="B278" s="45"/>
      <c r="C278" s="104"/>
      <c r="D278" s="45"/>
    </row>
    <row r="279" spans="1:4" x14ac:dyDescent="0.2">
      <c r="A279" s="45"/>
      <c r="B279" s="45"/>
      <c r="C279" s="104"/>
      <c r="D279" s="45"/>
    </row>
    <row r="280" spans="1:4" x14ac:dyDescent="0.2">
      <c r="A280" s="45"/>
      <c r="B280" s="45"/>
      <c r="C280" s="104"/>
      <c r="D280" s="45"/>
    </row>
    <row r="281" spans="1:4" x14ac:dyDescent="0.2">
      <c r="A281" s="45"/>
      <c r="B281" s="45"/>
      <c r="C281" s="104"/>
      <c r="D281" s="45"/>
    </row>
    <row r="282" spans="1:4" x14ac:dyDescent="0.2">
      <c r="A282" s="45"/>
      <c r="B282" s="45"/>
      <c r="C282" s="104"/>
      <c r="D282" s="45"/>
    </row>
    <row r="283" spans="1:4" x14ac:dyDescent="0.2">
      <c r="A283" s="45"/>
      <c r="B283" s="45"/>
      <c r="C283" s="104"/>
      <c r="D283" s="45"/>
    </row>
    <row r="284" spans="1:4" x14ac:dyDescent="0.2">
      <c r="A284" s="45"/>
      <c r="B284" s="45"/>
      <c r="C284" s="104"/>
      <c r="D284" s="45"/>
    </row>
    <row r="285" spans="1:4" x14ac:dyDescent="0.2">
      <c r="A285" s="45"/>
      <c r="B285" s="45"/>
      <c r="C285" s="104"/>
      <c r="D285" s="45"/>
    </row>
    <row r="286" spans="1:4" x14ac:dyDescent="0.2">
      <c r="A286" s="45"/>
      <c r="B286" s="45"/>
      <c r="C286" s="104"/>
      <c r="D286" s="45"/>
    </row>
    <row r="287" spans="1:4" x14ac:dyDescent="0.2">
      <c r="A287" s="45"/>
      <c r="B287" s="45"/>
      <c r="C287" s="104"/>
      <c r="D287" s="45"/>
    </row>
    <row r="288" spans="1:4" x14ac:dyDescent="0.2">
      <c r="A288" s="45"/>
      <c r="B288" s="45"/>
      <c r="C288" s="104"/>
      <c r="D288" s="45"/>
    </row>
    <row r="289" spans="1:4" x14ac:dyDescent="0.2">
      <c r="A289" s="45"/>
      <c r="B289" s="45"/>
      <c r="C289" s="104"/>
      <c r="D289" s="45"/>
    </row>
    <row r="290" spans="1:4" x14ac:dyDescent="0.2">
      <c r="A290" s="45"/>
      <c r="B290" s="45"/>
      <c r="C290" s="104"/>
      <c r="D290" s="45"/>
    </row>
    <row r="291" spans="1:4" x14ac:dyDescent="0.2">
      <c r="A291" s="45"/>
      <c r="B291" s="45"/>
      <c r="C291" s="104"/>
      <c r="D291" s="45"/>
    </row>
    <row r="292" spans="1:4" x14ac:dyDescent="0.2">
      <c r="A292" s="45"/>
      <c r="B292" s="45"/>
      <c r="C292" s="104"/>
      <c r="D292" s="45"/>
    </row>
    <row r="293" spans="1:4" x14ac:dyDescent="0.2">
      <c r="A293" s="45"/>
      <c r="B293" s="45"/>
      <c r="C293" s="104"/>
      <c r="D293" s="45"/>
    </row>
    <row r="294" spans="1:4" x14ac:dyDescent="0.2">
      <c r="A294" s="45"/>
      <c r="B294" s="45"/>
      <c r="C294" s="104"/>
      <c r="D294" s="45"/>
    </row>
    <row r="295" spans="1:4" x14ac:dyDescent="0.2">
      <c r="A295" s="45"/>
      <c r="B295" s="45"/>
      <c r="C295" s="104"/>
      <c r="D295" s="45"/>
    </row>
    <row r="296" spans="1:4" x14ac:dyDescent="0.2">
      <c r="A296" s="45"/>
      <c r="B296" s="45"/>
      <c r="C296" s="104"/>
      <c r="D296" s="45"/>
    </row>
    <row r="297" spans="1:4" x14ac:dyDescent="0.2">
      <c r="A297" s="45"/>
      <c r="B297" s="45"/>
      <c r="C297" s="104"/>
      <c r="D297" s="45"/>
    </row>
    <row r="298" spans="1:4" x14ac:dyDescent="0.2">
      <c r="A298" s="45"/>
      <c r="B298" s="45"/>
      <c r="C298" s="104"/>
      <c r="D298" s="45"/>
    </row>
    <row r="299" spans="1:4" x14ac:dyDescent="0.2">
      <c r="A299" s="45"/>
      <c r="B299" s="45"/>
      <c r="C299" s="104"/>
      <c r="D299" s="45"/>
    </row>
    <row r="300" spans="1:4" x14ac:dyDescent="0.2">
      <c r="A300" s="45"/>
      <c r="B300" s="45"/>
      <c r="C300" s="104"/>
      <c r="D300" s="45"/>
    </row>
    <row r="301" spans="1:4" x14ac:dyDescent="0.2">
      <c r="A301" s="45"/>
      <c r="B301" s="45"/>
      <c r="C301" s="104"/>
      <c r="D301" s="45"/>
    </row>
    <row r="302" spans="1:4" x14ac:dyDescent="0.2">
      <c r="A302" s="45"/>
      <c r="B302" s="45"/>
      <c r="C302" s="104"/>
      <c r="D302" s="45"/>
    </row>
    <row r="303" spans="1:4" x14ac:dyDescent="0.2">
      <c r="A303" s="45"/>
      <c r="B303" s="45"/>
      <c r="C303" s="104"/>
      <c r="D303" s="45"/>
    </row>
    <row r="304" spans="1:4" x14ac:dyDescent="0.2">
      <c r="A304" s="45"/>
      <c r="B304" s="45"/>
      <c r="C304" s="104"/>
      <c r="D304" s="45"/>
    </row>
    <row r="305" spans="1:4" x14ac:dyDescent="0.2">
      <c r="A305" s="45"/>
      <c r="B305" s="45"/>
      <c r="C305" s="104"/>
      <c r="D305" s="45"/>
    </row>
    <row r="306" spans="1:4" x14ac:dyDescent="0.2">
      <c r="A306" s="45"/>
      <c r="B306" s="45"/>
      <c r="C306" s="104"/>
      <c r="D306" s="45"/>
    </row>
    <row r="307" spans="1:4" x14ac:dyDescent="0.2">
      <c r="A307" s="45"/>
      <c r="B307" s="45"/>
      <c r="C307" s="104"/>
      <c r="D307" s="45"/>
    </row>
    <row r="308" spans="1:4" x14ac:dyDescent="0.2">
      <c r="A308" s="45"/>
      <c r="B308" s="45"/>
      <c r="C308" s="104"/>
      <c r="D308" s="45"/>
    </row>
    <row r="309" spans="1:4" x14ac:dyDescent="0.2">
      <c r="A309" s="45"/>
      <c r="B309" s="45"/>
      <c r="C309" s="104"/>
      <c r="D309" s="45"/>
    </row>
    <row r="310" spans="1:4" x14ac:dyDescent="0.2">
      <c r="A310" s="45"/>
      <c r="B310" s="45"/>
      <c r="C310" s="104"/>
      <c r="D310" s="45"/>
    </row>
    <row r="311" spans="1:4" x14ac:dyDescent="0.2">
      <c r="A311" s="45"/>
      <c r="B311" s="45"/>
      <c r="C311" s="104"/>
      <c r="D311" s="45"/>
    </row>
    <row r="312" spans="1:4" x14ac:dyDescent="0.2">
      <c r="A312" s="45"/>
      <c r="B312" s="45"/>
      <c r="C312" s="104"/>
      <c r="D312" s="45"/>
    </row>
    <row r="313" spans="1:4" x14ac:dyDescent="0.2">
      <c r="A313" s="45"/>
      <c r="B313" s="45"/>
      <c r="C313" s="104"/>
      <c r="D313" s="45"/>
    </row>
    <row r="314" spans="1:4" x14ac:dyDescent="0.2">
      <c r="A314" s="45"/>
      <c r="B314" s="45"/>
      <c r="C314" s="104"/>
      <c r="D314" s="45"/>
    </row>
    <row r="315" spans="1:4" x14ac:dyDescent="0.2">
      <c r="A315" s="45"/>
      <c r="B315" s="45"/>
      <c r="C315" s="104"/>
      <c r="D315" s="45"/>
    </row>
    <row r="316" spans="1:4" x14ac:dyDescent="0.2">
      <c r="A316" s="45"/>
      <c r="B316" s="45"/>
      <c r="C316" s="104"/>
      <c r="D316" s="45"/>
    </row>
    <row r="317" spans="1:4" x14ac:dyDescent="0.2">
      <c r="A317" s="45"/>
      <c r="B317" s="45"/>
      <c r="C317" s="104"/>
      <c r="D317" s="45"/>
    </row>
    <row r="318" spans="1:4" x14ac:dyDescent="0.2">
      <c r="A318" s="45"/>
      <c r="B318" s="45"/>
      <c r="C318" s="104"/>
      <c r="D318" s="45"/>
    </row>
    <row r="319" spans="1:4" x14ac:dyDescent="0.2">
      <c r="A319" s="45"/>
      <c r="B319" s="45"/>
      <c r="C319" s="104"/>
      <c r="D319" s="45"/>
    </row>
    <row r="320" spans="1:4" x14ac:dyDescent="0.2">
      <c r="A320" s="45"/>
      <c r="B320" s="45"/>
      <c r="C320" s="104"/>
      <c r="D320" s="45"/>
    </row>
    <row r="321" spans="1:4" x14ac:dyDescent="0.2">
      <c r="A321" s="45"/>
      <c r="B321" s="45"/>
      <c r="C321" s="104"/>
      <c r="D321" s="45"/>
    </row>
    <row r="322" spans="1:4" x14ac:dyDescent="0.2">
      <c r="A322" s="45"/>
      <c r="B322" s="45"/>
      <c r="C322" s="104"/>
      <c r="D322" s="45"/>
    </row>
    <row r="323" spans="1:4" x14ac:dyDescent="0.2">
      <c r="A323" s="45"/>
      <c r="B323" s="45"/>
      <c r="C323" s="104"/>
      <c r="D323" s="45"/>
    </row>
    <row r="324" spans="1:4" x14ac:dyDescent="0.2">
      <c r="A324" s="45"/>
      <c r="B324" s="45"/>
      <c r="C324" s="104"/>
      <c r="D324" s="45"/>
    </row>
    <row r="325" spans="1:4" x14ac:dyDescent="0.2">
      <c r="A325" s="45"/>
      <c r="B325" s="45"/>
      <c r="C325" s="104"/>
      <c r="D325" s="45"/>
    </row>
    <row r="326" spans="1:4" x14ac:dyDescent="0.2">
      <c r="A326" s="45"/>
      <c r="B326" s="45"/>
      <c r="C326" s="104"/>
      <c r="D326" s="45"/>
    </row>
    <row r="327" spans="1:4" x14ac:dyDescent="0.2">
      <c r="A327" s="45"/>
      <c r="B327" s="45"/>
      <c r="C327" s="104"/>
      <c r="D327" s="45"/>
    </row>
    <row r="328" spans="1:4" x14ac:dyDescent="0.2">
      <c r="A328" s="45"/>
      <c r="B328" s="45"/>
      <c r="C328" s="104"/>
      <c r="D328" s="45"/>
    </row>
    <row r="329" spans="1:4" x14ac:dyDescent="0.2">
      <c r="A329" s="45"/>
      <c r="B329" s="45"/>
      <c r="C329" s="104"/>
      <c r="D329" s="45"/>
    </row>
    <row r="330" spans="1:4" x14ac:dyDescent="0.2">
      <c r="A330" s="45"/>
      <c r="B330" s="45"/>
      <c r="C330" s="104"/>
      <c r="D330" s="45"/>
    </row>
    <row r="331" spans="1:4" x14ac:dyDescent="0.2">
      <c r="A331" s="45"/>
      <c r="B331" s="45"/>
      <c r="C331" s="104"/>
      <c r="D331" s="45"/>
    </row>
    <row r="332" spans="1:4" x14ac:dyDescent="0.2">
      <c r="A332" s="45"/>
      <c r="B332" s="45"/>
      <c r="C332" s="104"/>
      <c r="D332" s="45"/>
    </row>
    <row r="333" spans="1:4" x14ac:dyDescent="0.2">
      <c r="A333" s="45"/>
      <c r="B333" s="45"/>
      <c r="C333" s="104"/>
      <c r="D333" s="45"/>
    </row>
    <row r="334" spans="1:4" x14ac:dyDescent="0.2">
      <c r="A334" s="45"/>
      <c r="B334" s="45"/>
      <c r="C334" s="104"/>
      <c r="D334" s="45"/>
    </row>
    <row r="335" spans="1:4" x14ac:dyDescent="0.2">
      <c r="A335" s="45"/>
      <c r="B335" s="45"/>
      <c r="C335" s="104"/>
      <c r="D335" s="45"/>
    </row>
    <row r="336" spans="1:4" x14ac:dyDescent="0.2">
      <c r="A336" s="45"/>
      <c r="B336" s="45"/>
      <c r="C336" s="104"/>
      <c r="D336" s="45"/>
    </row>
    <row r="337" spans="1:4" x14ac:dyDescent="0.2">
      <c r="A337" s="45"/>
      <c r="B337" s="45"/>
      <c r="C337" s="104"/>
      <c r="D337" s="45"/>
    </row>
    <row r="338" spans="1:4" x14ac:dyDescent="0.2">
      <c r="A338" s="45"/>
      <c r="B338" s="45"/>
      <c r="C338" s="104"/>
      <c r="D338" s="45"/>
    </row>
    <row r="339" spans="1:4" x14ac:dyDescent="0.2">
      <c r="A339" s="45"/>
      <c r="B339" s="45"/>
      <c r="C339" s="104"/>
      <c r="D339" s="45"/>
    </row>
    <row r="340" spans="1:4" x14ac:dyDescent="0.2">
      <c r="A340" s="45"/>
      <c r="B340" s="45"/>
      <c r="C340" s="104"/>
      <c r="D340" s="45"/>
    </row>
    <row r="341" spans="1:4" x14ac:dyDescent="0.2">
      <c r="A341" s="45"/>
      <c r="B341" s="45"/>
      <c r="C341" s="104"/>
      <c r="D341" s="45"/>
    </row>
    <row r="342" spans="1:4" x14ac:dyDescent="0.2">
      <c r="A342" s="45"/>
      <c r="B342" s="45"/>
      <c r="C342" s="104"/>
      <c r="D342" s="45"/>
    </row>
    <row r="343" spans="1:4" x14ac:dyDescent="0.2">
      <c r="A343" s="45"/>
      <c r="B343" s="45"/>
      <c r="C343" s="104"/>
      <c r="D343" s="45"/>
    </row>
    <row r="344" spans="1:4" x14ac:dyDescent="0.2">
      <c r="A344" s="45"/>
      <c r="B344" s="45"/>
      <c r="C344" s="104"/>
      <c r="D344" s="45"/>
    </row>
    <row r="345" spans="1:4" x14ac:dyDescent="0.2">
      <c r="A345" s="45"/>
      <c r="B345" s="45"/>
      <c r="C345" s="104"/>
      <c r="D345" s="45"/>
    </row>
    <row r="346" spans="1:4" x14ac:dyDescent="0.2">
      <c r="A346" s="45"/>
      <c r="B346" s="45"/>
      <c r="C346" s="104"/>
      <c r="D346" s="45"/>
    </row>
    <row r="347" spans="1:4" x14ac:dyDescent="0.2">
      <c r="A347" s="45"/>
      <c r="B347" s="45"/>
      <c r="C347" s="104"/>
      <c r="D347" s="45"/>
    </row>
    <row r="348" spans="1:4" x14ac:dyDescent="0.2">
      <c r="A348" s="45"/>
      <c r="B348" s="45"/>
      <c r="C348" s="104"/>
      <c r="D348" s="45"/>
    </row>
    <row r="349" spans="1:4" x14ac:dyDescent="0.2">
      <c r="A349" s="45"/>
      <c r="B349" s="45"/>
      <c r="C349" s="104"/>
      <c r="D349" s="45"/>
    </row>
    <row r="350" spans="1:4" x14ac:dyDescent="0.2">
      <c r="A350" s="45"/>
      <c r="B350" s="45"/>
      <c r="C350" s="104"/>
      <c r="D350" s="45"/>
    </row>
    <row r="351" spans="1:4" x14ac:dyDescent="0.2">
      <c r="A351" s="45"/>
      <c r="B351" s="45"/>
      <c r="C351" s="104"/>
      <c r="D351" s="45"/>
    </row>
    <row r="352" spans="1:4" x14ac:dyDescent="0.2">
      <c r="A352" s="45"/>
      <c r="B352" s="45"/>
      <c r="C352" s="104"/>
      <c r="D352" s="45"/>
    </row>
    <row r="353" spans="1:4" x14ac:dyDescent="0.2">
      <c r="A353" s="45"/>
      <c r="B353" s="45"/>
      <c r="C353" s="104"/>
      <c r="D353" s="45"/>
    </row>
    <row r="354" spans="1:4" x14ac:dyDescent="0.2">
      <c r="A354" s="45"/>
      <c r="B354" s="45"/>
      <c r="C354" s="104"/>
      <c r="D354" s="45"/>
    </row>
    <row r="355" spans="1:4" x14ac:dyDescent="0.2">
      <c r="A355" s="45"/>
      <c r="B355" s="45"/>
      <c r="C355" s="104"/>
      <c r="D355" s="45"/>
    </row>
    <row r="356" spans="1:4" x14ac:dyDescent="0.2">
      <c r="A356" s="45"/>
      <c r="B356" s="45"/>
      <c r="C356" s="104"/>
      <c r="D356" s="45"/>
    </row>
    <row r="357" spans="1:4" x14ac:dyDescent="0.2">
      <c r="A357" s="45"/>
      <c r="B357" s="45"/>
      <c r="C357" s="104"/>
      <c r="D357" s="45"/>
    </row>
    <row r="358" spans="1:4" x14ac:dyDescent="0.2">
      <c r="A358" s="45"/>
      <c r="B358" s="45"/>
      <c r="C358" s="104"/>
      <c r="D358" s="45"/>
    </row>
    <row r="359" spans="1:4" x14ac:dyDescent="0.2">
      <c r="A359" s="45"/>
      <c r="B359" s="45"/>
      <c r="C359" s="104"/>
      <c r="D359" s="45"/>
    </row>
    <row r="360" spans="1:4" x14ac:dyDescent="0.2">
      <c r="A360" s="45"/>
      <c r="B360" s="45"/>
      <c r="C360" s="104"/>
      <c r="D360" s="45"/>
    </row>
    <row r="361" spans="1:4" x14ac:dyDescent="0.2">
      <c r="A361" s="45"/>
      <c r="B361" s="45"/>
      <c r="C361" s="104"/>
      <c r="D361" s="45"/>
    </row>
    <row r="362" spans="1:4" x14ac:dyDescent="0.2">
      <c r="A362" s="45"/>
      <c r="B362" s="45"/>
      <c r="C362" s="104"/>
      <c r="D362" s="45"/>
    </row>
    <row r="363" spans="1:4" x14ac:dyDescent="0.2">
      <c r="A363" s="45"/>
      <c r="B363" s="45"/>
      <c r="C363" s="104"/>
      <c r="D363" s="45"/>
    </row>
    <row r="364" spans="1:4" x14ac:dyDescent="0.2">
      <c r="A364" s="45"/>
      <c r="B364" s="45"/>
      <c r="C364" s="104"/>
      <c r="D364" s="45"/>
    </row>
    <row r="365" spans="1:4" x14ac:dyDescent="0.2">
      <c r="A365" s="45"/>
      <c r="B365" s="45"/>
      <c r="C365" s="104"/>
      <c r="D365" s="45"/>
    </row>
    <row r="366" spans="1:4" x14ac:dyDescent="0.2">
      <c r="A366" s="45"/>
      <c r="B366" s="45"/>
      <c r="C366" s="104"/>
      <c r="D366" s="45"/>
    </row>
    <row r="367" spans="1:4" x14ac:dyDescent="0.2">
      <c r="A367" s="45"/>
      <c r="B367" s="45"/>
      <c r="C367" s="104"/>
      <c r="D367" s="45"/>
    </row>
    <row r="368" spans="1:4" x14ac:dyDescent="0.2">
      <c r="A368" s="45"/>
      <c r="B368" s="45"/>
      <c r="C368" s="104"/>
      <c r="D368" s="45"/>
    </row>
    <row r="369" spans="1:4" x14ac:dyDescent="0.2">
      <c r="A369" s="45"/>
      <c r="B369" s="45"/>
      <c r="C369" s="104"/>
      <c r="D369" s="45"/>
    </row>
    <row r="370" spans="1:4" x14ac:dyDescent="0.2">
      <c r="A370" s="45"/>
      <c r="B370" s="45"/>
      <c r="C370" s="104"/>
      <c r="D370" s="45"/>
    </row>
    <row r="371" spans="1:4" x14ac:dyDescent="0.2">
      <c r="A371" s="45"/>
      <c r="B371" s="45"/>
      <c r="C371" s="104"/>
      <c r="D371" s="45"/>
    </row>
    <row r="372" spans="1:4" x14ac:dyDescent="0.2">
      <c r="A372" s="45"/>
      <c r="B372" s="45"/>
      <c r="C372" s="104"/>
      <c r="D372" s="45"/>
    </row>
    <row r="373" spans="1:4" x14ac:dyDescent="0.2">
      <c r="A373" s="45"/>
      <c r="B373" s="45"/>
      <c r="C373" s="104"/>
      <c r="D373" s="45"/>
    </row>
    <row r="374" spans="1:4" x14ac:dyDescent="0.2">
      <c r="A374" s="45"/>
      <c r="B374" s="45"/>
      <c r="C374" s="104"/>
      <c r="D374" s="45"/>
    </row>
    <row r="375" spans="1:4" x14ac:dyDescent="0.2">
      <c r="A375" s="45"/>
      <c r="B375" s="45"/>
      <c r="C375" s="104"/>
      <c r="D375" s="45"/>
    </row>
    <row r="376" spans="1:4" x14ac:dyDescent="0.2">
      <c r="A376" s="45"/>
      <c r="B376" s="45"/>
      <c r="C376" s="104"/>
      <c r="D376" s="45"/>
    </row>
    <row r="377" spans="1:4" x14ac:dyDescent="0.2">
      <c r="A377" s="45"/>
      <c r="B377" s="45"/>
      <c r="C377" s="104"/>
      <c r="D377" s="45"/>
    </row>
    <row r="378" spans="1:4" x14ac:dyDescent="0.2">
      <c r="A378" s="45"/>
      <c r="B378" s="45"/>
      <c r="C378" s="104"/>
      <c r="D378" s="45"/>
    </row>
    <row r="379" spans="1:4" x14ac:dyDescent="0.2">
      <c r="A379" s="45"/>
      <c r="B379" s="45"/>
      <c r="C379" s="104"/>
      <c r="D379" s="45"/>
    </row>
    <row r="380" spans="1:4" x14ac:dyDescent="0.2">
      <c r="A380" s="45"/>
      <c r="B380" s="45"/>
      <c r="C380" s="104"/>
      <c r="D380" s="45"/>
    </row>
    <row r="381" spans="1:4" x14ac:dyDescent="0.2">
      <c r="A381" s="45"/>
      <c r="B381" s="45"/>
      <c r="C381" s="104"/>
      <c r="D381" s="45"/>
    </row>
    <row r="382" spans="1:4" x14ac:dyDescent="0.2">
      <c r="A382" s="45"/>
      <c r="B382" s="45"/>
      <c r="C382" s="104"/>
      <c r="D382" s="45"/>
    </row>
    <row r="383" spans="1:4" x14ac:dyDescent="0.2">
      <c r="A383" s="45"/>
      <c r="B383" s="45"/>
      <c r="C383" s="104"/>
      <c r="D383" s="45"/>
    </row>
    <row r="384" spans="1:4" x14ac:dyDescent="0.2">
      <c r="A384" s="45"/>
      <c r="B384" s="45"/>
      <c r="C384" s="104"/>
      <c r="D384" s="45"/>
    </row>
    <row r="385" spans="1:4" x14ac:dyDescent="0.2">
      <c r="A385" s="45"/>
      <c r="B385" s="45"/>
      <c r="C385" s="104"/>
      <c r="D385" s="45"/>
    </row>
    <row r="386" spans="1:4" x14ac:dyDescent="0.2">
      <c r="A386" s="45"/>
      <c r="B386" s="45"/>
      <c r="C386" s="104"/>
      <c r="D386" s="45"/>
    </row>
    <row r="387" spans="1:4" x14ac:dyDescent="0.2">
      <c r="A387" s="45"/>
      <c r="B387" s="45"/>
      <c r="C387" s="104"/>
      <c r="D387" s="45"/>
    </row>
    <row r="388" spans="1:4" x14ac:dyDescent="0.2">
      <c r="A388" s="45"/>
      <c r="B388" s="45"/>
      <c r="C388" s="104"/>
      <c r="D388" s="45"/>
    </row>
    <row r="389" spans="1:4" x14ac:dyDescent="0.2">
      <c r="A389" s="45"/>
      <c r="B389" s="45"/>
      <c r="C389" s="104"/>
      <c r="D389" s="45"/>
    </row>
    <row r="390" spans="1:4" x14ac:dyDescent="0.2">
      <c r="A390" s="45"/>
      <c r="B390" s="45"/>
      <c r="C390" s="104"/>
      <c r="D390" s="45"/>
    </row>
    <row r="391" spans="1:4" x14ac:dyDescent="0.2">
      <c r="A391" s="45"/>
      <c r="B391" s="45"/>
      <c r="C391" s="104"/>
      <c r="D391" s="45"/>
    </row>
    <row r="392" spans="1:4" x14ac:dyDescent="0.2">
      <c r="A392" s="45"/>
      <c r="B392" s="45"/>
      <c r="C392" s="104"/>
      <c r="D392" s="45"/>
    </row>
    <row r="393" spans="1:4" x14ac:dyDescent="0.2">
      <c r="A393" s="45"/>
      <c r="B393" s="45"/>
      <c r="C393" s="104"/>
      <c r="D393" s="45"/>
    </row>
    <row r="394" spans="1:4" x14ac:dyDescent="0.2">
      <c r="A394" s="45"/>
      <c r="B394" s="45"/>
      <c r="C394" s="104"/>
      <c r="D394" s="45"/>
    </row>
    <row r="395" spans="1:4" x14ac:dyDescent="0.2">
      <c r="A395" s="45"/>
      <c r="B395" s="45"/>
      <c r="C395" s="104"/>
      <c r="D395" s="45"/>
    </row>
    <row r="396" spans="1:4" x14ac:dyDescent="0.2">
      <c r="A396" s="45"/>
      <c r="B396" s="45"/>
      <c r="C396" s="104"/>
      <c r="D396" s="45"/>
    </row>
    <row r="397" spans="1:4" x14ac:dyDescent="0.2">
      <c r="A397" s="45"/>
      <c r="B397" s="45"/>
      <c r="C397" s="104"/>
      <c r="D397" s="45"/>
    </row>
    <row r="398" spans="1:4" x14ac:dyDescent="0.2">
      <c r="A398" s="45"/>
      <c r="B398" s="45"/>
      <c r="C398" s="104"/>
      <c r="D398" s="45"/>
    </row>
    <row r="399" spans="1:4" x14ac:dyDescent="0.2">
      <c r="A399" s="45"/>
      <c r="B399" s="45"/>
      <c r="C399" s="104"/>
      <c r="D399" s="45"/>
    </row>
    <row r="400" spans="1:4" x14ac:dyDescent="0.2">
      <c r="A400" s="45"/>
      <c r="B400" s="45"/>
      <c r="C400" s="104"/>
      <c r="D400" s="45"/>
    </row>
    <row r="401" spans="1:4" x14ac:dyDescent="0.2">
      <c r="A401" s="45"/>
      <c r="B401" s="45"/>
      <c r="C401" s="104"/>
      <c r="D401" s="45"/>
    </row>
    <row r="402" spans="1:4" x14ac:dyDescent="0.2">
      <c r="A402" s="45"/>
      <c r="B402" s="45"/>
      <c r="C402" s="104"/>
      <c r="D402" s="45"/>
    </row>
    <row r="403" spans="1:4" x14ac:dyDescent="0.2">
      <c r="A403" s="45"/>
      <c r="B403" s="45"/>
      <c r="C403" s="104"/>
      <c r="D403" s="45"/>
    </row>
    <row r="404" spans="1:4" x14ac:dyDescent="0.2">
      <c r="A404" s="45"/>
      <c r="B404" s="45"/>
      <c r="C404" s="104"/>
      <c r="D404" s="45"/>
    </row>
    <row r="405" spans="1:4" x14ac:dyDescent="0.2">
      <c r="A405" s="45"/>
      <c r="B405" s="45"/>
      <c r="C405" s="104"/>
      <c r="D405" s="45"/>
    </row>
    <row r="406" spans="1:4" x14ac:dyDescent="0.2">
      <c r="A406" s="45"/>
      <c r="B406" s="45"/>
      <c r="C406" s="104"/>
      <c r="D406" s="45"/>
    </row>
    <row r="407" spans="1:4" x14ac:dyDescent="0.2">
      <c r="A407" s="45"/>
      <c r="B407" s="45"/>
      <c r="C407" s="104"/>
      <c r="D407" s="45"/>
    </row>
    <row r="408" spans="1:4" x14ac:dyDescent="0.2">
      <c r="A408" s="45"/>
      <c r="B408" s="45"/>
      <c r="C408" s="104"/>
      <c r="D408" s="45"/>
    </row>
    <row r="409" spans="1:4" x14ac:dyDescent="0.2">
      <c r="A409" s="45"/>
      <c r="B409" s="45"/>
      <c r="C409" s="104"/>
      <c r="D409" s="45"/>
    </row>
    <row r="410" spans="1:4" x14ac:dyDescent="0.2">
      <c r="A410" s="45"/>
      <c r="B410" s="45"/>
      <c r="C410" s="104"/>
      <c r="D410" s="45"/>
    </row>
    <row r="411" spans="1:4" x14ac:dyDescent="0.2">
      <c r="A411" s="45"/>
      <c r="B411" s="45"/>
      <c r="C411" s="104"/>
      <c r="D411" s="45"/>
    </row>
    <row r="412" spans="1:4" x14ac:dyDescent="0.2">
      <c r="A412" s="45"/>
      <c r="B412" s="45"/>
      <c r="C412" s="104"/>
      <c r="D412" s="45"/>
    </row>
    <row r="413" spans="1:4" x14ac:dyDescent="0.2">
      <c r="A413" s="45"/>
      <c r="B413" s="45"/>
      <c r="C413" s="104"/>
      <c r="D413" s="45"/>
    </row>
    <row r="414" spans="1:4" x14ac:dyDescent="0.2">
      <c r="A414" s="45"/>
      <c r="B414" s="45"/>
      <c r="C414" s="104"/>
      <c r="D414" s="45"/>
    </row>
    <row r="415" spans="1:4" x14ac:dyDescent="0.2">
      <c r="A415" s="45"/>
      <c r="B415" s="45"/>
      <c r="C415" s="104"/>
      <c r="D415" s="45"/>
    </row>
    <row r="416" spans="1:4" x14ac:dyDescent="0.2">
      <c r="A416" s="45"/>
      <c r="B416" s="45"/>
      <c r="C416" s="104"/>
      <c r="D416" s="45"/>
    </row>
    <row r="417" spans="1:4" x14ac:dyDescent="0.2">
      <c r="A417" s="45"/>
      <c r="B417" s="45"/>
      <c r="C417" s="104"/>
      <c r="D417" s="45"/>
    </row>
    <row r="418" spans="1:4" x14ac:dyDescent="0.2">
      <c r="A418" s="45"/>
      <c r="B418" s="45"/>
      <c r="C418" s="104"/>
      <c r="D418" s="45"/>
    </row>
    <row r="419" spans="1:4" x14ac:dyDescent="0.2">
      <c r="A419" s="45"/>
      <c r="B419" s="45"/>
      <c r="C419" s="104"/>
      <c r="D419" s="45"/>
    </row>
    <row r="420" spans="1:4" x14ac:dyDescent="0.2">
      <c r="A420" s="45"/>
      <c r="B420" s="45"/>
      <c r="C420" s="104"/>
      <c r="D420" s="45"/>
    </row>
    <row r="421" spans="1:4" x14ac:dyDescent="0.2">
      <c r="A421" s="45"/>
      <c r="B421" s="45"/>
      <c r="C421" s="104"/>
      <c r="D421" s="45"/>
    </row>
    <row r="422" spans="1:4" x14ac:dyDescent="0.2">
      <c r="A422" s="45"/>
      <c r="B422" s="45"/>
      <c r="C422" s="104"/>
      <c r="D422" s="45"/>
    </row>
    <row r="423" spans="1:4" x14ac:dyDescent="0.2">
      <c r="A423" s="45"/>
      <c r="B423" s="45"/>
      <c r="C423" s="104"/>
      <c r="D423" s="45"/>
    </row>
    <row r="424" spans="1:4" x14ac:dyDescent="0.2">
      <c r="A424" s="45"/>
      <c r="B424" s="45"/>
      <c r="C424" s="104"/>
      <c r="D424" s="45"/>
    </row>
    <row r="425" spans="1:4" x14ac:dyDescent="0.2">
      <c r="A425" s="45"/>
      <c r="B425" s="45"/>
      <c r="C425" s="104"/>
      <c r="D425" s="45"/>
    </row>
    <row r="426" spans="1:4" x14ac:dyDescent="0.2">
      <c r="A426" s="45"/>
      <c r="B426" s="45"/>
      <c r="C426" s="104"/>
      <c r="D426" s="45"/>
    </row>
    <row r="427" spans="1:4" x14ac:dyDescent="0.2">
      <c r="A427" s="45"/>
      <c r="B427" s="45"/>
      <c r="C427" s="104"/>
      <c r="D427" s="45"/>
    </row>
    <row r="428" spans="1:4" x14ac:dyDescent="0.2">
      <c r="A428" s="45"/>
      <c r="B428" s="45"/>
      <c r="C428" s="104"/>
      <c r="D428" s="45"/>
    </row>
    <row r="429" spans="1:4" x14ac:dyDescent="0.2">
      <c r="A429" s="45"/>
      <c r="B429" s="45"/>
      <c r="C429" s="104"/>
      <c r="D429" s="45"/>
    </row>
    <row r="430" spans="1:4" x14ac:dyDescent="0.2">
      <c r="A430" s="45"/>
      <c r="B430" s="45"/>
      <c r="C430" s="104"/>
      <c r="D430" s="45"/>
    </row>
    <row r="431" spans="1:4" x14ac:dyDescent="0.2">
      <c r="A431" s="45"/>
      <c r="B431" s="45"/>
      <c r="C431" s="104"/>
      <c r="D431" s="45"/>
    </row>
    <row r="432" spans="1:4" x14ac:dyDescent="0.2">
      <c r="A432" s="45"/>
      <c r="B432" s="45"/>
      <c r="C432" s="104"/>
      <c r="D432" s="45"/>
    </row>
    <row r="433" spans="1:4" x14ac:dyDescent="0.2">
      <c r="A433" s="45"/>
      <c r="B433" s="45"/>
      <c r="C433" s="104"/>
      <c r="D433" s="45"/>
    </row>
    <row r="434" spans="1:4" x14ac:dyDescent="0.2">
      <c r="A434" s="45"/>
      <c r="B434" s="45"/>
      <c r="C434" s="104"/>
      <c r="D434" s="45"/>
    </row>
    <row r="435" spans="1:4" x14ac:dyDescent="0.2">
      <c r="A435" s="45"/>
      <c r="B435" s="45"/>
      <c r="C435" s="104"/>
      <c r="D435" s="45"/>
    </row>
    <row r="436" spans="1:4" x14ac:dyDescent="0.2">
      <c r="A436" s="45"/>
      <c r="B436" s="45"/>
      <c r="C436" s="104"/>
      <c r="D436" s="45"/>
    </row>
    <row r="437" spans="1:4" x14ac:dyDescent="0.2">
      <c r="A437" s="45"/>
      <c r="B437" s="45"/>
      <c r="C437" s="104"/>
      <c r="D437" s="45"/>
    </row>
    <row r="438" spans="1:4" x14ac:dyDescent="0.2">
      <c r="A438" s="45"/>
      <c r="B438" s="45"/>
      <c r="C438" s="104"/>
      <c r="D438" s="45"/>
    </row>
    <row r="439" spans="1:4" x14ac:dyDescent="0.2">
      <c r="A439" s="45"/>
      <c r="B439" s="45"/>
      <c r="C439" s="104"/>
      <c r="D439" s="45"/>
    </row>
    <row r="440" spans="1:4" x14ac:dyDescent="0.2">
      <c r="A440" s="45"/>
      <c r="B440" s="45"/>
      <c r="C440" s="104"/>
      <c r="D440" s="45"/>
    </row>
    <row r="441" spans="1:4" x14ac:dyDescent="0.2">
      <c r="A441" s="45"/>
      <c r="B441" s="45"/>
      <c r="C441" s="104"/>
      <c r="D441" s="45"/>
    </row>
    <row r="442" spans="1:4" x14ac:dyDescent="0.2">
      <c r="A442" s="45"/>
      <c r="B442" s="45"/>
      <c r="C442" s="104"/>
      <c r="D442" s="45"/>
    </row>
    <row r="443" spans="1:4" x14ac:dyDescent="0.2">
      <c r="A443" s="45"/>
      <c r="B443" s="45"/>
      <c r="C443" s="104"/>
      <c r="D443" s="45"/>
    </row>
    <row r="444" spans="1:4" x14ac:dyDescent="0.2">
      <c r="A444" s="45"/>
      <c r="B444" s="45"/>
      <c r="C444" s="104"/>
      <c r="D444" s="45"/>
    </row>
    <row r="445" spans="1:4" x14ac:dyDescent="0.2">
      <c r="A445" s="45"/>
      <c r="B445" s="45"/>
      <c r="C445" s="104"/>
      <c r="D445" s="45"/>
    </row>
    <row r="446" spans="1:4" x14ac:dyDescent="0.2">
      <c r="A446" s="45"/>
      <c r="B446" s="45"/>
      <c r="C446" s="104"/>
      <c r="D446" s="45"/>
    </row>
    <row r="447" spans="1:4" x14ac:dyDescent="0.2">
      <c r="A447" s="45"/>
      <c r="B447" s="45"/>
      <c r="C447" s="104"/>
      <c r="D447" s="45"/>
    </row>
    <row r="448" spans="1:4" x14ac:dyDescent="0.2">
      <c r="A448" s="45"/>
      <c r="B448" s="45"/>
      <c r="C448" s="104"/>
      <c r="D448" s="45"/>
    </row>
    <row r="449" spans="1:4" x14ac:dyDescent="0.2">
      <c r="A449" s="45"/>
      <c r="B449" s="45"/>
      <c r="C449" s="104"/>
      <c r="D449" s="45"/>
    </row>
    <row r="450" spans="1:4" x14ac:dyDescent="0.2">
      <c r="A450" s="45"/>
      <c r="B450" s="45"/>
      <c r="C450" s="104"/>
      <c r="D450" s="45"/>
    </row>
    <row r="451" spans="1:4" x14ac:dyDescent="0.2">
      <c r="A451" s="45"/>
      <c r="B451" s="45"/>
      <c r="C451" s="104"/>
      <c r="D451" s="45"/>
    </row>
    <row r="452" spans="1:4" x14ac:dyDescent="0.2">
      <c r="A452" s="45"/>
      <c r="B452" s="45"/>
      <c r="C452" s="104"/>
      <c r="D452" s="45"/>
    </row>
    <row r="453" spans="1:4" x14ac:dyDescent="0.2">
      <c r="A453" s="45"/>
      <c r="B453" s="45"/>
      <c r="C453" s="104"/>
      <c r="D453" s="45"/>
    </row>
    <row r="454" spans="1:4" x14ac:dyDescent="0.2">
      <c r="A454" s="45"/>
      <c r="B454" s="45"/>
      <c r="C454" s="104"/>
      <c r="D454" s="45"/>
    </row>
    <row r="455" spans="1:4" x14ac:dyDescent="0.2">
      <c r="A455" s="45"/>
      <c r="B455" s="45"/>
      <c r="C455" s="104"/>
      <c r="D455" s="45"/>
    </row>
    <row r="456" spans="1:4" x14ac:dyDescent="0.2">
      <c r="A456" s="45"/>
      <c r="B456" s="45"/>
      <c r="C456" s="104"/>
      <c r="D456" s="45"/>
    </row>
    <row r="457" spans="1:4" x14ac:dyDescent="0.2">
      <c r="A457" s="45"/>
      <c r="B457" s="45"/>
      <c r="C457" s="104"/>
      <c r="D457" s="45"/>
    </row>
    <row r="458" spans="1:4" x14ac:dyDescent="0.2">
      <c r="A458" s="45"/>
      <c r="B458" s="45"/>
      <c r="C458" s="104"/>
      <c r="D458" s="45"/>
    </row>
    <row r="459" spans="1:4" x14ac:dyDescent="0.2">
      <c r="A459" s="45"/>
      <c r="B459" s="45"/>
      <c r="C459" s="104"/>
      <c r="D459" s="45"/>
    </row>
    <row r="460" spans="1:4" x14ac:dyDescent="0.2">
      <c r="A460" s="45"/>
      <c r="B460" s="45"/>
      <c r="C460" s="104"/>
      <c r="D460" s="45"/>
    </row>
    <row r="461" spans="1:4" x14ac:dyDescent="0.2">
      <c r="A461" s="45"/>
      <c r="B461" s="45"/>
      <c r="C461" s="104"/>
      <c r="D461" s="45"/>
    </row>
    <row r="462" spans="1:4" x14ac:dyDescent="0.2">
      <c r="A462" s="45"/>
      <c r="B462" s="45"/>
      <c r="C462" s="104"/>
      <c r="D462" s="45"/>
    </row>
    <row r="463" spans="1:4" x14ac:dyDescent="0.2">
      <c r="A463" s="45"/>
      <c r="B463" s="45"/>
      <c r="C463" s="104"/>
      <c r="D463" s="45"/>
    </row>
    <row r="464" spans="1:4" x14ac:dyDescent="0.2">
      <c r="A464" s="45"/>
      <c r="B464" s="45"/>
      <c r="C464" s="104"/>
      <c r="D464" s="45"/>
    </row>
    <row r="465" spans="1:4" x14ac:dyDescent="0.2">
      <c r="A465" s="45"/>
      <c r="B465" s="45"/>
      <c r="C465" s="104"/>
      <c r="D465" s="45"/>
    </row>
    <row r="466" spans="1:4" x14ac:dyDescent="0.2">
      <c r="A466" s="45"/>
      <c r="B466" s="45"/>
      <c r="C466" s="104"/>
      <c r="D466" s="45"/>
    </row>
    <row r="467" spans="1:4" x14ac:dyDescent="0.2">
      <c r="A467" s="45"/>
      <c r="B467" s="45"/>
      <c r="C467" s="104"/>
      <c r="D467" s="45"/>
    </row>
    <row r="468" spans="1:4" x14ac:dyDescent="0.2">
      <c r="A468" s="45"/>
      <c r="B468" s="45"/>
      <c r="C468" s="104"/>
      <c r="D468" s="45"/>
    </row>
    <row r="469" spans="1:4" x14ac:dyDescent="0.2">
      <c r="A469" s="45"/>
      <c r="B469" s="45"/>
      <c r="C469" s="104"/>
      <c r="D469" s="45"/>
    </row>
    <row r="470" spans="1:4" x14ac:dyDescent="0.2">
      <c r="A470" s="45"/>
      <c r="B470" s="45"/>
      <c r="C470" s="104"/>
      <c r="D470" s="45"/>
    </row>
    <row r="471" spans="1:4" x14ac:dyDescent="0.2">
      <c r="A471" s="45"/>
      <c r="B471" s="45"/>
      <c r="C471" s="104"/>
      <c r="D471" s="45"/>
    </row>
    <row r="472" spans="1:4" x14ac:dyDescent="0.2">
      <c r="A472" s="45"/>
      <c r="B472" s="45"/>
      <c r="C472" s="104"/>
      <c r="D472" s="45"/>
    </row>
    <row r="473" spans="1:4" x14ac:dyDescent="0.2">
      <c r="A473" s="45"/>
      <c r="B473" s="45"/>
      <c r="C473" s="104"/>
      <c r="D473" s="45"/>
    </row>
    <row r="474" spans="1:4" x14ac:dyDescent="0.2">
      <c r="A474" s="45"/>
      <c r="B474" s="45"/>
      <c r="C474" s="104"/>
      <c r="D474" s="45"/>
    </row>
    <row r="475" spans="1:4" x14ac:dyDescent="0.2">
      <c r="A475" s="45"/>
      <c r="B475" s="45"/>
      <c r="C475" s="104"/>
      <c r="D475" s="45"/>
    </row>
    <row r="476" spans="1:4" x14ac:dyDescent="0.2">
      <c r="A476" s="45"/>
      <c r="B476" s="45"/>
      <c r="C476" s="104"/>
      <c r="D476" s="45"/>
    </row>
    <row r="477" spans="1:4" x14ac:dyDescent="0.2">
      <c r="A477" s="45"/>
      <c r="B477" s="45"/>
      <c r="C477" s="104"/>
      <c r="D477" s="45"/>
    </row>
    <row r="478" spans="1:4" x14ac:dyDescent="0.2">
      <c r="A478" s="45"/>
      <c r="B478" s="45"/>
      <c r="C478" s="104"/>
      <c r="D478" s="45"/>
    </row>
    <row r="479" spans="1:4" x14ac:dyDescent="0.2">
      <c r="A479" s="45"/>
      <c r="B479" s="45"/>
      <c r="C479" s="104"/>
      <c r="D479" s="45"/>
    </row>
    <row r="480" spans="1:4" x14ac:dyDescent="0.2">
      <c r="A480" s="45"/>
      <c r="B480" s="45"/>
      <c r="C480" s="104"/>
      <c r="D480" s="45"/>
    </row>
    <row r="481" spans="1:4" x14ac:dyDescent="0.2">
      <c r="A481" s="45"/>
      <c r="B481" s="45"/>
      <c r="C481" s="104"/>
      <c r="D481" s="45"/>
    </row>
    <row r="482" spans="1:4" x14ac:dyDescent="0.2">
      <c r="A482" s="45"/>
      <c r="B482" s="45"/>
      <c r="C482" s="104"/>
      <c r="D482" s="45"/>
    </row>
    <row r="483" spans="1:4" x14ac:dyDescent="0.2">
      <c r="A483" s="45"/>
      <c r="B483" s="45"/>
      <c r="C483" s="104"/>
      <c r="D483" s="45"/>
    </row>
    <row r="484" spans="1:4" x14ac:dyDescent="0.2">
      <c r="A484" s="45"/>
      <c r="B484" s="45"/>
      <c r="C484" s="104"/>
      <c r="D484" s="45"/>
    </row>
    <row r="485" spans="1:4" x14ac:dyDescent="0.2">
      <c r="A485" s="45"/>
      <c r="B485" s="45"/>
      <c r="C485" s="104"/>
      <c r="D485" s="45"/>
    </row>
    <row r="486" spans="1:4" x14ac:dyDescent="0.2">
      <c r="A486" s="45"/>
      <c r="B486" s="45"/>
      <c r="C486" s="104"/>
      <c r="D486" s="45"/>
    </row>
    <row r="487" spans="1:4" x14ac:dyDescent="0.2">
      <c r="A487" s="45"/>
      <c r="B487" s="45"/>
      <c r="C487" s="104"/>
      <c r="D487" s="45"/>
    </row>
    <row r="488" spans="1:4" x14ac:dyDescent="0.2">
      <c r="A488" s="45"/>
      <c r="B488" s="45"/>
      <c r="C488" s="104"/>
      <c r="D488" s="45"/>
    </row>
    <row r="489" spans="1:4" x14ac:dyDescent="0.2">
      <c r="A489" s="45"/>
      <c r="B489" s="45"/>
      <c r="C489" s="104"/>
      <c r="D489" s="45"/>
    </row>
    <row r="490" spans="1:4" x14ac:dyDescent="0.2">
      <c r="A490" s="45"/>
      <c r="B490" s="45"/>
      <c r="C490" s="104"/>
      <c r="D490" s="45"/>
    </row>
    <row r="491" spans="1:4" x14ac:dyDescent="0.2">
      <c r="A491" s="45"/>
      <c r="B491" s="45"/>
      <c r="C491" s="104"/>
      <c r="D491" s="45"/>
    </row>
    <row r="492" spans="1:4" x14ac:dyDescent="0.2">
      <c r="A492" s="45"/>
      <c r="B492" s="45"/>
      <c r="C492" s="104"/>
      <c r="D492" s="45"/>
    </row>
    <row r="493" spans="1:4" x14ac:dyDescent="0.2">
      <c r="A493" s="45"/>
      <c r="B493" s="45"/>
      <c r="C493" s="104"/>
      <c r="D493" s="45"/>
    </row>
    <row r="494" spans="1:4" x14ac:dyDescent="0.2">
      <c r="A494" s="45"/>
      <c r="B494" s="45"/>
      <c r="C494" s="104"/>
      <c r="D494" s="45"/>
    </row>
    <row r="495" spans="1:4" x14ac:dyDescent="0.2">
      <c r="A495" s="45"/>
      <c r="B495" s="45"/>
      <c r="C495" s="104"/>
      <c r="D495" s="45"/>
    </row>
    <row r="496" spans="1:4" x14ac:dyDescent="0.2">
      <c r="A496" s="45"/>
      <c r="B496" s="45"/>
      <c r="C496" s="104"/>
      <c r="D496" s="45"/>
    </row>
    <row r="497" spans="1:4" x14ac:dyDescent="0.2">
      <c r="A497" s="45"/>
      <c r="B497" s="45"/>
      <c r="C497" s="104"/>
      <c r="D497" s="45"/>
    </row>
    <row r="498" spans="1:4" x14ac:dyDescent="0.2">
      <c r="A498" s="45"/>
      <c r="B498" s="45"/>
      <c r="C498" s="104"/>
      <c r="D498" s="45"/>
    </row>
    <row r="499" spans="1:4" x14ac:dyDescent="0.2">
      <c r="A499" s="45"/>
      <c r="B499" s="45"/>
      <c r="C499" s="104"/>
      <c r="D499" s="45"/>
    </row>
    <row r="500" spans="1:4" x14ac:dyDescent="0.2">
      <c r="A500" s="45"/>
      <c r="B500" s="45"/>
      <c r="C500" s="104"/>
      <c r="D500" s="45"/>
    </row>
    <row r="501" spans="1:4" x14ac:dyDescent="0.2">
      <c r="A501" s="45"/>
      <c r="B501" s="45"/>
      <c r="C501" s="104"/>
      <c r="D501" s="45"/>
    </row>
    <row r="502" spans="1:4" x14ac:dyDescent="0.2">
      <c r="A502" s="45"/>
      <c r="B502" s="45"/>
      <c r="C502" s="104"/>
      <c r="D502" s="45"/>
    </row>
    <row r="503" spans="1:4" x14ac:dyDescent="0.2">
      <c r="A503" s="45"/>
      <c r="B503" s="45"/>
      <c r="C503" s="104"/>
      <c r="D503" s="45"/>
    </row>
    <row r="504" spans="1:4" x14ac:dyDescent="0.2">
      <c r="A504" s="45"/>
      <c r="B504" s="45"/>
      <c r="C504" s="104"/>
      <c r="D504" s="45"/>
    </row>
    <row r="505" spans="1:4" x14ac:dyDescent="0.2">
      <c r="A505" s="45"/>
      <c r="B505" s="45"/>
      <c r="C505" s="104"/>
      <c r="D505" s="45"/>
    </row>
    <row r="506" spans="1:4" x14ac:dyDescent="0.2">
      <c r="A506" s="45"/>
      <c r="B506" s="45"/>
      <c r="C506" s="104"/>
      <c r="D506" s="45"/>
    </row>
    <row r="507" spans="1:4" x14ac:dyDescent="0.2">
      <c r="A507" s="45"/>
      <c r="B507" s="45"/>
      <c r="C507" s="104"/>
      <c r="D507" s="45"/>
    </row>
    <row r="508" spans="1:4" x14ac:dyDescent="0.2">
      <c r="A508" s="45"/>
      <c r="B508" s="45"/>
      <c r="C508" s="104"/>
      <c r="D508" s="45"/>
    </row>
    <row r="509" spans="1:4" x14ac:dyDescent="0.2">
      <c r="A509" s="45"/>
      <c r="B509" s="45"/>
      <c r="C509" s="104"/>
      <c r="D509" s="45"/>
    </row>
    <row r="510" spans="1:4" x14ac:dyDescent="0.2">
      <c r="A510" s="45"/>
      <c r="B510" s="45"/>
      <c r="C510" s="104"/>
      <c r="D510" s="45"/>
    </row>
    <row r="511" spans="1:4" x14ac:dyDescent="0.2">
      <c r="A511" s="45"/>
      <c r="B511" s="45"/>
      <c r="C511" s="104"/>
      <c r="D511" s="45"/>
    </row>
    <row r="512" spans="1:4" x14ac:dyDescent="0.2">
      <c r="A512" s="45"/>
      <c r="B512" s="45"/>
      <c r="C512" s="104"/>
      <c r="D512" s="45"/>
    </row>
    <row r="513" spans="1:4" x14ac:dyDescent="0.2">
      <c r="A513" s="45"/>
      <c r="B513" s="45"/>
      <c r="C513" s="104"/>
      <c r="D513" s="45"/>
    </row>
    <row r="514" spans="1:4" x14ac:dyDescent="0.2">
      <c r="A514" s="45"/>
      <c r="B514" s="45"/>
      <c r="C514" s="104"/>
      <c r="D514" s="45"/>
    </row>
    <row r="515" spans="1:4" x14ac:dyDescent="0.2">
      <c r="A515" s="45"/>
      <c r="B515" s="45"/>
      <c r="C515" s="104"/>
      <c r="D515" s="45"/>
    </row>
    <row r="516" spans="1:4" x14ac:dyDescent="0.2">
      <c r="A516" s="45"/>
      <c r="B516" s="45"/>
      <c r="C516" s="104"/>
      <c r="D516" s="45"/>
    </row>
    <row r="517" spans="1:4" x14ac:dyDescent="0.2">
      <c r="A517" s="45"/>
      <c r="B517" s="45"/>
      <c r="C517" s="104"/>
      <c r="D517" s="45"/>
    </row>
    <row r="518" spans="1:4" x14ac:dyDescent="0.2">
      <c r="A518" s="45"/>
      <c r="B518" s="45"/>
      <c r="C518" s="104"/>
      <c r="D518" s="45"/>
    </row>
    <row r="519" spans="1:4" x14ac:dyDescent="0.2">
      <c r="A519" s="45"/>
      <c r="B519" s="45"/>
      <c r="C519" s="104"/>
      <c r="D519" s="45"/>
    </row>
    <row r="520" spans="1:4" x14ac:dyDescent="0.2">
      <c r="A520" s="45"/>
      <c r="B520" s="45"/>
      <c r="C520" s="104"/>
      <c r="D520" s="45"/>
    </row>
    <row r="521" spans="1:4" x14ac:dyDescent="0.2">
      <c r="A521" s="45"/>
      <c r="B521" s="45"/>
      <c r="C521" s="104"/>
      <c r="D521" s="45"/>
    </row>
    <row r="522" spans="1:4" x14ac:dyDescent="0.2">
      <c r="A522" s="45"/>
      <c r="B522" s="45"/>
      <c r="C522" s="104"/>
      <c r="D522" s="45"/>
    </row>
    <row r="523" spans="1:4" x14ac:dyDescent="0.2">
      <c r="A523" s="45"/>
      <c r="B523" s="45"/>
      <c r="C523" s="104"/>
      <c r="D523" s="45"/>
    </row>
    <row r="524" spans="1:4" x14ac:dyDescent="0.2">
      <c r="A524" s="45"/>
      <c r="B524" s="45"/>
      <c r="C524" s="104"/>
      <c r="D524" s="45"/>
    </row>
    <row r="525" spans="1:4" x14ac:dyDescent="0.2">
      <c r="A525" s="45"/>
      <c r="B525" s="45"/>
      <c r="C525" s="104"/>
      <c r="D525" s="45"/>
    </row>
    <row r="526" spans="1:4" x14ac:dyDescent="0.2">
      <c r="A526" s="45"/>
      <c r="B526" s="45"/>
      <c r="C526" s="104"/>
      <c r="D526" s="45"/>
    </row>
    <row r="527" spans="1:4" x14ac:dyDescent="0.2">
      <c r="A527" s="45"/>
      <c r="B527" s="45"/>
      <c r="C527" s="104"/>
      <c r="D527" s="45"/>
    </row>
    <row r="528" spans="1:4" x14ac:dyDescent="0.2">
      <c r="A528" s="45"/>
      <c r="B528" s="45"/>
      <c r="C528" s="104"/>
      <c r="D528" s="45"/>
    </row>
    <row r="529" spans="1:4" x14ac:dyDescent="0.2">
      <c r="A529" s="45"/>
      <c r="B529" s="45"/>
      <c r="C529" s="104"/>
      <c r="D529" s="45"/>
    </row>
    <row r="530" spans="1:4" x14ac:dyDescent="0.2">
      <c r="A530" s="45"/>
      <c r="B530" s="45"/>
      <c r="C530" s="104"/>
      <c r="D530" s="45"/>
    </row>
    <row r="531" spans="1:4" x14ac:dyDescent="0.2">
      <c r="A531" s="45"/>
      <c r="B531" s="45"/>
      <c r="C531" s="104"/>
      <c r="D531" s="45"/>
    </row>
    <row r="532" spans="1:4" x14ac:dyDescent="0.2">
      <c r="A532" s="45"/>
      <c r="B532" s="45"/>
      <c r="C532" s="104"/>
      <c r="D532" s="45"/>
    </row>
    <row r="533" spans="1:4" x14ac:dyDescent="0.2">
      <c r="A533" s="45"/>
      <c r="B533" s="45"/>
      <c r="C533" s="104"/>
      <c r="D533" s="45"/>
    </row>
    <row r="534" spans="1:4" x14ac:dyDescent="0.2">
      <c r="A534" s="45"/>
      <c r="B534" s="45"/>
      <c r="C534" s="104"/>
      <c r="D534" s="45"/>
    </row>
    <row r="535" spans="1:4" x14ac:dyDescent="0.2">
      <c r="A535" s="45"/>
      <c r="B535" s="45"/>
      <c r="C535" s="104"/>
      <c r="D535" s="45"/>
    </row>
    <row r="536" spans="1:4" x14ac:dyDescent="0.2">
      <c r="A536" s="45"/>
      <c r="B536" s="45"/>
      <c r="C536" s="104"/>
      <c r="D536" s="45"/>
    </row>
    <row r="537" spans="1:4" x14ac:dyDescent="0.2">
      <c r="A537" s="45"/>
      <c r="B537" s="45"/>
      <c r="C537" s="104"/>
      <c r="D537" s="45"/>
    </row>
    <row r="538" spans="1:4" x14ac:dyDescent="0.2">
      <c r="A538" s="45"/>
      <c r="B538" s="45"/>
      <c r="C538" s="104"/>
      <c r="D538" s="45"/>
    </row>
    <row r="539" spans="1:4" x14ac:dyDescent="0.2">
      <c r="A539" s="45"/>
      <c r="B539" s="45"/>
      <c r="C539" s="104"/>
      <c r="D539" s="45"/>
    </row>
    <row r="540" spans="1:4" x14ac:dyDescent="0.2">
      <c r="A540" s="45"/>
      <c r="B540" s="45"/>
      <c r="C540" s="104"/>
      <c r="D540" s="45"/>
    </row>
    <row r="541" spans="1:4" x14ac:dyDescent="0.2">
      <c r="A541" s="45"/>
      <c r="B541" s="45"/>
      <c r="C541" s="104"/>
      <c r="D541" s="45"/>
    </row>
    <row r="542" spans="1:4" x14ac:dyDescent="0.2">
      <c r="A542" s="45"/>
      <c r="B542" s="45"/>
      <c r="C542" s="104"/>
      <c r="D542" s="45"/>
    </row>
    <row r="543" spans="1:4" x14ac:dyDescent="0.2">
      <c r="A543" s="45"/>
      <c r="B543" s="45"/>
      <c r="C543" s="104"/>
      <c r="D543" s="45"/>
    </row>
  </sheetData>
  <phoneticPr fontId="0" type="noConversion"/>
  <printOptions horizontalCentered="1"/>
  <pageMargins left="1.25" right="0.34" top="0.55000000000000004" bottom="0.74" header="0" footer="0"/>
  <pageSetup paperSize="9" scale="91" fitToHeight="2" orientation="portrait" horizontalDpi="180" verticalDpi="180" r:id="rId1"/>
  <headerFooter alignWithMargins="0">
    <oddHeader xml:space="preserve">&amp;C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F19" sqref="F19"/>
    </sheetView>
    <sheetView workbookViewId="1"/>
  </sheetViews>
  <sheetFormatPr defaultRowHeight="15" x14ac:dyDescent="0.2"/>
  <cols>
    <col min="1" max="1" width="16.33203125" bestFit="1" customWidth="1"/>
    <col min="2" max="2" width="9.77734375" style="75" bestFit="1" customWidth="1"/>
    <col min="3" max="3" width="5.44140625" customWidth="1"/>
    <col min="4" max="5" width="8.88671875" style="109"/>
  </cols>
  <sheetData>
    <row r="1" spans="1:6" s="108" customFormat="1" ht="30.75" customHeight="1" x14ac:dyDescent="0.2">
      <c r="A1" s="110" t="s">
        <v>81</v>
      </c>
      <c r="B1" s="112" t="s">
        <v>262</v>
      </c>
      <c r="C1" s="111"/>
      <c r="D1" s="110" t="s">
        <v>260</v>
      </c>
      <c r="E1" s="110" t="s">
        <v>261</v>
      </c>
    </row>
    <row r="2" spans="1:6" x14ac:dyDescent="0.2">
      <c r="A2" t="s">
        <v>256</v>
      </c>
      <c r="B2" s="75" t="s">
        <v>264</v>
      </c>
      <c r="C2" t="s">
        <v>255</v>
      </c>
      <c r="D2" s="109">
        <v>3</v>
      </c>
    </row>
    <row r="3" spans="1:6" x14ac:dyDescent="0.2">
      <c r="A3" t="s">
        <v>258</v>
      </c>
      <c r="B3" s="75" t="s">
        <v>264</v>
      </c>
      <c r="C3" t="s">
        <v>98</v>
      </c>
      <c r="D3" s="109">
        <v>2</v>
      </c>
      <c r="F3">
        <v>35</v>
      </c>
    </row>
    <row r="4" spans="1:6" x14ac:dyDescent="0.2">
      <c r="A4" t="s">
        <v>258</v>
      </c>
      <c r="B4" s="75" t="s">
        <v>266</v>
      </c>
      <c r="C4" t="s">
        <v>99</v>
      </c>
      <c r="D4" s="109">
        <v>2</v>
      </c>
      <c r="F4">
        <v>35</v>
      </c>
    </row>
    <row r="5" spans="1:6" x14ac:dyDescent="0.2">
      <c r="A5" t="s">
        <v>257</v>
      </c>
      <c r="B5" s="75" t="s">
        <v>265</v>
      </c>
      <c r="C5" t="s">
        <v>105</v>
      </c>
      <c r="D5" s="109">
        <v>3</v>
      </c>
      <c r="F5">
        <v>35</v>
      </c>
    </row>
    <row r="6" spans="1:6" x14ac:dyDescent="0.2">
      <c r="A6" t="s">
        <v>257</v>
      </c>
      <c r="B6" s="75" t="s">
        <v>266</v>
      </c>
      <c r="C6" t="s">
        <v>259</v>
      </c>
      <c r="D6" s="109">
        <v>4</v>
      </c>
      <c r="F6">
        <v>35</v>
      </c>
    </row>
    <row r="7" spans="1:6" x14ac:dyDescent="0.2">
      <c r="A7" t="s">
        <v>257</v>
      </c>
      <c r="B7" s="75" t="s">
        <v>267</v>
      </c>
      <c r="C7" t="s">
        <v>190</v>
      </c>
      <c r="D7" s="109">
        <v>0</v>
      </c>
      <c r="E7" s="109">
        <v>4</v>
      </c>
      <c r="F7">
        <v>30</v>
      </c>
    </row>
    <row r="9" spans="1:6" x14ac:dyDescent="0.2">
      <c r="A9" t="s">
        <v>128</v>
      </c>
      <c r="B9" s="75" t="s">
        <v>268</v>
      </c>
      <c r="C9" t="s">
        <v>263</v>
      </c>
      <c r="D9" s="109">
        <v>6</v>
      </c>
    </row>
    <row r="10" spans="1:6" x14ac:dyDescent="0.2">
      <c r="A10" t="s">
        <v>128</v>
      </c>
      <c r="B10" s="75" t="s">
        <v>269</v>
      </c>
      <c r="C10" t="s">
        <v>181</v>
      </c>
      <c r="D10" s="109">
        <v>4</v>
      </c>
    </row>
    <row r="11" spans="1:6" x14ac:dyDescent="0.2">
      <c r="A11" t="s">
        <v>128</v>
      </c>
      <c r="B11" s="75" t="s">
        <v>270</v>
      </c>
      <c r="C11" t="s">
        <v>100</v>
      </c>
      <c r="D11" s="109">
        <v>10</v>
      </c>
    </row>
    <row r="12" spans="1:6" x14ac:dyDescent="0.2">
      <c r="A12" t="s">
        <v>271</v>
      </c>
      <c r="B12" s="75" t="s">
        <v>274</v>
      </c>
      <c r="C12" t="s">
        <v>101</v>
      </c>
      <c r="D12" s="109">
        <v>1</v>
      </c>
    </row>
    <row r="13" spans="1:6" x14ac:dyDescent="0.2">
      <c r="A13" t="s">
        <v>271</v>
      </c>
      <c r="B13" s="75" t="s">
        <v>273</v>
      </c>
      <c r="C13" t="s">
        <v>102</v>
      </c>
      <c r="D13" s="109">
        <v>1</v>
      </c>
    </row>
    <row r="14" spans="1:6" x14ac:dyDescent="0.2">
      <c r="A14" t="s">
        <v>271</v>
      </c>
      <c r="B14" s="75" t="s">
        <v>272</v>
      </c>
      <c r="C14" t="s">
        <v>192</v>
      </c>
      <c r="D14" s="109">
        <v>5</v>
      </c>
    </row>
  </sheetData>
  <phoneticPr fontId="0" type="noConversion"/>
  <printOptions horizontalCentered="1" gridLines="1" gridLinesSet="0"/>
  <pageMargins left="0.74803149606299213" right="0.74803149606299213" top="0.98425196850393704" bottom="0.98425196850393704" header="0.51181102362204722" footer="0.51181102362204722"/>
  <pageSetup paperSize="9" orientation="portrait" horizontalDpi="200" verticalDpi="200" r:id="rId1"/>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sheetView workbookViewId="1"/>
  </sheetViews>
  <sheetFormatPr defaultRowHeight="15" x14ac:dyDescent="0.2"/>
  <sheetData>
    <row r="1" spans="1:10" x14ac:dyDescent="0.2">
      <c r="A1" s="50">
        <v>1</v>
      </c>
      <c r="B1" s="10" t="s">
        <v>88</v>
      </c>
      <c r="C1" s="178">
        <v>11.75</v>
      </c>
      <c r="D1" s="10">
        <f>ROUND(C1*0.3048,2)</f>
        <v>3.58</v>
      </c>
    </row>
    <row r="2" spans="1:10" x14ac:dyDescent="0.2">
      <c r="C2">
        <v>21</v>
      </c>
      <c r="G2" s="184">
        <v>115</v>
      </c>
      <c r="H2" s="10">
        <f>ROUND(G2*0.3048,2)</f>
        <v>35.049999999999997</v>
      </c>
    </row>
    <row r="3" spans="1:10" x14ac:dyDescent="0.2">
      <c r="C3">
        <v>21</v>
      </c>
      <c r="G3" s="184">
        <v>153.5</v>
      </c>
      <c r="H3" s="10">
        <f>ROUND(G3*0.3048,2)</f>
        <v>46.79</v>
      </c>
      <c r="I3">
        <f>H2+H3</f>
        <v>81.84</v>
      </c>
      <c r="J3">
        <f>I3/2</f>
        <v>40.92</v>
      </c>
    </row>
    <row r="4" spans="1:10" x14ac:dyDescent="0.2">
      <c r="C4">
        <v>17.5</v>
      </c>
      <c r="G4" s="184">
        <v>159</v>
      </c>
      <c r="H4" s="10">
        <f>ROUND(G4*0.3048,2)</f>
        <v>48.46</v>
      </c>
    </row>
    <row r="5" spans="1:10" x14ac:dyDescent="0.2">
      <c r="C5" s="4">
        <f>SUM(C1:C4)</f>
        <v>71.25</v>
      </c>
      <c r="D5" s="10">
        <f>ROUND(C5*0.3048,2)</f>
        <v>21.72</v>
      </c>
      <c r="G5" s="184">
        <v>51.5</v>
      </c>
      <c r="H5" s="10">
        <f>ROUND(G5*0.3048,2)</f>
        <v>15.7</v>
      </c>
    </row>
    <row r="6" spans="1:10" x14ac:dyDescent="0.2">
      <c r="C6">
        <v>21</v>
      </c>
      <c r="D6" s="10">
        <f>ROUND(C6*0.3048,2)</f>
        <v>6.4</v>
      </c>
      <c r="E6" s="267" t="s">
        <v>89</v>
      </c>
      <c r="G6" s="184"/>
    </row>
    <row r="7" spans="1:10" x14ac:dyDescent="0.2">
      <c r="C7">
        <v>69</v>
      </c>
      <c r="D7" s="10">
        <f>ROUND(C7*0.3048,2)</f>
        <v>21.03</v>
      </c>
      <c r="G7" s="184"/>
    </row>
    <row r="8" spans="1:10" x14ac:dyDescent="0.2">
      <c r="E8">
        <f>SUM(D5:D6)</f>
        <v>28.119999999999997</v>
      </c>
      <c r="G8" s="184"/>
    </row>
    <row r="9" spans="1:10" x14ac:dyDescent="0.2">
      <c r="G9" s="184"/>
    </row>
    <row r="14" spans="1:10" x14ac:dyDescent="0.2">
      <c r="G14">
        <f>1.8^2</f>
        <v>3.24</v>
      </c>
    </row>
    <row r="15" spans="1:10" x14ac:dyDescent="0.2">
      <c r="G15">
        <f>1.05^2</f>
        <v>1.1025</v>
      </c>
    </row>
    <row r="16" spans="1:10" x14ac:dyDescent="0.2">
      <c r="G16">
        <f>SUM(G14:G15)</f>
        <v>4.3425000000000002</v>
      </c>
      <c r="H16">
        <f>G16^0.5</f>
        <v>2.0838665984174707</v>
      </c>
    </row>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 workbookViewId="1"/>
  </sheetViews>
  <sheetFormatPr defaultRowHeight="15" x14ac:dyDescent="0.2"/>
  <sheetData/>
  <phoneticPr fontId="0" type="noConversion"/>
  <printOptions gridLines="1" gridLinesSet="0"/>
  <pageMargins left="0.75" right="0.75" top="1" bottom="1" header="0.5" footer="0.5"/>
  <pageSetup orientation="portrait" horizontalDpi="200" verticalDpi="200" r:id="rId1"/>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5</vt:i4>
      </vt:variant>
    </vt:vector>
  </HeadingPairs>
  <TitlesOfParts>
    <vt:vector size="18" baseType="lpstr">
      <vt:lpstr>gen-abstract</vt:lpstr>
      <vt:lpstr>GF1_ABS</vt:lpstr>
      <vt:lpstr>GF1_MES</vt:lpstr>
      <vt:lpstr>sanitary-abs</vt:lpstr>
      <vt:lpstr>sanitary_MEASUR</vt:lpstr>
      <vt:lpstr>tech report</vt:lpstr>
      <vt:lpstr>joinery shedule</vt:lpstr>
      <vt:lpstr>Sheet11</vt:lpstr>
      <vt:lpstr>Sheet12</vt:lpstr>
      <vt:lpstr>Sheet13</vt:lpstr>
      <vt:lpstr>Sheet14</vt:lpstr>
      <vt:lpstr>Sheet15</vt:lpstr>
      <vt:lpstr>Sheet16</vt:lpstr>
      <vt:lpstr>'sanitary-abs'!Print_Area</vt:lpstr>
      <vt:lpstr>GF1_ABS!Print_Titles</vt:lpstr>
      <vt:lpstr>GF1_MES!Print_Titles</vt:lpstr>
      <vt:lpstr>sanitary_MEASUR!Print_Titles</vt:lpstr>
      <vt:lpstr>'sanitary-abs'!Print_Titles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dc:creator>
  <cp:lastModifiedBy>Rajkumar</cp:lastModifiedBy>
  <cp:lastPrinted>2004-02-08T08:25:37Z</cp:lastPrinted>
  <dcterms:created xsi:type="dcterms:W3CDTF">1999-05-10T10:55:35Z</dcterms:created>
  <dcterms:modified xsi:type="dcterms:W3CDTF">2025-10-26T19:56:32Z</dcterms:modified>
</cp:coreProperties>
</file>