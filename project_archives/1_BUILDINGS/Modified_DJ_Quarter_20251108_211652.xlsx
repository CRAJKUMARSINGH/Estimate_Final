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tech report" sheetId="2" state="visible" r:id="rId2"/>
    <sheet xmlns:r="http://schemas.openxmlformats.org/officeDocument/2006/relationships" name="gen-abstract" sheetId="3" state="visible" r:id="rId3"/>
    <sheet xmlns:r="http://schemas.openxmlformats.org/officeDocument/2006/relationships" name="GF1_ABS" sheetId="4" state="visible" r:id="rId4"/>
    <sheet xmlns:r="http://schemas.openxmlformats.org/officeDocument/2006/relationships" name="GF1_MES" sheetId="5" state="visible" r:id="rId5"/>
    <sheet xmlns:r="http://schemas.openxmlformats.org/officeDocument/2006/relationships" name="sanitary-abs" sheetId="6" state="visible" r:id="rId6"/>
    <sheet xmlns:r="http://schemas.openxmlformats.org/officeDocument/2006/relationships" name="sanitary_MEASUR"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sz val="14"/>
    </font>
    <font>
      <b val="1"/>
    </font>
    <font>
      <b val="1"/>
      <sz val="12"/>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inlineStr">
        <is>
          <t>Project Information</t>
        </is>
      </c>
    </row>
    <row r="3">
      <c r="A3" s="2" t="inlineStr">
        <is>
          <t>Project Name</t>
        </is>
      </c>
      <c r="B3" t="inlineStr">
        <is>
          <t>Modified DJ Quarter - Programmatic Demo</t>
        </is>
      </c>
    </row>
    <row r="4">
      <c r="A4" s="2" t="inlineStr">
        <is>
          <t>Location</t>
        </is>
      </c>
      <c r="B4" t="inlineStr">
        <is>
          <t>Udaipur, Rajasthan</t>
        </is>
      </c>
    </row>
    <row r="5">
      <c r="A5" s="2" t="inlineStr">
        <is>
          <t>Client Name</t>
        </is>
      </c>
      <c r="B5" t="inlineStr">
        <is>
          <t>Public Works Department</t>
        </is>
      </c>
    </row>
    <row r="6">
      <c r="A6" s="2" t="inlineStr">
        <is>
          <t>Engineer Name</t>
        </is>
      </c>
      <c r="B6" t="inlineStr">
        <is>
          <t>Er. Demo Engineer</t>
        </is>
      </c>
    </row>
    <row r="7">
      <c r="A7" s="2" t="inlineStr">
        <is>
          <t>Date Prepared</t>
        </is>
      </c>
      <c r="B7" t="inlineStr">
        <is>
          <t>2025-11-08</t>
        </is>
      </c>
    </row>
    <row r="8">
      <c r="A8" s="2" t="inlineStr">
        <is>
          <t>Estimated Cost</t>
        </is>
      </c>
      <c r="B8" t="n">
        <v>0</v>
      </c>
    </row>
    <row r="9">
      <c r="A9" s="2" t="inlineStr">
        <is>
          <t>Notes</t>
        </is>
      </c>
      <c r="B9" t="inlineStr">
        <is>
          <t>This estimate was created programmatically using the EstimateCloner. Modifications include updated measurements and new BSR items.</t>
        </is>
      </c>
    </row>
    <row r="10">
      <c r="A10" s="2" t="inlineStr">
        <is>
          <t>Created From</t>
        </is>
      </c>
      <c r="B10" t="inlineStr">
        <is>
          <t>DJ QUARTER.xlsx</t>
        </is>
      </c>
    </row>
    <row r="11">
      <c r="A11" s="2" t="inlineStr">
        <is>
          <t>Created Date</t>
        </is>
      </c>
      <c r="B11" t="inlineStr">
        <is>
          <t>2025-11-08T21:16:52.714980</t>
        </is>
      </c>
    </row>
    <row r="12">
      <c r="A12" s="2" t="inlineStr">
        <is>
          <t>Modifications</t>
        </is>
      </c>
      <c r="B12" t="n">
        <v>0</v>
      </c>
    </row>
    <row r="15">
      <c r="A15" s="3" t="inlineStr">
        <is>
          <t>Modifications Log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6"/>
  <sheetViews>
    <sheetView workbookViewId="0">
      <selection activeCell="A1" sqref="A1"/>
    </sheetView>
  </sheetViews>
  <sheetFormatPr baseColWidth="8" defaultRowHeight="15"/>
  <cols>
    <col width="28" customWidth="1" min="1" max="1"/>
    <col width="50" customWidth="1" min="2" max="2"/>
    <col width="30" customWidth="1" min="3" max="3"/>
    <col width="50" customWidth="1" min="4" max="4"/>
  </cols>
  <sheetData>
    <row r="1">
      <c r="A1" s="4">
        <f>'gen-abstract'!A2</f>
        <v/>
      </c>
      <c r="B1" s="4" t="n"/>
      <c r="C1" s="4" t="n"/>
      <c r="D1" s="4" t="n"/>
    </row>
    <row r="2"/>
    <row r="3">
      <c r="A3" t="inlineStr">
        <is>
          <t>Technical  Report</t>
        </is>
      </c>
    </row>
    <row r="4"/>
    <row r="5">
      <c r="A5" t="inlineStr">
        <is>
          <t xml:space="preserve">1. Name of Work </t>
        </is>
      </c>
      <c r="C5" t="inlineStr">
        <is>
          <t>:</t>
        </is>
      </c>
      <c r="D5" t="inlineStr">
        <is>
          <t xml:space="preserve">Construction of Judicial Courts Building at Nathdwara </t>
        </is>
      </c>
    </row>
    <row r="6"/>
    <row r="7">
      <c r="A7" t="inlineStr">
        <is>
          <t>2. Administrative Sanction</t>
        </is>
      </c>
      <c r="C7" t="inlineStr">
        <is>
          <t>:</t>
        </is>
      </c>
    </row>
    <row r="8"/>
    <row r="9">
      <c r="A9" t="inlineStr">
        <is>
          <t>3.Location</t>
        </is>
      </c>
      <c r="C9" t="inlineStr">
        <is>
          <t>:</t>
        </is>
      </c>
      <c r="D9" t="inlineStr">
        <is>
          <t>The proposed Judicial Courts shall be constructed at NATHDWARA, Rajsamand</t>
        </is>
      </c>
    </row>
    <row r="10"/>
    <row r="11">
      <c r="A11" t="inlineStr">
        <is>
          <t xml:space="preserve">4. Specifications </t>
        </is>
      </c>
      <c r="C11" t="inlineStr">
        <is>
          <t>:</t>
        </is>
      </c>
      <c r="D11" t="inlineStr">
        <is>
          <t>The general specifications adopted for the work are in accordance with the P.W.D. detailed specifications.  Brief specifications are narrated below:-</t>
        </is>
      </c>
    </row>
    <row r="12">
      <c r="B12" t="inlineStr">
        <is>
          <t>Judicial Courts Building &amp; Bar Wing &amp; PP Wing Building</t>
        </is>
      </c>
    </row>
    <row r="13">
      <c r="B13" t="inlineStr">
        <is>
          <t>I  Foundation concrete</t>
        </is>
      </c>
      <c r="C13" t="inlineStr">
        <is>
          <t>:</t>
        </is>
      </c>
      <c r="D13" t="inlineStr">
        <is>
          <t>Cement concrete 1:4:8  , 300 mm thick.</t>
        </is>
      </c>
    </row>
    <row r="14"/>
    <row r="15">
      <c r="B15" t="inlineStr">
        <is>
          <t xml:space="preserve">II Masonry for Foundation </t>
        </is>
      </c>
      <c r="C15" t="inlineStr">
        <is>
          <t>:</t>
        </is>
      </c>
      <c r="D15" t="inlineStr">
        <is>
          <t>Random rubble stone masonry in cement sand mortar 1:6</t>
        </is>
      </c>
    </row>
    <row r="16"/>
    <row r="17">
      <c r="B17" t="inlineStr">
        <is>
          <t>III Damp proof coarse</t>
        </is>
      </c>
      <c r="C17" t="inlineStr">
        <is>
          <t>:</t>
        </is>
      </c>
      <c r="D17" t="inlineStr">
        <is>
          <t>100 mm thick R.C.C. M-20.</t>
        </is>
      </c>
    </row>
    <row r="18"/>
    <row r="19">
      <c r="B19" t="inlineStr">
        <is>
          <t>IV Super structure masonry</t>
        </is>
      </c>
      <c r="C19" t="inlineStr">
        <is>
          <t>:</t>
        </is>
      </c>
      <c r="D19" t="inlineStr">
        <is>
          <t>Stone  masonry in cement sand mortar 1:6 walls.</t>
        </is>
      </c>
    </row>
    <row r="20"/>
    <row r="21">
      <c r="B21" t="inlineStr">
        <is>
          <t xml:space="preserve">V Lintels </t>
        </is>
      </c>
      <c r="C21" t="inlineStr">
        <is>
          <t>:</t>
        </is>
      </c>
      <c r="D21" t="inlineStr">
        <is>
          <t>R.C.C. M-20 with steel reinforcement.</t>
        </is>
      </c>
    </row>
    <row r="22"/>
    <row r="23">
      <c r="B23" t="inlineStr">
        <is>
          <t xml:space="preserve">VI Partition </t>
        </is>
      </c>
      <c r="C23" t="inlineStr">
        <is>
          <t>:</t>
        </is>
      </c>
      <c r="D23" t="inlineStr">
        <is>
          <t>Bricks class 75 in cement sand mortar 1:4 (115 mm thick)</t>
        </is>
      </c>
    </row>
    <row r="24"/>
    <row r="25">
      <c r="B25" t="inlineStr">
        <is>
          <t>VII  Base of Flooring</t>
        </is>
      </c>
      <c r="C25" t="inlineStr">
        <is>
          <t>:</t>
        </is>
      </c>
      <c r="D25" t="inlineStr">
        <is>
          <t>100 mm thick in 1:5 :10 mix over 230 mm thick dry stone kharanja.</t>
        </is>
      </c>
    </row>
    <row r="26"/>
    <row r="27">
      <c r="B27" t="inlineStr">
        <is>
          <t xml:space="preserve">VIII Flooring  </t>
        </is>
      </c>
      <c r="C27" t="inlineStr">
        <is>
          <t>(I) Judicial Courts Building</t>
        </is>
      </c>
    </row>
    <row r="28">
      <c r="D28" t="inlineStr">
        <is>
          <t>Kota Stone Flooring :- 25 mm thick blue Kota stone flooring laid over 20 thick base of 1 : 4 CSM in all rooms and Corridor except entrance hall..</t>
        </is>
      </c>
    </row>
    <row r="29">
      <c r="D29" t="inlineStr">
        <is>
          <t>Marble Slab Flooring :- In Entrance Hall 18 to 20 mm thick Rajnagar grade I Marble slab flooring laid over 20 thick base of 1 : 4 CSM.</t>
        </is>
      </c>
    </row>
    <row r="30">
      <c r="D30" t="inlineStr">
        <is>
          <t>White Glazed Tiles:- In all toilets and sanitary units I class white glazed tiles dado shall be provided.</t>
        </is>
      </c>
    </row>
    <row r="31">
      <c r="C31" t="inlineStr">
        <is>
          <t>(II) Bar Wing &amp; PP Wing</t>
        </is>
      </c>
    </row>
    <row r="32">
      <c r="D32" t="inlineStr">
        <is>
          <t>Kota Stone Flooring :- 25 mm thick blue Kota stone flooring laid over 20 thick base of 1 : 4 CSM in all rooms and Corridor except entrance hall..</t>
        </is>
      </c>
    </row>
    <row r="33">
      <c r="D33" t="inlineStr">
        <is>
          <t>White Glazed Tiles:- In all toilets and sanitary units I class white glazed tiles dado shall be provided.</t>
        </is>
      </c>
    </row>
    <row r="34"/>
    <row r="35">
      <c r="B35" t="inlineStr">
        <is>
          <t xml:space="preserve">IX  Plaster </t>
        </is>
      </c>
      <c r="C35" t="inlineStr">
        <is>
          <t>:</t>
        </is>
      </c>
      <c r="D35" t="inlineStr">
        <is>
          <t xml:space="preserve"> 20 mm thick in cement mortar 1:6 over stone masonry and 20 mm thick in cement mortar 1:6 over brick masonry. Araish plaster shall be applied on inside walls and ceilings.</t>
        </is>
      </c>
    </row>
    <row r="36"/>
    <row r="37">
      <c r="B37" t="inlineStr">
        <is>
          <t xml:space="preserve">X Joinery frames </t>
        </is>
      </c>
      <c r="C37" t="inlineStr">
        <is>
          <t>:</t>
        </is>
      </c>
      <c r="D37" t="inlineStr">
        <is>
          <t>Door frames of mild steel selection built with T- Section (Angle 50 x 50 x 6 mm and flat 50 x 6 mm)</t>
        </is>
      </c>
    </row>
    <row r="38"/>
    <row r="39">
      <c r="B39" t="inlineStr">
        <is>
          <t>XI Door Shutters</t>
        </is>
      </c>
      <c r="C39" t="inlineStr">
        <is>
          <t>:</t>
        </is>
      </c>
      <c r="D39" t="inlineStr">
        <is>
          <t>35 mm thick fully panelled doors with Assam Teak wood frame with 12 mm thick Shuttering Ply Panels for doors 1005 to 1200 mm wide and for other doors 30 mm thick fully panelled doors with Assam Teak wood frame with 9 mm thick Shuttering Ply Panels.</t>
        </is>
      </c>
    </row>
    <row r="40"/>
    <row r="41">
      <c r="B41" t="inlineStr">
        <is>
          <t>XII Finishing</t>
        </is>
      </c>
      <c r="C41" t="inlineStr">
        <is>
          <t>:</t>
        </is>
      </c>
      <c r="D41" t="inlineStr">
        <is>
          <t xml:space="preserve">Finishing with water cement paint at  outside, Oil Bound distemper at inside all rooms and ceilings; enamel paints on  wood and steel work. </t>
        </is>
      </c>
    </row>
    <row r="42"/>
    <row r="43">
      <c r="B43" t="inlineStr">
        <is>
          <t xml:space="preserve">Sanitary work </t>
        </is>
      </c>
      <c r="C43" t="inlineStr">
        <is>
          <t>:</t>
        </is>
      </c>
      <c r="D43" t="inlineStr">
        <is>
          <t>As per P.W.D. specification.</t>
        </is>
      </c>
    </row>
    <row r="44"/>
    <row r="45">
      <c r="B45" t="inlineStr">
        <is>
          <t>Compound Wall</t>
        </is>
      </c>
    </row>
    <row r="46">
      <c r="B46" t="inlineStr">
        <is>
          <t>I  Foundation concrete</t>
        </is>
      </c>
      <c r="C46" t="inlineStr">
        <is>
          <t>:</t>
        </is>
      </c>
      <c r="D46" t="inlineStr">
        <is>
          <t>Cement concrete 1:4:8  , 150 mm thick.</t>
        </is>
      </c>
    </row>
    <row r="47"/>
    <row r="48">
      <c r="B48" t="inlineStr">
        <is>
          <t xml:space="preserve">II Masonry for Foundation </t>
        </is>
      </c>
      <c r="C48" t="inlineStr">
        <is>
          <t>:</t>
        </is>
      </c>
      <c r="D48" t="inlineStr">
        <is>
          <t>Random rubble stone masonry in cement sand mortar 1:8</t>
        </is>
      </c>
    </row>
    <row r="49"/>
    <row r="50">
      <c r="B50" t="inlineStr">
        <is>
          <t>III Super structure masonry</t>
        </is>
      </c>
      <c r="C50" t="inlineStr">
        <is>
          <t>:</t>
        </is>
      </c>
      <c r="D50" t="inlineStr">
        <is>
          <t>Stone  masonry in cement sand mortar 1:8 walls.</t>
        </is>
      </c>
    </row>
    <row r="51"/>
    <row r="52"/>
    <row r="53">
      <c r="B53" t="inlineStr">
        <is>
          <t xml:space="preserve">IV  Plaster </t>
        </is>
      </c>
      <c r="C53" t="inlineStr">
        <is>
          <t>:</t>
        </is>
      </c>
      <c r="D53" t="inlineStr">
        <is>
          <t xml:space="preserve"> 20 mm thick in cement mortar 1:6 over stone masonry and 20 mm thick in cement mortar 1:6 over brick masonry. Araish plaster shall be applied on inside walls and ceilings.</t>
        </is>
      </c>
    </row>
    <row r="54"/>
    <row r="55">
      <c r="B55" t="inlineStr">
        <is>
          <t>V Finishing</t>
        </is>
      </c>
      <c r="C55" t="inlineStr">
        <is>
          <t>:</t>
        </is>
      </c>
      <c r="D55" t="inlineStr">
        <is>
          <t xml:space="preserve">Finishing with water cement paint at  outside, enamel paints on steel work gates and cow catcher. </t>
        </is>
      </c>
    </row>
    <row r="56">
      <c r="B56" t="inlineStr">
        <is>
          <t xml:space="preserve"> Parking Shed</t>
        </is>
      </c>
    </row>
    <row r="57">
      <c r="B57" t="inlineStr">
        <is>
          <t>I  Foundation concrete</t>
        </is>
      </c>
      <c r="C57" t="inlineStr">
        <is>
          <t>:</t>
        </is>
      </c>
      <c r="D57" t="inlineStr">
        <is>
          <t>Cement concrete 1:4:8  , 150 mm thick.</t>
        </is>
      </c>
    </row>
    <row r="58"/>
    <row r="59">
      <c r="B59" t="inlineStr">
        <is>
          <t xml:space="preserve">II Masonry for Foundation </t>
        </is>
      </c>
      <c r="C59" t="inlineStr">
        <is>
          <t>:</t>
        </is>
      </c>
      <c r="D59" t="inlineStr">
        <is>
          <t>Random rubble stone masonry in cement sand mortar 1:6</t>
        </is>
      </c>
    </row>
    <row r="60"/>
    <row r="61">
      <c r="B61" t="inlineStr">
        <is>
          <t>III Roofing</t>
        </is>
      </c>
      <c r="C61" t="inlineStr">
        <is>
          <t>:</t>
        </is>
      </c>
      <c r="D61" t="inlineStr">
        <is>
          <t>R.C.C. M-20 with steel reinforcement.</t>
        </is>
      </c>
    </row>
    <row r="62"/>
    <row r="63">
      <c r="B63" t="inlineStr">
        <is>
          <t>IV  Base of Flooring</t>
        </is>
      </c>
      <c r="C63" t="inlineStr">
        <is>
          <t>:</t>
        </is>
      </c>
      <c r="D63" t="inlineStr">
        <is>
          <t>100 mm thick in 1:5 :10 mix over 230 mm thick dry stone kharanja.</t>
        </is>
      </c>
    </row>
    <row r="64"/>
    <row r="65">
      <c r="B65" t="inlineStr">
        <is>
          <t xml:space="preserve">V Flooring  </t>
        </is>
      </c>
      <c r="D65" t="inlineStr">
        <is>
          <t>20 mm thick Chequered Tiles flooring laid over 20 mm thick cement sand mortar mix 1 : 6.</t>
        </is>
      </c>
    </row>
    <row r="66">
      <c r="A66" t="inlineStr">
        <is>
          <t xml:space="preserve">5. Scope of work </t>
        </is>
      </c>
      <c r="C66" t="inlineStr">
        <is>
          <t>:</t>
        </is>
      </c>
    </row>
    <row r="67">
      <c r="B67" t="inlineStr">
        <is>
          <t>(I) Judicial Courts Building</t>
        </is>
      </c>
      <c r="D67" t="inlineStr">
        <is>
          <t>Plinth Area GF 2244.20 Sqm, FF 16.70 Sqm. Total 2260.90 Sqm</t>
        </is>
      </c>
    </row>
    <row r="68">
      <c r="D68" t="inlineStr">
        <is>
          <t>Judicial Courts Building consists of Ground Floor with  3 Nos. Court Halls (I/c PA Room &amp; Chamber), 4 Nos. Staff Rooms, Najeer Section room, Malkhana, Record Room, Library, 3 Nos. Ante Rooms, Staircase, 3 Nos. Reader rooms, 5 Nos. Toilets, 2 Nos. Unassigned Rooms, Entrance Hall and corridors.. In First floor only one head room.</t>
        </is>
      </c>
    </row>
    <row r="69"/>
    <row r="70">
      <c r="B70" t="inlineStr">
        <is>
          <t>(II) Bar Wing &amp; PP Wing Building</t>
        </is>
      </c>
      <c r="D70" t="inlineStr">
        <is>
          <t>Plinth Area GF 927.10 Sqm, FF 40.10 Sqm. Total 967.20 Sqm</t>
        </is>
      </c>
    </row>
    <row r="71">
      <c r="D71" t="inlineStr">
        <is>
          <t xml:space="preserve"> Bar Wing &amp; PP Wing Building consists of Ground Floor with Litigant Shed, Stamp Vendor Room, Bar Room, Chamber, Chowkidar Room, canteen 2 Nos. Staff Rooms, 2 Nos. PP Rooms, Conference Hall, Male Female lockups, 2 Nos. Staircase, 8 Nos. Toilets and Verandah. In First floor only two head rooms.</t>
        </is>
      </c>
    </row>
    <row r="72"/>
    <row r="73">
      <c r="B73" t="inlineStr">
        <is>
          <t>Compound Wall</t>
        </is>
      </c>
      <c r="D73" t="inlineStr">
        <is>
          <t>1270 M long and 1.50 M high compound wall is included in the scope of the project. It also consists 2 Nos. Gates and 2 Nos. Cow Catchers.</t>
        </is>
      </c>
    </row>
    <row r="74"/>
    <row r="75">
      <c r="B75" t="inlineStr">
        <is>
          <t>External Water Supply</t>
        </is>
      </c>
      <c r="D75" t="inlineStr">
        <is>
          <t>(I) 1250 M long 50mm dia. GI pipe line from PHED line to campus sump. (II) 10 nos. Sumps size 2.50 x 1.50 x1.50 M (III) 1 No. Sump of size 8.00 x 3.00 x 1.50 M and (IV) 1 no. 7.5 HP submersible pump set.</t>
        </is>
      </c>
    </row>
    <row r="76"/>
    <row r="77">
      <c r="B77" t="inlineStr">
        <is>
          <t>Parking Shed</t>
        </is>
      </c>
      <c r="D77" t="inlineStr">
        <is>
          <t>(I) Car Parking shed 1 no. Size 18.00 x 6.00 M (II) Scooter Stands 2 nos. Size 18.00 x 3.00 M.</t>
        </is>
      </c>
    </row>
    <row r="78"/>
    <row r="79">
      <c r="B79" t="inlineStr">
        <is>
          <t>Development Work</t>
        </is>
      </c>
      <c r="D79" t="inlineStr">
        <is>
          <t>Open excavation for levelling of inside court yard of the Judicial Court Building is included in the scope of the project.</t>
        </is>
      </c>
    </row>
    <row r="80"/>
    <row r="81">
      <c r="A81" t="inlineStr">
        <is>
          <t>6. Basis of Estimate</t>
        </is>
      </c>
      <c r="C81" t="inlineStr">
        <is>
          <t>:</t>
        </is>
      </c>
      <c r="D81" t="inlineStr">
        <is>
          <t xml:space="preserve">Estimate prepared on the basis of PWD B.S.R. -1998. </t>
        </is>
      </c>
    </row>
    <row r="82"/>
    <row r="83">
      <c r="A83" t="inlineStr">
        <is>
          <t>7. Estimated Cost</t>
        </is>
      </c>
      <c r="C83" t="inlineStr">
        <is>
          <t>:</t>
        </is>
      </c>
      <c r="D83" t="inlineStr">
        <is>
          <t xml:space="preserve">Estimated cost of work comes to Rs. 185.25 Lacs. Provision for electric works is incorporated in the estimate @ 7% of the cost of the civil work. It includes contingencies @ 1.50% and the Prorata charges  @ 13%. </t>
        </is>
      </c>
    </row>
    <row r="84"/>
    <row r="85">
      <c r="A85" t="inlineStr">
        <is>
          <t>8. Drawings</t>
        </is>
      </c>
      <c r="C85" t="inlineStr">
        <is>
          <t>:</t>
        </is>
      </c>
      <c r="D85" t="inlineStr">
        <is>
          <t>Plan,  elevation &amp; section are enclosed.</t>
        </is>
      </c>
    </row>
    <row r="86"/>
    <row r="87">
      <c r="A87" t="inlineStr">
        <is>
          <t>9. Agency</t>
        </is>
      </c>
      <c r="C87" t="inlineStr">
        <is>
          <t>:</t>
        </is>
      </c>
      <c r="D87" t="inlineStr">
        <is>
          <t>Work shall be carried out through  contractor after inviting Bids.</t>
        </is>
      </c>
    </row>
    <row r="88"/>
    <row r="89"/>
    <row r="90">
      <c r="A90" t="inlineStr">
        <is>
          <t>ASSISTANT ENGINEER,</t>
        </is>
      </c>
      <c r="D90" t="inlineStr">
        <is>
          <t>EXECUTIVE  ENGINEER,</t>
        </is>
      </c>
    </row>
    <row r="91">
      <c r="A91" t="inlineStr">
        <is>
          <t>P.W.D. Sub Div.- NATHDWARA</t>
        </is>
      </c>
      <c r="D91" t="inlineStr">
        <is>
          <t>P.W.D. Div.- Rajsamand</t>
        </is>
      </c>
    </row>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50" customWidth="1" min="1" max="1"/>
    <col width="50" customWidth="1" min="2" max="2"/>
    <col width="13" customWidth="1" min="3" max="3"/>
    <col width="6" customWidth="1" min="4" max="4"/>
    <col width="17" customWidth="1" min="5" max="5"/>
    <col width="24" customWidth="1" min="6" max="6"/>
    <col width="22" customWidth="1" min="7" max="7"/>
    <col width="6" customWidth="1" min="8" max="8"/>
  </cols>
  <sheetData>
    <row r="1">
      <c r="A1" s="4" t="n"/>
      <c r="B1" s="4" t="n"/>
      <c r="C1" s="4" t="n"/>
      <c r="D1" s="4" t="n"/>
      <c r="E1" s="4" t="n"/>
      <c r="F1" s="4" t="n"/>
      <c r="G1" s="4" t="n"/>
      <c r="H1" s="4" t="n"/>
    </row>
    <row r="2">
      <c r="A2" t="inlineStr">
        <is>
          <t xml:space="preserve">NAME OF WORK :- Construction of Additional Session Judge Bungalow at Nathdwara </t>
        </is>
      </c>
    </row>
    <row r="3"/>
    <row r="4"/>
    <row r="5">
      <c r="A5" t="inlineStr">
        <is>
          <t>GENERAL ABSTRACT OF COST</t>
        </is>
      </c>
    </row>
    <row r="6"/>
    <row r="7">
      <c r="B7" t="inlineStr">
        <is>
          <t>PART 'A'  CIVIL WORK GROUND FLOOR</t>
        </is>
      </c>
      <c r="F7" t="inlineStr">
        <is>
          <t>Rs.</t>
        </is>
      </c>
      <c r="G7">
        <f>GF1_ABS!G55</f>
        <v/>
      </c>
    </row>
    <row r="8"/>
    <row r="9">
      <c r="B9" t="inlineStr">
        <is>
          <t>PART 'B'  SANITARY &amp; WATER SUPPLY  WORK</t>
        </is>
      </c>
      <c r="F9" t="inlineStr">
        <is>
          <t>Rs.</t>
        </is>
      </c>
      <c r="G9">
        <f>'sanitary-abs'!G51</f>
        <v/>
      </c>
    </row>
    <row r="10"/>
    <row r="11">
      <c r="F11" t="inlineStr">
        <is>
          <t>TOTAL Rs.</t>
        </is>
      </c>
      <c r="G11">
        <f>SUM(G7:G9)</f>
        <v/>
      </c>
    </row>
    <row r="12"/>
    <row r="13">
      <c r="B13" t="inlineStr">
        <is>
          <t>Add @ 7 % for Electrification On Civil Work Part 'A'</t>
        </is>
      </c>
    </row>
    <row r="14">
      <c r="C14" t="inlineStr">
        <is>
          <t>i.e. on Rs.</t>
        </is>
      </c>
      <c r="D14">
        <f>G7</f>
        <v/>
      </c>
      <c r="F14" t="inlineStr">
        <is>
          <t>Rs.</t>
        </is>
      </c>
      <c r="G14">
        <f>ROUNDUP(D14*0.07,0)</f>
        <v/>
      </c>
    </row>
    <row r="15">
      <c r="F15" t="inlineStr">
        <is>
          <t>TOTAL Rs.</t>
        </is>
      </c>
      <c r="G15">
        <f>SUM(G11:G14)</f>
        <v/>
      </c>
    </row>
    <row r="16"/>
    <row r="17">
      <c r="B17" t="inlineStr">
        <is>
          <t>Add Prorata  Charges @ 13%</t>
        </is>
      </c>
      <c r="G17">
        <f>ROUNDUP(G15*0.13,0)</f>
        <v/>
      </c>
    </row>
    <row r="18">
      <c r="E18" t="inlineStr">
        <is>
          <t>GRAND TOTAL Rs.</t>
        </is>
      </c>
      <c r="G18">
        <f>SUM(G15:G17)</f>
        <v/>
      </c>
    </row>
    <row r="19"/>
    <row r="20"/>
    <row r="21"/>
    <row r="22"/>
    <row r="23">
      <c r="B23" t="inlineStr">
        <is>
          <t>ASSISTANT ENGINEER,</t>
        </is>
      </c>
      <c r="F23" t="inlineStr">
        <is>
          <t>EXECUTIVE  ENGINEER,</t>
        </is>
      </c>
    </row>
    <row r="24">
      <c r="B24" t="inlineStr">
        <is>
          <t>P.W.D. Sub Div.- NATHDWARA</t>
        </is>
      </c>
      <c r="F24" t="inlineStr">
        <is>
          <t>P.W.D. Div.- RAJSAMAND</t>
        </is>
      </c>
    </row>
    <row r="25"/>
    <row r="26"/>
    <row r="27"/>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cols>
    <col width="37" customWidth="1" min="1" max="1"/>
    <col width="50" customWidth="1" min="2" max="2"/>
    <col width="15" customWidth="1" min="3" max="3"/>
    <col width="24" customWidth="1" min="4" max="4"/>
    <col width="11" customWidth="1" min="5" max="5"/>
    <col width="8" customWidth="1" min="6" max="6"/>
    <col width="32" customWidth="1" min="7" max="7"/>
  </cols>
  <sheetData>
    <row r="1">
      <c r="A1" s="4">
        <f>'gen-abstract'!A2</f>
        <v/>
      </c>
      <c r="B1" s="4" t="n"/>
      <c r="C1" s="4" t="n"/>
      <c r="D1" s="4" t="n"/>
      <c r="E1" s="4" t="n"/>
      <c r="F1" s="4" t="n"/>
      <c r="G1" s="4" t="n"/>
    </row>
    <row r="2">
      <c r="A2" t="inlineStr">
        <is>
          <t xml:space="preserve">PART 'A'  CIVIL WORK GROUND  FLOOR </t>
        </is>
      </c>
    </row>
    <row r="3">
      <c r="A3" t="inlineStr">
        <is>
          <t>ABSTRACT OF COST</t>
        </is>
      </c>
    </row>
    <row r="4">
      <c r="A4" t="inlineStr">
        <is>
          <t>S.No.</t>
        </is>
      </c>
      <c r="B4" t="inlineStr">
        <is>
          <t>Particulars.</t>
        </is>
      </c>
      <c r="C4" t="inlineStr">
        <is>
          <t xml:space="preserve">Quantity </t>
        </is>
      </c>
      <c r="E4" t="inlineStr">
        <is>
          <t>Rate</t>
        </is>
      </c>
      <c r="F4" t="inlineStr">
        <is>
          <t>Unit</t>
        </is>
      </c>
      <c r="G4" t="inlineStr">
        <is>
          <t>Amount</t>
        </is>
      </c>
    </row>
    <row r="5">
      <c r="A5" t="n">
        <v>1</v>
      </c>
      <c r="B5" t="inlineStr">
        <is>
          <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 'Hard soil mixed with boulders</t>
        </is>
      </c>
      <c r="C5">
        <f>GF1_MES!K67</f>
        <v/>
      </c>
      <c r="D5" t="inlineStr">
        <is>
          <t>Cum</t>
        </is>
      </c>
      <c r="E5" t="n">
        <v>37.1</v>
      </c>
      <c r="F5" t="inlineStr">
        <is>
          <t>P Cum</t>
        </is>
      </c>
      <c r="G5">
        <f>IF(C5,ROUNDUP(C5*E5,0),"")</f>
        <v/>
      </c>
    </row>
    <row r="6">
      <c r="A6">
        <f>A5+1</f>
        <v/>
      </c>
      <c r="B6" t="inlineStr">
        <is>
          <t xml:space="preserve">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 including stacking material available. </t>
        </is>
      </c>
    </row>
    <row r="7">
      <c r="B7" t="inlineStr">
        <is>
          <t>(a) Decomposed Rock</t>
        </is>
      </c>
      <c r="C7">
        <f>GF1_MES!K70</f>
        <v/>
      </c>
      <c r="D7" t="inlineStr">
        <is>
          <t>Cum</t>
        </is>
      </c>
      <c r="E7" t="n">
        <v>44.5</v>
      </c>
      <c r="F7" t="inlineStr">
        <is>
          <t>P Cum</t>
        </is>
      </c>
      <c r="G7">
        <f>IF(C7,ROUNDUP(C7*E7,0),"")</f>
        <v/>
      </c>
    </row>
    <row r="8">
      <c r="B8" t="inlineStr">
        <is>
          <t>(b) Ordinary Rock</t>
        </is>
      </c>
      <c r="C8">
        <f>GF1_MES!K72</f>
        <v/>
      </c>
      <c r="D8" t="inlineStr">
        <is>
          <t>Cum</t>
        </is>
      </c>
      <c r="E8" t="n">
        <v>58</v>
      </c>
      <c r="F8" t="inlineStr">
        <is>
          <t>P Cum</t>
        </is>
      </c>
      <c r="G8">
        <f>IF(C8,ROUNDUP(C8*E8,0),"")</f>
        <v/>
      </c>
    </row>
    <row r="9">
      <c r="B9" t="inlineStr">
        <is>
          <t>(c) Phylite Rock</t>
        </is>
      </c>
      <c r="C9">
        <f>GF1_MES!K74</f>
        <v/>
      </c>
      <c r="D9" t="inlineStr">
        <is>
          <t>Cum</t>
        </is>
      </c>
      <c r="E9" t="n">
        <v>85</v>
      </c>
      <c r="F9" t="inlineStr">
        <is>
          <t>P Cum</t>
        </is>
      </c>
      <c r="G9">
        <f>IF(C9,ROUNDUP(C9*E9,0),"")</f>
        <v/>
      </c>
    </row>
    <row r="10">
      <c r="A10" t="n">
        <v>3</v>
      </c>
      <c r="B10" t="inlineStr">
        <is>
          <t>Filling in plinth available excavated earth (excluding rock) in trenches, plinth side of foundation, etc. in layers not exceeding 20 cm. in depth, consolidating each deposited layer by ramming and watering including lead upto 50 Mtr and lift upto 1.5 Mtr.</t>
        </is>
      </c>
      <c r="C10">
        <f>GF1_MES!K90</f>
        <v/>
      </c>
      <c r="D10" t="inlineStr">
        <is>
          <t>Cum.</t>
        </is>
      </c>
      <c r="E10" t="n">
        <v>9</v>
      </c>
      <c r="F10" t="inlineStr">
        <is>
          <t>P Cum.</t>
        </is>
      </c>
      <c r="G10">
        <f>IF(C10,ROUNDUP(C10*E10,0),"")</f>
        <v/>
      </c>
    </row>
    <row r="11">
      <c r="A11">
        <f>A10+1</f>
        <v/>
      </c>
      <c r="B11" t="inlineStr">
        <is>
          <t>Earth work in excavation over areas (Exceeding 30 cm in depth, 1.5 m in width as well as 10 Sqm on plan) including disposal of excavated earth , lead upto 50 m and lift upto 1.5 Mtr., disposed soil to be neatly dressed; Hard soil mixed with boulders.</t>
        </is>
      </c>
      <c r="C11">
        <f>GF1_MES!K95</f>
        <v/>
      </c>
      <c r="D11" t="inlineStr">
        <is>
          <t>Cum.</t>
        </is>
      </c>
      <c r="E11" t="n">
        <v>29.7</v>
      </c>
      <c r="F11" t="inlineStr">
        <is>
          <t>P Cum.</t>
        </is>
      </c>
      <c r="G11">
        <f>IF(C11,ROUNDUP(C11*E11,0),"")</f>
        <v/>
      </c>
    </row>
    <row r="12">
      <c r="A12">
        <f>A11+1</f>
        <v/>
      </c>
      <c r="B12" t="inlineStr">
        <is>
          <t>Carriage of earth including loading, unloading complete with lead 0.50 KM.</t>
        </is>
      </c>
      <c r="C12">
        <f>GF1_MES!K98</f>
        <v/>
      </c>
      <c r="D12" t="inlineStr">
        <is>
          <t>Cum.</t>
        </is>
      </c>
      <c r="E12" t="n">
        <v>30.5</v>
      </c>
      <c r="F12" t="inlineStr">
        <is>
          <t>P Cum.</t>
        </is>
      </c>
      <c r="G12">
        <f>IF(C12,ROUNDUP(C12*E12,0),"")</f>
        <v/>
      </c>
    </row>
    <row r="13">
      <c r="A13" t="n">
        <v>6</v>
      </c>
      <c r="B13" t="inlineStr">
        <is>
          <t xml:space="preserve">Providing and laying Cement concrete including curing compaction etc. complete using stone aggregate 40 mm nominal size in foundation plinth, excluding the cost of shuttering, using : 1 Cement : 4 Sand : 8 aggregate Mix. </t>
        </is>
      </c>
      <c r="C13">
        <f>GF1_MES!K102</f>
        <v/>
      </c>
      <c r="D13" t="inlineStr">
        <is>
          <t>Cum</t>
        </is>
      </c>
      <c r="E13" t="n">
        <v>910</v>
      </c>
      <c r="F13" t="inlineStr">
        <is>
          <t>P Cum</t>
        </is>
      </c>
      <c r="G13">
        <f>IF(C13,ROUNDUP(C13*E13,0),"")</f>
        <v/>
      </c>
    </row>
    <row r="14">
      <c r="A14">
        <f>A13+1</f>
        <v/>
      </c>
      <c r="B14" t="inlineStr">
        <is>
          <t>R.R. Stone masonry for foundation and plinth in cement sand mortar 1:6 for above 30 cms thick walls.</t>
        </is>
      </c>
      <c r="C14">
        <f>GF1_MES!K118</f>
        <v/>
      </c>
      <c r="D14" t="inlineStr">
        <is>
          <t>Cum</t>
        </is>
      </c>
      <c r="E14">
        <f>550+140</f>
        <v/>
      </c>
      <c r="F14" t="inlineStr">
        <is>
          <t>P Cum</t>
        </is>
      </c>
      <c r="G14">
        <f>IF(C14,ROUNDUP(C14*E14,0),"")</f>
        <v/>
      </c>
    </row>
    <row r="15">
      <c r="A15">
        <f>A14+1</f>
        <v/>
      </c>
      <c r="B15" t="inlineStr">
        <is>
          <t>R.R. Stone masonry for super structure upto 4.5 m height above plinth level in cement sand mortar 1:6 for walls  upto 30 cms in thickness.</t>
        </is>
      </c>
      <c r="C15">
        <f>GF1_MES!K146</f>
        <v/>
      </c>
      <c r="D15" t="inlineStr">
        <is>
          <t>Cum</t>
        </is>
      </c>
      <c r="E15" t="n">
        <v>785</v>
      </c>
      <c r="F15" t="inlineStr">
        <is>
          <t>P Cum</t>
        </is>
      </c>
      <c r="G15">
        <f>IF(C15,ROUNDUP(C15*E15,0),"")</f>
        <v/>
      </c>
    </row>
    <row r="16">
      <c r="A16" t="n">
        <v>9</v>
      </c>
      <c r="B16" t="inlineStr">
        <is>
          <t xml:space="preserve">Add extra for pillar  masonry including bed plates as per specification (Bed plates to be paid separately) in cement sand mortar 1:4 </t>
        </is>
      </c>
      <c r="C16">
        <f>GF1_MES!K149</f>
        <v/>
      </c>
      <c r="D16" t="inlineStr">
        <is>
          <t>Cum</t>
        </is>
      </c>
      <c r="E16" t="n">
        <v>285</v>
      </c>
      <c r="F16" t="inlineStr">
        <is>
          <t>P Cum</t>
        </is>
      </c>
      <c r="G16">
        <f>IF(C16,ROUNDUP(C16*E16,0),"")</f>
        <v/>
      </c>
    </row>
    <row r="17">
      <c r="A17">
        <f>A16+1</f>
        <v/>
      </c>
      <c r="B17" t="inlineStr">
        <is>
          <t>Half brick masonry in super structure using bricks of class designation 75 in  Cement Mortar 1:4  ( 1 cement : 4 coarse sand)</t>
        </is>
      </c>
      <c r="C17">
        <f>GF1_MES!K167</f>
        <v/>
      </c>
      <c r="D17" t="inlineStr">
        <is>
          <t>Sqm</t>
        </is>
      </c>
      <c r="E17">
        <f>140+4</f>
        <v/>
      </c>
      <c r="F17" t="inlineStr">
        <is>
          <t>P Sqm</t>
        </is>
      </c>
      <c r="G17">
        <f>IF(C17,ROUNDUP(C17*E17,0),"")</f>
        <v/>
      </c>
    </row>
    <row r="18">
      <c r="A18">
        <f>A17+1</f>
        <v/>
      </c>
      <c r="B18" t="inlineStr">
        <is>
          <t>Brick work in superstructure upto 4.5 metre height  above plinth level Cement Mortar 1:4 with bricks are class designation 75.</t>
        </is>
      </c>
      <c r="C18">
        <f>GF1_MES!K172</f>
        <v/>
      </c>
      <c r="D18" t="inlineStr">
        <is>
          <t>Cum</t>
        </is>
      </c>
      <c r="E18">
        <f>1100+32</f>
        <v/>
      </c>
      <c r="F18" t="inlineStr">
        <is>
          <t>P Cum</t>
        </is>
      </c>
      <c r="G18">
        <f>IF(C18,ROUNDUP(C18*E18,0),"")</f>
        <v/>
      </c>
    </row>
    <row r="19">
      <c r="A19" t="n">
        <v>12</v>
      </c>
      <c r="B19" t="inlineStr">
        <is>
          <t xml:space="preserve">Centering &amp; shuttering with plywood or steel sheets including strutting propping, bracing both ways with wooden members and removal of form work </t>
        </is>
      </c>
    </row>
    <row r="20">
      <c r="B20" t="inlineStr">
        <is>
          <t>(A) For foundation in basements, rafts, footings, strap beams, bases of columns etc. upto plinth level</t>
        </is>
      </c>
      <c r="C20">
        <f>GF1_MES!K178</f>
        <v/>
      </c>
      <c r="D20" t="inlineStr">
        <is>
          <t>Sqm</t>
        </is>
      </c>
      <c r="E20" t="n">
        <v>53</v>
      </c>
      <c r="F20" t="inlineStr">
        <is>
          <t>P Sqm</t>
        </is>
      </c>
      <c r="G20">
        <f>IF(C20,ROUNDUP(C20*E20,0),"")</f>
        <v/>
      </c>
    </row>
    <row r="21">
      <c r="B21" t="inlineStr">
        <is>
          <t xml:space="preserve">(B) For suspended floors, roofs, landing staircases, landing balconies, girders, cantilevers, bands, copings, bed plates, anchor blocks, sills, chajjas etc. for superstructure upto 4.5 Mtr. height above plinth level </t>
        </is>
      </c>
      <c r="C21">
        <f>GF1_MES!K250</f>
        <v/>
      </c>
      <c r="D21" t="inlineStr">
        <is>
          <t>Sqm</t>
        </is>
      </c>
      <c r="E21" t="n">
        <v>70</v>
      </c>
      <c r="F21" t="inlineStr">
        <is>
          <t>P Sqm</t>
        </is>
      </c>
      <c r="G21">
        <f>IF(C21,ROUNDUP(C21*E21,0),"")</f>
        <v/>
      </c>
    </row>
    <row r="22">
      <c r="A22">
        <f>A19+1</f>
        <v/>
      </c>
      <c r="B22" t="inlineStr">
        <is>
          <t>Providing and laying cement concrete and RCC work  including curing, compaction, finishing with rendering in cement sand mortar 1:3 (1 cement , 3 : coarse sand) and making good the joints excluding cost of centering and shuttering and reinforcement. 'M-20 grade mix 1:1.5:3(1:cement, :1.5- coarse Sand: 3- graded stone aggregate 20 mm nominal size). (A) In suspended floors, roofs, girders, cantilevers,  staircases, landings,  balconies,   bands, copings, bed plates, anchor blocks, sill, and beams etc. upto 4.5 m height above plinth level.</t>
        </is>
      </c>
      <c r="C22">
        <f>GF1_MES!K297</f>
        <v/>
      </c>
      <c r="D22" t="inlineStr">
        <is>
          <t>Cum</t>
        </is>
      </c>
      <c r="E22">
        <f>1860+21</f>
        <v/>
      </c>
      <c r="F22" t="inlineStr">
        <is>
          <t>P Cum</t>
        </is>
      </c>
      <c r="G22">
        <f>IF(C22,ROUNDUP(C22*E22,0),"")</f>
        <v/>
      </c>
    </row>
    <row r="23">
      <c r="B23" t="inlineStr">
        <is>
          <t>(B) In Lintels,  chajjas, Shelves, vertical and horizontal individually or forming  box louvers, bands and facias and fins etc.. upto 4.5 m height above plinth level</t>
        </is>
      </c>
      <c r="C23">
        <f>GF1_MES!K314</f>
        <v/>
      </c>
      <c r="D23" t="inlineStr">
        <is>
          <t>Cum</t>
        </is>
      </c>
      <c r="E23">
        <f>1860+60</f>
        <v/>
      </c>
      <c r="F23" t="inlineStr">
        <is>
          <t>P Cum</t>
        </is>
      </c>
      <c r="G23">
        <f>IF(C23,ROUNDUP(C23*E23,0),"")</f>
        <v/>
      </c>
    </row>
    <row r="24">
      <c r="B24" t="inlineStr">
        <is>
          <t>(C) In foundations rafts , footings, strap beams, bases of columns</t>
        </is>
      </c>
      <c r="C24">
        <f>GF1_MES!K319</f>
        <v/>
      </c>
      <c r="D24" t="inlineStr">
        <is>
          <t>Cum</t>
        </is>
      </c>
      <c r="E24" t="n">
        <v>1860</v>
      </c>
      <c r="F24" t="inlineStr">
        <is>
          <t>P Cum</t>
        </is>
      </c>
      <c r="G24">
        <f>IF(C24,ROUNDUP(C24*E24,0),"")</f>
        <v/>
      </c>
    </row>
    <row r="25">
      <c r="A25">
        <f>A22+1</f>
        <v/>
      </c>
      <c r="B25" t="inlineStr">
        <is>
          <t xml:space="preserve">Providing and fabrication steel reinforcement for R.C.C. work including cutting, bending, placing in  position and binding complete including cost of binding wire in foundations, Raft footing step Beams base of column etc. upto plinth level. Hot rolled deformed (IS : 1139) cold twisted (IS : 1786) bars. </t>
        </is>
      </c>
      <c r="C25">
        <f>GF1_MES!K324</f>
        <v/>
      </c>
      <c r="D25" t="inlineStr">
        <is>
          <t>Kg</t>
        </is>
      </c>
      <c r="E25" t="n">
        <v>18.65</v>
      </c>
      <c r="F25" t="inlineStr">
        <is>
          <t>P Kg</t>
        </is>
      </c>
      <c r="G25">
        <f>IF(C25,ROUNDUP(C25*E25,0),"")</f>
        <v/>
      </c>
    </row>
    <row r="26">
      <c r="A26" t="n">
        <v>15</v>
      </c>
      <c r="B26" t="inlineStr">
        <is>
          <t>Plaster on new surface on walls in cement sand mortar 1:6 including raking of joints etc. complete fine finished : 20 mm thick.</t>
        </is>
      </c>
      <c r="C26">
        <f>GF1_MES!K386</f>
        <v/>
      </c>
      <c r="D26" t="inlineStr">
        <is>
          <t>Sqm</t>
        </is>
      </c>
      <c r="E26" t="n">
        <v>37</v>
      </c>
      <c r="F26" t="inlineStr">
        <is>
          <t>P Sqm</t>
        </is>
      </c>
      <c r="G26">
        <f>IF(C26,ROUNDUP(C26*E26,0),"")</f>
        <v/>
      </c>
    </row>
    <row r="27">
      <c r="A27" t="n">
        <v>16</v>
      </c>
      <c r="B27" t="inlineStr">
        <is>
          <t>Plaster on new surface over ceiling in cement sand mortar 1:3 including raking of joints etc. complete fine finished :12 mm thick.</t>
        </is>
      </c>
      <c r="C27">
        <f>GF1_MES!K390</f>
        <v/>
      </c>
      <c r="D27" t="inlineStr">
        <is>
          <t>Sqm</t>
        </is>
      </c>
      <c r="E27" t="n">
        <v>55</v>
      </c>
      <c r="F27" t="inlineStr">
        <is>
          <t>P Sqm</t>
        </is>
      </c>
      <c r="G27">
        <f>IF(C27,ROUNDUP(C27*E27,0),"")</f>
        <v/>
      </c>
    </row>
    <row r="28">
      <c r="A28" t="n">
        <v>17</v>
      </c>
      <c r="B28" t="inlineStr">
        <is>
          <t>Random rubble dry stone kharanja under floor.</t>
        </is>
      </c>
      <c r="C28">
        <f>GF1_MES!K392</f>
        <v/>
      </c>
      <c r="D28" t="inlineStr">
        <is>
          <t>Cum</t>
        </is>
      </c>
      <c r="E28" t="n">
        <v>180</v>
      </c>
      <c r="F28" t="inlineStr">
        <is>
          <t>P Cum</t>
        </is>
      </c>
      <c r="G28">
        <f>IF(C28,ROUNDUP(C28*E28,0),"")</f>
        <v/>
      </c>
    </row>
    <row r="29">
      <c r="A29">
        <f>A28+1</f>
        <v/>
      </c>
      <c r="B29">
        <f>GF1_MES!B394</f>
        <v/>
      </c>
      <c r="C29">
        <f>GF1_MES!K401</f>
        <v/>
      </c>
      <c r="D29" t="inlineStr">
        <is>
          <t>Kg</t>
        </is>
      </c>
      <c r="E29" t="n">
        <v>26</v>
      </c>
      <c r="F29" t="inlineStr">
        <is>
          <t>P Kg</t>
        </is>
      </c>
      <c r="G29">
        <f>IF(C29,ROUNDUP(C29*E29,0),"")</f>
        <v/>
      </c>
    </row>
    <row r="30">
      <c r="A30" t="n">
        <v>19</v>
      </c>
      <c r="B30" t="inlineStr">
        <is>
          <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 Partly Fixed and Partly Openable (Fixed area not to exceed 33%).</t>
        </is>
      </c>
      <c r="C30">
        <f>GF1_MES!K409</f>
        <v/>
      </c>
      <c r="D30" t="inlineStr">
        <is>
          <t>Sqm</t>
        </is>
      </c>
      <c r="E30" t="n">
        <v>700</v>
      </c>
      <c r="F30" t="inlineStr">
        <is>
          <t>P Sqm</t>
        </is>
      </c>
      <c r="G30">
        <f>IF(C30,ROUNDUP(C30*E30,0),"")</f>
        <v/>
      </c>
    </row>
    <row r="31">
      <c r="A31">
        <f>A30+1</f>
        <v/>
      </c>
      <c r="B31" t="inlineStr">
        <is>
          <t>Providing and fixing square bars or other flat welded to window, ventilators etc.</t>
        </is>
      </c>
      <c r="C31">
        <f>GF1_MES!K418</f>
        <v/>
      </c>
      <c r="D31" t="inlineStr">
        <is>
          <t>Kg</t>
        </is>
      </c>
      <c r="E31" t="n">
        <v>19</v>
      </c>
      <c r="F31" t="inlineStr">
        <is>
          <t>P Kg</t>
        </is>
      </c>
      <c r="G31">
        <f>IF(C31,ROUNDUP(C31*E31,0),"")</f>
        <v/>
      </c>
    </row>
    <row r="32">
      <c r="A32">
        <f>A31+1</f>
        <v/>
      </c>
      <c r="B32" t="inlineStr">
        <is>
          <t>Supplying and fixing wire gauge of 14 mesh x 24 gauge to the metal frame of rolled section by metal beading 20 x 3 mm with suitable screw at not exceeding 150 mm distance.</t>
        </is>
      </c>
      <c r="C32">
        <f>GF1_MES!K420</f>
        <v/>
      </c>
      <c r="D32" t="inlineStr">
        <is>
          <t>Sqm</t>
        </is>
      </c>
      <c r="E32" t="n">
        <v>185</v>
      </c>
      <c r="F32" t="inlineStr">
        <is>
          <t>P Sqm</t>
        </is>
      </c>
      <c r="G32">
        <f>IF(C32,ROUNDUP(C32*E32,0),"")</f>
        <v/>
      </c>
    </row>
    <row r="33">
      <c r="A33">
        <f>A32+1</f>
        <v/>
      </c>
      <c r="B33" t="inlineStr">
        <is>
          <t>Supplying and fixing in cement mortar welded hand railing made out of MS round or square bars flats. etc. for staircase or verandah as per design complete in all respect (wooden or PVC hand railing to be paid extra) with priming coat of red oxide.</t>
        </is>
      </c>
      <c r="C33">
        <f>GF1_MES!K430</f>
        <v/>
      </c>
      <c r="D33" t="inlineStr">
        <is>
          <t>Kg</t>
        </is>
      </c>
      <c r="E33" t="n">
        <v>30</v>
      </c>
      <c r="F33" t="inlineStr">
        <is>
          <t>P Kg</t>
        </is>
      </c>
      <c r="G33">
        <f>IF(C33,ROUNDUP(C33*E33,0),"")</f>
        <v/>
      </c>
    </row>
    <row r="34">
      <c r="A34" t="n">
        <v>23</v>
      </c>
      <c r="B34" t="inlineStr">
        <is>
          <t>Cement concrete including curing compaction etc. complete using stone aggregate 40 mm nominal size in foundation plinth, excluding the cost of shuttering, using : 1 Cement : 5 Sand : 10 aggregate Mix. (under floor)</t>
        </is>
      </c>
      <c r="C34">
        <f>GF1_MES!K432</f>
        <v/>
      </c>
      <c r="D34" t="inlineStr">
        <is>
          <t>Cum</t>
        </is>
      </c>
      <c r="E34" t="n">
        <v>850</v>
      </c>
      <c r="F34" t="inlineStr">
        <is>
          <t>P Cum</t>
        </is>
      </c>
      <c r="G34">
        <f>IF(C34,ROUNDUP(C34*E34,0),"")</f>
        <v/>
      </c>
    </row>
    <row r="35">
      <c r="A35" t="n">
        <v>24</v>
      </c>
      <c r="B35" t="inlineStr">
        <is>
          <t xml:space="preserve">Polished Blue Kota stone flooring skirting laid over 20 mm thick base CM 1:4 and jointed with Grey cement slurry to match the shade of the slab including rubbing and polishing complete </t>
        </is>
      </c>
    </row>
    <row r="36">
      <c r="B36" t="inlineStr">
        <is>
          <t>(a) for area of each slab from 901  to 2000 sq. cm 20 mm thick  slab.</t>
        </is>
      </c>
      <c r="C36">
        <f>GF1_MES!K437</f>
        <v/>
      </c>
      <c r="D36" t="inlineStr">
        <is>
          <t>Sqm</t>
        </is>
      </c>
      <c r="E36" t="n">
        <v>270</v>
      </c>
      <c r="F36" t="inlineStr">
        <is>
          <t>P Sqm</t>
        </is>
      </c>
      <c r="G36">
        <f>IF(C36,ROUNDUP(C36*E36,0),"")</f>
        <v/>
      </c>
    </row>
    <row r="37">
      <c r="B37" t="inlineStr">
        <is>
          <t>(b) for area of each slab from 2001  to 5000 sq. cm 20 mm thick  slab.</t>
        </is>
      </c>
      <c r="C37">
        <f>GF1_MES!K480</f>
        <v/>
      </c>
      <c r="D37" t="inlineStr">
        <is>
          <t>Sqm</t>
        </is>
      </c>
      <c r="E37" t="n">
        <v>300</v>
      </c>
      <c r="F37" t="inlineStr">
        <is>
          <t>P Sqm</t>
        </is>
      </c>
      <c r="G37">
        <f>IF(C37,ROUNDUP(C37*E37,0),"")</f>
        <v/>
      </c>
    </row>
    <row r="38">
      <c r="A38" t="n">
        <v>25</v>
      </c>
      <c r="B38" t="inlineStr">
        <is>
          <t xml:space="preserve">Supplying and fixing in wall machine cut and polished stone shelves, tands and sills in cement mortar 1:3 with machine cut edge.  </t>
        </is>
      </c>
      <c r="G38">
        <f>IF(C38,ROUNDUP(C38*E38,0),"")</f>
        <v/>
      </c>
    </row>
    <row r="39">
      <c r="B39" t="inlineStr">
        <is>
          <t>(A) Kota stone 25 to 30 mm thick</t>
        </is>
      </c>
      <c r="C39">
        <f>GF1_MES!K505</f>
        <v/>
      </c>
      <c r="D39" t="inlineStr">
        <is>
          <t>Sqm</t>
        </is>
      </c>
      <c r="E39" t="n">
        <v>295</v>
      </c>
      <c r="F39" t="inlineStr">
        <is>
          <t>P Sqm</t>
        </is>
      </c>
      <c r="G39">
        <f>IF(C39,ROUNDUP(C39*E39,0),"")</f>
        <v/>
      </c>
    </row>
    <row r="40">
      <c r="B40" t="inlineStr">
        <is>
          <t>(B) Sand or other approved  stone 50 mm thick</t>
        </is>
      </c>
      <c r="C40">
        <f>GF1_MES!K510</f>
        <v/>
      </c>
      <c r="D40" t="inlineStr">
        <is>
          <t>Sqm</t>
        </is>
      </c>
      <c r="E40" t="n">
        <v>255</v>
      </c>
      <c r="F40" t="inlineStr">
        <is>
          <t>P Sqm</t>
        </is>
      </c>
      <c r="G40">
        <f>IF(C40,ROUNDUP(C40*E40,0),"")</f>
        <v/>
      </c>
    </row>
    <row r="41">
      <c r="A41">
        <f>A38+1</f>
        <v/>
      </c>
      <c r="B41" t="inlineStr">
        <is>
          <t>Providing and fixing fully panelled double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Assam teak wood grade I 35 mm thick . 12 mm thick shuttering ply (Kit ply make) both faces panels.</t>
        </is>
      </c>
      <c r="C41">
        <f>GF1_MES!K513</f>
        <v/>
      </c>
      <c r="D41" t="inlineStr">
        <is>
          <t>Sqm</t>
        </is>
      </c>
      <c r="E41" t="n">
        <v>1240</v>
      </c>
      <c r="F41" t="inlineStr">
        <is>
          <t>P Sqm</t>
        </is>
      </c>
      <c r="G41">
        <f>IF(C41,ROUNDUP(C41*E41,0),"")</f>
        <v/>
      </c>
    </row>
    <row r="42">
      <c r="A42" t="n">
        <v>27</v>
      </c>
      <c r="B42" t="inlineStr">
        <is>
          <t>Providing and fixing fully panelled Single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Assam teak wood grade I 35 mm thick . 12 mm thick shuttering ply (Kit ply make) both faces panels.</t>
        </is>
      </c>
      <c r="C42">
        <f>GF1_MES!K519</f>
        <v/>
      </c>
      <c r="D42" t="inlineStr">
        <is>
          <t>Sqm</t>
        </is>
      </c>
      <c r="E42">
        <f>0.8*1240</f>
        <v/>
      </c>
      <c r="F42" t="inlineStr">
        <is>
          <t>P Sqm</t>
        </is>
      </c>
      <c r="G42">
        <f>IF(C42,ROUNDUP(C42*E42,0),"")</f>
        <v/>
      </c>
    </row>
    <row r="43">
      <c r="A43" t="n">
        <v>28</v>
      </c>
      <c r="B43" t="inlineStr">
        <is>
          <t>Distempering with oil bound washable distemper of approved brand &amp; manufacture to give an even shade including all scaffolding, New work (two or more coats over and including priming coat with distemper primer).</t>
        </is>
      </c>
      <c r="C43">
        <f>GF1_MES!K524</f>
        <v/>
      </c>
      <c r="D43" t="inlineStr">
        <is>
          <t>Sqm</t>
        </is>
      </c>
      <c r="E43" t="n">
        <v>17.6</v>
      </c>
      <c r="F43" t="inlineStr">
        <is>
          <t>P Sqm</t>
        </is>
      </c>
      <c r="G43">
        <f>IF(C43,ROUNDUP(C43*E43,0),"")</f>
        <v/>
      </c>
    </row>
    <row r="44">
      <c r="A44">
        <f>A43+1</f>
        <v/>
      </c>
      <c r="B44" t="inlineStr">
        <is>
          <t>Finishing wall with water proofing cement paint of approved brand &amp; manufacture and of required shade to give an even shade including all scaffolding New Work (Three or more coat).</t>
        </is>
      </c>
      <c r="C44">
        <f>GF1_MES!K526</f>
        <v/>
      </c>
      <c r="D44" t="inlineStr">
        <is>
          <t>Sqm</t>
        </is>
      </c>
      <c r="E44" t="n">
        <v>15</v>
      </c>
      <c r="F44" t="inlineStr">
        <is>
          <t>P Sqm</t>
        </is>
      </c>
      <c r="G44">
        <f>IF(C44,ROUNDUP(C44*E44,0),"")</f>
        <v/>
      </c>
    </row>
    <row r="45">
      <c r="A45">
        <f>A44+1</f>
        <v/>
      </c>
      <c r="B45" t="inlineStr">
        <is>
          <t>Applying priming coat with ready mix pink or Grey primer of approved brand and manufacture on wood work hard and soft wood.</t>
        </is>
      </c>
      <c r="C45">
        <f>GF1_MES!K534</f>
        <v/>
      </c>
      <c r="D45" t="inlineStr">
        <is>
          <t>Sqm</t>
        </is>
      </c>
      <c r="E45" t="n">
        <v>9</v>
      </c>
      <c r="F45" t="inlineStr">
        <is>
          <t>P Sqm</t>
        </is>
      </c>
      <c r="G45">
        <f>IF(C45,ROUNDUP(C45*E45,0),"")</f>
        <v/>
      </c>
    </row>
    <row r="46">
      <c r="A46">
        <f>A45+1</f>
        <v/>
      </c>
      <c r="B46" t="inlineStr">
        <is>
          <t>Painting with enamel paint of approved brand and manufacture to give an even shade two or more coats on new work.</t>
        </is>
      </c>
      <c r="C46">
        <f>GF1_MES!K536</f>
        <v/>
      </c>
      <c r="D46" t="inlineStr">
        <is>
          <t>Sqm</t>
        </is>
      </c>
      <c r="E46" t="n">
        <v>24</v>
      </c>
      <c r="F46" t="inlineStr">
        <is>
          <t>P Sqm</t>
        </is>
      </c>
      <c r="G46">
        <f>IF(C46,ROUNDUP(C46*E46,0),"")</f>
        <v/>
      </c>
    </row>
    <row r="47">
      <c r="A47" t="n">
        <v>32</v>
      </c>
      <c r="B47" t="inlineStr">
        <is>
          <t>Spreading of hot blown bitumen (IS grade 85/25, 90/25 industrial grade) applied at 175 to 180 C @ rate of 1.75 Kg. per Sqm. complete.</t>
        </is>
      </c>
      <c r="C47">
        <f>GF1_MES!K547</f>
        <v/>
      </c>
      <c r="D47" t="inlineStr">
        <is>
          <t>Sqm</t>
        </is>
      </c>
      <c r="E47" t="n">
        <v>20</v>
      </c>
      <c r="F47" t="inlineStr">
        <is>
          <t>P Sqm</t>
        </is>
      </c>
      <c r="G47">
        <f>IF(C47,ROUNDUP(C47*E47,0),"")</f>
        <v/>
      </c>
    </row>
    <row r="48">
      <c r="A48" t="n">
        <v>33</v>
      </c>
      <c r="B48" t="inlineStr">
        <is>
          <t xml:space="preserve">Providing brick kharanja in cement sand mortar 1 : 4 in square pattern over roof of ground  floor  75 to 100 mm thick average. </t>
        </is>
      </c>
      <c r="C48">
        <f>GF1_MES!K547</f>
        <v/>
      </c>
      <c r="D48" t="inlineStr">
        <is>
          <t>Sqm</t>
        </is>
      </c>
      <c r="E48" t="n">
        <v>91</v>
      </c>
      <c r="F48" t="inlineStr">
        <is>
          <t>P Sqm</t>
        </is>
      </c>
      <c r="G48">
        <f>IF(C48,ROUNDUP(C48*E48,0),"")</f>
        <v/>
      </c>
    </row>
    <row r="49">
      <c r="A49" t="n">
        <v>34</v>
      </c>
      <c r="B49" t="inlineStr">
        <is>
          <t>Providing batta (gola) 75 mm x 75 mm in cement concrete (1 :2 :4) including finishing with cement mortar 1 : 3 as per standard design.</t>
        </is>
      </c>
      <c r="C49">
        <f>GF1_MES!K550</f>
        <v/>
      </c>
      <c r="D49" t="inlineStr">
        <is>
          <t>RM</t>
        </is>
      </c>
      <c r="E49" t="n">
        <v>18</v>
      </c>
      <c r="F49" t="inlineStr">
        <is>
          <t>P RM</t>
        </is>
      </c>
      <c r="G49">
        <f>IF(C49,ROUNDUP(C49*E49,0),"")</f>
        <v/>
      </c>
    </row>
    <row r="50">
      <c r="A50" t="n">
        <v>35</v>
      </c>
      <c r="B50" t="inlineStr">
        <is>
          <t xml:space="preserve">Finishing with  25 mm thick cement plaster on roofs in cement sand mortar 1:4 mix including water proofing compound @ 2% of cement used with neat cement finishing, curing etc. complete in all respects. </t>
        </is>
      </c>
      <c r="C50">
        <f>GF1_MES!K551</f>
        <v/>
      </c>
      <c r="D50" t="inlineStr">
        <is>
          <t>Sqm</t>
        </is>
      </c>
      <c r="E50" t="n">
        <v>60</v>
      </c>
      <c r="F50" t="inlineStr">
        <is>
          <t>P Sqm</t>
        </is>
      </c>
      <c r="G50">
        <f>IF(C50,ROUNDUP(C50*E50,0),"")</f>
        <v/>
      </c>
    </row>
    <row r="51">
      <c r="A51" t="n">
        <v>36</v>
      </c>
      <c r="B51" t="inlineStr">
        <is>
          <t>Providing and fixing Ist quality white Glazed  Tiles of approved make &amp; size (Somani, Johnson etc.)  5 mm thick in walls, floors, steps, pillars etc. laid on a bed of neat cement slurry  finished with flush pointing with white cement  ( excluding cost of cement plaster)</t>
        </is>
      </c>
      <c r="C51">
        <f>GF1_MES!K558</f>
        <v/>
      </c>
      <c r="D51" t="inlineStr">
        <is>
          <t>Sqm</t>
        </is>
      </c>
      <c r="E51" t="n">
        <v>425</v>
      </c>
      <c r="F51" t="inlineStr">
        <is>
          <t>P Sqm</t>
        </is>
      </c>
      <c r="G51">
        <f>IF(C51,ROUNDUP(C51*E51,0),"")</f>
        <v/>
      </c>
    </row>
    <row r="52">
      <c r="A52" t="n">
        <v>37</v>
      </c>
      <c r="B52">
        <f>GF1_MES!B559</f>
        <v/>
      </c>
      <c r="C52">
        <f>GF1_MES!K560</f>
        <v/>
      </c>
      <c r="D52" t="inlineStr">
        <is>
          <t>Nos.</t>
        </is>
      </c>
      <c r="E52" t="n">
        <v>240</v>
      </c>
      <c r="F52" t="inlineStr">
        <is>
          <t>Each</t>
        </is>
      </c>
      <c r="G52">
        <f>IF(C52,ROUNDUP(C52*E52,0),"")</f>
        <v/>
      </c>
    </row>
    <row r="53">
      <c r="A53" t="n">
        <v>38</v>
      </c>
      <c r="B53" t="inlineStr">
        <is>
          <t>Providing and fixing precast cement concrete coping 1:2:4 mix 50 mm thick complete as per specification .</t>
        </is>
      </c>
      <c r="C53">
        <f>GF1_MES!K564</f>
        <v/>
      </c>
      <c r="D53" t="inlineStr">
        <is>
          <t>Sqm</t>
        </is>
      </c>
      <c r="E53" t="n">
        <v>85</v>
      </c>
      <c r="F53" t="inlineStr">
        <is>
          <t>P Sqm</t>
        </is>
      </c>
      <c r="G53">
        <f>IF(C53,ROUNDUP(C53*E53,0),"")</f>
        <v/>
      </c>
    </row>
    <row r="54">
      <c r="A54" t="n">
        <v>39</v>
      </c>
      <c r="B54" t="inlineStr">
        <is>
          <t>Supplying and fixing rolling shutters of approved make, made of 80 x 1.25 mm MS laths interlocked together through their entire length and jointed together at the end by end locks mounted on specially designed pipe shaft with brackets, side guides and arrangement for inside and outside locking with push and pull operation complete including cost of spring hooks, providing and fixing necessary 25.3 cm long wire springs grade No.2 and MS top cover 1.25 mm thick for rolling shutters as per design. (Clear openable area to be measured.)</t>
        </is>
      </c>
      <c r="C54">
        <f>GF1_MES!K565</f>
        <v/>
      </c>
      <c r="D54" t="inlineStr">
        <is>
          <t>Sqm</t>
        </is>
      </c>
      <c r="E54" t="n">
        <v>585</v>
      </c>
      <c r="F54" t="inlineStr">
        <is>
          <t>P Sqm</t>
        </is>
      </c>
      <c r="G54">
        <f>IF(C54,ROUNDUP(C54*E54,0),"")</f>
        <v/>
      </c>
    </row>
    <row r="55">
      <c r="E55" t="inlineStr">
        <is>
          <t xml:space="preserve">Total </t>
        </is>
      </c>
      <c r="F55" t="inlineStr">
        <is>
          <t>Rs.</t>
        </is>
      </c>
      <c r="G55">
        <f>SUM(G5:G54)</f>
        <v/>
      </c>
    </row>
    <row r="56"/>
    <row r="57"/>
    <row r="58">
      <c r="B58" t="inlineStr">
        <is>
          <t>ASSISTANT ENGINEER,</t>
        </is>
      </c>
      <c r="D58" t="inlineStr">
        <is>
          <t>EXECUTIVE  ENGINEER,</t>
        </is>
      </c>
    </row>
    <row r="59">
      <c r="B59" t="inlineStr">
        <is>
          <t>P.W.D. Sub Div.- NATHDWARA</t>
        </is>
      </c>
      <c r="D59" t="inlineStr">
        <is>
          <t>P.W.D. Div.- RAJSAMAND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69"/>
  <sheetViews>
    <sheetView workbookViewId="0">
      <selection activeCell="A1" sqref="A1"/>
    </sheetView>
  </sheetViews>
  <sheetFormatPr baseColWidth="8" defaultRowHeight="15"/>
  <cols>
    <col width="37" customWidth="1" min="1" max="1"/>
    <col width="50" customWidth="1" min="2" max="2"/>
    <col width="17" customWidth="1" min="3" max="3"/>
    <col width="7" customWidth="1" min="4" max="4"/>
    <col width="29" customWidth="1" min="5" max="5"/>
    <col width="30" customWidth="1" min="6" max="6"/>
    <col width="24" customWidth="1" min="7" max="7"/>
    <col width="13" customWidth="1" min="8" max="8"/>
    <col width="8" customWidth="1" min="9" max="9"/>
    <col width="6" customWidth="1" min="10" max="10"/>
    <col width="34" customWidth="1" min="11" max="11"/>
    <col width="7" customWidth="1" min="12" max="12"/>
  </cols>
  <sheetData>
    <row r="1">
      <c r="A1" s="4">
        <f>'gen-abstract'!A2</f>
        <v/>
      </c>
      <c r="B1" s="4" t="n"/>
      <c r="C1" s="4" t="n"/>
      <c r="D1" s="4" t="n"/>
      <c r="E1" s="4" t="n"/>
      <c r="F1" s="4" t="n"/>
      <c r="G1" s="4" t="n"/>
      <c r="H1" s="4" t="n"/>
      <c r="I1" s="4" t="n"/>
      <c r="J1" s="4" t="n"/>
      <c r="K1" s="4" t="n"/>
      <c r="L1" s="4" t="n"/>
    </row>
    <row r="2">
      <c r="A2" t="inlineStr">
        <is>
          <t xml:space="preserve">PART 'A'  CIVIL WORK GROUND  FLOOR </t>
        </is>
      </c>
    </row>
    <row r="3">
      <c r="A3" t="inlineStr">
        <is>
          <t>DETAILS OF MEASUREMENTS</t>
        </is>
      </c>
    </row>
    <row r="4">
      <c r="A4" t="inlineStr">
        <is>
          <t>S.N.</t>
        </is>
      </c>
      <c r="B4" t="inlineStr">
        <is>
          <t>Particulars</t>
        </is>
      </c>
      <c r="C4" t="inlineStr">
        <is>
          <t>Nos.</t>
        </is>
      </c>
      <c r="E4" t="inlineStr">
        <is>
          <t>Length</t>
        </is>
      </c>
      <c r="G4" t="inlineStr">
        <is>
          <t xml:space="preserve">Breadth </t>
        </is>
      </c>
      <c r="I4" t="inlineStr">
        <is>
          <t>Height</t>
        </is>
      </c>
      <c r="K4" t="inlineStr">
        <is>
          <t>Qty.</t>
        </is>
      </c>
      <c r="L4" t="inlineStr">
        <is>
          <t>Units</t>
        </is>
      </c>
    </row>
    <row r="5">
      <c r="B5" t="inlineStr">
        <is>
          <t>Center to center distances</t>
        </is>
      </c>
    </row>
    <row r="6">
      <c r="B6" t="inlineStr">
        <is>
          <t xml:space="preserve">Ground Floor </t>
        </is>
      </c>
    </row>
    <row r="7">
      <c r="B7" t="inlineStr">
        <is>
          <t xml:space="preserve"> Main walls 300 mm th. in Y Direction</t>
        </is>
      </c>
    </row>
    <row r="8">
      <c r="B8" t="inlineStr">
        <is>
          <t>LS Garage</t>
        </is>
      </c>
      <c r="C8" t="n">
        <v>2</v>
      </c>
      <c r="D8" t="inlineStr">
        <is>
          <t>x</t>
        </is>
      </c>
      <c r="E8" t="n">
        <v>9.23</v>
      </c>
      <c r="J8" t="inlineStr">
        <is>
          <t>=</t>
        </is>
      </c>
      <c r="K8">
        <f>IF(C8,C8*E8,"")</f>
        <v/>
      </c>
      <c r="L8" t="inlineStr">
        <is>
          <t>RM</t>
        </is>
      </c>
    </row>
    <row r="9">
      <c r="B9" t="inlineStr">
        <is>
          <t>LS Library</t>
        </is>
      </c>
      <c r="C9" t="n">
        <v>1</v>
      </c>
      <c r="D9" t="inlineStr">
        <is>
          <t>x</t>
        </is>
      </c>
      <c r="E9" t="n">
        <v>3.51</v>
      </c>
      <c r="J9" t="inlineStr">
        <is>
          <t>=</t>
        </is>
      </c>
      <c r="K9">
        <f>IF(C9,C9*E9,"")</f>
        <v/>
      </c>
      <c r="L9" t="inlineStr">
        <is>
          <t>RM</t>
        </is>
      </c>
    </row>
    <row r="10">
      <c r="B10" t="inlineStr">
        <is>
          <t>RS Staircase</t>
        </is>
      </c>
      <c r="C10" t="n">
        <v>1</v>
      </c>
      <c r="D10" t="inlineStr">
        <is>
          <t>x</t>
        </is>
      </c>
      <c r="E10" t="n">
        <v>3.97</v>
      </c>
      <c r="J10" t="inlineStr">
        <is>
          <t>=</t>
        </is>
      </c>
      <c r="K10">
        <f>IF(C10,C10*E10,"")</f>
        <v/>
      </c>
      <c r="L10" t="inlineStr">
        <is>
          <t>RM</t>
        </is>
      </c>
    </row>
    <row r="11">
      <c r="B11" t="inlineStr">
        <is>
          <t>RS Library</t>
        </is>
      </c>
      <c r="C11" t="n">
        <v>1</v>
      </c>
      <c r="D11" t="inlineStr">
        <is>
          <t>x</t>
        </is>
      </c>
      <c r="E11" t="n">
        <v>6.86</v>
      </c>
      <c r="J11" t="inlineStr">
        <is>
          <t>=</t>
        </is>
      </c>
      <c r="K11">
        <f>IF(C11,C11*E11,"")</f>
        <v/>
      </c>
      <c r="L11" t="inlineStr">
        <is>
          <t>RM</t>
        </is>
      </c>
    </row>
    <row r="12">
      <c r="B12" t="inlineStr">
        <is>
          <t>RS Kitchen</t>
        </is>
      </c>
      <c r="C12" t="n">
        <v>1</v>
      </c>
      <c r="D12" t="inlineStr">
        <is>
          <t>x</t>
        </is>
      </c>
      <c r="E12" t="n">
        <v>4.58</v>
      </c>
      <c r="J12" t="inlineStr">
        <is>
          <t>=</t>
        </is>
      </c>
      <c r="K12">
        <f>IF(C12,C12*E12,"")</f>
        <v/>
      </c>
      <c r="L12" t="inlineStr">
        <is>
          <t>RM</t>
        </is>
      </c>
    </row>
    <row r="13">
      <c r="B13" t="inlineStr">
        <is>
          <t>RS Living</t>
        </is>
      </c>
      <c r="C13" t="n">
        <v>1</v>
      </c>
      <c r="D13" t="inlineStr">
        <is>
          <t>x</t>
        </is>
      </c>
      <c r="E13" t="n">
        <v>5.19</v>
      </c>
      <c r="J13" t="inlineStr">
        <is>
          <t>=</t>
        </is>
      </c>
      <c r="K13">
        <f>IF(C13,C13*E13,"")</f>
        <v/>
      </c>
      <c r="L13" t="inlineStr">
        <is>
          <t>RM</t>
        </is>
      </c>
    </row>
    <row r="14">
      <c r="B14" t="inlineStr">
        <is>
          <t>RS Dining</t>
        </is>
      </c>
      <c r="C14" t="n">
        <v>1</v>
      </c>
      <c r="D14" t="inlineStr">
        <is>
          <t>x</t>
        </is>
      </c>
      <c r="E14" t="n">
        <v>4.88</v>
      </c>
      <c r="J14" t="inlineStr">
        <is>
          <t>=</t>
        </is>
      </c>
      <c r="K14">
        <f>IF(C14,C14*E14,"")</f>
        <v/>
      </c>
      <c r="L14" t="inlineStr">
        <is>
          <t>RM</t>
        </is>
      </c>
    </row>
    <row r="15">
      <c r="B15" t="inlineStr">
        <is>
          <t>LS Toilets</t>
        </is>
      </c>
      <c r="C15" t="n">
        <v>1</v>
      </c>
      <c r="D15" t="inlineStr">
        <is>
          <t>x</t>
        </is>
      </c>
      <c r="E15" t="n">
        <v>6.41</v>
      </c>
      <c r="J15" t="inlineStr">
        <is>
          <t>=</t>
        </is>
      </c>
      <c r="K15">
        <f>IF(C15,C15*E15,"")</f>
        <v/>
      </c>
      <c r="L15" t="inlineStr">
        <is>
          <t>RM</t>
        </is>
      </c>
    </row>
    <row r="16">
      <c r="B16" t="inlineStr">
        <is>
          <t>RS Bed</t>
        </is>
      </c>
      <c r="C16" t="n">
        <v>1</v>
      </c>
      <c r="D16" t="inlineStr">
        <is>
          <t>x</t>
        </is>
      </c>
      <c r="E16" t="n">
        <v>14.94</v>
      </c>
      <c r="J16" t="inlineStr">
        <is>
          <t>=</t>
        </is>
      </c>
      <c r="K16">
        <f>IF(C16,C16*E16,"")</f>
        <v/>
      </c>
      <c r="L16" t="inlineStr">
        <is>
          <t>RM</t>
        </is>
      </c>
    </row>
    <row r="17">
      <c r="B17" t="inlineStr">
        <is>
          <t>Platform Front</t>
        </is>
      </c>
      <c r="C17" t="n">
        <v>2</v>
      </c>
      <c r="D17" t="inlineStr">
        <is>
          <t>x</t>
        </is>
      </c>
      <c r="E17" t="n">
        <v>0.92</v>
      </c>
      <c r="J17" t="inlineStr">
        <is>
          <t>=</t>
        </is>
      </c>
      <c r="K17">
        <f>IF(C17,C17*E17,"")</f>
        <v/>
      </c>
      <c r="L17" t="inlineStr">
        <is>
          <t>RM</t>
        </is>
      </c>
    </row>
    <row r="18">
      <c r="B18" t="inlineStr">
        <is>
          <t>Platform Back</t>
        </is>
      </c>
      <c r="C18" t="n">
        <v>2</v>
      </c>
      <c r="D18" t="inlineStr">
        <is>
          <t>x</t>
        </is>
      </c>
      <c r="E18" t="n">
        <v>0.61</v>
      </c>
      <c r="J18" t="inlineStr">
        <is>
          <t>=</t>
        </is>
      </c>
      <c r="K18">
        <f>IF(C18,C18*E18,"")</f>
        <v/>
      </c>
      <c r="L18" t="inlineStr">
        <is>
          <t>RM</t>
        </is>
      </c>
    </row>
    <row r="19">
      <c r="B19" t="inlineStr">
        <is>
          <t xml:space="preserve"> Main walls 300 mm th. in X Direction</t>
        </is>
      </c>
      <c r="E19" t="inlineStr"/>
    </row>
    <row r="20">
      <c r="B20" t="inlineStr">
        <is>
          <t>Garage</t>
        </is>
      </c>
      <c r="C20" t="n">
        <v>2</v>
      </c>
      <c r="D20" t="inlineStr">
        <is>
          <t>x</t>
        </is>
      </c>
      <c r="E20" t="n">
        <v>3.05</v>
      </c>
      <c r="J20" t="inlineStr">
        <is>
          <t>=</t>
        </is>
      </c>
      <c r="K20">
        <f>IF(C20,C20*E20,"")</f>
        <v/>
      </c>
      <c r="L20" t="inlineStr">
        <is>
          <t>RM</t>
        </is>
      </c>
    </row>
    <row r="21">
      <c r="B21" t="inlineStr">
        <is>
          <t>Library</t>
        </is>
      </c>
      <c r="C21" t="n">
        <v>1</v>
      </c>
      <c r="D21" t="inlineStr">
        <is>
          <t>x</t>
        </is>
      </c>
      <c r="E21" t="n">
        <v>3.66</v>
      </c>
      <c r="J21" t="inlineStr">
        <is>
          <t>=</t>
        </is>
      </c>
      <c r="K21">
        <f>IF(C21,C21*E21,"")</f>
        <v/>
      </c>
      <c r="L21" t="inlineStr">
        <is>
          <t>RM</t>
        </is>
      </c>
    </row>
    <row r="22">
      <c r="B22" t="inlineStr">
        <is>
          <t>Staircase</t>
        </is>
      </c>
      <c r="C22" t="n">
        <v>1</v>
      </c>
      <c r="D22" t="inlineStr">
        <is>
          <t>x</t>
        </is>
      </c>
      <c r="E22" t="n">
        <v>2.75</v>
      </c>
      <c r="J22" t="inlineStr">
        <is>
          <t>=</t>
        </is>
      </c>
      <c r="K22">
        <f>IF(C22,C22*E22,"")</f>
        <v/>
      </c>
      <c r="L22" t="inlineStr">
        <is>
          <t>RM</t>
        </is>
      </c>
    </row>
    <row r="23">
      <c r="B23" t="inlineStr">
        <is>
          <t>Kitchen</t>
        </is>
      </c>
      <c r="C23" t="n">
        <v>2</v>
      </c>
      <c r="D23" t="inlineStr">
        <is>
          <t>x</t>
        </is>
      </c>
      <c r="E23" t="n">
        <v>3.97</v>
      </c>
      <c r="J23" t="inlineStr">
        <is>
          <t>=</t>
        </is>
      </c>
      <c r="K23">
        <f>IF(C23,C23*E23,"")</f>
        <v/>
      </c>
      <c r="L23" t="inlineStr">
        <is>
          <t>RM</t>
        </is>
      </c>
    </row>
    <row r="24">
      <c r="B24" t="inlineStr">
        <is>
          <t>Living</t>
        </is>
      </c>
      <c r="C24" t="n">
        <v>3</v>
      </c>
      <c r="D24" t="inlineStr">
        <is>
          <t>x</t>
        </is>
      </c>
      <c r="E24" t="n">
        <v>4.27</v>
      </c>
      <c r="J24" t="inlineStr">
        <is>
          <t>=</t>
        </is>
      </c>
      <c r="K24">
        <f>IF(C24,C24*E24,"")</f>
        <v/>
      </c>
      <c r="L24" t="inlineStr">
        <is>
          <t>RM</t>
        </is>
      </c>
    </row>
    <row r="25">
      <c r="B25" t="inlineStr">
        <is>
          <t>Bed</t>
        </is>
      </c>
      <c r="C25" t="n">
        <v>4</v>
      </c>
      <c r="D25" t="inlineStr">
        <is>
          <t>x</t>
        </is>
      </c>
      <c r="E25" t="n">
        <v>4.27</v>
      </c>
      <c r="J25" t="inlineStr">
        <is>
          <t>=</t>
        </is>
      </c>
      <c r="K25">
        <f>IF(C25,C25*E25,"")</f>
        <v/>
      </c>
      <c r="L25" t="inlineStr">
        <is>
          <t>RM</t>
        </is>
      </c>
    </row>
    <row r="26">
      <c r="B26" t="inlineStr">
        <is>
          <t>Platform Front</t>
        </is>
      </c>
      <c r="C26" t="n">
        <v>1</v>
      </c>
      <c r="D26" t="inlineStr">
        <is>
          <t>x</t>
        </is>
      </c>
      <c r="E26" t="n">
        <v>2.75</v>
      </c>
      <c r="J26" t="inlineStr">
        <is>
          <t>=</t>
        </is>
      </c>
      <c r="K26">
        <f>IF(C26,C26*E26,"")</f>
        <v/>
      </c>
      <c r="L26" t="inlineStr">
        <is>
          <t>RM</t>
        </is>
      </c>
    </row>
    <row r="27">
      <c r="B27" t="inlineStr">
        <is>
          <t>Platform Back</t>
        </is>
      </c>
      <c r="C27" t="n">
        <v>1</v>
      </c>
      <c r="D27" t="inlineStr">
        <is>
          <t>x</t>
        </is>
      </c>
      <c r="E27" t="n">
        <v>4.27</v>
      </c>
      <c r="J27" t="inlineStr">
        <is>
          <t>=</t>
        </is>
      </c>
      <c r="K27">
        <f>IF(C27,C27*E27,"")</f>
        <v/>
      </c>
      <c r="L27" t="inlineStr">
        <is>
          <t>RM</t>
        </is>
      </c>
    </row>
    <row r="28">
      <c r="E28" t="inlineStr"/>
      <c r="I28" t="inlineStr">
        <is>
          <t>TOTAL</t>
        </is>
      </c>
      <c r="J28" t="inlineStr">
        <is>
          <t>=</t>
        </is>
      </c>
      <c r="K28">
        <f>SUM(K8:K27)</f>
        <v/>
      </c>
      <c r="L28" t="inlineStr">
        <is>
          <t>RM</t>
        </is>
      </c>
    </row>
    <row r="29">
      <c r="B29" t="inlineStr">
        <is>
          <t xml:space="preserve">First Floor </t>
        </is>
      </c>
      <c r="E29" t="inlineStr"/>
    </row>
    <row r="30">
      <c r="B30" t="inlineStr">
        <is>
          <t xml:space="preserve"> Main walls 300 mm th. in X &amp;Y Direction</t>
        </is>
      </c>
      <c r="E30" t="inlineStr"/>
    </row>
    <row r="31">
      <c r="B31" t="inlineStr">
        <is>
          <t>LS Bed</t>
        </is>
      </c>
      <c r="C31" t="n">
        <v>2</v>
      </c>
      <c r="D31" t="inlineStr">
        <is>
          <t>x</t>
        </is>
      </c>
      <c r="E31" t="n">
        <v>6.41</v>
      </c>
      <c r="J31" t="inlineStr">
        <is>
          <t>=</t>
        </is>
      </c>
      <c r="K31">
        <f>IF(C31,C31*E31,"")</f>
        <v/>
      </c>
      <c r="L31" t="inlineStr">
        <is>
          <t>RM</t>
        </is>
      </c>
    </row>
    <row r="32">
      <c r="B32" t="inlineStr">
        <is>
          <t>Bed</t>
        </is>
      </c>
      <c r="C32" t="n">
        <v>1</v>
      </c>
      <c r="D32" t="inlineStr">
        <is>
          <t>x</t>
        </is>
      </c>
      <c r="E32" t="n">
        <v>4.58</v>
      </c>
      <c r="J32" t="inlineStr">
        <is>
          <t>=</t>
        </is>
      </c>
      <c r="K32">
        <f>IF(C32,C32*E32,"")</f>
        <v/>
      </c>
      <c r="L32" t="inlineStr">
        <is>
          <t>RM</t>
        </is>
      </c>
    </row>
    <row r="33">
      <c r="E33" t="inlineStr"/>
      <c r="I33" t="inlineStr">
        <is>
          <t>TOTAL</t>
        </is>
      </c>
      <c r="J33" t="inlineStr">
        <is>
          <t>=</t>
        </is>
      </c>
      <c r="K33">
        <f>SUM(K31:K32)</f>
        <v/>
      </c>
      <c r="L33" t="inlineStr">
        <is>
          <t>RM</t>
        </is>
      </c>
    </row>
    <row r="34">
      <c r="B34" t="inlineStr">
        <is>
          <t>PARAPET WALL300 MM</t>
        </is>
      </c>
      <c r="E34" t="inlineStr"/>
    </row>
    <row r="35">
      <c r="B35" t="inlineStr">
        <is>
          <t>FF</t>
        </is>
      </c>
      <c r="C35" t="n">
        <v>2</v>
      </c>
      <c r="D35" t="inlineStr">
        <is>
          <t>x</t>
        </is>
      </c>
      <c r="E35" t="n">
        <v>12.35</v>
      </c>
      <c r="J35" t="inlineStr">
        <is>
          <t>=</t>
        </is>
      </c>
      <c r="K35">
        <f>IF(C35,C35*E35,"")</f>
        <v/>
      </c>
      <c r="L35" t="inlineStr">
        <is>
          <t>RM</t>
        </is>
      </c>
    </row>
    <row r="36">
      <c r="C36" t="n">
        <v>2</v>
      </c>
      <c r="D36" t="inlineStr">
        <is>
          <t>x</t>
        </is>
      </c>
      <c r="E36" t="n">
        <v>8.23</v>
      </c>
      <c r="J36" t="inlineStr">
        <is>
          <t>=</t>
        </is>
      </c>
      <c r="K36">
        <f>IF(C36,C36*E36,"")</f>
        <v/>
      </c>
      <c r="L36" t="inlineStr">
        <is>
          <t>RM</t>
        </is>
      </c>
    </row>
    <row r="37">
      <c r="B37" t="inlineStr">
        <is>
          <t>GF</t>
        </is>
      </c>
      <c r="C37" t="n">
        <v>2</v>
      </c>
      <c r="D37" t="inlineStr">
        <is>
          <t>x</t>
        </is>
      </c>
      <c r="E37" t="n">
        <v>13.42</v>
      </c>
      <c r="J37" t="inlineStr">
        <is>
          <t>=</t>
        </is>
      </c>
      <c r="K37">
        <f>IF(C37,C37*E37,"")</f>
        <v/>
      </c>
      <c r="L37" t="inlineStr">
        <is>
          <t>RM</t>
        </is>
      </c>
    </row>
    <row r="38">
      <c r="C38" t="n">
        <v>2</v>
      </c>
      <c r="D38" t="inlineStr">
        <is>
          <t>x</t>
        </is>
      </c>
      <c r="E38" t="n">
        <v>14.33</v>
      </c>
      <c r="J38" t="inlineStr">
        <is>
          <t>=</t>
        </is>
      </c>
      <c r="K38">
        <f>IF(C38,C38*E38,"")</f>
        <v/>
      </c>
      <c r="L38" t="inlineStr">
        <is>
          <t>RM</t>
        </is>
      </c>
    </row>
    <row r="39">
      <c r="E39" t="inlineStr"/>
      <c r="I39" t="inlineStr">
        <is>
          <t>TOTAL</t>
        </is>
      </c>
      <c r="J39" t="inlineStr">
        <is>
          <t>=</t>
        </is>
      </c>
      <c r="K39">
        <f>SUM(K35:K38)</f>
        <v/>
      </c>
      <c r="L39" t="inlineStr">
        <is>
          <t>RM</t>
        </is>
      </c>
    </row>
    <row r="40">
      <c r="B40" t="inlineStr">
        <is>
          <t xml:space="preserve"> Brick Partition walls in Y Direction</t>
        </is>
      </c>
      <c r="E40" t="inlineStr"/>
    </row>
    <row r="41">
      <c r="B41" t="inlineStr">
        <is>
          <t>WC</t>
        </is>
      </c>
      <c r="C41" t="n">
        <v>1</v>
      </c>
      <c r="D41" t="inlineStr">
        <is>
          <t>x</t>
        </is>
      </c>
      <c r="E41" t="n">
        <v>1.3</v>
      </c>
      <c r="J41" t="inlineStr">
        <is>
          <t>=</t>
        </is>
      </c>
      <c r="K41">
        <f>IF(C41,C41*E41,"")</f>
        <v/>
      </c>
      <c r="L41" t="inlineStr">
        <is>
          <t>RM</t>
        </is>
      </c>
    </row>
    <row r="42">
      <c r="B42" t="inlineStr">
        <is>
          <t>Toilet</t>
        </is>
      </c>
      <c r="C42" t="n">
        <v>1</v>
      </c>
      <c r="D42" t="inlineStr">
        <is>
          <t>x</t>
        </is>
      </c>
      <c r="E42" t="n">
        <v>1.38</v>
      </c>
      <c r="J42" t="inlineStr">
        <is>
          <t>=</t>
        </is>
      </c>
      <c r="K42">
        <f>IF(C42,C42*E42,"")</f>
        <v/>
      </c>
      <c r="L42" t="inlineStr">
        <is>
          <t>RM</t>
        </is>
      </c>
    </row>
    <row r="43">
      <c r="B43" t="inlineStr">
        <is>
          <t>Store</t>
        </is>
      </c>
      <c r="C43" t="n">
        <v>1</v>
      </c>
      <c r="D43" t="inlineStr">
        <is>
          <t>x</t>
        </is>
      </c>
      <c r="E43" t="n">
        <v>1.22</v>
      </c>
      <c r="J43" t="inlineStr">
        <is>
          <t>=</t>
        </is>
      </c>
      <c r="K43">
        <f>IF(C43,C43*E43,"")</f>
        <v/>
      </c>
      <c r="L43" t="inlineStr">
        <is>
          <t>RM</t>
        </is>
      </c>
    </row>
    <row r="44">
      <c r="B44" t="inlineStr">
        <is>
          <t>Cup Board</t>
        </is>
      </c>
      <c r="C44" t="n">
        <v>1</v>
      </c>
      <c r="D44" t="inlineStr">
        <is>
          <t>x</t>
        </is>
      </c>
      <c r="E44" t="n">
        <v>4.88</v>
      </c>
      <c r="J44" t="inlineStr">
        <is>
          <t>=</t>
        </is>
      </c>
      <c r="K44">
        <f>IF(C44,C44*E44,"")</f>
        <v/>
      </c>
      <c r="L44" t="inlineStr">
        <is>
          <t>RM</t>
        </is>
      </c>
    </row>
    <row r="45">
      <c r="B45" t="inlineStr">
        <is>
          <t>Bed</t>
        </is>
      </c>
      <c r="C45" t="n">
        <v>2</v>
      </c>
      <c r="D45" t="inlineStr">
        <is>
          <t>x</t>
        </is>
      </c>
      <c r="E45" t="n">
        <v>0.77</v>
      </c>
      <c r="J45" t="inlineStr">
        <is>
          <t>=</t>
        </is>
      </c>
      <c r="K45">
        <f>IF(C45,C45*E45,"")</f>
        <v/>
      </c>
      <c r="L45" t="inlineStr">
        <is>
          <t>RM</t>
        </is>
      </c>
    </row>
    <row r="46">
      <c r="B46" t="inlineStr">
        <is>
          <t xml:space="preserve"> Brick Partition walls in X Direction</t>
        </is>
      </c>
      <c r="E46" t="inlineStr"/>
    </row>
    <row r="47">
      <c r="B47" t="inlineStr">
        <is>
          <t>Library</t>
        </is>
      </c>
      <c r="C47" t="n">
        <v>1</v>
      </c>
      <c r="D47" t="inlineStr">
        <is>
          <t>x</t>
        </is>
      </c>
      <c r="E47" t="n">
        <v>3.66</v>
      </c>
      <c r="J47" t="inlineStr">
        <is>
          <t>=</t>
        </is>
      </c>
      <c r="K47">
        <f>IF(C47,C47*E47,"")</f>
        <v/>
      </c>
      <c r="L47" t="inlineStr">
        <is>
          <t>RM</t>
        </is>
      </c>
    </row>
    <row r="48">
      <c r="B48" t="inlineStr">
        <is>
          <t>Store</t>
        </is>
      </c>
      <c r="C48" t="n">
        <v>1</v>
      </c>
      <c r="D48" t="inlineStr">
        <is>
          <t>x</t>
        </is>
      </c>
      <c r="E48" t="n">
        <v>1.53</v>
      </c>
      <c r="J48" t="inlineStr">
        <is>
          <t>=</t>
        </is>
      </c>
      <c r="K48">
        <f>IF(C48,C48*E48,"")</f>
        <v/>
      </c>
      <c r="L48" t="inlineStr">
        <is>
          <t>RM</t>
        </is>
      </c>
    </row>
    <row r="49">
      <c r="B49" t="inlineStr">
        <is>
          <t>Dressing</t>
        </is>
      </c>
      <c r="C49" t="n">
        <v>4</v>
      </c>
      <c r="D49" t="inlineStr">
        <is>
          <t>x</t>
        </is>
      </c>
      <c r="E49" t="n">
        <v>3.05</v>
      </c>
      <c r="J49" t="inlineStr">
        <is>
          <t>=</t>
        </is>
      </c>
      <c r="K49">
        <f>IF(C49,C49*E49,"")</f>
        <v/>
      </c>
      <c r="L49" t="inlineStr">
        <is>
          <t>RM</t>
        </is>
      </c>
    </row>
    <row r="50">
      <c r="B50" t="inlineStr">
        <is>
          <t>Cup Board</t>
        </is>
      </c>
      <c r="C50" t="n">
        <v>6</v>
      </c>
      <c r="D50" t="inlineStr">
        <is>
          <t>x</t>
        </is>
      </c>
      <c r="E50" t="n">
        <v>2.75</v>
      </c>
      <c r="J50" t="inlineStr">
        <is>
          <t>=</t>
        </is>
      </c>
      <c r="K50">
        <f>IF(C50,C50*E50,"")</f>
        <v/>
      </c>
      <c r="L50" t="inlineStr">
        <is>
          <t>RM</t>
        </is>
      </c>
    </row>
    <row r="51">
      <c r="C51" t="n">
        <v>12</v>
      </c>
      <c r="D51" t="inlineStr">
        <is>
          <t>x</t>
        </is>
      </c>
      <c r="E51" t="n">
        <v>0.61</v>
      </c>
      <c r="J51" t="inlineStr">
        <is>
          <t>=</t>
        </is>
      </c>
      <c r="K51">
        <f>IF(C51,C51*E51,"")</f>
        <v/>
      </c>
      <c r="L51" t="inlineStr">
        <is>
          <t>RM</t>
        </is>
      </c>
    </row>
    <row r="52">
      <c r="B52" t="inlineStr">
        <is>
          <t>Flower Bed/ Box</t>
        </is>
      </c>
      <c r="C52" t="n">
        <v>2</v>
      </c>
      <c r="D52" t="inlineStr">
        <is>
          <t>x</t>
        </is>
      </c>
      <c r="E52" t="n">
        <v>3.36</v>
      </c>
      <c r="J52" t="inlineStr">
        <is>
          <t>=</t>
        </is>
      </c>
      <c r="K52">
        <f>IF(C52,C52*E52,"")</f>
        <v/>
      </c>
      <c r="L52" t="inlineStr">
        <is>
          <t>RM</t>
        </is>
      </c>
    </row>
    <row r="53">
      <c r="I53" t="inlineStr">
        <is>
          <t>TOTAL</t>
        </is>
      </c>
      <c r="J53" t="inlineStr">
        <is>
          <t>=</t>
        </is>
      </c>
      <c r="K53">
        <f>SUM(K41:K52)</f>
        <v/>
      </c>
      <c r="L53" t="inlineStr">
        <is>
          <t>RM</t>
        </is>
      </c>
    </row>
    <row r="54">
      <c r="B54" t="inlineStr">
        <is>
          <t xml:space="preserve"> Brick Partition walls in First Floor</t>
        </is>
      </c>
    </row>
    <row r="55">
      <c r="B55" t="inlineStr">
        <is>
          <t xml:space="preserve"> Toilet</t>
        </is>
      </c>
      <c r="C55" t="n">
        <v>3</v>
      </c>
      <c r="D55" t="inlineStr">
        <is>
          <t>x</t>
        </is>
      </c>
      <c r="E55" t="n">
        <v>3.66</v>
      </c>
      <c r="J55" t="inlineStr">
        <is>
          <t>=</t>
        </is>
      </c>
      <c r="K55">
        <f>IF(C55,C55*E55,"")</f>
        <v/>
      </c>
      <c r="L55" t="inlineStr">
        <is>
          <t>RM</t>
        </is>
      </c>
    </row>
    <row r="56">
      <c r="B56" t="inlineStr">
        <is>
          <t>RS Toilet</t>
        </is>
      </c>
      <c r="C56" t="n">
        <v>2</v>
      </c>
      <c r="D56" t="inlineStr">
        <is>
          <t>x</t>
        </is>
      </c>
      <c r="E56" t="n">
        <v>5.19</v>
      </c>
      <c r="J56" t="inlineStr">
        <is>
          <t>=</t>
        </is>
      </c>
      <c r="K56">
        <f>IF(C56,C56*E56,"")</f>
        <v/>
      </c>
      <c r="L56" t="inlineStr">
        <is>
          <t>RM</t>
        </is>
      </c>
    </row>
    <row r="57">
      <c r="B57" t="inlineStr">
        <is>
          <t>CB</t>
        </is>
      </c>
      <c r="C57" t="n">
        <v>1</v>
      </c>
      <c r="D57" t="inlineStr">
        <is>
          <t>x</t>
        </is>
      </c>
      <c r="E57" t="n">
        <v>0.6</v>
      </c>
      <c r="J57" t="inlineStr">
        <is>
          <t>=</t>
        </is>
      </c>
      <c r="K57">
        <f>IF(C57,C57*E57,"")</f>
        <v/>
      </c>
      <c r="L57" t="inlineStr">
        <is>
          <t>RM</t>
        </is>
      </c>
    </row>
    <row r="58">
      <c r="B58" t="inlineStr">
        <is>
          <t>RS Toilet</t>
        </is>
      </c>
      <c r="C58" t="n">
        <v>3</v>
      </c>
      <c r="D58" t="inlineStr">
        <is>
          <t>x</t>
        </is>
      </c>
      <c r="E58" t="n">
        <v>1.95</v>
      </c>
      <c r="J58" t="inlineStr">
        <is>
          <t>=</t>
        </is>
      </c>
      <c r="K58">
        <f>IF(C58,C58*E58,"")</f>
        <v/>
      </c>
      <c r="L58" t="inlineStr">
        <is>
          <t>RM</t>
        </is>
      </c>
    </row>
    <row r="59">
      <c r="I59" t="inlineStr">
        <is>
          <t>TOTAL</t>
        </is>
      </c>
      <c r="J59" t="inlineStr">
        <is>
          <t>=</t>
        </is>
      </c>
      <c r="K59">
        <f>SUM(K55:K58)</f>
        <v/>
      </c>
      <c r="L59" t="inlineStr">
        <is>
          <t>RM</t>
        </is>
      </c>
    </row>
    <row r="60">
      <c r="A60" t="n">
        <v>1</v>
      </c>
      <c r="B60" t="inlineStr">
        <is>
          <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 Hard soil mixed with boulders</t>
        </is>
      </c>
    </row>
    <row r="61">
      <c r="B61" t="inlineStr">
        <is>
          <t>Main walls 300mm thick</t>
        </is>
      </c>
      <c r="C61" t="n">
        <v>1</v>
      </c>
      <c r="D61" t="inlineStr">
        <is>
          <t>x</t>
        </is>
      </c>
      <c r="E61">
        <f>K28</f>
        <v/>
      </c>
      <c r="F61" t="inlineStr">
        <is>
          <t>x</t>
        </is>
      </c>
      <c r="G61" t="n">
        <v>0.9</v>
      </c>
      <c r="H61" t="inlineStr">
        <is>
          <t>x</t>
        </is>
      </c>
      <c r="I61" t="n">
        <v>0.9</v>
      </c>
      <c r="J61" t="inlineStr">
        <is>
          <t>=</t>
        </is>
      </c>
      <c r="K61">
        <f>IF(C61,C61*E61*G61*I61,"")</f>
        <v/>
      </c>
      <c r="L61" t="inlineStr">
        <is>
          <t>Cum</t>
        </is>
      </c>
    </row>
    <row r="62">
      <c r="B62" t="inlineStr">
        <is>
          <t>Partition walls</t>
        </is>
      </c>
      <c r="C62" t="n">
        <v>1</v>
      </c>
      <c r="D62" t="inlineStr">
        <is>
          <t>x</t>
        </is>
      </c>
      <c r="E62">
        <f>K53</f>
        <v/>
      </c>
      <c r="F62" t="inlineStr">
        <is>
          <t>x</t>
        </is>
      </c>
      <c r="G62" t="n">
        <v>0.6</v>
      </c>
      <c r="H62" t="inlineStr">
        <is>
          <t>x</t>
        </is>
      </c>
      <c r="I62" t="n">
        <v>0.6</v>
      </c>
      <c r="J62" t="inlineStr">
        <is>
          <t>=</t>
        </is>
      </c>
      <c r="K62">
        <f>IF(C62,C62*E62*G62*I62,"")</f>
        <v/>
      </c>
      <c r="L62" t="inlineStr">
        <is>
          <t>Cum</t>
        </is>
      </c>
    </row>
    <row r="63">
      <c r="B63" t="inlineStr">
        <is>
          <t>Steps at entrance</t>
        </is>
      </c>
      <c r="C63" t="n">
        <v>2</v>
      </c>
      <c r="D63" t="inlineStr">
        <is>
          <t>x</t>
        </is>
      </c>
      <c r="E63" t="n">
        <v>1.5</v>
      </c>
      <c r="F63" t="inlineStr">
        <is>
          <t>x</t>
        </is>
      </c>
      <c r="G63" t="n">
        <v>1.2</v>
      </c>
      <c r="H63" t="inlineStr">
        <is>
          <t>x</t>
        </is>
      </c>
      <c r="I63" t="n">
        <v>0.6</v>
      </c>
      <c r="J63" t="inlineStr">
        <is>
          <t>=</t>
        </is>
      </c>
      <c r="K63">
        <f>IF(C63,C63*E63*G63*I63,"")</f>
        <v/>
      </c>
      <c r="L63" t="inlineStr">
        <is>
          <t>Cum</t>
        </is>
      </c>
    </row>
    <row r="64">
      <c r="B64" t="inlineStr">
        <is>
          <t>Gross qty.</t>
        </is>
      </c>
      <c r="G64" t="inlineStr">
        <is>
          <t>Total</t>
        </is>
      </c>
      <c r="J64" t="inlineStr">
        <is>
          <t>=</t>
        </is>
      </c>
      <c r="K64">
        <f>SUM(K61:K63)</f>
        <v/>
      </c>
      <c r="L64" t="inlineStr">
        <is>
          <t>Cum</t>
        </is>
      </c>
    </row>
    <row r="65">
      <c r="B65" t="inlineStr">
        <is>
          <t>Gross Qty. In Main Walls</t>
        </is>
      </c>
      <c r="K65">
        <f>K61</f>
        <v/>
      </c>
      <c r="L65" t="inlineStr">
        <is>
          <t>Cum</t>
        </is>
      </c>
    </row>
    <row r="66">
      <c r="B66" t="inlineStr">
        <is>
          <t>Gross Qty. In Partition Walls</t>
        </is>
      </c>
      <c r="K66">
        <f>K62</f>
        <v/>
      </c>
      <c r="L66" t="inlineStr">
        <is>
          <t>Cum</t>
        </is>
      </c>
    </row>
    <row r="67">
      <c r="B67" t="inlineStr">
        <is>
          <t>Net Qty 50%</t>
        </is>
      </c>
      <c r="C67">
        <f>$K64</f>
        <v/>
      </c>
      <c r="F67" t="inlineStr">
        <is>
          <t>x</t>
        </is>
      </c>
      <c r="G67" t="n">
        <v>0.5</v>
      </c>
      <c r="K67">
        <f>C67*G67</f>
        <v/>
      </c>
      <c r="L67" t="inlineStr">
        <is>
          <t>Cum</t>
        </is>
      </c>
    </row>
    <row r="68">
      <c r="A68">
        <f>A60+1</f>
        <v/>
      </c>
      <c r="B68" t="inlineStr">
        <is>
          <t xml:space="preserve">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 including stacking material available. </t>
        </is>
      </c>
    </row>
    <row r="69">
      <c r="B69" t="inlineStr">
        <is>
          <t>(a) Decomposed Rock</t>
        </is>
      </c>
    </row>
    <row r="70">
      <c r="B70" t="inlineStr">
        <is>
          <t>Net Qty 20%</t>
        </is>
      </c>
      <c r="C70">
        <f>$K64</f>
        <v/>
      </c>
      <c r="F70" t="inlineStr">
        <is>
          <t>x</t>
        </is>
      </c>
      <c r="G70" t="n">
        <v>0.2</v>
      </c>
      <c r="K70">
        <f>C70*G70</f>
        <v/>
      </c>
      <c r="L70" t="inlineStr">
        <is>
          <t>Cum</t>
        </is>
      </c>
    </row>
    <row r="71">
      <c r="B71" t="inlineStr">
        <is>
          <t>(b) Ordinary Rock</t>
        </is>
      </c>
    </row>
    <row r="72">
      <c r="B72" t="inlineStr">
        <is>
          <t>Net Qty 20%</t>
        </is>
      </c>
      <c r="C72">
        <f>C70</f>
        <v/>
      </c>
      <c r="F72" t="inlineStr">
        <is>
          <t>x</t>
        </is>
      </c>
      <c r="G72" t="n">
        <v>0.2</v>
      </c>
      <c r="K72">
        <f>C72*G72</f>
        <v/>
      </c>
      <c r="L72" t="inlineStr">
        <is>
          <t>Cum</t>
        </is>
      </c>
    </row>
    <row r="73">
      <c r="B73" t="inlineStr">
        <is>
          <t>(c) Phylite Rock</t>
        </is>
      </c>
    </row>
    <row r="74">
      <c r="B74" t="inlineStr">
        <is>
          <t>Net Qty 10%</t>
        </is>
      </c>
      <c r="C74">
        <f>C72</f>
        <v/>
      </c>
      <c r="F74" t="inlineStr">
        <is>
          <t>x</t>
        </is>
      </c>
      <c r="G74" t="n">
        <v>0.1</v>
      </c>
      <c r="K74">
        <f>C74*G74</f>
        <v/>
      </c>
      <c r="L74" t="inlineStr">
        <is>
          <t>Cum</t>
        </is>
      </c>
    </row>
    <row r="75">
      <c r="A75" t="n">
        <v>3</v>
      </c>
      <c r="B75" t="inlineStr">
        <is>
          <t>Filling in plinth available excavated earth (excluding rock) in trenches, plinth side of foundation, etc. in layers not exceeding 20 cm. in depth, consolidating each deposited layer by ramming and watering including lead upto 50 Mtr and lift upto 1.5 Mtr.</t>
        </is>
      </c>
    </row>
    <row r="76">
      <c r="B76" t="inlineStr">
        <is>
          <t>Servant Room</t>
        </is>
      </c>
      <c r="C76" t="n">
        <v>1</v>
      </c>
      <c r="D76" t="inlineStr">
        <is>
          <t>x</t>
        </is>
      </c>
      <c r="E76" t="n">
        <v>2.55</v>
      </c>
      <c r="F76" t="inlineStr">
        <is>
          <t>x</t>
        </is>
      </c>
      <c r="G76" t="n">
        <v>1.94</v>
      </c>
      <c r="H76" t="inlineStr">
        <is>
          <t>x</t>
        </is>
      </c>
      <c r="I76" t="n">
        <v>0.6</v>
      </c>
      <c r="J76" t="inlineStr">
        <is>
          <t>=</t>
        </is>
      </c>
      <c r="K76">
        <f>IF(C76,C76*E76*G76*I76,"")</f>
        <v/>
      </c>
      <c r="L76" t="inlineStr">
        <is>
          <t>Cum</t>
        </is>
      </c>
    </row>
    <row r="77">
      <c r="B77" t="inlineStr">
        <is>
          <t>WC</t>
        </is>
      </c>
      <c r="C77" t="n">
        <v>1</v>
      </c>
      <c r="D77" t="inlineStr">
        <is>
          <t>x</t>
        </is>
      </c>
      <c r="E77" t="n">
        <v>1.03</v>
      </c>
      <c r="F77" t="inlineStr">
        <is>
          <t>x</t>
        </is>
      </c>
      <c r="G77" t="n">
        <v>0.5</v>
      </c>
      <c r="H77" t="inlineStr">
        <is>
          <t>x</t>
        </is>
      </c>
      <c r="I77" t="n">
        <v>0.6</v>
      </c>
      <c r="J77" t="inlineStr">
        <is>
          <t>=</t>
        </is>
      </c>
      <c r="K77">
        <f>IF(C77,C77*E77*G77*I77,"")</f>
        <v/>
      </c>
      <c r="L77" t="inlineStr">
        <is>
          <t>Cum</t>
        </is>
      </c>
    </row>
    <row r="78">
      <c r="B78" t="inlineStr">
        <is>
          <t>Garage</t>
        </is>
      </c>
      <c r="C78" t="n">
        <v>1</v>
      </c>
      <c r="D78" t="inlineStr">
        <is>
          <t>x</t>
        </is>
      </c>
      <c r="E78" t="n">
        <v>2.55</v>
      </c>
      <c r="F78" t="inlineStr">
        <is>
          <t>x</t>
        </is>
      </c>
      <c r="G78" t="n">
        <v>4.69</v>
      </c>
      <c r="H78" t="inlineStr">
        <is>
          <t>x</t>
        </is>
      </c>
      <c r="I78" t="n">
        <v>0.6</v>
      </c>
      <c r="J78" t="inlineStr">
        <is>
          <t>=</t>
        </is>
      </c>
      <c r="K78">
        <f>IF(C78,C78*E78*G78*I78,"")</f>
        <v/>
      </c>
      <c r="L78" t="inlineStr">
        <is>
          <t>Cum</t>
        </is>
      </c>
    </row>
    <row r="79">
      <c r="B79" t="inlineStr">
        <is>
          <t>Kitchen</t>
        </is>
      </c>
      <c r="C79" t="n">
        <v>1</v>
      </c>
      <c r="D79" t="inlineStr">
        <is>
          <t>x</t>
        </is>
      </c>
      <c r="E79" t="n">
        <v>3.47</v>
      </c>
      <c r="F79" t="inlineStr">
        <is>
          <t>x</t>
        </is>
      </c>
      <c r="G79" t="n">
        <v>3.47</v>
      </c>
      <c r="H79" t="inlineStr">
        <is>
          <t>x</t>
        </is>
      </c>
      <c r="I79" t="n">
        <v>0.6</v>
      </c>
      <c r="J79" t="inlineStr">
        <is>
          <t>=</t>
        </is>
      </c>
      <c r="K79">
        <f>IF(C79,C79*E79*G79*I79,"")</f>
        <v/>
      </c>
      <c r="L79" t="inlineStr">
        <is>
          <t>Cum</t>
        </is>
      </c>
    </row>
    <row r="80">
      <c r="B80" t="inlineStr">
        <is>
          <t>Staircase</t>
        </is>
      </c>
      <c r="C80" t="n">
        <v>1</v>
      </c>
      <c r="D80" t="inlineStr">
        <is>
          <t>x</t>
        </is>
      </c>
      <c r="E80" t="n">
        <v>2.4</v>
      </c>
      <c r="F80" t="inlineStr">
        <is>
          <t>x</t>
        </is>
      </c>
      <c r="G80" t="n">
        <v>1.49</v>
      </c>
      <c r="H80" t="inlineStr">
        <is>
          <t>x</t>
        </is>
      </c>
      <c r="I80" t="n">
        <v>0.6</v>
      </c>
      <c r="J80" t="inlineStr">
        <is>
          <t>=</t>
        </is>
      </c>
      <c r="K80">
        <f>IF(C80,C80*E80*G80*I80,"")</f>
        <v/>
      </c>
      <c r="L80" t="inlineStr">
        <is>
          <t>Cum</t>
        </is>
      </c>
    </row>
    <row r="81">
      <c r="B81" t="inlineStr">
        <is>
          <t>Toilet</t>
        </is>
      </c>
      <c r="C81" t="n">
        <v>1</v>
      </c>
      <c r="D81" t="inlineStr">
        <is>
          <t>x</t>
        </is>
      </c>
      <c r="E81" t="n">
        <v>1.33</v>
      </c>
      <c r="F81" t="inlineStr">
        <is>
          <t>x</t>
        </is>
      </c>
      <c r="G81" t="n">
        <v>0.88</v>
      </c>
      <c r="H81" t="inlineStr">
        <is>
          <t>x</t>
        </is>
      </c>
      <c r="I81" t="n">
        <v>0.6</v>
      </c>
      <c r="J81" t="inlineStr">
        <is>
          <t>=</t>
        </is>
      </c>
      <c r="K81">
        <f>IF(C81,C81*E81*G81*I81,"")</f>
        <v/>
      </c>
      <c r="L81" t="inlineStr">
        <is>
          <t>Cum</t>
        </is>
      </c>
    </row>
    <row r="82">
      <c r="B82" t="inlineStr">
        <is>
          <t>Library</t>
        </is>
      </c>
      <c r="C82" t="n">
        <v>1</v>
      </c>
      <c r="D82" t="inlineStr">
        <is>
          <t>x</t>
        </is>
      </c>
      <c r="E82" t="n">
        <v>3.16</v>
      </c>
      <c r="F82" t="inlineStr">
        <is>
          <t>x</t>
        </is>
      </c>
      <c r="G82" t="n">
        <v>2.55</v>
      </c>
      <c r="H82" t="inlineStr">
        <is>
          <t>x</t>
        </is>
      </c>
      <c r="I82" t="n">
        <v>0.6</v>
      </c>
      <c r="J82" t="inlineStr">
        <is>
          <t>=</t>
        </is>
      </c>
      <c r="K82">
        <f>IF(C82,C82*E82*G82*I82,"")</f>
        <v/>
      </c>
      <c r="L82" t="inlineStr">
        <is>
          <t>Cum</t>
        </is>
      </c>
    </row>
    <row r="83">
      <c r="B83" t="inlineStr">
        <is>
          <t>Verandah</t>
        </is>
      </c>
      <c r="C83" t="n">
        <v>1</v>
      </c>
      <c r="D83" t="inlineStr">
        <is>
          <t>x</t>
        </is>
      </c>
      <c r="E83" t="n">
        <v>3.77</v>
      </c>
      <c r="F83" t="inlineStr">
        <is>
          <t>x</t>
        </is>
      </c>
      <c r="G83" t="n">
        <v>1.33</v>
      </c>
      <c r="H83" t="inlineStr">
        <is>
          <t>x</t>
        </is>
      </c>
      <c r="I83" t="n">
        <v>0.6</v>
      </c>
      <c r="J83" t="inlineStr">
        <is>
          <t>=</t>
        </is>
      </c>
      <c r="K83">
        <f>IF(C83,C83*E83*G83*I83,"")</f>
        <v/>
      </c>
      <c r="L83" t="inlineStr">
        <is>
          <t>Cum</t>
        </is>
      </c>
    </row>
    <row r="84">
      <c r="B84" t="inlineStr">
        <is>
          <t>Platform</t>
        </is>
      </c>
      <c r="C84" t="n">
        <v>1</v>
      </c>
      <c r="D84" t="inlineStr">
        <is>
          <t>x</t>
        </is>
      </c>
      <c r="E84" t="n">
        <v>3.77</v>
      </c>
      <c r="F84" t="inlineStr">
        <is>
          <t>x</t>
        </is>
      </c>
      <c r="G84" t="n">
        <v>1.18</v>
      </c>
      <c r="H84" t="inlineStr">
        <is>
          <t>x</t>
        </is>
      </c>
      <c r="I84" t="n">
        <v>0.6</v>
      </c>
      <c r="J84" t="inlineStr">
        <is>
          <t>=</t>
        </is>
      </c>
      <c r="K84">
        <f>IF(C84,C84*E84*G84*I84,"")</f>
        <v/>
      </c>
      <c r="L84" t="inlineStr">
        <is>
          <t>Cum</t>
        </is>
      </c>
    </row>
    <row r="85">
      <c r="B85" t="inlineStr">
        <is>
          <t>Dining</t>
        </is>
      </c>
      <c r="C85" t="n">
        <v>1</v>
      </c>
      <c r="D85" t="inlineStr">
        <is>
          <t>x</t>
        </is>
      </c>
      <c r="E85" t="n">
        <v>3.77</v>
      </c>
      <c r="F85" t="inlineStr">
        <is>
          <t>x</t>
        </is>
      </c>
      <c r="G85" t="n">
        <v>6.36</v>
      </c>
      <c r="H85" t="inlineStr">
        <is>
          <t>x</t>
        </is>
      </c>
      <c r="I85" t="n">
        <v>0.6</v>
      </c>
      <c r="J85" t="inlineStr">
        <is>
          <t>=</t>
        </is>
      </c>
      <c r="K85">
        <f>IF(C85,C85*E85*G85*I85,"")</f>
        <v/>
      </c>
      <c r="L85" t="inlineStr">
        <is>
          <t>Cum</t>
        </is>
      </c>
    </row>
    <row r="86">
      <c r="B86" t="inlineStr">
        <is>
          <t>Living</t>
        </is>
      </c>
      <c r="C86" t="n">
        <v>1</v>
      </c>
      <c r="D86" t="inlineStr">
        <is>
          <t>x</t>
        </is>
      </c>
      <c r="E86" t="n">
        <v>3.77</v>
      </c>
      <c r="F86" t="inlineStr">
        <is>
          <t>x</t>
        </is>
      </c>
      <c r="G86" t="n">
        <v>4.08</v>
      </c>
      <c r="H86" t="inlineStr">
        <is>
          <t>x</t>
        </is>
      </c>
      <c r="I86" t="n">
        <v>0.6</v>
      </c>
      <c r="J86" t="inlineStr">
        <is>
          <t>=</t>
        </is>
      </c>
      <c r="K86">
        <f>IF(C86,C86*E86*G86*I86,"")</f>
        <v/>
      </c>
      <c r="L86" t="inlineStr">
        <is>
          <t>Cum</t>
        </is>
      </c>
    </row>
    <row r="87">
      <c r="B87" t="inlineStr">
        <is>
          <t>Bed Rm</t>
        </is>
      </c>
      <c r="C87" t="n">
        <v>1</v>
      </c>
      <c r="D87" t="inlineStr">
        <is>
          <t>x</t>
        </is>
      </c>
      <c r="E87" t="n">
        <v>3.77</v>
      </c>
      <c r="F87" t="inlineStr">
        <is>
          <t>x</t>
        </is>
      </c>
      <c r="G87" t="n">
        <v>3.16</v>
      </c>
      <c r="H87" t="inlineStr">
        <is>
          <t>x</t>
        </is>
      </c>
      <c r="I87" t="n">
        <v>0.6</v>
      </c>
      <c r="J87" t="inlineStr">
        <is>
          <t>=</t>
        </is>
      </c>
      <c r="K87">
        <f>IF(C87,C87*E87*G87*I87,"")</f>
        <v/>
      </c>
      <c r="L87" t="inlineStr">
        <is>
          <t>Cum</t>
        </is>
      </c>
    </row>
    <row r="88">
      <c r="B88" t="inlineStr">
        <is>
          <t>Toilet</t>
        </is>
      </c>
      <c r="C88" t="n">
        <v>2</v>
      </c>
      <c r="D88" t="inlineStr">
        <is>
          <t>x</t>
        </is>
      </c>
      <c r="E88" t="n">
        <v>1.94</v>
      </c>
      <c r="F88" t="inlineStr">
        <is>
          <t>x</t>
        </is>
      </c>
      <c r="G88" t="n">
        <v>1.18</v>
      </c>
      <c r="H88" t="inlineStr">
        <is>
          <t>x</t>
        </is>
      </c>
      <c r="I88" t="n">
        <v>0.6</v>
      </c>
      <c r="J88" t="inlineStr">
        <is>
          <t>=</t>
        </is>
      </c>
      <c r="K88">
        <f>IF(C88,C88*E88*G88*I88,"")</f>
        <v/>
      </c>
      <c r="L88" t="inlineStr">
        <is>
          <t>Cum</t>
        </is>
      </c>
    </row>
    <row r="89">
      <c r="B89" t="inlineStr">
        <is>
          <t>Bed Rm</t>
        </is>
      </c>
      <c r="C89" t="n">
        <v>1</v>
      </c>
      <c r="D89" t="inlineStr">
        <is>
          <t>x</t>
        </is>
      </c>
      <c r="E89" t="n">
        <v>3.77</v>
      </c>
      <c r="F89" t="inlineStr">
        <is>
          <t>x</t>
        </is>
      </c>
      <c r="G89" t="n">
        <v>3.16</v>
      </c>
      <c r="H89" t="inlineStr">
        <is>
          <t>x</t>
        </is>
      </c>
      <c r="I89" t="n">
        <v>0.6</v>
      </c>
      <c r="J89" t="inlineStr">
        <is>
          <t>=</t>
        </is>
      </c>
      <c r="K89">
        <f>IF(C89,C89*E89*G89*I89,"")</f>
        <v/>
      </c>
      <c r="L89" t="inlineStr">
        <is>
          <t>Cum</t>
        </is>
      </c>
    </row>
    <row r="90">
      <c r="G90" t="inlineStr">
        <is>
          <t>Total</t>
        </is>
      </c>
      <c r="J90" t="inlineStr">
        <is>
          <t>=</t>
        </is>
      </c>
      <c r="K90">
        <f>SUM(K76:K89)</f>
        <v/>
      </c>
      <c r="L90" t="inlineStr">
        <is>
          <t>Cum</t>
        </is>
      </c>
    </row>
    <row r="91">
      <c r="A91">
        <f>A75+1</f>
        <v/>
      </c>
      <c r="B91" t="inlineStr">
        <is>
          <t>Earth work in excavation over areas (Exceeding 30 cm in depth, 1.5 m in width as well as 10 Sqm on plan) including disposal of excavated earth , lead upto 50 m and lift upto 1.5 Mtr., disposed soil to be neatly dressed; Hard soil mixed with boulders.</t>
        </is>
      </c>
    </row>
    <row r="92">
      <c r="B92" t="inlineStr">
        <is>
          <t xml:space="preserve">Gross qty. of filling </t>
        </is>
      </c>
      <c r="J92" t="inlineStr">
        <is>
          <t>=</t>
        </is>
      </c>
      <c r="K92">
        <f>K90</f>
        <v/>
      </c>
      <c r="L92" t="inlineStr">
        <is>
          <t>Cum</t>
        </is>
      </c>
    </row>
    <row r="93">
      <c r="B93" t="inlineStr">
        <is>
          <t>Less Qty. soil available</t>
        </is>
      </c>
    </row>
    <row r="94">
      <c r="B94" t="inlineStr">
        <is>
          <t>Hard soil mixed with boulders</t>
        </is>
      </c>
      <c r="D94" t="inlineStr">
        <is>
          <t>=</t>
        </is>
      </c>
      <c r="E94">
        <f>K67</f>
        <v/>
      </c>
      <c r="F94" t="inlineStr">
        <is>
          <t>Cum</t>
        </is>
      </c>
    </row>
    <row r="95">
      <c r="B95" t="inlineStr">
        <is>
          <t>Net qty.</t>
        </is>
      </c>
      <c r="E95">
        <f>K92</f>
        <v/>
      </c>
      <c r="F95" t="inlineStr">
        <is>
          <t>-</t>
        </is>
      </c>
      <c r="G95">
        <f>E94</f>
        <v/>
      </c>
      <c r="J95" t="inlineStr">
        <is>
          <t>=</t>
        </is>
      </c>
      <c r="K95">
        <f>E95-G95</f>
        <v/>
      </c>
      <c r="L95" t="inlineStr">
        <is>
          <t>Cum</t>
        </is>
      </c>
    </row>
    <row r="96"/>
    <row r="97">
      <c r="A97">
        <f>A91+1</f>
        <v/>
      </c>
      <c r="B97" t="inlineStr">
        <is>
          <t>Carriage of earth including loading, unloading complete with lead 0.50 KM.</t>
        </is>
      </c>
    </row>
    <row r="98">
      <c r="B98" t="inlineStr">
        <is>
          <t>Qty. as per item 4 above.</t>
        </is>
      </c>
      <c r="J98" t="inlineStr">
        <is>
          <t>=</t>
        </is>
      </c>
      <c r="K98">
        <f>K95</f>
        <v/>
      </c>
      <c r="L98" t="inlineStr">
        <is>
          <t>Cum</t>
        </is>
      </c>
    </row>
    <row r="99">
      <c r="A99" t="n">
        <v>6</v>
      </c>
      <c r="B99" t="inlineStr">
        <is>
          <t xml:space="preserve">Providing and laying Cement concrete including curing compaction etc. complete using stone aggregate 40 mm nominal size in foundation plinth, excluding the cost of shuttering, using : 1 Cement : 4 Sand : 8 aggregate Mix. </t>
        </is>
      </c>
    </row>
    <row r="100">
      <c r="B100" t="inlineStr">
        <is>
          <t>Gross Qty. In Main Walls</t>
        </is>
      </c>
      <c r="C100">
        <f>K65</f>
        <v/>
      </c>
      <c r="F100" t="inlineStr">
        <is>
          <t>x</t>
        </is>
      </c>
      <c r="G100" t="n">
        <v>0.3</v>
      </c>
      <c r="H100" t="inlineStr">
        <is>
          <t>/</t>
        </is>
      </c>
      <c r="I100">
        <f>I61</f>
        <v/>
      </c>
      <c r="J100" t="inlineStr">
        <is>
          <t>=</t>
        </is>
      </c>
      <c r="K100">
        <f>C100*G100/I100</f>
        <v/>
      </c>
      <c r="L100" t="inlineStr">
        <is>
          <t>Cum</t>
        </is>
      </c>
    </row>
    <row r="101">
      <c r="B101" t="inlineStr">
        <is>
          <t>Gross Qty. In Partition Walls</t>
        </is>
      </c>
      <c r="C101">
        <f>K66</f>
        <v/>
      </c>
      <c r="F101" t="inlineStr">
        <is>
          <t>x</t>
        </is>
      </c>
      <c r="G101" t="n">
        <v>0.3</v>
      </c>
      <c r="H101" t="inlineStr">
        <is>
          <t>/</t>
        </is>
      </c>
      <c r="I101">
        <f>I62</f>
        <v/>
      </c>
      <c r="J101" t="inlineStr">
        <is>
          <t>=</t>
        </is>
      </c>
      <c r="K101">
        <f>C101*G101/I101</f>
        <v/>
      </c>
      <c r="L101" t="inlineStr">
        <is>
          <t>Cum</t>
        </is>
      </c>
    </row>
    <row r="102">
      <c r="G102" t="inlineStr">
        <is>
          <t>Total</t>
        </is>
      </c>
      <c r="K102">
        <f>SUM(K100:K101)</f>
        <v/>
      </c>
      <c r="L102" t="inlineStr">
        <is>
          <t>Cum</t>
        </is>
      </c>
    </row>
    <row r="103">
      <c r="A103">
        <f>A99+1</f>
        <v/>
      </c>
      <c r="B103" t="inlineStr">
        <is>
          <t>R.R. Stone masonry for foundation and plinth in cement sand mortar 1:6 for above 30 cms thick walls.</t>
        </is>
      </c>
    </row>
    <row r="104">
      <c r="B104" t="inlineStr">
        <is>
          <t>Wall 01</t>
        </is>
      </c>
    </row>
    <row r="105">
      <c r="B105" t="inlineStr">
        <is>
          <t>first footing</t>
        </is>
      </c>
      <c r="C105" t="n">
        <v>1</v>
      </c>
      <c r="D105" t="inlineStr">
        <is>
          <t>x</t>
        </is>
      </c>
      <c r="E105">
        <f>E61</f>
        <v/>
      </c>
      <c r="F105" t="inlineStr">
        <is>
          <t>x</t>
        </is>
      </c>
      <c r="G105" t="n">
        <v>0.68</v>
      </c>
      <c r="H105" t="inlineStr">
        <is>
          <t>x</t>
        </is>
      </c>
      <c r="I105" t="n">
        <v>0.45</v>
      </c>
      <c r="J105" t="inlineStr">
        <is>
          <t>=</t>
        </is>
      </c>
      <c r="K105">
        <f>IF(C105,C105*E105*G105*I105,"")</f>
        <v/>
      </c>
      <c r="L105" t="inlineStr">
        <is>
          <t>Cum</t>
        </is>
      </c>
    </row>
    <row r="106">
      <c r="B106" t="inlineStr">
        <is>
          <t>second footing</t>
        </is>
      </c>
      <c r="C106" t="n">
        <v>1</v>
      </c>
      <c r="D106" t="inlineStr">
        <is>
          <t>x</t>
        </is>
      </c>
      <c r="E106">
        <f>E105</f>
        <v/>
      </c>
      <c r="F106" t="inlineStr">
        <is>
          <t>x</t>
        </is>
      </c>
      <c r="G106" t="n">
        <v>0.54</v>
      </c>
      <c r="H106" t="inlineStr">
        <is>
          <t>x</t>
        </is>
      </c>
      <c r="I106" t="n">
        <v>0.45</v>
      </c>
      <c r="J106" t="inlineStr">
        <is>
          <t>=</t>
        </is>
      </c>
      <c r="K106">
        <f>IF(C106,C106*E106*G106*I106,"")</f>
        <v/>
      </c>
      <c r="L106" t="inlineStr">
        <is>
          <t>Cum</t>
        </is>
      </c>
    </row>
    <row r="107">
      <c r="B107" t="inlineStr">
        <is>
          <t>third footing</t>
        </is>
      </c>
      <c r="C107" t="n">
        <v>1</v>
      </c>
      <c r="D107" t="inlineStr">
        <is>
          <t>x</t>
        </is>
      </c>
      <c r="E107">
        <f>E106</f>
        <v/>
      </c>
      <c r="F107" t="inlineStr">
        <is>
          <t>x</t>
        </is>
      </c>
      <c r="G107" t="n">
        <v>0.45</v>
      </c>
      <c r="H107" t="inlineStr">
        <is>
          <t>x</t>
        </is>
      </c>
      <c r="I107" t="n">
        <v>0.45</v>
      </c>
      <c r="J107" t="inlineStr">
        <is>
          <t>=</t>
        </is>
      </c>
      <c r="K107">
        <f>IF(C107,C107*E107*G107*I107,"")</f>
        <v/>
      </c>
      <c r="L107" t="inlineStr">
        <is>
          <t>Cum</t>
        </is>
      </c>
    </row>
    <row r="108">
      <c r="B108" t="inlineStr">
        <is>
          <t>Fourth Footing</t>
        </is>
      </c>
      <c r="C108" t="n">
        <v>1</v>
      </c>
      <c r="D108" t="inlineStr">
        <is>
          <t>x</t>
        </is>
      </c>
      <c r="E108">
        <f>E107</f>
        <v/>
      </c>
      <c r="F108" t="inlineStr">
        <is>
          <t>x</t>
        </is>
      </c>
      <c r="G108" t="n">
        <v>0.38</v>
      </c>
      <c r="H108" t="inlineStr">
        <is>
          <t>x</t>
        </is>
      </c>
      <c r="I108" t="n">
        <v>0.9</v>
      </c>
      <c r="J108" t="inlineStr">
        <is>
          <t>=</t>
        </is>
      </c>
      <c r="K108">
        <f>IF(C108,C108*E108*G108*I108,"")</f>
        <v/>
      </c>
      <c r="L108" t="inlineStr">
        <is>
          <t>Cum</t>
        </is>
      </c>
    </row>
    <row r="109">
      <c r="B109" t="inlineStr">
        <is>
          <t>Wall 02 Partition</t>
        </is>
      </c>
    </row>
    <row r="110">
      <c r="B110" t="inlineStr">
        <is>
          <t>first footing</t>
        </is>
      </c>
      <c r="C110" t="n">
        <v>1</v>
      </c>
      <c r="D110" t="inlineStr">
        <is>
          <t>x</t>
        </is>
      </c>
      <c r="E110">
        <f>E62</f>
        <v/>
      </c>
      <c r="F110" t="inlineStr">
        <is>
          <t>x</t>
        </is>
      </c>
      <c r="G110" t="n">
        <v>0.45</v>
      </c>
      <c r="H110" t="inlineStr">
        <is>
          <t>x</t>
        </is>
      </c>
      <c r="I110" t="n">
        <v>0.6</v>
      </c>
      <c r="J110" t="inlineStr">
        <is>
          <t>=</t>
        </is>
      </c>
      <c r="K110">
        <f>IF(C110,C110*E110*G110*I110,"")</f>
        <v/>
      </c>
      <c r="L110" t="inlineStr">
        <is>
          <t>Cum</t>
        </is>
      </c>
    </row>
    <row r="111">
      <c r="B111" t="inlineStr">
        <is>
          <t>second footing</t>
        </is>
      </c>
      <c r="C111" t="n">
        <v>1</v>
      </c>
      <c r="D111" t="inlineStr">
        <is>
          <t>x</t>
        </is>
      </c>
      <c r="E111">
        <f>E110</f>
        <v/>
      </c>
      <c r="F111" t="inlineStr">
        <is>
          <t>x</t>
        </is>
      </c>
      <c r="G111" t="n">
        <v>0.38</v>
      </c>
      <c r="H111" t="inlineStr">
        <is>
          <t>x</t>
        </is>
      </c>
      <c r="I111" t="n">
        <v>1.05</v>
      </c>
      <c r="J111" t="inlineStr">
        <is>
          <t>=</t>
        </is>
      </c>
      <c r="K111">
        <f>IF(C111,C111*E111*G111*I111,"")</f>
        <v/>
      </c>
      <c r="L111" t="inlineStr">
        <is>
          <t>Cum</t>
        </is>
      </c>
    </row>
    <row r="112">
      <c r="B112" t="inlineStr">
        <is>
          <t>Steps</t>
        </is>
      </c>
    </row>
    <row r="113">
      <c r="B113" t="inlineStr">
        <is>
          <t>Entrance</t>
        </is>
      </c>
      <c r="C113" t="n">
        <v>2</v>
      </c>
      <c r="D113" t="inlineStr">
        <is>
          <t>x</t>
        </is>
      </c>
      <c r="E113" t="n">
        <v>1.5</v>
      </c>
      <c r="F113" t="inlineStr">
        <is>
          <t>x</t>
        </is>
      </c>
      <c r="G113" t="n">
        <v>1.2</v>
      </c>
      <c r="H113" t="inlineStr">
        <is>
          <t>x</t>
        </is>
      </c>
      <c r="I113" t="n">
        <v>0.75</v>
      </c>
      <c r="J113" t="inlineStr">
        <is>
          <t>=</t>
        </is>
      </c>
      <c r="K113">
        <f>IF(C113,C113*E113*G113*I113,"")</f>
        <v/>
      </c>
      <c r="L113" t="inlineStr">
        <is>
          <t>Cum</t>
        </is>
      </c>
    </row>
    <row r="114">
      <c r="C114" t="n">
        <v>2</v>
      </c>
      <c r="D114" t="inlineStr">
        <is>
          <t>x</t>
        </is>
      </c>
      <c r="E114">
        <f>E113</f>
        <v/>
      </c>
      <c r="F114" t="inlineStr">
        <is>
          <t>x</t>
        </is>
      </c>
      <c r="G114" t="n">
        <v>0.9</v>
      </c>
      <c r="H114" t="inlineStr">
        <is>
          <t>x</t>
        </is>
      </c>
      <c r="I114" t="n">
        <v>0.15</v>
      </c>
      <c r="J114" t="inlineStr">
        <is>
          <t>=</t>
        </is>
      </c>
      <c r="K114">
        <f>IF(C114,C114*E114*G114*I114,"")</f>
        <v/>
      </c>
      <c r="L114" t="inlineStr">
        <is>
          <t>Cum</t>
        </is>
      </c>
    </row>
    <row r="115">
      <c r="C115">
        <f>C114</f>
        <v/>
      </c>
      <c r="D115" t="inlineStr">
        <is>
          <t>x</t>
        </is>
      </c>
      <c r="E115">
        <f>E114</f>
        <v/>
      </c>
      <c r="F115" t="inlineStr">
        <is>
          <t>x</t>
        </is>
      </c>
      <c r="G115" t="n">
        <v>0.6</v>
      </c>
      <c r="H115" t="inlineStr">
        <is>
          <t>x</t>
        </is>
      </c>
      <c r="I115" t="n">
        <v>0.15</v>
      </c>
      <c r="J115" t="inlineStr">
        <is>
          <t>=</t>
        </is>
      </c>
      <c r="K115">
        <f>IF(C115,C115*E115*G115*I115,"")</f>
        <v/>
      </c>
      <c r="L115" t="inlineStr">
        <is>
          <t>Cum</t>
        </is>
      </c>
    </row>
    <row r="116">
      <c r="C116">
        <f>C115</f>
        <v/>
      </c>
      <c r="D116" t="inlineStr">
        <is>
          <t>x</t>
        </is>
      </c>
      <c r="E116">
        <f>E115</f>
        <v/>
      </c>
      <c r="F116" t="inlineStr">
        <is>
          <t>x</t>
        </is>
      </c>
      <c r="G116" t="n">
        <v>0.3</v>
      </c>
      <c r="H116" t="inlineStr">
        <is>
          <t>x</t>
        </is>
      </c>
      <c r="I116" t="n">
        <v>0.15</v>
      </c>
      <c r="J116" t="inlineStr">
        <is>
          <t>=</t>
        </is>
      </c>
      <c r="K116">
        <f>IF(C116,C116*E116*G116*I116,"")</f>
        <v/>
      </c>
      <c r="L116" t="inlineStr">
        <is>
          <t>Cum</t>
        </is>
      </c>
    </row>
    <row r="117">
      <c r="B117" t="inlineStr">
        <is>
          <t>Total of Second Footing in Partitions</t>
        </is>
      </c>
      <c r="E117">
        <f>K111</f>
        <v/>
      </c>
      <c r="F117" t="inlineStr">
        <is>
          <t>Cum</t>
        </is>
      </c>
    </row>
    <row r="118">
      <c r="G118" t="inlineStr">
        <is>
          <t>Total</t>
        </is>
      </c>
      <c r="K118">
        <f>SUM(K105:K117)</f>
        <v/>
      </c>
      <c r="L118" t="inlineStr">
        <is>
          <t>Cum</t>
        </is>
      </c>
    </row>
    <row r="119">
      <c r="A119">
        <f>A103+1</f>
        <v/>
      </c>
      <c r="B119" t="inlineStr">
        <is>
          <t>R.R. Stone masonry for super structure upto 4.5 m height above plinth level in cement sand mortar 1:6 for wall upto 30 cms in thickness.</t>
        </is>
      </c>
    </row>
    <row r="120">
      <c r="B120" t="inlineStr">
        <is>
          <t>WaLL01</t>
        </is>
      </c>
      <c r="C120" t="n">
        <v>1</v>
      </c>
      <c r="D120" t="inlineStr">
        <is>
          <t>x</t>
        </is>
      </c>
      <c r="E120">
        <f>E61</f>
        <v/>
      </c>
      <c r="F120" t="inlineStr">
        <is>
          <t>x</t>
        </is>
      </c>
      <c r="G120" t="n">
        <v>0.3</v>
      </c>
      <c r="H120" t="inlineStr">
        <is>
          <t>x</t>
        </is>
      </c>
      <c r="I120" t="n">
        <v>3</v>
      </c>
      <c r="J120" t="inlineStr">
        <is>
          <t>=</t>
        </is>
      </c>
      <c r="K120">
        <f>IF(C120,C120*E120*G120*I120,"")</f>
        <v/>
      </c>
      <c r="L120" t="inlineStr">
        <is>
          <t>Cum</t>
        </is>
      </c>
    </row>
    <row r="121">
      <c r="B121" t="inlineStr">
        <is>
          <t>First Floor</t>
        </is>
      </c>
      <c r="C121" t="n">
        <v>1</v>
      </c>
      <c r="D121" t="inlineStr">
        <is>
          <t>x</t>
        </is>
      </c>
      <c r="E121">
        <f>K33</f>
        <v/>
      </c>
      <c r="F121" t="inlineStr">
        <is>
          <t>x</t>
        </is>
      </c>
      <c r="G121" t="n">
        <v>0.3</v>
      </c>
      <c r="H121" t="inlineStr">
        <is>
          <t>x</t>
        </is>
      </c>
      <c r="I121" t="n">
        <v>3</v>
      </c>
      <c r="J121" t="inlineStr">
        <is>
          <t>=</t>
        </is>
      </c>
      <c r="K121">
        <f>IF(C121,C121*E121*G121*I121,"")</f>
        <v/>
      </c>
      <c r="L121" t="inlineStr">
        <is>
          <t>Cum</t>
        </is>
      </c>
    </row>
    <row r="122">
      <c r="B122" t="inlineStr">
        <is>
          <t>Parapet</t>
        </is>
      </c>
      <c r="C122" t="n">
        <v>1</v>
      </c>
      <c r="D122" t="inlineStr">
        <is>
          <t>x</t>
        </is>
      </c>
      <c r="E122">
        <f>K39</f>
        <v/>
      </c>
      <c r="F122" t="inlineStr">
        <is>
          <t>x</t>
        </is>
      </c>
      <c r="G122" t="n">
        <v>0.3</v>
      </c>
      <c r="H122" t="inlineStr">
        <is>
          <t>x</t>
        </is>
      </c>
      <c r="I122" t="n">
        <v>0.75</v>
      </c>
      <c r="J122" t="inlineStr">
        <is>
          <t>=</t>
        </is>
      </c>
      <c r="K122">
        <f>IF(C122,C122*E122*G122*I122,"")</f>
        <v/>
      </c>
      <c r="L122" t="inlineStr">
        <is>
          <t>Cum</t>
        </is>
      </c>
    </row>
    <row r="123">
      <c r="G123" t="inlineStr">
        <is>
          <t>Gross Qty.</t>
        </is>
      </c>
      <c r="J123" t="inlineStr">
        <is>
          <t>+</t>
        </is>
      </c>
      <c r="K123">
        <f>SUM(K120:K122)</f>
        <v/>
      </c>
      <c r="L123" t="inlineStr">
        <is>
          <t>Cum</t>
        </is>
      </c>
    </row>
    <row r="124">
      <c r="B124" t="inlineStr">
        <is>
          <t>Deductions</t>
        </is>
      </c>
    </row>
    <row r="125">
      <c r="B125" t="inlineStr">
        <is>
          <t>D</t>
        </is>
      </c>
      <c r="C125" t="n">
        <v>7</v>
      </c>
      <c r="D125" t="inlineStr">
        <is>
          <t>x</t>
        </is>
      </c>
      <c r="E125" t="n">
        <v>1.2</v>
      </c>
      <c r="F125" t="inlineStr">
        <is>
          <t>x</t>
        </is>
      </c>
      <c r="G125" t="n">
        <v>0.3</v>
      </c>
      <c r="H125" t="inlineStr">
        <is>
          <t>x</t>
        </is>
      </c>
      <c r="I125" t="n">
        <v>2.55</v>
      </c>
      <c r="J125" t="inlineStr">
        <is>
          <t>=</t>
        </is>
      </c>
      <c r="K125">
        <f>IF(C125,C125*E125*G125*I125,"")</f>
        <v/>
      </c>
      <c r="L125" t="inlineStr">
        <is>
          <t>Cum</t>
        </is>
      </c>
    </row>
    <row r="126">
      <c r="B126" t="inlineStr">
        <is>
          <t>D1</t>
        </is>
      </c>
      <c r="C126" t="n">
        <v>3</v>
      </c>
      <c r="D126" t="inlineStr">
        <is>
          <t>x</t>
        </is>
      </c>
      <c r="E126" t="n">
        <v>1.05</v>
      </c>
      <c r="F126" t="inlineStr">
        <is>
          <t>x</t>
        </is>
      </c>
      <c r="G126" t="n">
        <v>0.3</v>
      </c>
      <c r="H126" t="inlineStr">
        <is>
          <t>x</t>
        </is>
      </c>
      <c r="I126" t="n">
        <v>2.1</v>
      </c>
      <c r="J126" t="inlineStr">
        <is>
          <t>=</t>
        </is>
      </c>
      <c r="K126">
        <f>IF(C126,C126*E126*G126*I126,"")</f>
        <v/>
      </c>
      <c r="L126" t="inlineStr">
        <is>
          <t>Cum</t>
        </is>
      </c>
    </row>
    <row r="127">
      <c r="B127" t="inlineStr">
        <is>
          <t>D2</t>
        </is>
      </c>
      <c r="C127" t="n">
        <v>2</v>
      </c>
      <c r="D127" t="inlineStr">
        <is>
          <t>x</t>
        </is>
      </c>
      <c r="E127" t="n">
        <v>0.84</v>
      </c>
      <c r="F127" t="inlineStr">
        <is>
          <t>x</t>
        </is>
      </c>
      <c r="G127" t="n">
        <v>0.3</v>
      </c>
      <c r="H127" t="inlineStr">
        <is>
          <t>x</t>
        </is>
      </c>
      <c r="I127" t="n">
        <v>2.1</v>
      </c>
      <c r="J127" t="inlineStr">
        <is>
          <t>=</t>
        </is>
      </c>
      <c r="K127">
        <f>IF(C127,C127*E127*G127*I127,"")</f>
        <v/>
      </c>
      <c r="L127" t="inlineStr">
        <is>
          <t>Cum</t>
        </is>
      </c>
    </row>
    <row r="128">
      <c r="B128" t="inlineStr">
        <is>
          <t>D3</t>
        </is>
      </c>
      <c r="C128" t="n">
        <v>1</v>
      </c>
      <c r="D128" t="inlineStr">
        <is>
          <t>x</t>
        </is>
      </c>
      <c r="E128" t="n">
        <v>0.9</v>
      </c>
      <c r="F128" t="inlineStr">
        <is>
          <t>x</t>
        </is>
      </c>
      <c r="G128" t="n">
        <v>0.3</v>
      </c>
      <c r="H128" t="inlineStr">
        <is>
          <t>x</t>
        </is>
      </c>
      <c r="I128" t="n">
        <v>2.1</v>
      </c>
      <c r="J128" t="inlineStr">
        <is>
          <t>=</t>
        </is>
      </c>
      <c r="K128">
        <f>IF(C128,C128*E128*G128*I128,"")</f>
        <v/>
      </c>
      <c r="L128" t="inlineStr">
        <is>
          <t>Cum</t>
        </is>
      </c>
    </row>
    <row r="129">
      <c r="B129" t="inlineStr">
        <is>
          <t>D4</t>
        </is>
      </c>
      <c r="C129" t="n">
        <v>1</v>
      </c>
      <c r="D129" t="inlineStr">
        <is>
          <t>x</t>
        </is>
      </c>
      <c r="E129" t="n">
        <v>0.75</v>
      </c>
      <c r="F129" t="inlineStr">
        <is>
          <t>x</t>
        </is>
      </c>
      <c r="G129" t="n">
        <v>0.3</v>
      </c>
      <c r="H129" t="inlineStr">
        <is>
          <t>x</t>
        </is>
      </c>
      <c r="I129" t="n">
        <v>2.1</v>
      </c>
      <c r="J129" t="inlineStr">
        <is>
          <t>=</t>
        </is>
      </c>
      <c r="K129">
        <f>IF(C129,C129*E129*G129*I129,"")</f>
        <v/>
      </c>
      <c r="L129" t="inlineStr">
        <is>
          <t>Cum</t>
        </is>
      </c>
    </row>
    <row r="130">
      <c r="B130" t="inlineStr">
        <is>
          <t>W</t>
        </is>
      </c>
      <c r="C130" t="n">
        <v>7</v>
      </c>
      <c r="D130" t="inlineStr">
        <is>
          <t>x</t>
        </is>
      </c>
      <c r="E130" t="n">
        <v>2.1</v>
      </c>
      <c r="F130" t="inlineStr">
        <is>
          <t>x</t>
        </is>
      </c>
      <c r="G130" t="n">
        <v>0.3</v>
      </c>
      <c r="H130" t="inlineStr">
        <is>
          <t>x</t>
        </is>
      </c>
      <c r="I130" t="n">
        <v>1.8</v>
      </c>
      <c r="J130" t="inlineStr">
        <is>
          <t>=</t>
        </is>
      </c>
      <c r="K130">
        <f>IF(C130,C130*E130*G130*I130,"")</f>
        <v/>
      </c>
      <c r="L130" t="inlineStr">
        <is>
          <t>Cum</t>
        </is>
      </c>
    </row>
    <row r="131">
      <c r="B131" t="inlineStr">
        <is>
          <t>W1</t>
        </is>
      </c>
      <c r="C131" t="n">
        <v>8</v>
      </c>
      <c r="D131" t="inlineStr">
        <is>
          <t>x</t>
        </is>
      </c>
      <c r="E131" t="n">
        <v>1.5</v>
      </c>
      <c r="F131" t="inlineStr">
        <is>
          <t>x</t>
        </is>
      </c>
      <c r="G131" t="n">
        <v>0.3</v>
      </c>
      <c r="H131" t="inlineStr">
        <is>
          <t>x</t>
        </is>
      </c>
      <c r="I131" t="n">
        <v>1.8</v>
      </c>
      <c r="J131" t="inlineStr">
        <is>
          <t>=</t>
        </is>
      </c>
      <c r="K131">
        <f>IF(C131,C131*E131*G131*I131,"")</f>
        <v/>
      </c>
      <c r="L131" t="inlineStr">
        <is>
          <t>Cum</t>
        </is>
      </c>
    </row>
    <row r="132">
      <c r="B132" t="inlineStr">
        <is>
          <t>W2</t>
        </is>
      </c>
      <c r="C132" t="n">
        <v>9</v>
      </c>
      <c r="D132" t="inlineStr">
        <is>
          <t>x</t>
        </is>
      </c>
      <c r="E132" t="n">
        <v>0.9</v>
      </c>
      <c r="F132" t="inlineStr">
        <is>
          <t>x</t>
        </is>
      </c>
      <c r="G132" t="n">
        <v>0.3</v>
      </c>
      <c r="H132" t="inlineStr">
        <is>
          <t>x</t>
        </is>
      </c>
      <c r="I132" t="n">
        <v>1.8</v>
      </c>
      <c r="J132" t="inlineStr">
        <is>
          <t>=</t>
        </is>
      </c>
      <c r="K132">
        <f>IF(C132,C132*E132*G132*I132,"")</f>
        <v/>
      </c>
      <c r="L132" t="inlineStr">
        <is>
          <t>Cum</t>
        </is>
      </c>
    </row>
    <row r="133">
      <c r="B133" t="inlineStr">
        <is>
          <t>V</t>
        </is>
      </c>
      <c r="C133" t="n">
        <v>1</v>
      </c>
      <c r="D133" t="inlineStr">
        <is>
          <t>x</t>
        </is>
      </c>
      <c r="E133" t="n">
        <v>1.05</v>
      </c>
      <c r="F133" t="inlineStr">
        <is>
          <t>x</t>
        </is>
      </c>
      <c r="G133" t="n">
        <v>0.3</v>
      </c>
      <c r="H133" t="inlineStr">
        <is>
          <t>x</t>
        </is>
      </c>
      <c r="I133" t="n">
        <v>0.75</v>
      </c>
      <c r="J133" t="inlineStr">
        <is>
          <t>=</t>
        </is>
      </c>
      <c r="K133">
        <f>IF(C133,C133*E133*G133*I133,"")</f>
        <v/>
      </c>
      <c r="L133" t="inlineStr">
        <is>
          <t>Cum</t>
        </is>
      </c>
    </row>
    <row r="134">
      <c r="B134" t="inlineStr">
        <is>
          <t>V1</t>
        </is>
      </c>
      <c r="C134" t="n">
        <v>3</v>
      </c>
      <c r="D134" t="inlineStr">
        <is>
          <t>x</t>
        </is>
      </c>
      <c r="E134" t="n">
        <v>0.75</v>
      </c>
      <c r="F134" t="inlineStr">
        <is>
          <t>x</t>
        </is>
      </c>
      <c r="G134" t="n">
        <v>0.3</v>
      </c>
      <c r="H134" t="inlineStr">
        <is>
          <t>x</t>
        </is>
      </c>
      <c r="I134" t="n">
        <v>0.75</v>
      </c>
      <c r="J134" t="inlineStr">
        <is>
          <t>=</t>
        </is>
      </c>
      <c r="K134">
        <f>IF(C134,C134*E134*G134*I134,"")</f>
        <v/>
      </c>
      <c r="L134" t="inlineStr">
        <is>
          <t>Cum</t>
        </is>
      </c>
    </row>
    <row r="135">
      <c r="B135" t="inlineStr">
        <is>
          <t>V2</t>
        </is>
      </c>
      <c r="C135" t="n">
        <v>3</v>
      </c>
      <c r="D135" t="inlineStr">
        <is>
          <t>x</t>
        </is>
      </c>
      <c r="E135" t="n">
        <v>0.6</v>
      </c>
      <c r="F135" t="inlineStr">
        <is>
          <t>x</t>
        </is>
      </c>
      <c r="G135" t="n">
        <v>0.3</v>
      </c>
      <c r="H135" t="inlineStr">
        <is>
          <t>x</t>
        </is>
      </c>
      <c r="I135" t="n">
        <v>0.6</v>
      </c>
      <c r="J135" t="inlineStr">
        <is>
          <t>=</t>
        </is>
      </c>
      <c r="K135">
        <f>IF(C135,C135*E135*G135*I135,"")</f>
        <v/>
      </c>
      <c r="L135" t="inlineStr">
        <is>
          <t>Cum</t>
        </is>
      </c>
    </row>
    <row r="136">
      <c r="B136" t="inlineStr">
        <is>
          <t>Rolling Shutter</t>
        </is>
      </c>
      <c r="C136" t="n">
        <v>1</v>
      </c>
      <c r="D136" t="inlineStr">
        <is>
          <t>x</t>
        </is>
      </c>
      <c r="E136" t="n">
        <v>2.7</v>
      </c>
      <c r="F136" t="inlineStr">
        <is>
          <t>x</t>
        </is>
      </c>
      <c r="G136" t="n">
        <v>0.3</v>
      </c>
      <c r="H136" t="inlineStr">
        <is>
          <t>x</t>
        </is>
      </c>
      <c r="I136" t="n">
        <v>2.4</v>
      </c>
      <c r="J136" t="inlineStr">
        <is>
          <t>=</t>
        </is>
      </c>
      <c r="K136">
        <f>IF(C136,C136*E136*G136*I136,"")</f>
        <v/>
      </c>
      <c r="L136" t="inlineStr">
        <is>
          <t>Cum</t>
        </is>
      </c>
    </row>
    <row r="137">
      <c r="B137" t="inlineStr">
        <is>
          <t>Verandah</t>
        </is>
      </c>
      <c r="C137" t="n">
        <v>1</v>
      </c>
      <c r="D137" t="inlineStr">
        <is>
          <t>x</t>
        </is>
      </c>
      <c r="E137" t="n">
        <v>3.6</v>
      </c>
      <c r="F137" t="inlineStr">
        <is>
          <t>x</t>
        </is>
      </c>
      <c r="G137" t="n">
        <v>0.3</v>
      </c>
      <c r="H137" t="inlineStr">
        <is>
          <t>x</t>
        </is>
      </c>
      <c r="I137" t="n">
        <v>2.4</v>
      </c>
      <c r="J137" t="inlineStr">
        <is>
          <t>=</t>
        </is>
      </c>
      <c r="K137">
        <f>IF(C137,C137*E137*G137*I137,"")</f>
        <v/>
      </c>
      <c r="L137" t="inlineStr">
        <is>
          <t>Cum</t>
        </is>
      </c>
    </row>
    <row r="138">
      <c r="B138" t="inlineStr">
        <is>
          <t>Verandah</t>
        </is>
      </c>
      <c r="C138" t="n">
        <v>1</v>
      </c>
      <c r="D138" t="inlineStr">
        <is>
          <t>x</t>
        </is>
      </c>
      <c r="E138" t="n">
        <v>1.95</v>
      </c>
      <c r="F138" t="inlineStr">
        <is>
          <t>x</t>
        </is>
      </c>
      <c r="G138" t="n">
        <v>0.3</v>
      </c>
      <c r="H138" t="inlineStr">
        <is>
          <t>x</t>
        </is>
      </c>
      <c r="I138" t="n">
        <v>2.4</v>
      </c>
      <c r="J138" t="inlineStr">
        <is>
          <t>=</t>
        </is>
      </c>
      <c r="K138">
        <f>IF(C138,C138*E138*G138*I138,"")</f>
        <v/>
      </c>
      <c r="L138" t="inlineStr">
        <is>
          <t>Cum</t>
        </is>
      </c>
    </row>
    <row r="139">
      <c r="B139" t="inlineStr">
        <is>
          <t>Verandah</t>
        </is>
      </c>
      <c r="C139" t="n">
        <v>2</v>
      </c>
      <c r="D139" t="inlineStr">
        <is>
          <t>x</t>
        </is>
      </c>
      <c r="E139" t="n">
        <v>0.6</v>
      </c>
      <c r="F139" t="inlineStr">
        <is>
          <t>x</t>
        </is>
      </c>
      <c r="G139" t="n">
        <v>0.3</v>
      </c>
      <c r="H139" t="inlineStr">
        <is>
          <t>x</t>
        </is>
      </c>
      <c r="I139" t="n">
        <v>2.4</v>
      </c>
      <c r="J139" t="inlineStr">
        <is>
          <t>=</t>
        </is>
      </c>
      <c r="K139">
        <f>IF(C139,C139*E139*G139*I139,"")</f>
        <v/>
      </c>
      <c r="L139" t="inlineStr">
        <is>
          <t>Cum</t>
        </is>
      </c>
    </row>
    <row r="140">
      <c r="B140" t="inlineStr">
        <is>
          <t>Nitch</t>
        </is>
      </c>
      <c r="C140" t="n">
        <v>2</v>
      </c>
      <c r="D140" t="inlineStr">
        <is>
          <t>x</t>
        </is>
      </c>
      <c r="E140" t="n">
        <v>1.8</v>
      </c>
      <c r="F140" t="inlineStr">
        <is>
          <t>x</t>
        </is>
      </c>
      <c r="G140" t="n">
        <v>0.3</v>
      </c>
      <c r="H140" t="inlineStr">
        <is>
          <t>x</t>
        </is>
      </c>
      <c r="I140" t="n">
        <v>1.35</v>
      </c>
      <c r="J140" t="inlineStr">
        <is>
          <t>=</t>
        </is>
      </c>
      <c r="K140">
        <f>IF(C140,C140*E140*G140*I140,"")</f>
        <v/>
      </c>
      <c r="L140" t="inlineStr">
        <is>
          <t>Cum</t>
        </is>
      </c>
    </row>
    <row r="141">
      <c r="B141" t="inlineStr">
        <is>
          <t>Nitch</t>
        </is>
      </c>
      <c r="C141" t="n">
        <v>1</v>
      </c>
      <c r="D141" t="inlineStr">
        <is>
          <t>x</t>
        </is>
      </c>
      <c r="E141" t="n">
        <v>2.1</v>
      </c>
      <c r="F141" t="inlineStr">
        <is>
          <t>x</t>
        </is>
      </c>
      <c r="G141" t="n">
        <v>0.3</v>
      </c>
      <c r="H141" t="inlineStr">
        <is>
          <t>x</t>
        </is>
      </c>
      <c r="I141" t="n">
        <v>1.35</v>
      </c>
      <c r="J141" t="inlineStr">
        <is>
          <t>=</t>
        </is>
      </c>
      <c r="K141">
        <f>IF(C141,C141*E141*G141*I141,"")</f>
        <v/>
      </c>
      <c r="L141" t="inlineStr">
        <is>
          <t>Cum</t>
        </is>
      </c>
    </row>
    <row r="142">
      <c r="B142" t="inlineStr">
        <is>
          <t>Nitch</t>
        </is>
      </c>
      <c r="C142" t="n">
        <v>2</v>
      </c>
      <c r="D142" t="inlineStr">
        <is>
          <t>x</t>
        </is>
      </c>
      <c r="E142" t="n">
        <v>0.9</v>
      </c>
      <c r="F142" t="inlineStr">
        <is>
          <t>x</t>
        </is>
      </c>
      <c r="G142" t="n">
        <v>0.3</v>
      </c>
      <c r="H142" t="inlineStr">
        <is>
          <t>x</t>
        </is>
      </c>
      <c r="I142" t="n">
        <v>1.35</v>
      </c>
      <c r="J142" t="inlineStr">
        <is>
          <t>=</t>
        </is>
      </c>
      <c r="K142">
        <f>IF(C142,C142*E142*G142*I142,"")</f>
        <v/>
      </c>
      <c r="L142" t="inlineStr">
        <is>
          <t>Cum</t>
        </is>
      </c>
    </row>
    <row r="143">
      <c r="B143" t="inlineStr">
        <is>
          <t xml:space="preserve">Lintels </t>
        </is>
      </c>
      <c r="C143" t="n">
        <v>1</v>
      </c>
      <c r="D143" t="inlineStr">
        <is>
          <t>x</t>
        </is>
      </c>
      <c r="E143">
        <f>E120</f>
        <v/>
      </c>
      <c r="F143" t="inlineStr">
        <is>
          <t>x</t>
        </is>
      </c>
      <c r="G143" t="n">
        <v>0.3</v>
      </c>
      <c r="H143" t="inlineStr">
        <is>
          <t>x</t>
        </is>
      </c>
      <c r="I143" t="n">
        <v>0.15</v>
      </c>
      <c r="J143" t="inlineStr">
        <is>
          <t>=</t>
        </is>
      </c>
      <c r="K143">
        <f>IF(C143,C143*E143*G143*I143,"")</f>
        <v/>
      </c>
      <c r="L143" t="inlineStr">
        <is>
          <t>Cum</t>
        </is>
      </c>
    </row>
    <row r="144">
      <c r="B144" t="inlineStr">
        <is>
          <t>Lintels FF</t>
        </is>
      </c>
      <c r="C144" t="n">
        <v>1</v>
      </c>
      <c r="D144" t="inlineStr">
        <is>
          <t>x</t>
        </is>
      </c>
      <c r="E144">
        <f>K33</f>
        <v/>
      </c>
      <c r="F144" t="inlineStr">
        <is>
          <t>x</t>
        </is>
      </c>
      <c r="G144" t="n">
        <v>0.3</v>
      </c>
      <c r="H144" t="inlineStr">
        <is>
          <t>x</t>
        </is>
      </c>
      <c r="I144" t="n">
        <v>0.15</v>
      </c>
      <c r="J144" t="inlineStr">
        <is>
          <t>=</t>
        </is>
      </c>
      <c r="K144">
        <f>IF(C144,C144*E144*G144*I144,"")</f>
        <v/>
      </c>
      <c r="L144" t="inlineStr">
        <is>
          <t>Cum</t>
        </is>
      </c>
    </row>
    <row r="145">
      <c r="G145" t="inlineStr">
        <is>
          <t>Total Deductions</t>
        </is>
      </c>
      <c r="J145" t="inlineStr">
        <is>
          <t>-</t>
        </is>
      </c>
      <c r="K145">
        <f>SUM(K125:K144)</f>
        <v/>
      </c>
      <c r="L145" t="inlineStr">
        <is>
          <t>Cum</t>
        </is>
      </c>
    </row>
    <row r="146">
      <c r="B146" t="inlineStr">
        <is>
          <t>Net qty. in Ground floor</t>
        </is>
      </c>
      <c r="D146">
        <f>K123</f>
        <v/>
      </c>
      <c r="F146" t="inlineStr">
        <is>
          <t>-</t>
        </is>
      </c>
      <c r="G146">
        <f>K145</f>
        <v/>
      </c>
      <c r="J146" t="inlineStr">
        <is>
          <t>=</t>
        </is>
      </c>
      <c r="K146">
        <f>D146-G146</f>
        <v/>
      </c>
      <c r="L146" t="inlineStr">
        <is>
          <t>Cum</t>
        </is>
      </c>
    </row>
    <row r="147">
      <c r="A147" t="n">
        <v>9</v>
      </c>
      <c r="B147">
        <f>GF1_ABS!B16</f>
        <v/>
      </c>
    </row>
    <row r="148">
      <c r="B148" t="inlineStr">
        <is>
          <t>Pillars</t>
        </is>
      </c>
      <c r="C148" t="n">
        <v>23</v>
      </c>
      <c r="D148" t="inlineStr">
        <is>
          <t>x</t>
        </is>
      </c>
      <c r="E148" t="n">
        <v>0.3</v>
      </c>
      <c r="F148" t="inlineStr">
        <is>
          <t>x</t>
        </is>
      </c>
      <c r="G148" t="n">
        <v>0.3</v>
      </c>
      <c r="H148" t="inlineStr">
        <is>
          <t>x</t>
        </is>
      </c>
      <c r="I148" t="n">
        <v>3</v>
      </c>
      <c r="J148" t="inlineStr">
        <is>
          <t>=</t>
        </is>
      </c>
      <c r="K148">
        <f>IF(C148,C148*E148*G148*I148,"")</f>
        <v/>
      </c>
      <c r="L148" t="inlineStr">
        <is>
          <t>Cum</t>
        </is>
      </c>
    </row>
    <row r="149">
      <c r="I149" t="inlineStr">
        <is>
          <t xml:space="preserve">Total </t>
        </is>
      </c>
      <c r="J149" t="inlineStr">
        <is>
          <t>=</t>
        </is>
      </c>
      <c r="K149">
        <f>SUM(K148:K148)</f>
        <v/>
      </c>
      <c r="L149" t="inlineStr">
        <is>
          <t>Cum</t>
        </is>
      </c>
    </row>
    <row r="150">
      <c r="A150">
        <f>A147+1</f>
        <v/>
      </c>
      <c r="B150" t="inlineStr">
        <is>
          <t>Half brick masonry in super structure using bricks of class designation 75 in  Cement Mortar 1:4  ( 1 cement : 4 coarse sand)</t>
        </is>
      </c>
    </row>
    <row r="151">
      <c r="B151" t="inlineStr">
        <is>
          <t>Partition walls</t>
        </is>
      </c>
      <c r="C151" t="n">
        <v>1</v>
      </c>
      <c r="D151" t="inlineStr">
        <is>
          <t>x</t>
        </is>
      </c>
      <c r="E151">
        <f>K53</f>
        <v/>
      </c>
      <c r="F151" t="inlineStr">
        <is>
          <t>x</t>
        </is>
      </c>
      <c r="G151" t="n">
        <v>3</v>
      </c>
      <c r="J151" t="inlineStr">
        <is>
          <t>=</t>
        </is>
      </c>
      <c r="K151">
        <f>IF(C151,C151*E151*G151,"")</f>
        <v/>
      </c>
      <c r="L151" t="inlineStr">
        <is>
          <t>Sqm</t>
        </is>
      </c>
    </row>
    <row r="152">
      <c r="B152" t="inlineStr">
        <is>
          <t>Partition walls in FF</t>
        </is>
      </c>
      <c r="C152" t="n">
        <v>1</v>
      </c>
      <c r="D152" t="inlineStr">
        <is>
          <t>x</t>
        </is>
      </c>
      <c r="E152">
        <f>K59</f>
        <v/>
      </c>
      <c r="F152" t="inlineStr">
        <is>
          <t>x</t>
        </is>
      </c>
      <c r="G152" t="n">
        <v>3</v>
      </c>
      <c r="J152" t="inlineStr">
        <is>
          <t>=</t>
        </is>
      </c>
      <c r="K152">
        <f>IF(C152,C152*E152*G152,"")</f>
        <v/>
      </c>
      <c r="L152" t="inlineStr">
        <is>
          <t>Sqm</t>
        </is>
      </c>
    </row>
    <row r="153">
      <c r="B153" t="inlineStr">
        <is>
          <t>Nitch</t>
        </is>
      </c>
      <c r="C153" t="n">
        <v>2</v>
      </c>
      <c r="D153" t="inlineStr">
        <is>
          <t>x</t>
        </is>
      </c>
      <c r="E153" t="n">
        <v>1.8</v>
      </c>
      <c r="F153" t="inlineStr">
        <is>
          <t>x</t>
        </is>
      </c>
      <c r="G153" t="n">
        <v>1.35</v>
      </c>
      <c r="J153" t="inlineStr">
        <is>
          <t>=</t>
        </is>
      </c>
      <c r="K153">
        <f>IF(C153,C153*E153*G153,"")</f>
        <v/>
      </c>
      <c r="L153" t="inlineStr">
        <is>
          <t>Sqm</t>
        </is>
      </c>
    </row>
    <row r="154">
      <c r="B154" t="inlineStr">
        <is>
          <t>Nitch</t>
        </is>
      </c>
      <c r="C154" t="n">
        <v>1</v>
      </c>
      <c r="D154" t="inlineStr">
        <is>
          <t>x</t>
        </is>
      </c>
      <c r="E154" t="n">
        <v>2.1</v>
      </c>
      <c r="F154" t="inlineStr">
        <is>
          <t>x</t>
        </is>
      </c>
      <c r="G154" t="n">
        <v>1.35</v>
      </c>
      <c r="J154" t="inlineStr">
        <is>
          <t>=</t>
        </is>
      </c>
      <c r="K154">
        <f>IF(C154,C154*E154*G154,"")</f>
        <v/>
      </c>
      <c r="L154" t="inlineStr">
        <is>
          <t>Sqm</t>
        </is>
      </c>
    </row>
    <row r="155">
      <c r="B155" t="inlineStr">
        <is>
          <t>Nitch</t>
        </is>
      </c>
      <c r="C155" t="n">
        <v>2</v>
      </c>
      <c r="D155" t="inlineStr">
        <is>
          <t>x</t>
        </is>
      </c>
      <c r="E155" t="n">
        <v>0.9</v>
      </c>
      <c r="F155" t="inlineStr">
        <is>
          <t>x</t>
        </is>
      </c>
      <c r="G155" t="n">
        <v>1.35</v>
      </c>
      <c r="J155" t="inlineStr">
        <is>
          <t>=</t>
        </is>
      </c>
      <c r="K155">
        <f>IF(C155,C155*E155*G155,"")</f>
        <v/>
      </c>
      <c r="L155" t="inlineStr">
        <is>
          <t>Sqm</t>
        </is>
      </c>
    </row>
    <row r="156">
      <c r="B156" t="inlineStr">
        <is>
          <t>Parapet walls in FF</t>
        </is>
      </c>
      <c r="C156" t="n">
        <v>1</v>
      </c>
      <c r="D156" t="inlineStr">
        <is>
          <t>x</t>
        </is>
      </c>
      <c r="E156">
        <f>K59</f>
        <v/>
      </c>
      <c r="F156" t="inlineStr">
        <is>
          <t>x</t>
        </is>
      </c>
      <c r="G156" t="n">
        <v>0.75</v>
      </c>
      <c r="J156" t="inlineStr">
        <is>
          <t>=</t>
        </is>
      </c>
      <c r="K156">
        <f>IF(C156,C156*E156*G156,"")</f>
        <v/>
      </c>
      <c r="L156" t="inlineStr">
        <is>
          <t>Sqm</t>
        </is>
      </c>
    </row>
    <row r="157">
      <c r="G157" t="inlineStr">
        <is>
          <t>Gross Qty.</t>
        </is>
      </c>
      <c r="J157" t="inlineStr">
        <is>
          <t>+</t>
        </is>
      </c>
      <c r="K157">
        <f>SUM(K151:K156)</f>
        <v/>
      </c>
      <c r="L157" t="inlineStr">
        <is>
          <t>Sqm</t>
        </is>
      </c>
    </row>
    <row r="158">
      <c r="B158" t="inlineStr">
        <is>
          <t>Deductions</t>
        </is>
      </c>
    </row>
    <row r="159">
      <c r="B159" t="inlineStr">
        <is>
          <t>D1</t>
        </is>
      </c>
      <c r="C159" t="n">
        <v>1</v>
      </c>
      <c r="D159" t="inlineStr">
        <is>
          <t>x</t>
        </is>
      </c>
      <c r="E159" t="n">
        <v>1.05</v>
      </c>
      <c r="F159" t="inlineStr">
        <is>
          <t>x</t>
        </is>
      </c>
      <c r="G159" t="n">
        <v>2.1</v>
      </c>
      <c r="J159" t="inlineStr">
        <is>
          <t>=</t>
        </is>
      </c>
      <c r="K159">
        <f>IF(C159,C159*E159*G159,"")</f>
        <v/>
      </c>
      <c r="L159" t="inlineStr">
        <is>
          <t>Sqm</t>
        </is>
      </c>
    </row>
    <row r="160">
      <c r="B160" t="inlineStr">
        <is>
          <t>D2</t>
        </is>
      </c>
      <c r="C160" t="n">
        <v>4</v>
      </c>
      <c r="D160" t="inlineStr">
        <is>
          <t>x</t>
        </is>
      </c>
      <c r="E160" t="n">
        <v>0.75</v>
      </c>
      <c r="F160" t="inlineStr">
        <is>
          <t>x</t>
        </is>
      </c>
      <c r="G160" t="n">
        <v>2.1</v>
      </c>
      <c r="J160" t="inlineStr">
        <is>
          <t>=</t>
        </is>
      </c>
      <c r="K160">
        <f>IF(C160,C160*E160*G160,"")</f>
        <v/>
      </c>
      <c r="L160" t="inlineStr">
        <is>
          <t>Sqm</t>
        </is>
      </c>
    </row>
    <row r="161">
      <c r="B161" t="inlineStr">
        <is>
          <t>D3</t>
        </is>
      </c>
      <c r="C161" t="n">
        <v>2</v>
      </c>
      <c r="D161" t="inlineStr">
        <is>
          <t>x</t>
        </is>
      </c>
      <c r="E161" t="n">
        <v>0.75</v>
      </c>
      <c r="F161" t="inlineStr">
        <is>
          <t>x</t>
        </is>
      </c>
      <c r="G161" t="n">
        <v>2.1</v>
      </c>
      <c r="J161" t="inlineStr">
        <is>
          <t>=</t>
        </is>
      </c>
      <c r="K161">
        <f>IF(C161,C161*E161*G161,"")</f>
        <v/>
      </c>
      <c r="L161" t="inlineStr">
        <is>
          <t>Sqm</t>
        </is>
      </c>
    </row>
    <row r="162">
      <c r="B162" t="inlineStr">
        <is>
          <t>W2</t>
        </is>
      </c>
      <c r="C162" t="n">
        <v>1</v>
      </c>
      <c r="D162" t="inlineStr">
        <is>
          <t>x</t>
        </is>
      </c>
      <c r="E162" t="n">
        <v>0.9</v>
      </c>
      <c r="F162" t="inlineStr">
        <is>
          <t>x</t>
        </is>
      </c>
      <c r="G162" t="n">
        <v>1.8</v>
      </c>
      <c r="J162" t="inlineStr">
        <is>
          <t>=</t>
        </is>
      </c>
      <c r="K162">
        <f>IF(C162,C162*E162*G162,"")</f>
        <v/>
      </c>
      <c r="L162" t="inlineStr">
        <is>
          <t>Sqm</t>
        </is>
      </c>
    </row>
    <row r="163">
      <c r="B163" t="inlineStr">
        <is>
          <t>V</t>
        </is>
      </c>
      <c r="C163" t="n">
        <v>1</v>
      </c>
      <c r="D163" t="inlineStr">
        <is>
          <t>x</t>
        </is>
      </c>
      <c r="E163" t="n">
        <v>1.05</v>
      </c>
      <c r="F163" t="inlineStr">
        <is>
          <t>x</t>
        </is>
      </c>
      <c r="G163" t="n">
        <v>0.75</v>
      </c>
      <c r="J163" t="inlineStr">
        <is>
          <t>=</t>
        </is>
      </c>
      <c r="K163">
        <f>IF(C163,C163*E163*G163,"")</f>
        <v/>
      </c>
      <c r="L163" t="inlineStr">
        <is>
          <t>Sqm</t>
        </is>
      </c>
    </row>
    <row r="164">
      <c r="B164" t="inlineStr">
        <is>
          <t xml:space="preserve">Lintels      </t>
        </is>
      </c>
      <c r="C164" t="n">
        <v>1</v>
      </c>
      <c r="D164" t="inlineStr">
        <is>
          <t>x</t>
        </is>
      </c>
      <c r="E164">
        <f>E151</f>
        <v/>
      </c>
      <c r="F164" t="inlineStr">
        <is>
          <t>x</t>
        </is>
      </c>
      <c r="G164" t="n">
        <v>0.15</v>
      </c>
      <c r="J164" t="inlineStr">
        <is>
          <t>=</t>
        </is>
      </c>
      <c r="K164">
        <f>IF(C164,C164*E164*G164,"")</f>
        <v/>
      </c>
      <c r="L164" t="inlineStr">
        <is>
          <t>Sqm</t>
        </is>
      </c>
    </row>
    <row r="165">
      <c r="G165" t="inlineStr">
        <is>
          <t>Total Deductions</t>
        </is>
      </c>
      <c r="J165" t="inlineStr">
        <is>
          <t>-</t>
        </is>
      </c>
      <c r="K165">
        <f>SUM(K159:K164)</f>
        <v/>
      </c>
      <c r="L165" t="inlineStr">
        <is>
          <t>Sqm</t>
        </is>
      </c>
    </row>
    <row r="166">
      <c r="B166" t="inlineStr">
        <is>
          <t>Net qty. in Ground floor</t>
        </is>
      </c>
      <c r="D166">
        <f>K157</f>
        <v/>
      </c>
      <c r="F166" t="inlineStr">
        <is>
          <t>-</t>
        </is>
      </c>
      <c r="G166">
        <f>K165</f>
        <v/>
      </c>
      <c r="J166" t="inlineStr">
        <is>
          <t>=</t>
        </is>
      </c>
      <c r="K166">
        <f>D166-G166</f>
        <v/>
      </c>
      <c r="L166" t="inlineStr">
        <is>
          <t>Sqm</t>
        </is>
      </c>
    </row>
    <row r="167">
      <c r="B167" t="inlineStr">
        <is>
          <t>Total qty. of brick masonry</t>
        </is>
      </c>
      <c r="K167">
        <f>K166</f>
        <v/>
      </c>
      <c r="L167" t="inlineStr">
        <is>
          <t>Sqm</t>
        </is>
      </c>
    </row>
    <row r="168">
      <c r="A168">
        <f>A150+1</f>
        <v/>
      </c>
      <c r="B168" t="inlineStr">
        <is>
          <t>Brick work in superstructure upto 4.5 metre height  above plinth level Cement Mortar 1:4 with bricks are class designation 75.</t>
        </is>
      </c>
    </row>
    <row r="169">
      <c r="B169" t="inlineStr">
        <is>
          <t>Stair case GF</t>
        </is>
      </c>
      <c r="C169" t="n">
        <v>51</v>
      </c>
      <c r="D169" t="inlineStr">
        <is>
          <t>x</t>
        </is>
      </c>
      <c r="E169" t="n">
        <v>0.9</v>
      </c>
      <c r="F169" t="inlineStr">
        <is>
          <t>x</t>
        </is>
      </c>
      <c r="G169" t="n">
        <v>0.3</v>
      </c>
      <c r="H169" t="inlineStr">
        <is>
          <t>x</t>
        </is>
      </c>
      <c r="I169" t="n">
        <v>0.08</v>
      </c>
      <c r="J169" t="inlineStr">
        <is>
          <t>=</t>
        </is>
      </c>
      <c r="K169">
        <f>IF(C169,C169*E169*G169*I169,"")</f>
        <v/>
      </c>
      <c r="L169" t="inlineStr">
        <is>
          <t>Cum</t>
        </is>
      </c>
    </row>
    <row r="170">
      <c r="B170" t="inlineStr">
        <is>
          <t>Kitchen</t>
        </is>
      </c>
      <c r="C170" t="n">
        <v>6</v>
      </c>
      <c r="D170" t="inlineStr">
        <is>
          <t>x</t>
        </is>
      </c>
      <c r="E170" t="n">
        <v>0.75</v>
      </c>
      <c r="F170" t="inlineStr">
        <is>
          <t>x</t>
        </is>
      </c>
      <c r="G170" t="n">
        <v>0.23</v>
      </c>
      <c r="H170" t="inlineStr">
        <is>
          <t>x</t>
        </is>
      </c>
      <c r="I170" t="n">
        <v>0.75</v>
      </c>
      <c r="J170" t="inlineStr">
        <is>
          <t>=</t>
        </is>
      </c>
      <c r="K170">
        <f>IF(C170,C170*E170*G170*I170,"")</f>
        <v/>
      </c>
      <c r="L170" t="inlineStr">
        <is>
          <t>Cum</t>
        </is>
      </c>
    </row>
    <row r="171">
      <c r="B171" t="inlineStr">
        <is>
          <t>Tank Stand</t>
        </is>
      </c>
      <c r="C171" t="n">
        <v>8</v>
      </c>
      <c r="D171" t="inlineStr">
        <is>
          <t>x</t>
        </is>
      </c>
      <c r="E171" t="n">
        <v>1.5</v>
      </c>
      <c r="F171" t="inlineStr">
        <is>
          <t>x</t>
        </is>
      </c>
      <c r="G171" t="n">
        <v>0.23</v>
      </c>
      <c r="H171" t="inlineStr">
        <is>
          <t>x</t>
        </is>
      </c>
      <c r="I171" t="n">
        <v>1.2</v>
      </c>
      <c r="J171" t="inlineStr">
        <is>
          <t>=</t>
        </is>
      </c>
      <c r="K171">
        <f>IF(C171,C171*E171*G171*I171,"")</f>
        <v/>
      </c>
      <c r="L171" t="inlineStr">
        <is>
          <t>Cum</t>
        </is>
      </c>
    </row>
    <row r="172">
      <c r="G172" t="inlineStr">
        <is>
          <t>Total</t>
        </is>
      </c>
      <c r="K172">
        <f>SUM(K169:K171)</f>
        <v/>
      </c>
      <c r="L172" t="inlineStr">
        <is>
          <t>Cum</t>
        </is>
      </c>
    </row>
    <row r="173">
      <c r="A173" t="n">
        <v>12</v>
      </c>
      <c r="B173" t="inlineStr">
        <is>
          <t xml:space="preserve">Centering &amp; shuttering with plywood or steel sheets including strutting propping, bracing both ways with wooden members and removal of form work </t>
        </is>
      </c>
    </row>
    <row r="174">
      <c r="B174" t="inlineStr">
        <is>
          <t>(A) For foundation in basements, rafts, footings, strap beams, bases of columns etc. upto plinth level</t>
        </is>
      </c>
    </row>
    <row r="175">
      <c r="B175" t="inlineStr">
        <is>
          <t>DPC</t>
        </is>
      </c>
    </row>
    <row r="176">
      <c r="B176" t="inlineStr">
        <is>
          <t>Wall01</t>
        </is>
      </c>
      <c r="C176" t="n">
        <v>2</v>
      </c>
      <c r="D176" t="inlineStr">
        <is>
          <t>x</t>
        </is>
      </c>
      <c r="E176">
        <f>K28</f>
        <v/>
      </c>
      <c r="F176" t="inlineStr">
        <is>
          <t>x</t>
        </is>
      </c>
      <c r="G176" t="n">
        <v>0.15</v>
      </c>
      <c r="J176" t="inlineStr">
        <is>
          <t>=</t>
        </is>
      </c>
      <c r="K176">
        <f>IF(C176,C176*E176*G176,"")</f>
        <v/>
      </c>
      <c r="L176" t="inlineStr">
        <is>
          <t>Sqm</t>
        </is>
      </c>
    </row>
    <row r="177">
      <c r="B177" t="inlineStr">
        <is>
          <t>Wall02</t>
        </is>
      </c>
      <c r="C177" t="n">
        <v>2</v>
      </c>
      <c r="D177" t="inlineStr">
        <is>
          <t>x</t>
        </is>
      </c>
      <c r="E177">
        <f>K53</f>
        <v/>
      </c>
      <c r="F177" t="inlineStr">
        <is>
          <t>x</t>
        </is>
      </c>
      <c r="G177" t="n">
        <v>0.15</v>
      </c>
      <c r="J177" t="inlineStr">
        <is>
          <t>=</t>
        </is>
      </c>
      <c r="K177">
        <f>IF(C177,C177*E177*G177,"")</f>
        <v/>
      </c>
      <c r="L177" t="inlineStr">
        <is>
          <t>Sqm</t>
        </is>
      </c>
    </row>
    <row r="178">
      <c r="G178" t="inlineStr">
        <is>
          <t>Total</t>
        </is>
      </c>
      <c r="K178">
        <f>SUM(K175:K177)</f>
        <v/>
      </c>
      <c r="L178" t="inlineStr">
        <is>
          <t>Sqm</t>
        </is>
      </c>
    </row>
    <row r="179">
      <c r="B179" t="inlineStr">
        <is>
          <t xml:space="preserve">(B) For suspended floors, roofs, landing staircases, landing balconies, girders, cantilevers, bands, copings, bed plates, anchor blocks, sills, chajjas etc. for superstructure upto 4.5 Mtr. height above plinth level </t>
        </is>
      </c>
    </row>
    <row r="180">
      <c r="B180" t="inlineStr">
        <is>
          <t xml:space="preserve">Lintels </t>
        </is>
      </c>
    </row>
    <row r="181">
      <c r="B181" t="inlineStr">
        <is>
          <t>Wall01 GF</t>
        </is>
      </c>
      <c r="C181" t="n">
        <v>2</v>
      </c>
      <c r="D181" t="inlineStr">
        <is>
          <t>x</t>
        </is>
      </c>
      <c r="E181">
        <f>E120</f>
        <v/>
      </c>
      <c r="F181" t="inlineStr">
        <is>
          <t>x</t>
        </is>
      </c>
      <c r="G181" t="n">
        <v>0.15</v>
      </c>
      <c r="J181" t="inlineStr">
        <is>
          <t>=</t>
        </is>
      </c>
      <c r="K181">
        <f>IF(C181,C181*E181*G181,"")</f>
        <v/>
      </c>
      <c r="L181" t="inlineStr">
        <is>
          <t>Sqm</t>
        </is>
      </c>
    </row>
    <row r="182">
      <c r="B182" t="inlineStr">
        <is>
          <t>Wall02</t>
        </is>
      </c>
      <c r="C182" t="n">
        <v>2</v>
      </c>
      <c r="D182" t="inlineStr">
        <is>
          <t>x</t>
        </is>
      </c>
      <c r="E182">
        <f>E151</f>
        <v/>
      </c>
      <c r="F182" t="inlineStr">
        <is>
          <t>x</t>
        </is>
      </c>
      <c r="G182" t="n">
        <v>0.15</v>
      </c>
      <c r="J182" t="inlineStr">
        <is>
          <t>=</t>
        </is>
      </c>
      <c r="K182">
        <f>IF(C182,C182*E182*G182,"")</f>
        <v/>
      </c>
      <c r="L182" t="inlineStr">
        <is>
          <t>Sqm</t>
        </is>
      </c>
    </row>
    <row r="183">
      <c r="B183" t="inlineStr">
        <is>
          <t>Wall02</t>
        </is>
      </c>
      <c r="C183" t="n">
        <v>2</v>
      </c>
      <c r="D183" t="inlineStr">
        <is>
          <t>x</t>
        </is>
      </c>
      <c r="E183">
        <f>E152</f>
        <v/>
      </c>
      <c r="F183" t="inlineStr">
        <is>
          <t>x</t>
        </is>
      </c>
      <c r="G183" t="n">
        <v>0.15</v>
      </c>
      <c r="J183" t="inlineStr">
        <is>
          <t>=</t>
        </is>
      </c>
      <c r="K183">
        <f>IF(C183,C183*E183*G183,"")</f>
        <v/>
      </c>
      <c r="L183" t="inlineStr">
        <is>
          <t>Sqm</t>
        </is>
      </c>
    </row>
    <row r="184">
      <c r="B184" t="inlineStr">
        <is>
          <t>Soffits</t>
        </is>
      </c>
    </row>
    <row r="185">
      <c r="B185" t="inlineStr">
        <is>
          <t>D</t>
        </is>
      </c>
      <c r="C185" t="n">
        <v>7</v>
      </c>
      <c r="D185" t="inlineStr">
        <is>
          <t>x</t>
        </is>
      </c>
      <c r="E185" t="n">
        <v>1.2</v>
      </c>
      <c r="F185" t="inlineStr">
        <is>
          <t>x</t>
        </is>
      </c>
      <c r="G185" t="n">
        <v>0.3</v>
      </c>
      <c r="J185" t="inlineStr">
        <is>
          <t>=</t>
        </is>
      </c>
      <c r="K185">
        <f>IF(C185,C185*E185*G185,"")</f>
        <v/>
      </c>
      <c r="L185" t="inlineStr">
        <is>
          <t>Sqm</t>
        </is>
      </c>
    </row>
    <row r="186">
      <c r="B186" t="inlineStr">
        <is>
          <t>D1</t>
        </is>
      </c>
      <c r="C186" t="n">
        <v>3</v>
      </c>
      <c r="D186" t="inlineStr">
        <is>
          <t>x</t>
        </is>
      </c>
      <c r="E186" t="n">
        <v>1.05</v>
      </c>
      <c r="F186" t="inlineStr">
        <is>
          <t>x</t>
        </is>
      </c>
      <c r="G186" t="n">
        <v>0.3</v>
      </c>
      <c r="J186" t="inlineStr">
        <is>
          <t>=</t>
        </is>
      </c>
      <c r="K186">
        <f>IF(C186,C186*E186*G186,"")</f>
        <v/>
      </c>
      <c r="L186" t="inlineStr">
        <is>
          <t>Sqm</t>
        </is>
      </c>
    </row>
    <row r="187">
      <c r="B187" t="inlineStr">
        <is>
          <t>D2</t>
        </is>
      </c>
      <c r="C187" t="n">
        <v>2</v>
      </c>
      <c r="D187" t="inlineStr">
        <is>
          <t>x</t>
        </is>
      </c>
      <c r="E187" t="n">
        <v>0.84</v>
      </c>
      <c r="F187" t="inlineStr">
        <is>
          <t>x</t>
        </is>
      </c>
      <c r="G187" t="n">
        <v>0.3</v>
      </c>
      <c r="J187" t="inlineStr">
        <is>
          <t>=</t>
        </is>
      </c>
      <c r="K187">
        <f>IF(C187,C187*E187*G187,"")</f>
        <v/>
      </c>
      <c r="L187" t="inlineStr">
        <is>
          <t>Sqm</t>
        </is>
      </c>
    </row>
    <row r="188">
      <c r="B188" t="inlineStr">
        <is>
          <t>D3</t>
        </is>
      </c>
      <c r="C188" t="n">
        <v>1</v>
      </c>
      <c r="D188" t="inlineStr">
        <is>
          <t>x</t>
        </is>
      </c>
      <c r="E188" t="n">
        <v>0.9</v>
      </c>
      <c r="F188" t="inlineStr">
        <is>
          <t>x</t>
        </is>
      </c>
      <c r="G188" t="n">
        <v>0.3</v>
      </c>
      <c r="J188" t="inlineStr">
        <is>
          <t>=</t>
        </is>
      </c>
      <c r="K188">
        <f>IF(C188,C188*E188*G188,"")</f>
        <v/>
      </c>
      <c r="L188" t="inlineStr">
        <is>
          <t>Sqm</t>
        </is>
      </c>
    </row>
    <row r="189">
      <c r="B189" t="inlineStr">
        <is>
          <t>D4</t>
        </is>
      </c>
      <c r="C189" t="n">
        <v>1</v>
      </c>
      <c r="D189" t="inlineStr">
        <is>
          <t>x</t>
        </is>
      </c>
      <c r="E189" t="n">
        <v>0.75</v>
      </c>
      <c r="F189" t="inlineStr">
        <is>
          <t>x</t>
        </is>
      </c>
      <c r="G189" t="n">
        <v>0.3</v>
      </c>
      <c r="J189" t="inlineStr">
        <is>
          <t>=</t>
        </is>
      </c>
      <c r="K189">
        <f>IF(C189,C189*E189*G189,"")</f>
        <v/>
      </c>
      <c r="L189" t="inlineStr">
        <is>
          <t>Sqm</t>
        </is>
      </c>
    </row>
    <row r="190">
      <c r="B190" t="inlineStr">
        <is>
          <t>Nitch</t>
        </is>
      </c>
      <c r="C190" t="n">
        <v>2</v>
      </c>
      <c r="D190" t="inlineStr">
        <is>
          <t>x</t>
        </is>
      </c>
      <c r="E190" t="n">
        <v>1.8</v>
      </c>
      <c r="F190" t="inlineStr">
        <is>
          <t>x</t>
        </is>
      </c>
      <c r="G190" t="n">
        <v>0.3</v>
      </c>
      <c r="J190" t="inlineStr">
        <is>
          <t>=</t>
        </is>
      </c>
      <c r="K190">
        <f>IF(C190,C190*E190*G190,"")</f>
        <v/>
      </c>
      <c r="L190" t="inlineStr">
        <is>
          <t>Sqm</t>
        </is>
      </c>
    </row>
    <row r="191">
      <c r="B191" t="inlineStr">
        <is>
          <t>Nitch</t>
        </is>
      </c>
      <c r="C191" t="n">
        <v>1</v>
      </c>
      <c r="D191" t="inlineStr">
        <is>
          <t>x</t>
        </is>
      </c>
      <c r="E191" t="n">
        <v>2.1</v>
      </c>
      <c r="F191" t="inlineStr">
        <is>
          <t>x</t>
        </is>
      </c>
      <c r="G191" t="n">
        <v>0.3</v>
      </c>
      <c r="J191" t="inlineStr">
        <is>
          <t>=</t>
        </is>
      </c>
      <c r="K191">
        <f>IF(C191,C191*E191*G191,"")</f>
        <v/>
      </c>
      <c r="L191" t="inlineStr">
        <is>
          <t>Sqm</t>
        </is>
      </c>
    </row>
    <row r="192">
      <c r="B192" t="inlineStr">
        <is>
          <t>Nitch</t>
        </is>
      </c>
      <c r="C192" t="n">
        <v>2</v>
      </c>
      <c r="D192" t="inlineStr">
        <is>
          <t>x</t>
        </is>
      </c>
      <c r="E192" t="n">
        <v>0.9</v>
      </c>
      <c r="F192" t="inlineStr">
        <is>
          <t>x</t>
        </is>
      </c>
      <c r="G192" t="n">
        <v>0.3</v>
      </c>
      <c r="J192" t="inlineStr">
        <is>
          <t>=</t>
        </is>
      </c>
      <c r="K192">
        <f>IF(C192,C192*E192*G192,"")</f>
        <v/>
      </c>
      <c r="L192" t="inlineStr">
        <is>
          <t>Sqm</t>
        </is>
      </c>
    </row>
    <row r="193">
      <c r="B193" t="inlineStr">
        <is>
          <t>D1</t>
        </is>
      </c>
      <c r="C193" t="n">
        <v>1</v>
      </c>
      <c r="D193" t="inlineStr">
        <is>
          <t>x</t>
        </is>
      </c>
      <c r="E193" t="n">
        <v>1.05</v>
      </c>
      <c r="F193" t="inlineStr">
        <is>
          <t>x</t>
        </is>
      </c>
      <c r="G193" t="n">
        <v>0.15</v>
      </c>
      <c r="J193" t="inlineStr">
        <is>
          <t>=</t>
        </is>
      </c>
      <c r="K193">
        <f>IF(C193,C193*E193*G193,"")</f>
        <v/>
      </c>
      <c r="L193" t="inlineStr">
        <is>
          <t>Sqm</t>
        </is>
      </c>
    </row>
    <row r="194">
      <c r="B194" t="inlineStr">
        <is>
          <t>D2</t>
        </is>
      </c>
      <c r="C194" t="n">
        <v>4</v>
      </c>
      <c r="D194" t="inlineStr">
        <is>
          <t>x</t>
        </is>
      </c>
      <c r="E194" t="n">
        <v>0.75</v>
      </c>
      <c r="F194" t="inlineStr">
        <is>
          <t>x</t>
        </is>
      </c>
      <c r="G194" t="n">
        <v>0.15</v>
      </c>
      <c r="J194" t="inlineStr">
        <is>
          <t>=</t>
        </is>
      </c>
      <c r="K194">
        <f>IF(C194,C194*E194*G194,"")</f>
        <v/>
      </c>
      <c r="L194" t="inlineStr">
        <is>
          <t>Sqm</t>
        </is>
      </c>
    </row>
    <row r="195">
      <c r="B195" t="inlineStr">
        <is>
          <t>Sunshades</t>
        </is>
      </c>
    </row>
    <row r="196">
      <c r="B196" t="inlineStr">
        <is>
          <t>W</t>
        </is>
      </c>
      <c r="C196" t="n">
        <v>7</v>
      </c>
      <c r="D196" t="inlineStr">
        <is>
          <t>x</t>
        </is>
      </c>
      <c r="E196" t="n">
        <v>2.1</v>
      </c>
      <c r="F196" t="inlineStr">
        <is>
          <t>x</t>
        </is>
      </c>
      <c r="G196" t="n">
        <v>0.9</v>
      </c>
      <c r="J196" t="inlineStr">
        <is>
          <t>=</t>
        </is>
      </c>
      <c r="K196">
        <f>IF(C196,C196*E196*G196,"")</f>
        <v/>
      </c>
      <c r="L196" t="inlineStr">
        <is>
          <t>Sqm</t>
        </is>
      </c>
    </row>
    <row r="197">
      <c r="B197" t="inlineStr">
        <is>
          <t>W1</t>
        </is>
      </c>
      <c r="C197" t="n">
        <v>8</v>
      </c>
      <c r="D197" t="inlineStr">
        <is>
          <t>x</t>
        </is>
      </c>
      <c r="E197" t="n">
        <v>1.5</v>
      </c>
      <c r="F197" t="inlineStr">
        <is>
          <t>x</t>
        </is>
      </c>
      <c r="G197" t="n">
        <v>0.9</v>
      </c>
      <c r="J197" t="inlineStr">
        <is>
          <t>=</t>
        </is>
      </c>
      <c r="K197">
        <f>IF(C197,C197*E197*G197,"")</f>
        <v/>
      </c>
      <c r="L197" t="inlineStr">
        <is>
          <t>Sqm</t>
        </is>
      </c>
    </row>
    <row r="198">
      <c r="B198" t="inlineStr">
        <is>
          <t>W2</t>
        </is>
      </c>
      <c r="C198" t="n">
        <v>9</v>
      </c>
      <c r="D198" t="inlineStr">
        <is>
          <t>x</t>
        </is>
      </c>
      <c r="E198" t="n">
        <v>0.9</v>
      </c>
      <c r="F198" t="inlineStr">
        <is>
          <t>x</t>
        </is>
      </c>
      <c r="G198" t="n">
        <v>0.9</v>
      </c>
      <c r="J198" t="inlineStr">
        <is>
          <t>=</t>
        </is>
      </c>
      <c r="K198">
        <f>IF(C198,C198*E198*G198,"")</f>
        <v/>
      </c>
      <c r="L198" t="inlineStr">
        <is>
          <t>Sqm</t>
        </is>
      </c>
    </row>
    <row r="199">
      <c r="B199" t="inlineStr">
        <is>
          <t>V</t>
        </is>
      </c>
      <c r="C199" t="n">
        <v>1</v>
      </c>
      <c r="D199" t="inlineStr">
        <is>
          <t>x</t>
        </is>
      </c>
      <c r="E199" t="n">
        <v>1.05</v>
      </c>
      <c r="F199" t="inlineStr">
        <is>
          <t>x</t>
        </is>
      </c>
      <c r="G199" t="n">
        <v>0.9</v>
      </c>
      <c r="J199" t="inlineStr">
        <is>
          <t>=</t>
        </is>
      </c>
      <c r="K199">
        <f>IF(C199,C199*E199*G199,"")</f>
        <v/>
      </c>
      <c r="L199" t="inlineStr">
        <is>
          <t>Sqm</t>
        </is>
      </c>
    </row>
    <row r="200">
      <c r="B200" t="inlineStr">
        <is>
          <t>V1</t>
        </is>
      </c>
      <c r="C200" t="n">
        <v>3</v>
      </c>
      <c r="D200" t="inlineStr">
        <is>
          <t>x</t>
        </is>
      </c>
      <c r="E200" t="n">
        <v>0.75</v>
      </c>
      <c r="F200" t="inlineStr">
        <is>
          <t>x</t>
        </is>
      </c>
      <c r="G200" t="n">
        <v>0.9</v>
      </c>
      <c r="J200" t="inlineStr">
        <is>
          <t>=</t>
        </is>
      </c>
      <c r="K200">
        <f>IF(C200,C200*E200*G200,"")</f>
        <v/>
      </c>
      <c r="L200" t="inlineStr">
        <is>
          <t>Sqm</t>
        </is>
      </c>
    </row>
    <row r="201">
      <c r="B201" t="inlineStr">
        <is>
          <t>V2</t>
        </is>
      </c>
      <c r="C201" t="n">
        <v>3</v>
      </c>
      <c r="D201" t="inlineStr">
        <is>
          <t>x</t>
        </is>
      </c>
      <c r="E201" t="n">
        <v>0.6</v>
      </c>
      <c r="F201" t="inlineStr">
        <is>
          <t>x</t>
        </is>
      </c>
      <c r="G201" t="n">
        <v>0.9</v>
      </c>
      <c r="J201" t="inlineStr">
        <is>
          <t>=</t>
        </is>
      </c>
      <c r="K201">
        <f>IF(C201,C201*E201*G201,"")</f>
        <v/>
      </c>
      <c r="L201" t="inlineStr">
        <is>
          <t>Sqm</t>
        </is>
      </c>
    </row>
    <row r="202">
      <c r="B202" t="inlineStr">
        <is>
          <t>Rolling Shutter</t>
        </is>
      </c>
      <c r="C202" t="n">
        <v>1</v>
      </c>
      <c r="D202" t="inlineStr">
        <is>
          <t>x</t>
        </is>
      </c>
      <c r="E202" t="n">
        <v>2.7</v>
      </c>
      <c r="F202" t="inlineStr">
        <is>
          <t>x</t>
        </is>
      </c>
      <c r="G202" t="n">
        <v>0.9</v>
      </c>
      <c r="J202" t="inlineStr">
        <is>
          <t>=</t>
        </is>
      </c>
      <c r="K202">
        <f>IF(C202,C202*E202*G202,"")</f>
        <v/>
      </c>
      <c r="L202" t="inlineStr">
        <is>
          <t>Sqm</t>
        </is>
      </c>
    </row>
    <row r="203">
      <c r="B203" t="inlineStr">
        <is>
          <t>D3</t>
        </is>
      </c>
      <c r="C203" t="n">
        <v>2</v>
      </c>
      <c r="D203" t="inlineStr">
        <is>
          <t>x</t>
        </is>
      </c>
      <c r="E203" t="n">
        <v>0.75</v>
      </c>
      <c r="F203" t="inlineStr">
        <is>
          <t>x</t>
        </is>
      </c>
      <c r="G203" t="n">
        <v>0.75</v>
      </c>
      <c r="J203" t="inlineStr">
        <is>
          <t>=</t>
        </is>
      </c>
      <c r="K203">
        <f>IF(C203,C203*E203*G203,"")</f>
        <v/>
      </c>
      <c r="L203" t="inlineStr">
        <is>
          <t>Sqm</t>
        </is>
      </c>
    </row>
    <row r="204">
      <c r="B204" t="inlineStr">
        <is>
          <t>W2</t>
        </is>
      </c>
      <c r="C204" t="n">
        <v>1</v>
      </c>
      <c r="D204" t="inlineStr">
        <is>
          <t>x</t>
        </is>
      </c>
      <c r="E204" t="n">
        <v>0.9</v>
      </c>
      <c r="F204" t="inlineStr">
        <is>
          <t>x</t>
        </is>
      </c>
      <c r="G204" t="n">
        <v>0.75</v>
      </c>
      <c r="J204" t="inlineStr">
        <is>
          <t>=</t>
        </is>
      </c>
      <c r="K204">
        <f>IF(C204,C204*E204*G204,"")</f>
        <v/>
      </c>
      <c r="L204" t="inlineStr">
        <is>
          <t>Sqm</t>
        </is>
      </c>
    </row>
    <row r="205">
      <c r="B205" t="inlineStr">
        <is>
          <t>V</t>
        </is>
      </c>
      <c r="C205" t="n">
        <v>1</v>
      </c>
      <c r="D205" t="inlineStr">
        <is>
          <t>x</t>
        </is>
      </c>
      <c r="E205" t="n">
        <v>1.05</v>
      </c>
      <c r="F205" t="inlineStr">
        <is>
          <t>x</t>
        </is>
      </c>
      <c r="G205" t="n">
        <v>0.75</v>
      </c>
      <c r="J205" t="inlineStr">
        <is>
          <t>=</t>
        </is>
      </c>
      <c r="K205">
        <f>IF(C205,C205*E205*G205,"")</f>
        <v/>
      </c>
      <c r="L205" t="inlineStr">
        <is>
          <t>Sqm</t>
        </is>
      </c>
    </row>
    <row r="206">
      <c r="B206" t="inlineStr">
        <is>
          <t>Total Shuttering of sunshades in GF</t>
        </is>
      </c>
      <c r="C206">
        <f>SUM(K196:K205)</f>
        <v/>
      </c>
      <c r="G206" t="inlineStr">
        <is>
          <t>Sqm</t>
        </is>
      </c>
    </row>
    <row r="207">
      <c r="B207" t="inlineStr">
        <is>
          <t>Beams</t>
        </is>
      </c>
    </row>
    <row r="208">
      <c r="B208" t="inlineStr">
        <is>
          <t>FS Garage</t>
        </is>
      </c>
      <c r="C208" t="n">
        <v>4</v>
      </c>
      <c r="D208" t="inlineStr">
        <is>
          <t>x</t>
        </is>
      </c>
      <c r="E208" t="n">
        <v>5.5</v>
      </c>
      <c r="F208" t="inlineStr">
        <is>
          <t>x</t>
        </is>
      </c>
      <c r="G208" t="n">
        <v>0.45</v>
      </c>
      <c r="J208" t="inlineStr">
        <is>
          <t>=</t>
        </is>
      </c>
      <c r="K208">
        <f>IF(C208,C208*E208*G208,"")</f>
        <v/>
      </c>
      <c r="L208" t="inlineStr">
        <is>
          <t>Sqm</t>
        </is>
      </c>
    </row>
    <row r="209">
      <c r="C209" t="n">
        <v>2</v>
      </c>
      <c r="D209" t="inlineStr">
        <is>
          <t>x</t>
        </is>
      </c>
      <c r="E209" t="n">
        <v>3.6</v>
      </c>
      <c r="F209" t="inlineStr">
        <is>
          <t>x</t>
        </is>
      </c>
      <c r="G209" t="n">
        <v>0.45</v>
      </c>
      <c r="J209" t="inlineStr">
        <is>
          <t>=</t>
        </is>
      </c>
      <c r="K209">
        <f>IF(C209,C209*E209*G209,"")</f>
        <v/>
      </c>
      <c r="L209" t="inlineStr">
        <is>
          <t>Sqm</t>
        </is>
      </c>
    </row>
    <row r="210">
      <c r="B210" t="inlineStr">
        <is>
          <t>Staircase</t>
        </is>
      </c>
      <c r="C210" t="n">
        <v>8</v>
      </c>
      <c r="D210" t="inlineStr">
        <is>
          <t>x</t>
        </is>
      </c>
      <c r="E210" t="n">
        <v>2.55</v>
      </c>
      <c r="F210" t="inlineStr">
        <is>
          <t>x</t>
        </is>
      </c>
      <c r="G210" t="n">
        <v>0.3</v>
      </c>
      <c r="J210" t="inlineStr">
        <is>
          <t>=</t>
        </is>
      </c>
      <c r="K210">
        <f>IF(C210,C210*E210*G210,"")</f>
        <v/>
      </c>
      <c r="L210" t="inlineStr">
        <is>
          <t>Sqm</t>
        </is>
      </c>
    </row>
    <row r="211">
      <c r="B211" t="inlineStr">
        <is>
          <t>Library</t>
        </is>
      </c>
      <c r="C211" t="n">
        <v>4</v>
      </c>
      <c r="D211" t="inlineStr">
        <is>
          <t>x</t>
        </is>
      </c>
      <c r="E211" t="n">
        <v>6</v>
      </c>
      <c r="F211" t="inlineStr">
        <is>
          <t>x</t>
        </is>
      </c>
      <c r="G211" t="n">
        <v>0.45</v>
      </c>
      <c r="J211" t="inlineStr">
        <is>
          <t>=</t>
        </is>
      </c>
      <c r="K211">
        <f>IF(C211,C211*E211*G211,"")</f>
        <v/>
      </c>
      <c r="L211" t="inlineStr">
        <is>
          <t>Sqm</t>
        </is>
      </c>
    </row>
    <row r="212">
      <c r="B212" t="inlineStr">
        <is>
          <t>Verandah</t>
        </is>
      </c>
      <c r="C212" t="n">
        <v>2</v>
      </c>
      <c r="D212" t="inlineStr">
        <is>
          <t>x</t>
        </is>
      </c>
      <c r="E212" t="n">
        <v>4.8</v>
      </c>
      <c r="F212" t="inlineStr">
        <is>
          <t>x</t>
        </is>
      </c>
      <c r="G212" t="n">
        <v>0.75</v>
      </c>
      <c r="J212" t="inlineStr">
        <is>
          <t>=</t>
        </is>
      </c>
      <c r="K212">
        <f>IF(C212,C212*E212*G212,"")</f>
        <v/>
      </c>
      <c r="L212" t="inlineStr">
        <is>
          <t>Sqm</t>
        </is>
      </c>
    </row>
    <row r="213">
      <c r="B213" t="inlineStr">
        <is>
          <t>Verandah</t>
        </is>
      </c>
      <c r="C213" t="n">
        <v>2</v>
      </c>
      <c r="D213" t="inlineStr">
        <is>
          <t>x</t>
        </is>
      </c>
      <c r="E213" t="n">
        <v>2.15</v>
      </c>
      <c r="F213" t="inlineStr">
        <is>
          <t>x</t>
        </is>
      </c>
      <c r="G213" t="n">
        <v>0.75</v>
      </c>
      <c r="J213" t="inlineStr">
        <is>
          <t>=</t>
        </is>
      </c>
      <c r="K213">
        <f>IF(C213,C213*E213*G213,"")</f>
        <v/>
      </c>
      <c r="L213" t="inlineStr">
        <is>
          <t>Sqm</t>
        </is>
      </c>
    </row>
    <row r="214">
      <c r="B214" t="inlineStr">
        <is>
          <t>Dining</t>
        </is>
      </c>
      <c r="C214" t="n">
        <v>4</v>
      </c>
      <c r="D214" t="inlineStr">
        <is>
          <t>x</t>
        </is>
      </c>
      <c r="E214" t="n">
        <v>4.8</v>
      </c>
      <c r="F214" t="inlineStr">
        <is>
          <t>x</t>
        </is>
      </c>
      <c r="G214" t="n">
        <v>0.3</v>
      </c>
      <c r="J214" t="inlineStr">
        <is>
          <t>=</t>
        </is>
      </c>
      <c r="K214">
        <f>IF(C214,C214*E214*G214,"")</f>
        <v/>
      </c>
      <c r="L214" t="inlineStr">
        <is>
          <t>Sqm</t>
        </is>
      </c>
    </row>
    <row r="215">
      <c r="B215" t="inlineStr">
        <is>
          <t>Back Platform</t>
        </is>
      </c>
      <c r="C215" t="n">
        <v>2</v>
      </c>
      <c r="D215" t="inlineStr">
        <is>
          <t>x</t>
        </is>
      </c>
      <c r="E215" t="n">
        <v>4.8</v>
      </c>
      <c r="F215" t="inlineStr">
        <is>
          <t>x</t>
        </is>
      </c>
      <c r="G215" t="n">
        <v>0.75</v>
      </c>
      <c r="J215" t="inlineStr">
        <is>
          <t>=</t>
        </is>
      </c>
      <c r="K215">
        <f>IF(C215,C215*E215*G215,"")</f>
        <v/>
      </c>
      <c r="L215" t="inlineStr">
        <is>
          <t>Sqm</t>
        </is>
      </c>
    </row>
    <row r="216">
      <c r="C216" t="n">
        <v>4</v>
      </c>
      <c r="D216" t="inlineStr">
        <is>
          <t>x</t>
        </is>
      </c>
      <c r="E216" t="n">
        <v>0.6</v>
      </c>
      <c r="F216" t="inlineStr">
        <is>
          <t>x</t>
        </is>
      </c>
      <c r="G216" t="n">
        <v>0.75</v>
      </c>
      <c r="J216" t="inlineStr">
        <is>
          <t>=</t>
        </is>
      </c>
      <c r="K216">
        <f>IF(C216,C216*E216*G216,"")</f>
        <v/>
      </c>
      <c r="L216" t="inlineStr">
        <is>
          <t>Sqm</t>
        </is>
      </c>
    </row>
    <row r="217">
      <c r="B217" t="inlineStr">
        <is>
          <t>Bed Corner</t>
        </is>
      </c>
      <c r="C217" t="n">
        <v>2</v>
      </c>
      <c r="D217" t="inlineStr">
        <is>
          <t>x</t>
        </is>
      </c>
      <c r="E217" t="n">
        <v>4.8</v>
      </c>
      <c r="F217" t="inlineStr">
        <is>
          <t>x</t>
        </is>
      </c>
      <c r="G217" t="n">
        <v>0.3</v>
      </c>
      <c r="J217" t="inlineStr">
        <is>
          <t>=</t>
        </is>
      </c>
      <c r="K217">
        <f>IF(C217,C217*E217*G217,"")</f>
        <v/>
      </c>
      <c r="L217" t="inlineStr">
        <is>
          <t>Sqm</t>
        </is>
      </c>
    </row>
    <row r="218">
      <c r="B218" t="inlineStr">
        <is>
          <t>Staircase base beam</t>
        </is>
      </c>
      <c r="C218" t="n">
        <v>2</v>
      </c>
      <c r="D218" t="inlineStr">
        <is>
          <t>x</t>
        </is>
      </c>
      <c r="E218" t="n">
        <v>0.9</v>
      </c>
      <c r="F218" t="inlineStr">
        <is>
          <t>x</t>
        </is>
      </c>
      <c r="G218" t="n">
        <v>0.3</v>
      </c>
      <c r="J218" t="inlineStr">
        <is>
          <t>=</t>
        </is>
      </c>
      <c r="K218">
        <f>IF(C218,C218*E218*G218,"")</f>
        <v/>
      </c>
      <c r="L218" t="inlineStr">
        <is>
          <t>Sqm</t>
        </is>
      </c>
    </row>
    <row r="219">
      <c r="C219" t="n">
        <v>2</v>
      </c>
      <c r="D219" t="inlineStr">
        <is>
          <t>x</t>
        </is>
      </c>
      <c r="E219" t="n">
        <v>0.3</v>
      </c>
      <c r="F219" t="inlineStr">
        <is>
          <t>x</t>
        </is>
      </c>
      <c r="G219" t="n">
        <v>0.3</v>
      </c>
      <c r="J219" t="inlineStr">
        <is>
          <t>=</t>
        </is>
      </c>
      <c r="K219">
        <f>IF(C219,C219*E219*G219,"")</f>
        <v/>
      </c>
      <c r="L219" t="inlineStr">
        <is>
          <t>Sqm</t>
        </is>
      </c>
    </row>
    <row r="220">
      <c r="B220" t="inlineStr">
        <is>
          <t>First Floor</t>
        </is>
      </c>
      <c r="C220" t="n">
        <v>2</v>
      </c>
      <c r="D220" t="inlineStr">
        <is>
          <t>x</t>
        </is>
      </c>
      <c r="E220" t="n">
        <v>3.6</v>
      </c>
      <c r="F220" t="inlineStr">
        <is>
          <t>x</t>
        </is>
      </c>
      <c r="G220" t="n">
        <v>0.3</v>
      </c>
      <c r="J220" t="inlineStr">
        <is>
          <t>=</t>
        </is>
      </c>
      <c r="K220">
        <f>IF(C220,C220*E220*G220,"")</f>
        <v/>
      </c>
      <c r="L220" t="inlineStr">
        <is>
          <t>Sqm</t>
        </is>
      </c>
    </row>
    <row r="221">
      <c r="C221" t="n">
        <v>2</v>
      </c>
      <c r="D221" t="inlineStr">
        <is>
          <t>x</t>
        </is>
      </c>
      <c r="E221" t="n">
        <v>3.6</v>
      </c>
      <c r="F221" t="inlineStr">
        <is>
          <t>x</t>
        </is>
      </c>
      <c r="G221" t="n">
        <v>0.75</v>
      </c>
      <c r="J221" t="inlineStr">
        <is>
          <t>=</t>
        </is>
      </c>
      <c r="K221">
        <f>IF(C221,C221*E221*G221,"")</f>
        <v/>
      </c>
      <c r="L221" t="inlineStr">
        <is>
          <t>Sqm</t>
        </is>
      </c>
    </row>
    <row r="222">
      <c r="C222" t="n">
        <v>2</v>
      </c>
      <c r="D222" t="inlineStr">
        <is>
          <t>x</t>
        </is>
      </c>
      <c r="E222" t="n">
        <v>1.8</v>
      </c>
      <c r="F222" t="inlineStr">
        <is>
          <t>x</t>
        </is>
      </c>
      <c r="G222" t="n">
        <v>0.75</v>
      </c>
      <c r="J222" t="inlineStr">
        <is>
          <t>=</t>
        </is>
      </c>
      <c r="K222">
        <f>IF(C222,C222*E222*G222,"")</f>
        <v/>
      </c>
      <c r="L222" t="inlineStr">
        <is>
          <t>Sqm</t>
        </is>
      </c>
    </row>
    <row r="223">
      <c r="B223" t="inlineStr">
        <is>
          <t>Kitchen Platform</t>
        </is>
      </c>
      <c r="C223" t="n">
        <v>1</v>
      </c>
      <c r="D223" t="inlineStr">
        <is>
          <t>x</t>
        </is>
      </c>
      <c r="E223" t="n">
        <v>7</v>
      </c>
      <c r="F223" t="inlineStr">
        <is>
          <t>x</t>
        </is>
      </c>
      <c r="G223" t="n">
        <v>0.75</v>
      </c>
      <c r="J223" t="inlineStr">
        <is>
          <t>=</t>
        </is>
      </c>
      <c r="K223">
        <f>IF(C223,C223*E223*G223,"")</f>
        <v/>
      </c>
      <c r="L223" t="inlineStr">
        <is>
          <t>Sqm</t>
        </is>
      </c>
    </row>
    <row r="224">
      <c r="B224" t="inlineStr">
        <is>
          <t>Cup Boards</t>
        </is>
      </c>
    </row>
    <row r="225">
      <c r="C225" t="n">
        <v>1</v>
      </c>
      <c r="D225" t="inlineStr">
        <is>
          <t>x</t>
        </is>
      </c>
      <c r="E225" t="n">
        <v>2.1</v>
      </c>
      <c r="F225" t="inlineStr">
        <is>
          <t>x</t>
        </is>
      </c>
      <c r="G225" t="n">
        <v>0.6</v>
      </c>
      <c r="J225" t="inlineStr">
        <is>
          <t>=</t>
        </is>
      </c>
      <c r="K225">
        <f>IF(C225,C225*E225*G225,"")</f>
        <v/>
      </c>
      <c r="L225" t="inlineStr">
        <is>
          <t>Sqm</t>
        </is>
      </c>
    </row>
    <row r="226">
      <c r="C226" t="n">
        <v>2</v>
      </c>
      <c r="D226" t="inlineStr">
        <is>
          <t>x</t>
        </is>
      </c>
      <c r="E226" t="n">
        <v>1.8</v>
      </c>
      <c r="F226" t="inlineStr">
        <is>
          <t>x</t>
        </is>
      </c>
      <c r="G226" t="n">
        <v>0.6</v>
      </c>
      <c r="J226" t="inlineStr">
        <is>
          <t>=</t>
        </is>
      </c>
      <c r="K226">
        <f>IF(C226,C226*E226*G226,"")</f>
        <v/>
      </c>
      <c r="L226" t="inlineStr">
        <is>
          <t>Sqm</t>
        </is>
      </c>
    </row>
    <row r="227">
      <c r="C227" t="n">
        <v>2</v>
      </c>
      <c r="D227" t="inlineStr">
        <is>
          <t>x</t>
        </is>
      </c>
      <c r="E227" t="n">
        <v>1.5</v>
      </c>
      <c r="F227" t="inlineStr">
        <is>
          <t>x</t>
        </is>
      </c>
      <c r="G227" t="n">
        <v>0.6</v>
      </c>
      <c r="J227" t="inlineStr">
        <is>
          <t>=</t>
        </is>
      </c>
      <c r="K227">
        <f>IF(C227,C227*E227*G227,"")</f>
        <v/>
      </c>
      <c r="L227" t="inlineStr">
        <is>
          <t>Sqm</t>
        </is>
      </c>
    </row>
    <row r="228">
      <c r="C228" t="n">
        <v>2</v>
      </c>
      <c r="D228" t="inlineStr">
        <is>
          <t>x</t>
        </is>
      </c>
      <c r="E228" t="n">
        <v>1.35</v>
      </c>
      <c r="F228" t="inlineStr">
        <is>
          <t>x</t>
        </is>
      </c>
      <c r="G228" t="n">
        <v>0.6</v>
      </c>
      <c r="J228" t="inlineStr">
        <is>
          <t>=</t>
        </is>
      </c>
      <c r="K228">
        <f>IF(C228,C228*E228*G228,"")</f>
        <v/>
      </c>
      <c r="L228" t="inlineStr">
        <is>
          <t>Sqm</t>
        </is>
      </c>
    </row>
    <row r="229">
      <c r="C229" t="n">
        <v>3</v>
      </c>
      <c r="D229" t="inlineStr">
        <is>
          <t>x</t>
        </is>
      </c>
      <c r="E229" t="n">
        <v>0.75</v>
      </c>
      <c r="F229" t="inlineStr">
        <is>
          <t>x</t>
        </is>
      </c>
      <c r="G229" t="n">
        <v>0.6</v>
      </c>
      <c r="J229" t="inlineStr">
        <is>
          <t>=</t>
        </is>
      </c>
      <c r="K229">
        <f>IF(C229,C229*E229*G229,"")</f>
        <v/>
      </c>
      <c r="L229" t="inlineStr">
        <is>
          <t>Sqm</t>
        </is>
      </c>
    </row>
    <row r="230">
      <c r="B230" t="inlineStr">
        <is>
          <t>Slabs</t>
        </is>
      </c>
    </row>
    <row r="231">
      <c r="B231" t="inlineStr">
        <is>
          <t>Servant Room</t>
        </is>
      </c>
      <c r="C231" t="n">
        <v>1</v>
      </c>
      <c r="D231" t="inlineStr">
        <is>
          <t>x</t>
        </is>
      </c>
      <c r="E231" t="n">
        <v>3.05</v>
      </c>
      <c r="F231" t="inlineStr">
        <is>
          <t>x</t>
        </is>
      </c>
      <c r="G231" t="n">
        <v>2.44</v>
      </c>
      <c r="J231" t="inlineStr">
        <is>
          <t>=</t>
        </is>
      </c>
      <c r="K231">
        <f>IF(C231,C231*E231*G231,"")</f>
        <v/>
      </c>
      <c r="L231" t="inlineStr">
        <is>
          <t>Sqm</t>
        </is>
      </c>
    </row>
    <row r="232">
      <c r="B232" t="inlineStr">
        <is>
          <t>WC</t>
        </is>
      </c>
      <c r="C232" t="n">
        <v>1</v>
      </c>
      <c r="D232" t="inlineStr">
        <is>
          <t>x</t>
        </is>
      </c>
      <c r="E232" t="n">
        <v>1.53</v>
      </c>
      <c r="F232" t="inlineStr">
        <is>
          <t>x</t>
        </is>
      </c>
      <c r="G232" t="n">
        <v>1</v>
      </c>
      <c r="J232" t="inlineStr">
        <is>
          <t>=</t>
        </is>
      </c>
      <c r="K232">
        <f>IF(C232,C232*E232*G232,"")</f>
        <v/>
      </c>
      <c r="L232" t="inlineStr">
        <is>
          <t>Sqm</t>
        </is>
      </c>
    </row>
    <row r="233">
      <c r="B233" t="inlineStr">
        <is>
          <t>Garage</t>
        </is>
      </c>
      <c r="C233" t="n">
        <v>1</v>
      </c>
      <c r="D233" t="inlineStr">
        <is>
          <t>x</t>
        </is>
      </c>
      <c r="E233" t="n">
        <v>3.05</v>
      </c>
      <c r="F233" t="inlineStr">
        <is>
          <t>x</t>
        </is>
      </c>
      <c r="G233" t="n">
        <v>5.19</v>
      </c>
      <c r="J233" t="inlineStr">
        <is>
          <t>=</t>
        </is>
      </c>
      <c r="K233">
        <f>IF(C233,C233*E233*G233,"")</f>
        <v/>
      </c>
      <c r="L233" t="inlineStr">
        <is>
          <t>Sqm</t>
        </is>
      </c>
    </row>
    <row r="234">
      <c r="B234" t="inlineStr">
        <is>
          <t>Kitchen</t>
        </is>
      </c>
      <c r="C234" t="n">
        <v>1</v>
      </c>
      <c r="D234" t="inlineStr">
        <is>
          <t>x</t>
        </is>
      </c>
      <c r="E234" t="n">
        <v>3.97</v>
      </c>
      <c r="F234" t="inlineStr">
        <is>
          <t>x</t>
        </is>
      </c>
      <c r="G234" t="n">
        <v>3.97</v>
      </c>
      <c r="J234" t="inlineStr">
        <is>
          <t>=</t>
        </is>
      </c>
      <c r="K234">
        <f>IF(C234,C234*E234*G234,"")</f>
        <v/>
      </c>
      <c r="L234" t="inlineStr">
        <is>
          <t>Sqm</t>
        </is>
      </c>
    </row>
    <row r="235">
      <c r="B235" t="inlineStr">
        <is>
          <t>Staircase</t>
        </is>
      </c>
      <c r="C235" t="n">
        <v>1</v>
      </c>
      <c r="D235" t="inlineStr">
        <is>
          <t>x</t>
        </is>
      </c>
      <c r="E235" t="n">
        <v>2.9</v>
      </c>
      <c r="F235" t="inlineStr">
        <is>
          <t>x</t>
        </is>
      </c>
      <c r="G235" t="n">
        <v>1.99</v>
      </c>
      <c r="J235" t="inlineStr">
        <is>
          <t>=</t>
        </is>
      </c>
      <c r="K235">
        <f>IF(C235,C235*E235*G235,"")</f>
        <v/>
      </c>
      <c r="L235" t="inlineStr">
        <is>
          <t>Sqm</t>
        </is>
      </c>
    </row>
    <row r="236">
      <c r="B236" t="inlineStr">
        <is>
          <t>Toilet</t>
        </is>
      </c>
      <c r="C236" t="n">
        <v>1</v>
      </c>
      <c r="D236" t="inlineStr">
        <is>
          <t>x</t>
        </is>
      </c>
      <c r="E236" t="n">
        <v>1.83</v>
      </c>
      <c r="F236" t="inlineStr">
        <is>
          <t>x</t>
        </is>
      </c>
      <c r="G236" t="n">
        <v>1.38</v>
      </c>
      <c r="J236" t="inlineStr">
        <is>
          <t>=</t>
        </is>
      </c>
      <c r="K236">
        <f>IF(C236,C236*E236*G236,"")</f>
        <v/>
      </c>
      <c r="L236" t="inlineStr">
        <is>
          <t>Sqm</t>
        </is>
      </c>
    </row>
    <row r="237">
      <c r="B237" t="inlineStr">
        <is>
          <t>Library</t>
        </is>
      </c>
      <c r="C237" t="n">
        <v>1</v>
      </c>
      <c r="D237" t="inlineStr">
        <is>
          <t>x</t>
        </is>
      </c>
      <c r="E237" t="n">
        <v>3.66</v>
      </c>
      <c r="F237" t="inlineStr">
        <is>
          <t>x</t>
        </is>
      </c>
      <c r="G237" t="n">
        <v>3.05</v>
      </c>
      <c r="J237" t="inlineStr">
        <is>
          <t>=</t>
        </is>
      </c>
      <c r="K237">
        <f>IF(C237,C237*E237*G237,"")</f>
        <v/>
      </c>
      <c r="L237" t="inlineStr">
        <is>
          <t>Sqm</t>
        </is>
      </c>
    </row>
    <row r="238">
      <c r="B238" t="inlineStr">
        <is>
          <t>Verandah</t>
        </is>
      </c>
      <c r="C238" t="n">
        <v>1</v>
      </c>
      <c r="D238" t="inlineStr">
        <is>
          <t>x</t>
        </is>
      </c>
      <c r="E238" t="n">
        <v>4.27</v>
      </c>
      <c r="F238" t="inlineStr">
        <is>
          <t>x</t>
        </is>
      </c>
      <c r="G238" t="n">
        <v>1.83</v>
      </c>
      <c r="J238" t="inlineStr">
        <is>
          <t>=</t>
        </is>
      </c>
      <c r="K238">
        <f>IF(C238,C238*E238*G238,"")</f>
        <v/>
      </c>
      <c r="L238" t="inlineStr">
        <is>
          <t>Sqm</t>
        </is>
      </c>
    </row>
    <row r="239">
      <c r="B239" t="inlineStr">
        <is>
          <t>Canopy</t>
        </is>
      </c>
      <c r="C239" t="n">
        <v>1</v>
      </c>
      <c r="D239" t="inlineStr">
        <is>
          <t>x</t>
        </is>
      </c>
      <c r="E239" t="n">
        <v>6</v>
      </c>
      <c r="F239" t="inlineStr">
        <is>
          <t>x</t>
        </is>
      </c>
      <c r="G239" t="n">
        <v>2.4</v>
      </c>
      <c r="J239" t="inlineStr">
        <is>
          <t>=</t>
        </is>
      </c>
      <c r="K239">
        <f>IF(C239,C239*E239*G239,"")</f>
        <v/>
      </c>
      <c r="L239" t="inlineStr">
        <is>
          <t>Sqm</t>
        </is>
      </c>
    </row>
    <row r="240">
      <c r="B240" t="inlineStr">
        <is>
          <t>Platform</t>
        </is>
      </c>
      <c r="C240" t="n">
        <v>1</v>
      </c>
      <c r="D240" t="inlineStr">
        <is>
          <t>x</t>
        </is>
      </c>
      <c r="E240" t="n">
        <v>4.27</v>
      </c>
      <c r="F240" t="inlineStr">
        <is>
          <t>x</t>
        </is>
      </c>
      <c r="G240" t="n">
        <v>1.68</v>
      </c>
      <c r="J240" t="inlineStr">
        <is>
          <t>=</t>
        </is>
      </c>
      <c r="K240">
        <f>IF(C240,C240*E240*G240,"")</f>
        <v/>
      </c>
      <c r="L240" t="inlineStr">
        <is>
          <t>Sqm</t>
        </is>
      </c>
    </row>
    <row r="241">
      <c r="B241" t="inlineStr">
        <is>
          <t>Dining</t>
        </is>
      </c>
      <c r="C241" t="n">
        <v>1</v>
      </c>
      <c r="D241" t="inlineStr">
        <is>
          <t>x</t>
        </is>
      </c>
      <c r="E241" t="n">
        <v>4.27</v>
      </c>
      <c r="F241" t="inlineStr">
        <is>
          <t>x</t>
        </is>
      </c>
      <c r="G241" t="n">
        <v>6.86</v>
      </c>
      <c r="J241" t="inlineStr">
        <is>
          <t>=</t>
        </is>
      </c>
      <c r="K241">
        <f>IF(C241,C241*E241*G241,"")</f>
        <v/>
      </c>
      <c r="L241" t="inlineStr">
        <is>
          <t>Sqm</t>
        </is>
      </c>
    </row>
    <row r="242">
      <c r="B242" t="inlineStr">
        <is>
          <t>Living</t>
        </is>
      </c>
      <c r="C242" t="n">
        <v>1</v>
      </c>
      <c r="D242" t="inlineStr">
        <is>
          <t>x</t>
        </is>
      </c>
      <c r="E242" t="n">
        <v>4.27</v>
      </c>
      <c r="F242" t="inlineStr">
        <is>
          <t>x</t>
        </is>
      </c>
      <c r="G242" t="n">
        <v>4.58</v>
      </c>
      <c r="J242" t="inlineStr">
        <is>
          <t>=</t>
        </is>
      </c>
      <c r="K242">
        <f>IF(C242,C242*E242*G242,"")</f>
        <v/>
      </c>
      <c r="L242" t="inlineStr">
        <is>
          <t>Sqm</t>
        </is>
      </c>
    </row>
    <row r="243">
      <c r="B243" t="inlineStr">
        <is>
          <t>Bed Rm</t>
        </is>
      </c>
      <c r="C243" t="n">
        <v>1</v>
      </c>
      <c r="D243" t="inlineStr">
        <is>
          <t>x</t>
        </is>
      </c>
      <c r="E243" t="n">
        <v>4.27</v>
      </c>
      <c r="F243" t="inlineStr">
        <is>
          <t>x</t>
        </is>
      </c>
      <c r="G243" t="n">
        <v>3.66</v>
      </c>
      <c r="J243" t="inlineStr">
        <is>
          <t>=</t>
        </is>
      </c>
      <c r="K243">
        <f>IF(C243,C243*E243*G243,"")</f>
        <v/>
      </c>
      <c r="L243" t="inlineStr">
        <is>
          <t>Sqm</t>
        </is>
      </c>
    </row>
    <row r="244">
      <c r="B244" t="inlineStr">
        <is>
          <t>Toilet</t>
        </is>
      </c>
      <c r="C244" t="n">
        <v>2</v>
      </c>
      <c r="D244" t="inlineStr">
        <is>
          <t>x</t>
        </is>
      </c>
      <c r="E244" t="n">
        <v>2.44</v>
      </c>
      <c r="F244" t="inlineStr">
        <is>
          <t>x</t>
        </is>
      </c>
      <c r="G244" t="n">
        <v>1.68</v>
      </c>
      <c r="J244" t="inlineStr">
        <is>
          <t>=</t>
        </is>
      </c>
      <c r="K244">
        <f>IF(C244,C244*E244*G244,"")</f>
        <v/>
      </c>
      <c r="L244" t="inlineStr">
        <is>
          <t>Sqm</t>
        </is>
      </c>
    </row>
    <row r="245">
      <c r="B245" t="inlineStr">
        <is>
          <t>Bed Rm</t>
        </is>
      </c>
      <c r="C245" t="n">
        <v>1</v>
      </c>
      <c r="D245" t="inlineStr">
        <is>
          <t>x</t>
        </is>
      </c>
      <c r="E245" t="n">
        <v>4.27</v>
      </c>
      <c r="F245" t="inlineStr">
        <is>
          <t>x</t>
        </is>
      </c>
      <c r="G245" t="n">
        <v>3.66</v>
      </c>
      <c r="J245" t="inlineStr">
        <is>
          <t>=</t>
        </is>
      </c>
      <c r="K245">
        <f>IF(C245,C245*E245*G245,"")</f>
        <v/>
      </c>
      <c r="L245" t="inlineStr">
        <is>
          <t>Sqm</t>
        </is>
      </c>
    </row>
    <row r="246">
      <c r="B246" t="inlineStr">
        <is>
          <t>First Floor</t>
        </is>
      </c>
      <c r="C246" t="n">
        <v>1</v>
      </c>
      <c r="D246" t="inlineStr">
        <is>
          <t>x</t>
        </is>
      </c>
      <c r="E246" t="n">
        <v>12</v>
      </c>
      <c r="F246" t="inlineStr">
        <is>
          <t>x</t>
        </is>
      </c>
      <c r="G246" t="n">
        <v>3.6</v>
      </c>
      <c r="J246" t="inlineStr">
        <is>
          <t>=</t>
        </is>
      </c>
      <c r="K246">
        <f>IF(C246,C246*E246*G246,"")</f>
        <v/>
      </c>
      <c r="L246" t="inlineStr">
        <is>
          <t>Sqm</t>
        </is>
      </c>
    </row>
    <row r="247">
      <c r="C247" t="n">
        <v>1</v>
      </c>
      <c r="D247" t="inlineStr">
        <is>
          <t>x</t>
        </is>
      </c>
      <c r="E247" t="n">
        <v>4.2</v>
      </c>
      <c r="F247" t="inlineStr">
        <is>
          <t>x</t>
        </is>
      </c>
      <c r="G247" t="n">
        <v>3.3</v>
      </c>
      <c r="J247" t="inlineStr">
        <is>
          <t>=</t>
        </is>
      </c>
      <c r="K247">
        <f>IF(C247,C247*E247*G247,"")</f>
        <v/>
      </c>
      <c r="L247" t="inlineStr">
        <is>
          <t>Sqm</t>
        </is>
      </c>
    </row>
    <row r="248">
      <c r="B248" t="inlineStr">
        <is>
          <t>Staircase</t>
        </is>
      </c>
      <c r="C248" t="n">
        <v>4</v>
      </c>
      <c r="D248" t="inlineStr">
        <is>
          <t>x</t>
        </is>
      </c>
      <c r="E248" t="n">
        <v>4.53</v>
      </c>
      <c r="F248" t="inlineStr">
        <is>
          <t>x</t>
        </is>
      </c>
      <c r="G248" t="n">
        <v>0.9</v>
      </c>
      <c r="J248" t="inlineStr">
        <is>
          <t>=</t>
        </is>
      </c>
      <c r="K248">
        <f>IF(C248,C248*E248*G248,"")</f>
        <v/>
      </c>
      <c r="L248" t="inlineStr">
        <is>
          <t>Sqm</t>
        </is>
      </c>
    </row>
    <row r="249">
      <c r="B249" t="inlineStr">
        <is>
          <t>Landing</t>
        </is>
      </c>
      <c r="C249" t="n">
        <v>2</v>
      </c>
      <c r="D249" t="inlineStr">
        <is>
          <t>x</t>
        </is>
      </c>
      <c r="E249" t="n">
        <v>1.95</v>
      </c>
      <c r="F249" t="inlineStr">
        <is>
          <t>x</t>
        </is>
      </c>
      <c r="G249" t="n">
        <v>0.9</v>
      </c>
      <c r="J249" t="inlineStr">
        <is>
          <t>=</t>
        </is>
      </c>
      <c r="K249">
        <f>IF(C249,C249*E249*G249,"")</f>
        <v/>
      </c>
      <c r="L249" t="inlineStr">
        <is>
          <t>Sqm</t>
        </is>
      </c>
    </row>
    <row r="250">
      <c r="G250" t="inlineStr">
        <is>
          <t>Total GF</t>
        </is>
      </c>
      <c r="K250">
        <f>SUM(K181:K249)</f>
        <v/>
      </c>
      <c r="L250" t="inlineStr">
        <is>
          <t>Sqm</t>
        </is>
      </c>
    </row>
    <row r="251">
      <c r="B251" t="inlineStr">
        <is>
          <t>Area Of Shuttering For Slab in GF</t>
        </is>
      </c>
      <c r="C251">
        <f>SUM(K231:K249)</f>
        <v/>
      </c>
      <c r="F251" t="inlineStr">
        <is>
          <t>Sqm</t>
        </is>
      </c>
    </row>
    <row r="252">
      <c r="A252" t="n">
        <v>13</v>
      </c>
      <c r="B252">
        <f>GF1_ABS!B22</f>
        <v/>
      </c>
    </row>
    <row r="253">
      <c r="B253" t="inlineStr">
        <is>
          <t>Beams</t>
        </is>
      </c>
    </row>
    <row r="254">
      <c r="B254" t="inlineStr">
        <is>
          <t>FS Garage</t>
        </is>
      </c>
      <c r="C254" t="n">
        <v>2</v>
      </c>
      <c r="D254" t="inlineStr">
        <is>
          <t>x</t>
        </is>
      </c>
      <c r="E254" t="n">
        <v>5.5</v>
      </c>
      <c r="F254" t="inlineStr">
        <is>
          <t>x</t>
        </is>
      </c>
      <c r="G254" t="n">
        <v>0.3</v>
      </c>
      <c r="H254" t="inlineStr">
        <is>
          <t>x</t>
        </is>
      </c>
      <c r="I254" t="n">
        <v>0.45</v>
      </c>
      <c r="J254" t="inlineStr">
        <is>
          <t>=</t>
        </is>
      </c>
      <c r="K254">
        <f>IF(C254,C254*E254*G254*I254,"")</f>
        <v/>
      </c>
      <c r="L254" t="inlineStr">
        <is>
          <t>Cum</t>
        </is>
      </c>
    </row>
    <row r="255">
      <c r="C255" t="n">
        <v>1</v>
      </c>
      <c r="D255" t="inlineStr">
        <is>
          <t>x</t>
        </is>
      </c>
      <c r="E255" t="n">
        <v>3.6</v>
      </c>
      <c r="F255" t="inlineStr">
        <is>
          <t>x</t>
        </is>
      </c>
      <c r="G255" t="n">
        <v>0.3</v>
      </c>
      <c r="H255" t="inlineStr">
        <is>
          <t>x</t>
        </is>
      </c>
      <c r="I255" t="n">
        <v>0.45</v>
      </c>
      <c r="J255" t="inlineStr">
        <is>
          <t>=</t>
        </is>
      </c>
      <c r="K255">
        <f>IF(C255,C255*E255*G255*I255,"")</f>
        <v/>
      </c>
      <c r="L255" t="inlineStr">
        <is>
          <t>Cum</t>
        </is>
      </c>
    </row>
    <row r="256">
      <c r="B256" t="inlineStr">
        <is>
          <t>Staircase</t>
        </is>
      </c>
      <c r="C256" t="n">
        <v>4</v>
      </c>
      <c r="D256" t="inlineStr">
        <is>
          <t>x</t>
        </is>
      </c>
      <c r="E256" t="n">
        <v>2.55</v>
      </c>
      <c r="F256" t="inlineStr">
        <is>
          <t>x</t>
        </is>
      </c>
      <c r="G256" t="n">
        <v>0.3</v>
      </c>
      <c r="H256" t="inlineStr">
        <is>
          <t>x</t>
        </is>
      </c>
      <c r="I256" t="n">
        <v>0.3</v>
      </c>
      <c r="J256" t="inlineStr">
        <is>
          <t>=</t>
        </is>
      </c>
      <c r="K256">
        <f>IF(C256,C256*E256*G256*I256,"")</f>
        <v/>
      </c>
      <c r="L256" t="inlineStr">
        <is>
          <t>Cum</t>
        </is>
      </c>
    </row>
    <row r="257">
      <c r="B257" t="inlineStr">
        <is>
          <t>Library</t>
        </is>
      </c>
      <c r="C257" t="n">
        <v>2</v>
      </c>
      <c r="D257" t="inlineStr">
        <is>
          <t>x</t>
        </is>
      </c>
      <c r="E257" t="n">
        <v>6</v>
      </c>
      <c r="F257" t="inlineStr">
        <is>
          <t>x</t>
        </is>
      </c>
      <c r="G257" t="n">
        <v>0.3</v>
      </c>
      <c r="H257" t="inlineStr">
        <is>
          <t>x</t>
        </is>
      </c>
      <c r="I257" t="n">
        <v>0.45</v>
      </c>
      <c r="J257" t="inlineStr">
        <is>
          <t>=</t>
        </is>
      </c>
      <c r="K257">
        <f>IF(C257,C257*E257*G257*I257,"")</f>
        <v/>
      </c>
      <c r="L257" t="inlineStr">
        <is>
          <t>Cum</t>
        </is>
      </c>
    </row>
    <row r="258">
      <c r="B258" t="inlineStr">
        <is>
          <t>Verandah</t>
        </is>
      </c>
      <c r="C258" t="n">
        <v>1</v>
      </c>
      <c r="D258" t="inlineStr">
        <is>
          <t>x</t>
        </is>
      </c>
      <c r="E258" t="n">
        <v>4.8</v>
      </c>
      <c r="F258" t="inlineStr">
        <is>
          <t>x</t>
        </is>
      </c>
      <c r="G258" t="n">
        <v>0.15</v>
      </c>
      <c r="H258" t="inlineStr">
        <is>
          <t>x</t>
        </is>
      </c>
      <c r="I258" t="n">
        <v>0.75</v>
      </c>
      <c r="J258" t="inlineStr">
        <is>
          <t>=</t>
        </is>
      </c>
      <c r="K258">
        <f>IF(C258,C258*E258*G258*I258,"")</f>
        <v/>
      </c>
      <c r="L258" t="inlineStr">
        <is>
          <t>Cum</t>
        </is>
      </c>
    </row>
    <row r="259">
      <c r="B259" t="inlineStr">
        <is>
          <t>Verandah</t>
        </is>
      </c>
      <c r="C259" t="n">
        <v>1</v>
      </c>
      <c r="D259" t="inlineStr">
        <is>
          <t>x</t>
        </is>
      </c>
      <c r="E259" t="n">
        <v>2.15</v>
      </c>
      <c r="F259" t="inlineStr">
        <is>
          <t>x</t>
        </is>
      </c>
      <c r="G259" t="n">
        <v>0.15</v>
      </c>
      <c r="H259" t="inlineStr">
        <is>
          <t>x</t>
        </is>
      </c>
      <c r="I259" t="n">
        <v>0.75</v>
      </c>
      <c r="J259" t="inlineStr">
        <is>
          <t>=</t>
        </is>
      </c>
      <c r="K259">
        <f>IF(C259,C259*E259*G259*I259,"")</f>
        <v/>
      </c>
      <c r="L259" t="inlineStr">
        <is>
          <t>Cum</t>
        </is>
      </c>
    </row>
    <row r="260">
      <c r="B260" t="inlineStr">
        <is>
          <t>Dining</t>
        </is>
      </c>
      <c r="C260" t="n">
        <v>2</v>
      </c>
      <c r="D260" t="inlineStr">
        <is>
          <t>x</t>
        </is>
      </c>
      <c r="E260" t="n">
        <v>4.8</v>
      </c>
      <c r="F260" t="inlineStr">
        <is>
          <t>x</t>
        </is>
      </c>
      <c r="G260" t="n">
        <v>0.3</v>
      </c>
      <c r="H260" t="inlineStr">
        <is>
          <t>x</t>
        </is>
      </c>
      <c r="I260" t="n">
        <v>0.3</v>
      </c>
      <c r="J260" t="inlineStr">
        <is>
          <t>=</t>
        </is>
      </c>
      <c r="K260">
        <f>IF(C260,C260*E260*G260*I260,"")</f>
        <v/>
      </c>
      <c r="L260" t="inlineStr">
        <is>
          <t>Cum</t>
        </is>
      </c>
    </row>
    <row r="261">
      <c r="B261" t="inlineStr">
        <is>
          <t>Back Platform</t>
        </is>
      </c>
      <c r="C261" t="n">
        <v>1</v>
      </c>
      <c r="D261" t="inlineStr">
        <is>
          <t>x</t>
        </is>
      </c>
      <c r="E261" t="n">
        <v>4.8</v>
      </c>
      <c r="F261" t="inlineStr">
        <is>
          <t>x</t>
        </is>
      </c>
      <c r="G261" t="n">
        <v>0.3</v>
      </c>
      <c r="H261" t="inlineStr">
        <is>
          <t>x</t>
        </is>
      </c>
      <c r="I261" t="n">
        <v>0.75</v>
      </c>
      <c r="J261" t="inlineStr">
        <is>
          <t>=</t>
        </is>
      </c>
      <c r="K261">
        <f>IF(C261,C261*E261*G261*I261,"")</f>
        <v/>
      </c>
      <c r="L261" t="inlineStr">
        <is>
          <t>Cum</t>
        </is>
      </c>
    </row>
    <row r="262">
      <c r="C262" t="n">
        <v>2</v>
      </c>
      <c r="D262" t="inlineStr">
        <is>
          <t>x</t>
        </is>
      </c>
      <c r="E262" t="n">
        <v>0.6</v>
      </c>
      <c r="F262" t="inlineStr">
        <is>
          <t>x</t>
        </is>
      </c>
      <c r="G262" t="n">
        <v>0.3</v>
      </c>
      <c r="H262" t="inlineStr">
        <is>
          <t>x</t>
        </is>
      </c>
      <c r="I262" t="n">
        <v>0.75</v>
      </c>
      <c r="J262" t="inlineStr">
        <is>
          <t>=</t>
        </is>
      </c>
      <c r="K262">
        <f>IF(C262,C262*E262*G262*I262,"")</f>
        <v/>
      </c>
      <c r="L262" t="inlineStr">
        <is>
          <t>Cum</t>
        </is>
      </c>
    </row>
    <row r="263">
      <c r="B263" t="inlineStr">
        <is>
          <t>Bed Corner</t>
        </is>
      </c>
      <c r="C263" t="n">
        <v>1</v>
      </c>
      <c r="D263" t="inlineStr">
        <is>
          <t>x</t>
        </is>
      </c>
      <c r="E263" t="n">
        <v>4.8</v>
      </c>
      <c r="F263" t="inlineStr">
        <is>
          <t>x</t>
        </is>
      </c>
      <c r="G263" t="n">
        <v>0.3</v>
      </c>
      <c r="H263" t="inlineStr">
        <is>
          <t>x</t>
        </is>
      </c>
      <c r="I263" t="n">
        <v>0.3</v>
      </c>
      <c r="J263" t="inlineStr">
        <is>
          <t>=</t>
        </is>
      </c>
      <c r="K263">
        <f>IF(C263,C263*E263*G263*I263,"")</f>
        <v/>
      </c>
      <c r="L263" t="inlineStr">
        <is>
          <t>Cum</t>
        </is>
      </c>
    </row>
    <row r="264">
      <c r="B264" t="inlineStr">
        <is>
          <t>Staircase base beam</t>
        </is>
      </c>
      <c r="C264" t="n">
        <v>1</v>
      </c>
      <c r="D264" t="inlineStr">
        <is>
          <t>x</t>
        </is>
      </c>
      <c r="E264" t="n">
        <v>0.9</v>
      </c>
      <c r="F264" t="inlineStr">
        <is>
          <t>x</t>
        </is>
      </c>
      <c r="G264" t="n">
        <v>0.3</v>
      </c>
      <c r="H264" t="inlineStr">
        <is>
          <t>x</t>
        </is>
      </c>
      <c r="I264" t="n">
        <v>0.3</v>
      </c>
      <c r="J264" t="inlineStr">
        <is>
          <t>=</t>
        </is>
      </c>
      <c r="K264">
        <f>IF(C264,C264*E264*G264*I264,"")</f>
        <v/>
      </c>
      <c r="L264" t="inlineStr">
        <is>
          <t>Cum</t>
        </is>
      </c>
    </row>
    <row r="265">
      <c r="C265" t="n">
        <v>1</v>
      </c>
      <c r="D265" t="inlineStr">
        <is>
          <t>x</t>
        </is>
      </c>
      <c r="E265" t="n">
        <v>0.3</v>
      </c>
      <c r="F265" t="inlineStr">
        <is>
          <t>x</t>
        </is>
      </c>
      <c r="G265" t="n">
        <v>0.3</v>
      </c>
      <c r="H265" t="inlineStr">
        <is>
          <t>x</t>
        </is>
      </c>
      <c r="I265" t="n">
        <v>0.3</v>
      </c>
      <c r="J265" t="inlineStr">
        <is>
          <t>=</t>
        </is>
      </c>
      <c r="K265">
        <f>IF(C265,C265*E265*G265*I265,"")</f>
        <v/>
      </c>
      <c r="L265" t="inlineStr">
        <is>
          <t>Cum</t>
        </is>
      </c>
    </row>
    <row r="266">
      <c r="B266" t="inlineStr">
        <is>
          <t>First Floor</t>
        </is>
      </c>
      <c r="C266" t="n">
        <v>1</v>
      </c>
      <c r="D266" t="inlineStr">
        <is>
          <t>x</t>
        </is>
      </c>
      <c r="E266" t="n">
        <v>3.6</v>
      </c>
      <c r="F266" t="inlineStr">
        <is>
          <t>x</t>
        </is>
      </c>
      <c r="G266" t="n">
        <v>0.3</v>
      </c>
      <c r="H266" t="inlineStr">
        <is>
          <t>x</t>
        </is>
      </c>
      <c r="I266" t="n">
        <v>0.3</v>
      </c>
      <c r="J266" t="inlineStr">
        <is>
          <t>=</t>
        </is>
      </c>
      <c r="K266">
        <f>IF(C266,C266*E266*G266*I266,"")</f>
        <v/>
      </c>
      <c r="L266" t="inlineStr">
        <is>
          <t>Cum</t>
        </is>
      </c>
    </row>
    <row r="267">
      <c r="C267" t="n">
        <v>1</v>
      </c>
      <c r="D267" t="inlineStr">
        <is>
          <t>x</t>
        </is>
      </c>
      <c r="E267" t="n">
        <v>3.6</v>
      </c>
      <c r="F267" t="inlineStr">
        <is>
          <t>x</t>
        </is>
      </c>
      <c r="G267" t="n">
        <v>0.15</v>
      </c>
      <c r="H267" t="inlineStr">
        <is>
          <t>x</t>
        </is>
      </c>
      <c r="I267" t="n">
        <v>0.75</v>
      </c>
      <c r="J267" t="inlineStr">
        <is>
          <t>=</t>
        </is>
      </c>
      <c r="K267">
        <f>IF(C267,C267*E267*G267*I267,"")</f>
        <v/>
      </c>
      <c r="L267" t="inlineStr">
        <is>
          <t>Cum</t>
        </is>
      </c>
    </row>
    <row r="268">
      <c r="C268" t="n">
        <v>1</v>
      </c>
      <c r="D268" t="inlineStr">
        <is>
          <t>x</t>
        </is>
      </c>
      <c r="E268" t="n">
        <v>1.8</v>
      </c>
      <c r="F268" t="inlineStr">
        <is>
          <t>x</t>
        </is>
      </c>
      <c r="G268" t="n">
        <v>0.15</v>
      </c>
      <c r="H268" t="inlineStr">
        <is>
          <t>x</t>
        </is>
      </c>
      <c r="I268" t="n">
        <v>0.75</v>
      </c>
      <c r="J268" t="inlineStr">
        <is>
          <t>=</t>
        </is>
      </c>
      <c r="K268">
        <f>IF(C268,C268*E268*G268*I268,"")</f>
        <v/>
      </c>
      <c r="L268" t="inlineStr">
        <is>
          <t>Cum</t>
        </is>
      </c>
    </row>
    <row r="269">
      <c r="B269" t="inlineStr">
        <is>
          <t>Kitchen Platform</t>
        </is>
      </c>
      <c r="C269" t="n">
        <v>1</v>
      </c>
      <c r="D269" t="inlineStr">
        <is>
          <t>x</t>
        </is>
      </c>
      <c r="E269" t="n">
        <v>7</v>
      </c>
      <c r="F269" t="inlineStr">
        <is>
          <t>x</t>
        </is>
      </c>
      <c r="G269" t="n">
        <v>0.75</v>
      </c>
      <c r="H269" t="inlineStr">
        <is>
          <t>x</t>
        </is>
      </c>
      <c r="I269" t="n">
        <v>0.15</v>
      </c>
      <c r="J269" t="inlineStr">
        <is>
          <t>=</t>
        </is>
      </c>
      <c r="K269">
        <f>IF(C269,C269*E269*G269*I269,"")</f>
        <v/>
      </c>
      <c r="L269" t="inlineStr">
        <is>
          <t>Cum</t>
        </is>
      </c>
    </row>
    <row r="270">
      <c r="B270" t="inlineStr">
        <is>
          <t>Cup Boards</t>
        </is>
      </c>
    </row>
    <row r="271">
      <c r="C271" t="n">
        <v>1</v>
      </c>
      <c r="D271" t="inlineStr">
        <is>
          <t>x</t>
        </is>
      </c>
      <c r="E271" t="n">
        <v>2.1</v>
      </c>
      <c r="F271" t="inlineStr">
        <is>
          <t>x</t>
        </is>
      </c>
      <c r="G271" t="n">
        <v>0.6</v>
      </c>
      <c r="H271" t="inlineStr">
        <is>
          <t>x</t>
        </is>
      </c>
      <c r="I271" t="n">
        <v>0.15</v>
      </c>
      <c r="J271" t="inlineStr">
        <is>
          <t>=</t>
        </is>
      </c>
      <c r="K271">
        <f>IF(C271,C271*E271*G271*I271,"")</f>
        <v/>
      </c>
      <c r="L271" t="inlineStr">
        <is>
          <t>Cum</t>
        </is>
      </c>
    </row>
    <row r="272">
      <c r="C272" t="n">
        <v>2</v>
      </c>
      <c r="D272" t="inlineStr">
        <is>
          <t>x</t>
        </is>
      </c>
      <c r="E272" t="n">
        <v>1.8</v>
      </c>
      <c r="F272" t="inlineStr">
        <is>
          <t>x</t>
        </is>
      </c>
      <c r="G272" t="n">
        <v>0.6</v>
      </c>
      <c r="H272" t="inlineStr">
        <is>
          <t>x</t>
        </is>
      </c>
      <c r="I272" t="n">
        <v>0.15</v>
      </c>
      <c r="J272" t="inlineStr">
        <is>
          <t>=</t>
        </is>
      </c>
      <c r="K272">
        <f>IF(C272,C272*E272*G272*I272,"")</f>
        <v/>
      </c>
      <c r="L272" t="inlineStr">
        <is>
          <t>Cum</t>
        </is>
      </c>
    </row>
    <row r="273">
      <c r="C273" t="n">
        <v>2</v>
      </c>
      <c r="D273" t="inlineStr">
        <is>
          <t>x</t>
        </is>
      </c>
      <c r="E273" t="n">
        <v>1.5</v>
      </c>
      <c r="F273" t="inlineStr">
        <is>
          <t>x</t>
        </is>
      </c>
      <c r="G273" t="n">
        <v>0.6</v>
      </c>
      <c r="H273" t="inlineStr">
        <is>
          <t>x</t>
        </is>
      </c>
      <c r="I273" t="n">
        <v>0.15</v>
      </c>
      <c r="J273" t="inlineStr">
        <is>
          <t>=</t>
        </is>
      </c>
      <c r="K273">
        <f>IF(C273,C273*E273*G273*I273,"")</f>
        <v/>
      </c>
      <c r="L273" t="inlineStr">
        <is>
          <t>Cum</t>
        </is>
      </c>
    </row>
    <row r="274">
      <c r="C274" t="n">
        <v>2</v>
      </c>
      <c r="D274" t="inlineStr">
        <is>
          <t>x</t>
        </is>
      </c>
      <c r="E274" t="n">
        <v>1.35</v>
      </c>
      <c r="F274" t="inlineStr">
        <is>
          <t>x</t>
        </is>
      </c>
      <c r="G274" t="n">
        <v>0.6</v>
      </c>
      <c r="H274" t="inlineStr">
        <is>
          <t>x</t>
        </is>
      </c>
      <c r="I274" t="n">
        <v>0.15</v>
      </c>
      <c r="J274" t="inlineStr">
        <is>
          <t>=</t>
        </is>
      </c>
      <c r="K274">
        <f>IF(C274,C274*E274*G274*I274,"")</f>
        <v/>
      </c>
      <c r="L274" t="inlineStr">
        <is>
          <t>Cum</t>
        </is>
      </c>
    </row>
    <row r="275">
      <c r="C275" t="n">
        <v>3</v>
      </c>
      <c r="D275" t="inlineStr">
        <is>
          <t>x</t>
        </is>
      </c>
      <c r="E275" t="n">
        <v>0.75</v>
      </c>
      <c r="F275" t="inlineStr">
        <is>
          <t>x</t>
        </is>
      </c>
      <c r="G275" t="n">
        <v>0.6</v>
      </c>
      <c r="H275" t="inlineStr">
        <is>
          <t>x</t>
        </is>
      </c>
      <c r="I275" t="n">
        <v>0.15</v>
      </c>
      <c r="J275" t="inlineStr">
        <is>
          <t>=</t>
        </is>
      </c>
      <c r="K275">
        <f>IF(C275,C275*E275*G275*I275,"")</f>
        <v/>
      </c>
      <c r="L275" t="inlineStr">
        <is>
          <t>Cum</t>
        </is>
      </c>
    </row>
    <row r="276">
      <c r="B276" t="inlineStr">
        <is>
          <t>Slabs</t>
        </is>
      </c>
    </row>
    <row r="277">
      <c r="B277" t="inlineStr">
        <is>
          <t>Servant Room</t>
        </is>
      </c>
      <c r="C277" t="n">
        <v>1</v>
      </c>
      <c r="D277" t="inlineStr">
        <is>
          <t>x</t>
        </is>
      </c>
      <c r="E277" t="n">
        <v>3.35</v>
      </c>
      <c r="F277" t="inlineStr">
        <is>
          <t>x</t>
        </is>
      </c>
      <c r="G277" t="n">
        <v>2.74</v>
      </c>
      <c r="H277" t="inlineStr">
        <is>
          <t>x</t>
        </is>
      </c>
      <c r="I277" t="n">
        <v>0.13</v>
      </c>
      <c r="J277" t="inlineStr">
        <is>
          <t>=</t>
        </is>
      </c>
      <c r="K277">
        <f>IF(C277,C277*E277*G277*I277,"")</f>
        <v/>
      </c>
      <c r="L277" t="inlineStr">
        <is>
          <t>Cum</t>
        </is>
      </c>
    </row>
    <row r="278">
      <c r="B278" t="inlineStr">
        <is>
          <t>WC</t>
        </is>
      </c>
      <c r="C278" t="n">
        <v>1</v>
      </c>
      <c r="D278" t="inlineStr">
        <is>
          <t>x</t>
        </is>
      </c>
      <c r="E278" t="n">
        <v>1.83</v>
      </c>
      <c r="F278" t="inlineStr">
        <is>
          <t>x</t>
        </is>
      </c>
      <c r="G278" t="n">
        <v>1.3</v>
      </c>
      <c r="H278" t="inlineStr">
        <is>
          <t>x</t>
        </is>
      </c>
      <c r="I278" t="n">
        <v>0.13</v>
      </c>
      <c r="J278" t="inlineStr">
        <is>
          <t>=</t>
        </is>
      </c>
      <c r="K278">
        <f>IF(C278,C278*E278*G278*I278,"")</f>
        <v/>
      </c>
      <c r="L278" t="inlineStr">
        <is>
          <t>Cum</t>
        </is>
      </c>
    </row>
    <row r="279">
      <c r="B279" t="inlineStr">
        <is>
          <t>Garage</t>
        </is>
      </c>
      <c r="C279" t="n">
        <v>1</v>
      </c>
      <c r="D279" t="inlineStr">
        <is>
          <t>x</t>
        </is>
      </c>
      <c r="E279" t="n">
        <v>3.35</v>
      </c>
      <c r="F279" t="inlineStr">
        <is>
          <t>x</t>
        </is>
      </c>
      <c r="G279" t="n">
        <v>5.49</v>
      </c>
      <c r="H279" t="inlineStr">
        <is>
          <t>x</t>
        </is>
      </c>
      <c r="I279" t="n">
        <v>0.13</v>
      </c>
      <c r="J279" t="inlineStr">
        <is>
          <t>=</t>
        </is>
      </c>
      <c r="K279">
        <f>IF(C279,C279*E279*G279*I279,"")</f>
        <v/>
      </c>
      <c r="L279" t="inlineStr">
        <is>
          <t>Cum</t>
        </is>
      </c>
    </row>
    <row r="280">
      <c r="B280" t="inlineStr">
        <is>
          <t>Kitchen</t>
        </is>
      </c>
      <c r="C280" t="n">
        <v>1</v>
      </c>
      <c r="D280" t="inlineStr">
        <is>
          <t>x</t>
        </is>
      </c>
      <c r="E280" t="n">
        <v>4.27</v>
      </c>
      <c r="F280" t="inlineStr">
        <is>
          <t>x</t>
        </is>
      </c>
      <c r="G280" t="n">
        <v>4.27</v>
      </c>
      <c r="H280" t="inlineStr">
        <is>
          <t>x</t>
        </is>
      </c>
      <c r="I280" t="n">
        <v>0.15</v>
      </c>
      <c r="J280" t="inlineStr">
        <is>
          <t>=</t>
        </is>
      </c>
      <c r="K280">
        <f>IF(C280,C280*E280*G280*I280,"")</f>
        <v/>
      </c>
      <c r="L280" t="inlineStr">
        <is>
          <t>Cum</t>
        </is>
      </c>
    </row>
    <row r="281">
      <c r="B281" t="inlineStr">
        <is>
          <t>Staircase</t>
        </is>
      </c>
      <c r="C281" t="n">
        <v>1</v>
      </c>
      <c r="D281" t="inlineStr">
        <is>
          <t>x</t>
        </is>
      </c>
      <c r="E281" t="n">
        <v>3.2</v>
      </c>
      <c r="F281" t="inlineStr">
        <is>
          <t>x</t>
        </is>
      </c>
      <c r="G281" t="n">
        <v>2.29</v>
      </c>
      <c r="H281" t="inlineStr">
        <is>
          <t>x</t>
        </is>
      </c>
      <c r="I281" t="n">
        <v>0.13</v>
      </c>
      <c r="J281" t="inlineStr">
        <is>
          <t>=</t>
        </is>
      </c>
      <c r="K281">
        <f>IF(C281,C281*E281*G281*I281,"")</f>
        <v/>
      </c>
      <c r="L281" t="inlineStr">
        <is>
          <t>Cum</t>
        </is>
      </c>
    </row>
    <row r="282">
      <c r="B282" t="inlineStr">
        <is>
          <t>Toilet</t>
        </is>
      </c>
      <c r="C282" t="n">
        <v>1</v>
      </c>
      <c r="D282" t="inlineStr">
        <is>
          <t>x</t>
        </is>
      </c>
      <c r="E282" t="n">
        <v>2.13</v>
      </c>
      <c r="F282" t="inlineStr">
        <is>
          <t>x</t>
        </is>
      </c>
      <c r="G282" t="n">
        <v>1.68</v>
      </c>
      <c r="H282" t="inlineStr">
        <is>
          <t>x</t>
        </is>
      </c>
      <c r="I282" t="n">
        <v>0.13</v>
      </c>
      <c r="J282" t="inlineStr">
        <is>
          <t>=</t>
        </is>
      </c>
      <c r="K282">
        <f>IF(C282,C282*E282*G282*I282,"")</f>
        <v/>
      </c>
      <c r="L282" t="inlineStr">
        <is>
          <t>Cum</t>
        </is>
      </c>
    </row>
    <row r="283">
      <c r="B283" t="inlineStr">
        <is>
          <t>Library</t>
        </is>
      </c>
      <c r="C283" t="n">
        <v>1</v>
      </c>
      <c r="D283" t="inlineStr">
        <is>
          <t>x</t>
        </is>
      </c>
      <c r="E283" t="n">
        <v>3.96</v>
      </c>
      <c r="F283" t="inlineStr">
        <is>
          <t>x</t>
        </is>
      </c>
      <c r="G283" t="n">
        <v>3.35</v>
      </c>
      <c r="H283" t="inlineStr">
        <is>
          <t>x</t>
        </is>
      </c>
      <c r="I283" t="n">
        <v>0.13</v>
      </c>
      <c r="J283" t="inlineStr">
        <is>
          <t>=</t>
        </is>
      </c>
      <c r="K283">
        <f>IF(C283,C283*E283*G283*I283,"")</f>
        <v/>
      </c>
      <c r="L283" t="inlineStr">
        <is>
          <t>Cum</t>
        </is>
      </c>
    </row>
    <row r="284">
      <c r="B284" t="inlineStr">
        <is>
          <t>Verandah</t>
        </is>
      </c>
      <c r="C284" t="n">
        <v>1</v>
      </c>
      <c r="D284" t="inlineStr">
        <is>
          <t>x</t>
        </is>
      </c>
      <c r="E284" t="n">
        <v>4.57</v>
      </c>
      <c r="F284" t="inlineStr">
        <is>
          <t>x</t>
        </is>
      </c>
      <c r="G284" t="n">
        <v>2.13</v>
      </c>
      <c r="H284" t="inlineStr">
        <is>
          <t>x</t>
        </is>
      </c>
      <c r="I284" t="n">
        <v>0.13</v>
      </c>
      <c r="J284" t="inlineStr">
        <is>
          <t>=</t>
        </is>
      </c>
      <c r="K284">
        <f>IF(C284,C284*E284*G284*I284,"")</f>
        <v/>
      </c>
      <c r="L284" t="inlineStr">
        <is>
          <t>Cum</t>
        </is>
      </c>
    </row>
    <row r="285">
      <c r="B285" t="inlineStr">
        <is>
          <t>Canopy</t>
        </is>
      </c>
      <c r="C285" t="n">
        <v>1</v>
      </c>
      <c r="D285" t="inlineStr">
        <is>
          <t>x</t>
        </is>
      </c>
      <c r="E285" t="n">
        <v>6.3</v>
      </c>
      <c r="F285" t="inlineStr">
        <is>
          <t>x</t>
        </is>
      </c>
      <c r="G285" t="n">
        <v>2.7</v>
      </c>
      <c r="H285" t="inlineStr">
        <is>
          <t>x</t>
        </is>
      </c>
      <c r="I285" t="n">
        <v>0.13</v>
      </c>
      <c r="J285" t="inlineStr">
        <is>
          <t>=</t>
        </is>
      </c>
      <c r="K285">
        <f>IF(C285,C285*E285*G285*I285,"")</f>
        <v/>
      </c>
      <c r="L285" t="inlineStr">
        <is>
          <t>Cum</t>
        </is>
      </c>
    </row>
    <row r="286">
      <c r="B286" t="inlineStr">
        <is>
          <t>Platform</t>
        </is>
      </c>
      <c r="C286" t="n">
        <v>1</v>
      </c>
      <c r="D286" t="inlineStr">
        <is>
          <t>x</t>
        </is>
      </c>
      <c r="E286" t="n">
        <v>4.57</v>
      </c>
      <c r="F286" t="inlineStr">
        <is>
          <t>x</t>
        </is>
      </c>
      <c r="G286" t="n">
        <v>1.98</v>
      </c>
      <c r="H286" t="inlineStr">
        <is>
          <t>x</t>
        </is>
      </c>
      <c r="I286" t="n">
        <v>0.13</v>
      </c>
      <c r="J286" t="inlineStr">
        <is>
          <t>=</t>
        </is>
      </c>
      <c r="K286">
        <f>IF(C286,C286*E286*G286*I286,"")</f>
        <v/>
      </c>
      <c r="L286" t="inlineStr">
        <is>
          <t>Cum</t>
        </is>
      </c>
    </row>
    <row r="287">
      <c r="B287" t="inlineStr">
        <is>
          <t>Dining</t>
        </is>
      </c>
      <c r="C287" t="n">
        <v>1</v>
      </c>
      <c r="D287" t="inlineStr">
        <is>
          <t>x</t>
        </is>
      </c>
      <c r="E287" t="n">
        <v>4.57</v>
      </c>
      <c r="F287" t="inlineStr">
        <is>
          <t>x</t>
        </is>
      </c>
      <c r="G287" t="n">
        <v>7.16</v>
      </c>
      <c r="H287" t="inlineStr">
        <is>
          <t>x</t>
        </is>
      </c>
      <c r="I287" t="n">
        <v>0.15</v>
      </c>
      <c r="J287" t="inlineStr">
        <is>
          <t>=</t>
        </is>
      </c>
      <c r="K287">
        <f>IF(C287,C287*E287*G287*I287,"")</f>
        <v/>
      </c>
      <c r="L287" t="inlineStr">
        <is>
          <t>Cum</t>
        </is>
      </c>
    </row>
    <row r="288">
      <c r="B288" t="inlineStr">
        <is>
          <t>Living</t>
        </is>
      </c>
      <c r="C288" t="n">
        <v>1</v>
      </c>
      <c r="D288" t="inlineStr">
        <is>
          <t>x</t>
        </is>
      </c>
      <c r="E288" t="n">
        <v>4.57</v>
      </c>
      <c r="F288" t="inlineStr">
        <is>
          <t>x</t>
        </is>
      </c>
      <c r="G288" t="n">
        <v>4.88</v>
      </c>
      <c r="H288" t="inlineStr">
        <is>
          <t>x</t>
        </is>
      </c>
      <c r="I288" t="n">
        <v>0.15</v>
      </c>
      <c r="J288" t="inlineStr">
        <is>
          <t>=</t>
        </is>
      </c>
      <c r="K288">
        <f>IF(C288,C288*E288*G288*I288,"")</f>
        <v/>
      </c>
      <c r="L288" t="inlineStr">
        <is>
          <t>Cum</t>
        </is>
      </c>
    </row>
    <row r="289">
      <c r="B289" t="inlineStr">
        <is>
          <t>Bed Rm</t>
        </is>
      </c>
      <c r="C289" t="n">
        <v>1</v>
      </c>
      <c r="D289" t="inlineStr">
        <is>
          <t>x</t>
        </is>
      </c>
      <c r="E289" t="n">
        <v>4.57</v>
      </c>
      <c r="F289" t="inlineStr">
        <is>
          <t>x</t>
        </is>
      </c>
      <c r="G289" t="n">
        <v>3.96</v>
      </c>
      <c r="H289" t="inlineStr">
        <is>
          <t>x</t>
        </is>
      </c>
      <c r="I289" t="n">
        <v>0.15</v>
      </c>
      <c r="J289" t="inlineStr">
        <is>
          <t>=</t>
        </is>
      </c>
      <c r="K289">
        <f>IF(C289,C289*E289*G289*I289,"")</f>
        <v/>
      </c>
      <c r="L289" t="inlineStr">
        <is>
          <t>Cum</t>
        </is>
      </c>
    </row>
    <row r="290">
      <c r="B290" t="inlineStr">
        <is>
          <t>Toilet</t>
        </is>
      </c>
      <c r="C290" t="n">
        <v>2</v>
      </c>
      <c r="D290" t="inlineStr">
        <is>
          <t>x</t>
        </is>
      </c>
      <c r="E290" t="n">
        <v>2.74</v>
      </c>
      <c r="F290" t="inlineStr">
        <is>
          <t>x</t>
        </is>
      </c>
      <c r="G290" t="n">
        <v>1.98</v>
      </c>
      <c r="H290" t="inlineStr">
        <is>
          <t>x</t>
        </is>
      </c>
      <c r="I290" t="n">
        <v>0.13</v>
      </c>
      <c r="J290" t="inlineStr">
        <is>
          <t>=</t>
        </is>
      </c>
      <c r="K290">
        <f>IF(C290,C290*E290*G290*I290,"")</f>
        <v/>
      </c>
      <c r="L290" t="inlineStr">
        <is>
          <t>Cum</t>
        </is>
      </c>
    </row>
    <row r="291">
      <c r="B291" t="inlineStr">
        <is>
          <t>Bed Rm</t>
        </is>
      </c>
      <c r="C291" t="n">
        <v>1</v>
      </c>
      <c r="D291" t="inlineStr">
        <is>
          <t>x</t>
        </is>
      </c>
      <c r="E291" t="n">
        <v>4.57</v>
      </c>
      <c r="F291" t="inlineStr">
        <is>
          <t>x</t>
        </is>
      </c>
      <c r="G291" t="n">
        <v>3.96</v>
      </c>
      <c r="H291" t="inlineStr">
        <is>
          <t>x</t>
        </is>
      </c>
      <c r="I291" t="n">
        <v>0.13</v>
      </c>
      <c r="J291" t="inlineStr">
        <is>
          <t>=</t>
        </is>
      </c>
      <c r="K291">
        <f>IF(C291,C291*E291*G291*I291,"")</f>
        <v/>
      </c>
      <c r="L291" t="inlineStr">
        <is>
          <t>Cum</t>
        </is>
      </c>
    </row>
    <row r="292">
      <c r="B292" t="inlineStr">
        <is>
          <t>First Floor</t>
        </is>
      </c>
      <c r="C292" t="n">
        <v>1</v>
      </c>
      <c r="D292" t="inlineStr">
        <is>
          <t>x</t>
        </is>
      </c>
      <c r="E292" t="n">
        <v>12.3</v>
      </c>
      <c r="F292" t="inlineStr">
        <is>
          <t>x</t>
        </is>
      </c>
      <c r="G292" t="n">
        <v>3.9</v>
      </c>
      <c r="H292" t="inlineStr">
        <is>
          <t>x</t>
        </is>
      </c>
      <c r="I292" t="n">
        <v>0.15</v>
      </c>
      <c r="J292" t="inlineStr">
        <is>
          <t>=</t>
        </is>
      </c>
      <c r="K292">
        <f>IF(C292,C292*E292*G292*I292,"")</f>
        <v/>
      </c>
      <c r="L292" t="inlineStr">
        <is>
          <t>Cum</t>
        </is>
      </c>
    </row>
    <row r="293">
      <c r="C293" t="n">
        <v>1</v>
      </c>
      <c r="D293" t="inlineStr">
        <is>
          <t>x</t>
        </is>
      </c>
      <c r="E293" t="n">
        <v>4.5</v>
      </c>
      <c r="F293" t="inlineStr">
        <is>
          <t>x</t>
        </is>
      </c>
      <c r="G293" t="n">
        <v>3.6</v>
      </c>
      <c r="H293" t="inlineStr">
        <is>
          <t>x</t>
        </is>
      </c>
      <c r="I293" t="n">
        <v>0.15</v>
      </c>
      <c r="J293" t="inlineStr">
        <is>
          <t>=</t>
        </is>
      </c>
      <c r="K293">
        <f>IF(C293,C293*E293*G293*I293,"")</f>
        <v/>
      </c>
      <c r="L293" t="inlineStr">
        <is>
          <t>Cum</t>
        </is>
      </c>
    </row>
    <row r="294">
      <c r="B294" t="inlineStr">
        <is>
          <t>Staircase</t>
        </is>
      </c>
      <c r="C294" t="n">
        <v>4</v>
      </c>
      <c r="D294" t="inlineStr">
        <is>
          <t>x</t>
        </is>
      </c>
      <c r="E294" t="n">
        <v>4.83</v>
      </c>
      <c r="F294" t="inlineStr">
        <is>
          <t>x</t>
        </is>
      </c>
      <c r="G294" t="n">
        <v>1.2</v>
      </c>
      <c r="H294" t="inlineStr">
        <is>
          <t>x</t>
        </is>
      </c>
      <c r="I294" t="n">
        <v>0.25</v>
      </c>
      <c r="J294" t="inlineStr">
        <is>
          <t>=</t>
        </is>
      </c>
      <c r="K294">
        <f>IF(C294,C294*E294*G294*I294,"")</f>
        <v/>
      </c>
      <c r="L294" t="inlineStr">
        <is>
          <t>Cum</t>
        </is>
      </c>
    </row>
    <row r="295">
      <c r="B295" t="inlineStr">
        <is>
          <t>Landing</t>
        </is>
      </c>
      <c r="C295" t="n">
        <v>2</v>
      </c>
      <c r="D295" t="inlineStr">
        <is>
          <t>x</t>
        </is>
      </c>
      <c r="E295" t="n">
        <v>2.25</v>
      </c>
      <c r="F295" t="inlineStr">
        <is>
          <t>x</t>
        </is>
      </c>
      <c r="G295" t="n">
        <v>1.2</v>
      </c>
      <c r="H295" t="inlineStr">
        <is>
          <t>x</t>
        </is>
      </c>
      <c r="I295" t="n">
        <v>0.25</v>
      </c>
      <c r="J295" t="inlineStr">
        <is>
          <t>=</t>
        </is>
      </c>
      <c r="K295">
        <f>IF(C295,C295*E295*G295*I295,"")</f>
        <v/>
      </c>
      <c r="L295" t="inlineStr">
        <is>
          <t>Cum</t>
        </is>
      </c>
    </row>
    <row r="296">
      <c r="B296" t="inlineStr">
        <is>
          <t>Bed Plates Pillars</t>
        </is>
      </c>
      <c r="C296" t="n">
        <v>92</v>
      </c>
      <c r="D296" t="inlineStr">
        <is>
          <t>x</t>
        </is>
      </c>
      <c r="E296" t="n">
        <v>0.3</v>
      </c>
      <c r="F296" t="inlineStr">
        <is>
          <t>x</t>
        </is>
      </c>
      <c r="G296" t="n">
        <v>0.3</v>
      </c>
      <c r="H296" t="inlineStr">
        <is>
          <t>x</t>
        </is>
      </c>
      <c r="I296" t="n">
        <v>0.15</v>
      </c>
      <c r="J296" t="inlineStr">
        <is>
          <t>=</t>
        </is>
      </c>
      <c r="K296">
        <f>IF(C296,C296*E296*G296*I296,"")</f>
        <v/>
      </c>
      <c r="L296" t="inlineStr">
        <is>
          <t>Cum</t>
        </is>
      </c>
    </row>
    <row r="297">
      <c r="G297" t="inlineStr">
        <is>
          <t>Total in GF</t>
        </is>
      </c>
      <c r="K297">
        <f>SUM(K253:K296)</f>
        <v/>
      </c>
      <c r="L297" t="inlineStr">
        <is>
          <t>Cum</t>
        </is>
      </c>
    </row>
    <row r="298">
      <c r="B298" t="inlineStr">
        <is>
          <t>(B) In Lintels,  chajjas, Shelves, vertical and horizontal individually or forming  box louvers, bands and facias and fins etc.. upto 4.5 m height above plinth level</t>
        </is>
      </c>
    </row>
    <row r="299">
      <c r="B299" t="inlineStr">
        <is>
          <t xml:space="preserve">Lintels </t>
        </is>
      </c>
    </row>
    <row r="300">
      <c r="B300" t="inlineStr">
        <is>
          <t>Wall01 GF</t>
        </is>
      </c>
      <c r="C300" t="n">
        <v>1</v>
      </c>
      <c r="D300" t="inlineStr">
        <is>
          <t>x</t>
        </is>
      </c>
      <c r="E300">
        <f>E181</f>
        <v/>
      </c>
      <c r="F300" t="inlineStr">
        <is>
          <t>x</t>
        </is>
      </c>
      <c r="G300" t="n">
        <v>0.38</v>
      </c>
      <c r="H300" t="inlineStr">
        <is>
          <t>x</t>
        </is>
      </c>
      <c r="I300" t="n">
        <v>0.23</v>
      </c>
      <c r="J300" t="inlineStr">
        <is>
          <t>=</t>
        </is>
      </c>
      <c r="K300">
        <f>IF(C300,C300*E300*G300*I300,"")</f>
        <v/>
      </c>
      <c r="L300" t="inlineStr">
        <is>
          <t>Cum</t>
        </is>
      </c>
    </row>
    <row r="301">
      <c r="B301" t="inlineStr">
        <is>
          <t>Wall02</t>
        </is>
      </c>
      <c r="C301" t="n">
        <v>1</v>
      </c>
      <c r="D301" t="inlineStr">
        <is>
          <t>x</t>
        </is>
      </c>
      <c r="E301">
        <f>E182</f>
        <v/>
      </c>
      <c r="F301" t="inlineStr">
        <is>
          <t>x</t>
        </is>
      </c>
      <c r="G301" t="n">
        <v>0.15</v>
      </c>
      <c r="H301" t="inlineStr">
        <is>
          <t>x</t>
        </is>
      </c>
      <c r="I301" t="n">
        <v>0.15</v>
      </c>
      <c r="J301" t="inlineStr">
        <is>
          <t>=</t>
        </is>
      </c>
      <c r="K301">
        <f>IF(C301,C301*E301*G301*I301,"")</f>
        <v/>
      </c>
      <c r="L301" t="inlineStr">
        <is>
          <t>Cum</t>
        </is>
      </c>
    </row>
    <row r="302">
      <c r="B302" t="inlineStr">
        <is>
          <t>Wall02 First Floor</t>
        </is>
      </c>
      <c r="C302" t="n">
        <v>1</v>
      </c>
      <c r="D302" t="inlineStr">
        <is>
          <t>x</t>
        </is>
      </c>
      <c r="E302">
        <f>E183</f>
        <v/>
      </c>
      <c r="F302" t="inlineStr">
        <is>
          <t>x</t>
        </is>
      </c>
      <c r="G302" t="n">
        <v>0.15</v>
      </c>
      <c r="H302" t="inlineStr">
        <is>
          <t>x</t>
        </is>
      </c>
      <c r="I302" t="n">
        <v>0.15</v>
      </c>
      <c r="J302" t="inlineStr">
        <is>
          <t>=</t>
        </is>
      </c>
      <c r="K302">
        <f>IF(C302,C302*E302*G302*I302,"")</f>
        <v/>
      </c>
      <c r="L302" t="inlineStr">
        <is>
          <t>Cum</t>
        </is>
      </c>
    </row>
    <row r="303">
      <c r="B303" t="inlineStr">
        <is>
          <t>Sunshades</t>
        </is>
      </c>
    </row>
    <row r="304">
      <c r="B304" t="inlineStr">
        <is>
          <t>W</t>
        </is>
      </c>
      <c r="C304" t="n">
        <v>7</v>
      </c>
      <c r="D304" t="inlineStr">
        <is>
          <t>x</t>
        </is>
      </c>
      <c r="E304" t="n">
        <v>2.1</v>
      </c>
      <c r="F304" t="inlineStr">
        <is>
          <t>x</t>
        </is>
      </c>
      <c r="G304" t="n">
        <v>0.6</v>
      </c>
      <c r="H304" t="inlineStr">
        <is>
          <t>x</t>
        </is>
      </c>
      <c r="I304" t="n">
        <v>0.08</v>
      </c>
      <c r="J304" t="inlineStr">
        <is>
          <t>=</t>
        </is>
      </c>
      <c r="K304">
        <f>IF(C304,C304*E304*G304*I304,"")</f>
        <v/>
      </c>
      <c r="L304" t="inlineStr">
        <is>
          <t>Cum</t>
        </is>
      </c>
    </row>
    <row r="305">
      <c r="B305" t="inlineStr">
        <is>
          <t>W1</t>
        </is>
      </c>
      <c r="C305" t="n">
        <v>8</v>
      </c>
      <c r="D305" t="inlineStr">
        <is>
          <t>x</t>
        </is>
      </c>
      <c r="E305" t="n">
        <v>1.5</v>
      </c>
      <c r="F305" t="inlineStr">
        <is>
          <t>x</t>
        </is>
      </c>
      <c r="G305" t="n">
        <v>0.6</v>
      </c>
      <c r="H305" t="inlineStr">
        <is>
          <t>x</t>
        </is>
      </c>
      <c r="I305" t="n">
        <v>0.08</v>
      </c>
      <c r="J305" t="inlineStr">
        <is>
          <t>=</t>
        </is>
      </c>
      <c r="K305">
        <f>IF(C305,C305*E305*G305*I305,"")</f>
        <v/>
      </c>
      <c r="L305" t="inlineStr">
        <is>
          <t>Cum</t>
        </is>
      </c>
    </row>
    <row r="306">
      <c r="B306" t="inlineStr">
        <is>
          <t>W2</t>
        </is>
      </c>
      <c r="C306" t="n">
        <v>9</v>
      </c>
      <c r="D306" t="inlineStr">
        <is>
          <t>x</t>
        </is>
      </c>
      <c r="E306" t="n">
        <v>0.9</v>
      </c>
      <c r="F306" t="inlineStr">
        <is>
          <t>x</t>
        </is>
      </c>
      <c r="G306" t="n">
        <v>0.6</v>
      </c>
      <c r="H306" t="inlineStr">
        <is>
          <t>x</t>
        </is>
      </c>
      <c r="I306" t="n">
        <v>0.08</v>
      </c>
      <c r="J306" t="inlineStr">
        <is>
          <t>=</t>
        </is>
      </c>
      <c r="K306">
        <f>IF(C306,C306*E306*G306*I306,"")</f>
        <v/>
      </c>
      <c r="L306" t="inlineStr">
        <is>
          <t>Cum</t>
        </is>
      </c>
    </row>
    <row r="307">
      <c r="B307" t="inlineStr">
        <is>
          <t>V</t>
        </is>
      </c>
      <c r="C307" t="n">
        <v>1</v>
      </c>
      <c r="D307" t="inlineStr">
        <is>
          <t>x</t>
        </is>
      </c>
      <c r="E307" t="n">
        <v>1.05</v>
      </c>
      <c r="F307" t="inlineStr">
        <is>
          <t>x</t>
        </is>
      </c>
      <c r="G307" t="n">
        <v>0.6</v>
      </c>
      <c r="H307" t="inlineStr">
        <is>
          <t>x</t>
        </is>
      </c>
      <c r="I307" t="n">
        <v>0.08</v>
      </c>
      <c r="J307" t="inlineStr">
        <is>
          <t>=</t>
        </is>
      </c>
      <c r="K307">
        <f>IF(C307,C307*E307*G307*I307,"")</f>
        <v/>
      </c>
      <c r="L307" t="inlineStr">
        <is>
          <t>Cum</t>
        </is>
      </c>
    </row>
    <row r="308">
      <c r="B308" t="inlineStr">
        <is>
          <t>V1</t>
        </is>
      </c>
      <c r="C308" t="n">
        <v>3</v>
      </c>
      <c r="D308" t="inlineStr">
        <is>
          <t>x</t>
        </is>
      </c>
      <c r="E308" t="n">
        <v>0.75</v>
      </c>
      <c r="F308" t="inlineStr">
        <is>
          <t>x</t>
        </is>
      </c>
      <c r="G308" t="n">
        <v>0.6</v>
      </c>
      <c r="H308" t="inlineStr">
        <is>
          <t>x</t>
        </is>
      </c>
      <c r="I308" t="n">
        <v>0.08</v>
      </c>
      <c r="J308" t="inlineStr">
        <is>
          <t>=</t>
        </is>
      </c>
      <c r="K308">
        <f>IF(C308,C308*E308*G308*I308,"")</f>
        <v/>
      </c>
      <c r="L308" t="inlineStr">
        <is>
          <t>Cum</t>
        </is>
      </c>
    </row>
    <row r="309">
      <c r="B309" t="inlineStr">
        <is>
          <t>V2</t>
        </is>
      </c>
      <c r="C309" t="n">
        <v>3</v>
      </c>
      <c r="D309" t="inlineStr">
        <is>
          <t>x</t>
        </is>
      </c>
      <c r="E309" t="n">
        <v>0.6</v>
      </c>
      <c r="F309" t="inlineStr">
        <is>
          <t>x</t>
        </is>
      </c>
      <c r="G309" t="n">
        <v>0.6</v>
      </c>
      <c r="H309" t="inlineStr">
        <is>
          <t>x</t>
        </is>
      </c>
      <c r="I309" t="n">
        <v>0.08</v>
      </c>
      <c r="J309" t="inlineStr">
        <is>
          <t>=</t>
        </is>
      </c>
      <c r="K309">
        <f>IF(C309,C309*E309*G309*I309,"")</f>
        <v/>
      </c>
      <c r="L309" t="inlineStr">
        <is>
          <t>Cum</t>
        </is>
      </c>
    </row>
    <row r="310">
      <c r="B310" t="inlineStr">
        <is>
          <t>Rolling Shutter</t>
        </is>
      </c>
      <c r="C310" t="n">
        <v>1</v>
      </c>
      <c r="D310" t="inlineStr">
        <is>
          <t>x</t>
        </is>
      </c>
      <c r="E310" t="n">
        <v>2.7</v>
      </c>
      <c r="F310" t="inlineStr">
        <is>
          <t>x</t>
        </is>
      </c>
      <c r="G310" t="n">
        <v>0.6</v>
      </c>
      <c r="H310" t="inlineStr">
        <is>
          <t>x</t>
        </is>
      </c>
      <c r="I310" t="n">
        <v>0.08</v>
      </c>
      <c r="J310" t="inlineStr">
        <is>
          <t>=</t>
        </is>
      </c>
      <c r="K310">
        <f>IF(C310,C310*E310*G310*I310,"")</f>
        <v/>
      </c>
      <c r="L310" t="inlineStr">
        <is>
          <t>Cum</t>
        </is>
      </c>
    </row>
    <row r="311">
      <c r="B311" t="inlineStr">
        <is>
          <t>D3</t>
        </is>
      </c>
      <c r="C311" t="n">
        <v>2</v>
      </c>
      <c r="D311" t="inlineStr">
        <is>
          <t>x</t>
        </is>
      </c>
      <c r="E311" t="n">
        <v>0.75</v>
      </c>
      <c r="F311" t="inlineStr">
        <is>
          <t>x</t>
        </is>
      </c>
      <c r="G311" t="n">
        <v>0.6</v>
      </c>
      <c r="H311" t="inlineStr">
        <is>
          <t>x</t>
        </is>
      </c>
      <c r="I311" t="n">
        <v>0.08</v>
      </c>
      <c r="J311" t="inlineStr">
        <is>
          <t>=</t>
        </is>
      </c>
      <c r="K311">
        <f>IF(C311,C311*E311*G311*I311,"")</f>
        <v/>
      </c>
      <c r="L311" t="inlineStr">
        <is>
          <t>Cum</t>
        </is>
      </c>
    </row>
    <row r="312">
      <c r="B312" t="inlineStr">
        <is>
          <t>W2</t>
        </is>
      </c>
      <c r="C312" t="n">
        <v>1</v>
      </c>
      <c r="D312" t="inlineStr">
        <is>
          <t>x</t>
        </is>
      </c>
      <c r="E312" t="n">
        <v>0.9</v>
      </c>
      <c r="F312" t="inlineStr">
        <is>
          <t>x</t>
        </is>
      </c>
      <c r="G312" t="n">
        <v>0.6</v>
      </c>
      <c r="H312" t="inlineStr">
        <is>
          <t>x</t>
        </is>
      </c>
      <c r="I312" t="n">
        <v>0.08</v>
      </c>
      <c r="J312" t="inlineStr">
        <is>
          <t>=</t>
        </is>
      </c>
      <c r="K312">
        <f>IF(C312,C312*E312*G312*I312,"")</f>
        <v/>
      </c>
      <c r="L312" t="inlineStr">
        <is>
          <t>Cum</t>
        </is>
      </c>
    </row>
    <row r="313">
      <c r="B313" t="inlineStr">
        <is>
          <t>V</t>
        </is>
      </c>
      <c r="C313" t="n">
        <v>1</v>
      </c>
      <c r="D313" t="inlineStr">
        <is>
          <t>x</t>
        </is>
      </c>
      <c r="E313" t="n">
        <v>1.05</v>
      </c>
      <c r="F313" t="inlineStr">
        <is>
          <t>x</t>
        </is>
      </c>
      <c r="G313" t="n">
        <v>0.6</v>
      </c>
      <c r="H313" t="inlineStr">
        <is>
          <t>x</t>
        </is>
      </c>
      <c r="I313" t="n">
        <v>0.08</v>
      </c>
      <c r="J313" t="inlineStr">
        <is>
          <t>=</t>
        </is>
      </c>
      <c r="K313">
        <f>IF(C313,C313*E313*G313*I313,"")</f>
        <v/>
      </c>
      <c r="L313" t="inlineStr">
        <is>
          <t>Cum</t>
        </is>
      </c>
    </row>
    <row r="314">
      <c r="G314" t="inlineStr">
        <is>
          <t>Total in GF</t>
        </is>
      </c>
      <c r="K314">
        <f>SUM(K300:K313)</f>
        <v/>
      </c>
      <c r="L314" t="inlineStr">
        <is>
          <t>Cum</t>
        </is>
      </c>
    </row>
    <row r="315">
      <c r="B315" t="inlineStr">
        <is>
          <t>(D) In foundations rafts , footings, strap beams, bases of columns</t>
        </is>
      </c>
    </row>
    <row r="316">
      <c r="B316" t="inlineStr">
        <is>
          <t>DPC</t>
        </is>
      </c>
      <c r="K316">
        <f>IF(C316,C316*E316*G316*I316,"")</f>
        <v/>
      </c>
    </row>
    <row r="317">
      <c r="B317" t="inlineStr">
        <is>
          <t>Wall01</t>
        </is>
      </c>
      <c r="C317" t="n">
        <v>1</v>
      </c>
      <c r="D317" t="inlineStr">
        <is>
          <t>x</t>
        </is>
      </c>
      <c r="E317">
        <f>E176</f>
        <v/>
      </c>
      <c r="F317" t="inlineStr">
        <is>
          <t>x</t>
        </is>
      </c>
      <c r="G317" t="n">
        <v>0.45</v>
      </c>
      <c r="H317" t="inlineStr">
        <is>
          <t>x</t>
        </is>
      </c>
      <c r="I317" t="n">
        <v>0.15</v>
      </c>
      <c r="J317" t="inlineStr">
        <is>
          <t>=</t>
        </is>
      </c>
      <c r="K317">
        <f>IF(C317,C317*E317*G317*I317,"")</f>
        <v/>
      </c>
      <c r="L317" t="inlineStr">
        <is>
          <t>Cum</t>
        </is>
      </c>
    </row>
    <row r="318">
      <c r="B318" t="inlineStr">
        <is>
          <t>Wall02</t>
        </is>
      </c>
      <c r="C318" t="n">
        <v>1</v>
      </c>
      <c r="D318" t="inlineStr">
        <is>
          <t>x</t>
        </is>
      </c>
      <c r="E318">
        <f>E177</f>
        <v/>
      </c>
      <c r="F318" t="inlineStr">
        <is>
          <t>x</t>
        </is>
      </c>
      <c r="G318" t="n">
        <v>0.3</v>
      </c>
      <c r="H318" t="inlineStr">
        <is>
          <t>x</t>
        </is>
      </c>
      <c r="I318" t="n">
        <v>0.15</v>
      </c>
      <c r="J318" t="inlineStr">
        <is>
          <t>=</t>
        </is>
      </c>
      <c r="K318">
        <f>IF(C318,C318*E318*G318*I318,"")</f>
        <v/>
      </c>
      <c r="L318" t="inlineStr">
        <is>
          <t>Cum</t>
        </is>
      </c>
    </row>
    <row r="319">
      <c r="G319" t="inlineStr">
        <is>
          <t>Total in GF</t>
        </is>
      </c>
      <c r="K319">
        <f>SUM(K316:K318)</f>
        <v/>
      </c>
      <c r="L319" t="inlineStr">
        <is>
          <t>Cum</t>
        </is>
      </c>
    </row>
    <row r="320">
      <c r="A320">
        <f>A252+1</f>
        <v/>
      </c>
      <c r="B320" t="inlineStr">
        <is>
          <t xml:space="preserve">Providing and fabrication steel reinforcement for R.C.C. work including cutting, bending, placing in  position and binding complete including cost of binding wire in foundations, Raft footing step Beams base of column etc. upto plinth level. Hot rolled deformed (IS : 1139) cold twisted (IS : 1786) bars. </t>
        </is>
      </c>
    </row>
    <row r="321">
      <c r="B321" t="inlineStr">
        <is>
          <t>Slab Beam</t>
        </is>
      </c>
      <c r="C321">
        <f>K297</f>
        <v/>
      </c>
      <c r="E321" t="inlineStr">
        <is>
          <t>Cum @</t>
        </is>
      </c>
      <c r="G321" t="n">
        <v>100</v>
      </c>
      <c r="H321" t="inlineStr">
        <is>
          <t>Kg/Cum</t>
        </is>
      </c>
      <c r="J321" t="inlineStr">
        <is>
          <t>=</t>
        </is>
      </c>
      <c r="K321">
        <f>C321*G321</f>
        <v/>
      </c>
      <c r="L321" t="inlineStr">
        <is>
          <t>Kg</t>
        </is>
      </c>
    </row>
    <row r="322">
      <c r="B322" t="inlineStr">
        <is>
          <t>Lintels</t>
        </is>
      </c>
      <c r="C322">
        <f>K314</f>
        <v/>
      </c>
      <c r="E322" t="inlineStr">
        <is>
          <t>Cum @</t>
        </is>
      </c>
      <c r="G322" t="n">
        <v>100</v>
      </c>
      <c r="H322" t="inlineStr">
        <is>
          <t>Kg/Cum</t>
        </is>
      </c>
      <c r="J322" t="inlineStr">
        <is>
          <t>=</t>
        </is>
      </c>
      <c r="K322">
        <f>C322*G322</f>
        <v/>
      </c>
      <c r="L322" t="inlineStr">
        <is>
          <t>Kg</t>
        </is>
      </c>
    </row>
    <row r="323">
      <c r="B323" t="inlineStr">
        <is>
          <t>Foundation</t>
        </is>
      </c>
      <c r="C323">
        <f>K319</f>
        <v/>
      </c>
      <c r="E323" t="inlineStr">
        <is>
          <t>Cum @</t>
        </is>
      </c>
      <c r="G323" t="n">
        <v>80</v>
      </c>
      <c r="H323" t="inlineStr">
        <is>
          <t>Kg/Cum</t>
        </is>
      </c>
      <c r="J323" t="inlineStr">
        <is>
          <t>=</t>
        </is>
      </c>
      <c r="K323">
        <f>C323*G323</f>
        <v/>
      </c>
      <c r="L323" t="inlineStr">
        <is>
          <t>Kg</t>
        </is>
      </c>
    </row>
    <row r="324">
      <c r="G324" t="inlineStr">
        <is>
          <t>Total</t>
        </is>
      </c>
      <c r="K324">
        <f>SUM(K321:K323)</f>
        <v/>
      </c>
      <c r="L324" t="inlineStr">
        <is>
          <t>Kg</t>
        </is>
      </c>
    </row>
    <row r="325">
      <c r="A325" t="n">
        <v>15</v>
      </c>
      <c r="B325" t="inlineStr">
        <is>
          <t>Plaster on new surface on walls in cement sand mortar 1:6 including raking of joints etc. complete fine finished : 20 mm thick.</t>
        </is>
      </c>
    </row>
    <row r="326">
      <c r="B326" t="inlineStr">
        <is>
          <t>GROUND FLOOR  INSIDE PLASTER</t>
        </is>
      </c>
    </row>
    <row r="327">
      <c r="B327" t="inlineStr">
        <is>
          <t>Servant Room</t>
        </is>
      </c>
      <c r="C327" t="n">
        <v>2</v>
      </c>
      <c r="D327" t="inlineStr">
        <is>
          <t>x</t>
        </is>
      </c>
      <c r="E327" t="n">
        <v>3.05</v>
      </c>
      <c r="F327" t="inlineStr">
        <is>
          <t>x</t>
        </is>
      </c>
      <c r="G327" t="n">
        <v>2.9</v>
      </c>
      <c r="J327" t="inlineStr">
        <is>
          <t>=</t>
        </is>
      </c>
      <c r="K327">
        <f>IF(C327,C327*E327*G327,"")</f>
        <v/>
      </c>
      <c r="L327" t="inlineStr">
        <is>
          <t>Sqm</t>
        </is>
      </c>
    </row>
    <row r="328">
      <c r="C328" t="n">
        <v>2</v>
      </c>
      <c r="D328" t="inlineStr">
        <is>
          <t>x</t>
        </is>
      </c>
      <c r="E328" t="n">
        <v>2.44</v>
      </c>
      <c r="F328" t="inlineStr">
        <is>
          <t>x</t>
        </is>
      </c>
      <c r="G328" t="n">
        <v>2.9</v>
      </c>
      <c r="J328" t="inlineStr">
        <is>
          <t>=</t>
        </is>
      </c>
      <c r="K328">
        <f>IF(C328,C328*E328*G328,"")</f>
        <v/>
      </c>
      <c r="L328" t="inlineStr">
        <is>
          <t>Sqm</t>
        </is>
      </c>
    </row>
    <row r="329">
      <c r="B329" t="inlineStr">
        <is>
          <t>WC</t>
        </is>
      </c>
      <c r="C329" t="n">
        <v>2</v>
      </c>
      <c r="D329" t="inlineStr">
        <is>
          <t>x</t>
        </is>
      </c>
      <c r="E329" t="n">
        <v>1.53</v>
      </c>
      <c r="F329" t="inlineStr">
        <is>
          <t>x</t>
        </is>
      </c>
      <c r="G329" t="n">
        <v>2.9</v>
      </c>
      <c r="J329" t="inlineStr">
        <is>
          <t>=</t>
        </is>
      </c>
      <c r="K329">
        <f>IF(C329,C329*E329*G329,"")</f>
        <v/>
      </c>
      <c r="L329" t="inlineStr">
        <is>
          <t>Sqm</t>
        </is>
      </c>
    </row>
    <row r="330">
      <c r="C330" t="n">
        <v>2</v>
      </c>
      <c r="D330" t="inlineStr">
        <is>
          <t>x</t>
        </is>
      </c>
      <c r="E330" t="n">
        <v>1</v>
      </c>
      <c r="F330" t="inlineStr">
        <is>
          <t>x</t>
        </is>
      </c>
      <c r="G330" t="n">
        <v>2.9</v>
      </c>
      <c r="J330" t="inlineStr">
        <is>
          <t>=</t>
        </is>
      </c>
      <c r="K330">
        <f>IF(C330,C330*E330*G330,"")</f>
        <v/>
      </c>
      <c r="L330" t="inlineStr">
        <is>
          <t>Sqm</t>
        </is>
      </c>
    </row>
    <row r="331">
      <c r="B331" t="inlineStr">
        <is>
          <t>Garage</t>
        </is>
      </c>
      <c r="C331" t="n">
        <v>2</v>
      </c>
      <c r="D331" t="inlineStr">
        <is>
          <t>x</t>
        </is>
      </c>
      <c r="E331" t="n">
        <v>3.05</v>
      </c>
      <c r="F331" t="inlineStr">
        <is>
          <t>x</t>
        </is>
      </c>
      <c r="G331" t="n">
        <v>2.9</v>
      </c>
      <c r="J331" t="inlineStr">
        <is>
          <t>=</t>
        </is>
      </c>
      <c r="K331">
        <f>IF(C331,C331*E331*G331,"")</f>
        <v/>
      </c>
      <c r="L331" t="inlineStr">
        <is>
          <t>Sqm</t>
        </is>
      </c>
    </row>
    <row r="332">
      <c r="C332" t="n">
        <v>2</v>
      </c>
      <c r="D332" t="inlineStr">
        <is>
          <t>x</t>
        </is>
      </c>
      <c r="E332" t="n">
        <v>5.19</v>
      </c>
      <c r="F332" t="inlineStr">
        <is>
          <t>x</t>
        </is>
      </c>
      <c r="G332" t="n">
        <v>2.9</v>
      </c>
      <c r="J332" t="inlineStr">
        <is>
          <t>=</t>
        </is>
      </c>
      <c r="K332">
        <f>IF(C332,C332*E332*G332,"")</f>
        <v/>
      </c>
      <c r="L332" t="inlineStr">
        <is>
          <t>Sqm</t>
        </is>
      </c>
    </row>
    <row r="333">
      <c r="B333" t="inlineStr">
        <is>
          <t>Kitchen</t>
        </is>
      </c>
      <c r="C333" t="n">
        <v>2</v>
      </c>
      <c r="D333" t="inlineStr">
        <is>
          <t>x</t>
        </is>
      </c>
      <c r="E333" t="n">
        <v>3.97</v>
      </c>
      <c r="F333" t="inlineStr">
        <is>
          <t>x</t>
        </is>
      </c>
      <c r="G333" t="n">
        <v>2.9</v>
      </c>
      <c r="J333" t="inlineStr">
        <is>
          <t>=</t>
        </is>
      </c>
      <c r="K333">
        <f>IF(C333,C333*E333*G333,"")</f>
        <v/>
      </c>
      <c r="L333" t="inlineStr">
        <is>
          <t>Sqm</t>
        </is>
      </c>
    </row>
    <row r="334">
      <c r="C334" t="n">
        <v>2</v>
      </c>
      <c r="D334" t="inlineStr">
        <is>
          <t>x</t>
        </is>
      </c>
      <c r="E334" t="n">
        <v>2.97</v>
      </c>
      <c r="F334" t="inlineStr">
        <is>
          <t>x</t>
        </is>
      </c>
      <c r="G334" t="n">
        <v>2.9</v>
      </c>
      <c r="J334" t="inlineStr">
        <is>
          <t>=</t>
        </is>
      </c>
      <c r="K334">
        <f>IF(C334,C334*E334*G334,"")</f>
        <v/>
      </c>
      <c r="L334" t="inlineStr">
        <is>
          <t>Sqm</t>
        </is>
      </c>
    </row>
    <row r="335">
      <c r="B335" t="inlineStr">
        <is>
          <t>Staircase</t>
        </is>
      </c>
      <c r="C335" t="n">
        <v>2</v>
      </c>
      <c r="D335" t="inlineStr">
        <is>
          <t>x</t>
        </is>
      </c>
      <c r="E335" t="n">
        <v>2.9</v>
      </c>
      <c r="F335" t="inlineStr">
        <is>
          <t>x</t>
        </is>
      </c>
      <c r="G335" t="n">
        <v>2.9</v>
      </c>
      <c r="J335" t="inlineStr">
        <is>
          <t>=</t>
        </is>
      </c>
      <c r="K335">
        <f>IF(C335,C335*E335*G335,"")</f>
        <v/>
      </c>
      <c r="L335" t="inlineStr">
        <is>
          <t>Sqm</t>
        </is>
      </c>
    </row>
    <row r="336">
      <c r="C336" t="n">
        <v>2</v>
      </c>
      <c r="D336" t="inlineStr">
        <is>
          <t>x</t>
        </is>
      </c>
      <c r="E336" t="n">
        <v>1.99</v>
      </c>
      <c r="F336" t="inlineStr">
        <is>
          <t>x</t>
        </is>
      </c>
      <c r="G336" t="n">
        <v>2.9</v>
      </c>
      <c r="J336" t="inlineStr">
        <is>
          <t>=</t>
        </is>
      </c>
      <c r="K336">
        <f>IF(C336,C336*E336*G336,"")</f>
        <v/>
      </c>
      <c r="L336" t="inlineStr">
        <is>
          <t>Sqm</t>
        </is>
      </c>
    </row>
    <row r="337">
      <c r="B337" t="inlineStr">
        <is>
          <t>Toilet</t>
        </is>
      </c>
      <c r="C337" t="n">
        <v>2</v>
      </c>
      <c r="D337" t="inlineStr">
        <is>
          <t>x</t>
        </is>
      </c>
      <c r="E337" t="n">
        <v>1.83</v>
      </c>
      <c r="F337" t="inlineStr">
        <is>
          <t>x</t>
        </is>
      </c>
      <c r="G337" t="n">
        <v>2.9</v>
      </c>
      <c r="J337" t="inlineStr">
        <is>
          <t>=</t>
        </is>
      </c>
      <c r="K337">
        <f>IF(C337,C337*E337*G337,"")</f>
        <v/>
      </c>
      <c r="L337" t="inlineStr">
        <is>
          <t>Sqm</t>
        </is>
      </c>
    </row>
    <row r="338">
      <c r="C338" t="n">
        <v>2</v>
      </c>
      <c r="D338" t="inlineStr">
        <is>
          <t>x</t>
        </is>
      </c>
      <c r="E338" t="n">
        <v>1.38</v>
      </c>
      <c r="F338" t="inlineStr">
        <is>
          <t>x</t>
        </is>
      </c>
      <c r="G338" t="n">
        <v>2.9</v>
      </c>
      <c r="J338" t="inlineStr">
        <is>
          <t>=</t>
        </is>
      </c>
      <c r="K338">
        <f>IF(C338,C338*E338*G338,"")</f>
        <v/>
      </c>
      <c r="L338" t="inlineStr">
        <is>
          <t>Sqm</t>
        </is>
      </c>
    </row>
    <row r="339">
      <c r="B339" t="inlineStr">
        <is>
          <t>Library</t>
        </is>
      </c>
      <c r="C339" t="n">
        <v>2</v>
      </c>
      <c r="D339" t="inlineStr">
        <is>
          <t>x</t>
        </is>
      </c>
      <c r="E339" t="n">
        <v>3.66</v>
      </c>
      <c r="F339" t="inlineStr">
        <is>
          <t>x</t>
        </is>
      </c>
      <c r="G339" t="n">
        <v>2.9</v>
      </c>
      <c r="J339" t="inlineStr">
        <is>
          <t>=</t>
        </is>
      </c>
      <c r="K339">
        <f>IF(C339,C339*E339*G339,"")</f>
        <v/>
      </c>
      <c r="L339" t="inlineStr">
        <is>
          <t>Sqm</t>
        </is>
      </c>
    </row>
    <row r="340">
      <c r="C340" t="n">
        <v>2</v>
      </c>
      <c r="D340" t="inlineStr">
        <is>
          <t>x</t>
        </is>
      </c>
      <c r="E340" t="n">
        <v>3.05</v>
      </c>
      <c r="F340" t="inlineStr">
        <is>
          <t>x</t>
        </is>
      </c>
      <c r="G340" t="n">
        <v>2.9</v>
      </c>
      <c r="J340" t="inlineStr">
        <is>
          <t>=</t>
        </is>
      </c>
      <c r="K340">
        <f>IF(C340,C340*E340*G340,"")</f>
        <v/>
      </c>
      <c r="L340" t="inlineStr">
        <is>
          <t>Sqm</t>
        </is>
      </c>
    </row>
    <row r="341">
      <c r="B341" t="inlineStr">
        <is>
          <t>Verandah</t>
        </is>
      </c>
      <c r="C341" t="n">
        <v>2</v>
      </c>
      <c r="D341" t="inlineStr">
        <is>
          <t>x</t>
        </is>
      </c>
      <c r="E341" t="n">
        <v>4.27</v>
      </c>
      <c r="F341" t="inlineStr">
        <is>
          <t>x</t>
        </is>
      </c>
      <c r="G341" t="n">
        <v>2.9</v>
      </c>
      <c r="J341" t="inlineStr">
        <is>
          <t>=</t>
        </is>
      </c>
      <c r="K341">
        <f>IF(C341,C341*E341*G341,"")</f>
        <v/>
      </c>
      <c r="L341" t="inlineStr">
        <is>
          <t>Sqm</t>
        </is>
      </c>
    </row>
    <row r="342">
      <c r="C342" t="n">
        <v>2</v>
      </c>
      <c r="D342" t="inlineStr">
        <is>
          <t>x</t>
        </is>
      </c>
      <c r="E342" t="n">
        <v>1.83</v>
      </c>
      <c r="F342" t="inlineStr">
        <is>
          <t>x</t>
        </is>
      </c>
      <c r="G342" t="n">
        <v>2.9</v>
      </c>
      <c r="J342" t="inlineStr">
        <is>
          <t>=</t>
        </is>
      </c>
      <c r="K342">
        <f>IF(C342,C342*E342*G342,"")</f>
        <v/>
      </c>
      <c r="L342" t="inlineStr">
        <is>
          <t>Sqm</t>
        </is>
      </c>
    </row>
    <row r="343">
      <c r="B343" t="inlineStr">
        <is>
          <t>Dining</t>
        </is>
      </c>
      <c r="C343" t="n">
        <v>2</v>
      </c>
      <c r="D343" t="inlineStr">
        <is>
          <t>x</t>
        </is>
      </c>
      <c r="E343" t="n">
        <v>4.27</v>
      </c>
      <c r="F343" t="inlineStr">
        <is>
          <t>x</t>
        </is>
      </c>
      <c r="G343" t="n">
        <v>2.9</v>
      </c>
      <c r="J343" t="inlineStr">
        <is>
          <t>=</t>
        </is>
      </c>
      <c r="K343">
        <f>IF(C343,C343*E343*G343,"")</f>
        <v/>
      </c>
      <c r="L343" t="inlineStr">
        <is>
          <t>Sqm</t>
        </is>
      </c>
    </row>
    <row r="344">
      <c r="C344" t="n">
        <v>2</v>
      </c>
      <c r="D344" t="inlineStr">
        <is>
          <t>x</t>
        </is>
      </c>
      <c r="E344" t="n">
        <v>6.86</v>
      </c>
      <c r="F344" t="inlineStr">
        <is>
          <t>x</t>
        </is>
      </c>
      <c r="G344" t="n">
        <v>2.9</v>
      </c>
      <c r="J344" t="inlineStr">
        <is>
          <t>=</t>
        </is>
      </c>
      <c r="K344">
        <f>IF(C344,C344*E344*G344,"")</f>
        <v/>
      </c>
      <c r="L344" t="inlineStr">
        <is>
          <t>Sqm</t>
        </is>
      </c>
    </row>
    <row r="345">
      <c r="B345" t="inlineStr">
        <is>
          <t>Living</t>
        </is>
      </c>
      <c r="C345" t="n">
        <v>2</v>
      </c>
      <c r="D345" t="inlineStr">
        <is>
          <t>x</t>
        </is>
      </c>
      <c r="E345" t="n">
        <v>4.27</v>
      </c>
      <c r="F345" t="inlineStr">
        <is>
          <t>x</t>
        </is>
      </c>
      <c r="G345" t="n">
        <v>2.9</v>
      </c>
      <c r="J345" t="inlineStr">
        <is>
          <t>=</t>
        </is>
      </c>
      <c r="K345">
        <f>IF(C345,C345*E345*G345,"")</f>
        <v/>
      </c>
      <c r="L345" t="inlineStr">
        <is>
          <t>Sqm</t>
        </is>
      </c>
    </row>
    <row r="346">
      <c r="C346" t="n">
        <v>2</v>
      </c>
      <c r="D346" t="inlineStr">
        <is>
          <t>x</t>
        </is>
      </c>
      <c r="E346" t="n">
        <v>4.58</v>
      </c>
      <c r="F346" t="inlineStr">
        <is>
          <t>x</t>
        </is>
      </c>
      <c r="G346" t="n">
        <v>2.9</v>
      </c>
      <c r="J346" t="inlineStr">
        <is>
          <t>=</t>
        </is>
      </c>
      <c r="K346">
        <f>IF(C346,C346*E346*G346,"")</f>
        <v/>
      </c>
      <c r="L346" t="inlineStr">
        <is>
          <t>Sqm</t>
        </is>
      </c>
    </row>
    <row r="347">
      <c r="B347" t="inlineStr">
        <is>
          <t>Bed Rm</t>
        </is>
      </c>
      <c r="C347" t="n">
        <v>2</v>
      </c>
      <c r="D347" t="inlineStr">
        <is>
          <t>x</t>
        </is>
      </c>
      <c r="E347" t="n">
        <v>4.27</v>
      </c>
      <c r="F347" t="inlineStr">
        <is>
          <t>x</t>
        </is>
      </c>
      <c r="G347" t="n">
        <v>2.9</v>
      </c>
      <c r="J347" t="inlineStr">
        <is>
          <t>=</t>
        </is>
      </c>
      <c r="K347">
        <f>IF(C347,C347*E347*G347,"")</f>
        <v/>
      </c>
      <c r="L347" t="inlineStr">
        <is>
          <t>Sqm</t>
        </is>
      </c>
    </row>
    <row r="348">
      <c r="C348" t="n">
        <v>2</v>
      </c>
      <c r="D348" t="inlineStr">
        <is>
          <t>x</t>
        </is>
      </c>
      <c r="E348" t="n">
        <v>3.66</v>
      </c>
      <c r="F348" t="inlineStr">
        <is>
          <t>x</t>
        </is>
      </c>
      <c r="G348" t="n">
        <v>2.9</v>
      </c>
      <c r="J348" t="inlineStr">
        <is>
          <t>=</t>
        </is>
      </c>
      <c r="K348">
        <f>IF(C348,C348*E348*G348,"")</f>
        <v/>
      </c>
      <c r="L348" t="inlineStr">
        <is>
          <t>Sqm</t>
        </is>
      </c>
    </row>
    <row r="349">
      <c r="B349" t="inlineStr">
        <is>
          <t>Toilet</t>
        </is>
      </c>
      <c r="C349" t="n">
        <v>4</v>
      </c>
      <c r="D349" t="inlineStr">
        <is>
          <t>x</t>
        </is>
      </c>
      <c r="E349" t="n">
        <v>2.44</v>
      </c>
      <c r="F349" t="inlineStr">
        <is>
          <t>x</t>
        </is>
      </c>
      <c r="G349" t="n">
        <v>2.9</v>
      </c>
      <c r="J349" t="inlineStr">
        <is>
          <t>=</t>
        </is>
      </c>
      <c r="K349">
        <f>IF(C349,C349*E349*G349,"")</f>
        <v/>
      </c>
      <c r="L349" t="inlineStr">
        <is>
          <t>Sqm</t>
        </is>
      </c>
    </row>
    <row r="350">
      <c r="C350" t="n">
        <v>2</v>
      </c>
      <c r="D350" t="inlineStr">
        <is>
          <t>x</t>
        </is>
      </c>
      <c r="E350" t="n">
        <v>1.68</v>
      </c>
      <c r="F350" t="inlineStr">
        <is>
          <t>x</t>
        </is>
      </c>
      <c r="G350" t="n">
        <v>2.9</v>
      </c>
      <c r="J350" t="inlineStr">
        <is>
          <t>=</t>
        </is>
      </c>
      <c r="K350">
        <f>IF(C350,C350*E350*G350,"")</f>
        <v/>
      </c>
      <c r="L350" t="inlineStr">
        <is>
          <t>Sqm</t>
        </is>
      </c>
    </row>
    <row r="351">
      <c r="B351" t="inlineStr">
        <is>
          <t>Bed Rm</t>
        </is>
      </c>
      <c r="C351" t="n">
        <v>2</v>
      </c>
      <c r="D351" t="inlineStr">
        <is>
          <t>x</t>
        </is>
      </c>
      <c r="E351" t="n">
        <v>4.27</v>
      </c>
      <c r="F351" t="inlineStr">
        <is>
          <t>x</t>
        </is>
      </c>
      <c r="G351" t="n">
        <v>2.9</v>
      </c>
      <c r="J351" t="inlineStr">
        <is>
          <t>=</t>
        </is>
      </c>
      <c r="K351">
        <f>IF(C351,C351*E351*G351,"")</f>
        <v/>
      </c>
      <c r="L351" t="inlineStr">
        <is>
          <t>Sqm</t>
        </is>
      </c>
    </row>
    <row r="352">
      <c r="C352" t="n">
        <v>2</v>
      </c>
      <c r="D352" t="inlineStr">
        <is>
          <t>x</t>
        </is>
      </c>
      <c r="E352" t="n">
        <v>3.66</v>
      </c>
      <c r="F352" t="inlineStr">
        <is>
          <t>x</t>
        </is>
      </c>
      <c r="G352" t="n">
        <v>2.9</v>
      </c>
      <c r="J352" t="inlineStr">
        <is>
          <t>=</t>
        </is>
      </c>
      <c r="K352">
        <f>IF(C352,C352*E352*G352,"")</f>
        <v/>
      </c>
      <c r="L352" t="inlineStr">
        <is>
          <t>Sqm</t>
        </is>
      </c>
    </row>
    <row r="353">
      <c r="B353" t="inlineStr">
        <is>
          <t>First Floor</t>
        </is>
      </c>
      <c r="C353" t="n">
        <v>2</v>
      </c>
      <c r="D353" t="inlineStr">
        <is>
          <t>x</t>
        </is>
      </c>
      <c r="E353" t="n">
        <v>12</v>
      </c>
      <c r="F353" t="inlineStr">
        <is>
          <t>x</t>
        </is>
      </c>
      <c r="G353" t="n">
        <v>2.9</v>
      </c>
      <c r="J353" t="inlineStr">
        <is>
          <t>=</t>
        </is>
      </c>
      <c r="K353">
        <f>IF(C353,C353*E353*G353,"")</f>
        <v/>
      </c>
      <c r="L353" t="inlineStr">
        <is>
          <t>Sqm</t>
        </is>
      </c>
    </row>
    <row r="354">
      <c r="C354" t="n">
        <v>2</v>
      </c>
      <c r="D354" t="inlineStr">
        <is>
          <t>x</t>
        </is>
      </c>
      <c r="E354" t="n">
        <v>3.6</v>
      </c>
      <c r="F354" t="inlineStr">
        <is>
          <t>x</t>
        </is>
      </c>
      <c r="G354" t="n">
        <v>2.9</v>
      </c>
      <c r="J354" t="inlineStr">
        <is>
          <t>=</t>
        </is>
      </c>
      <c r="K354">
        <f>IF(C354,C354*E354*G354,"")</f>
        <v/>
      </c>
      <c r="L354" t="inlineStr">
        <is>
          <t>Sqm</t>
        </is>
      </c>
    </row>
    <row r="355">
      <c r="C355" t="n">
        <v>2</v>
      </c>
      <c r="D355" t="inlineStr">
        <is>
          <t>x</t>
        </is>
      </c>
      <c r="E355" t="n">
        <v>4.2</v>
      </c>
      <c r="F355" t="inlineStr">
        <is>
          <t>x</t>
        </is>
      </c>
      <c r="G355" t="n">
        <v>2.9</v>
      </c>
      <c r="J355" t="inlineStr">
        <is>
          <t>=</t>
        </is>
      </c>
      <c r="K355">
        <f>IF(C355,C355*E355*G355,"")</f>
        <v/>
      </c>
      <c r="L355" t="inlineStr">
        <is>
          <t>Sqm</t>
        </is>
      </c>
    </row>
    <row r="356">
      <c r="C356" t="n">
        <v>2</v>
      </c>
      <c r="D356" t="inlineStr">
        <is>
          <t>x</t>
        </is>
      </c>
      <c r="E356" t="n">
        <v>3.3</v>
      </c>
      <c r="F356" t="inlineStr">
        <is>
          <t>x</t>
        </is>
      </c>
      <c r="G356" t="n">
        <v>2.9</v>
      </c>
      <c r="J356" t="inlineStr">
        <is>
          <t>=</t>
        </is>
      </c>
      <c r="K356">
        <f>IF(C356,C356*E356*G356,"")</f>
        <v/>
      </c>
      <c r="L356" t="inlineStr">
        <is>
          <t>Sqm</t>
        </is>
      </c>
    </row>
    <row r="357">
      <c r="B357" t="inlineStr">
        <is>
          <t>Gross Area Of Plaster Inside Rooms in GF</t>
        </is>
      </c>
      <c r="C357">
        <f>SUM(K327:K356)</f>
        <v/>
      </c>
      <c r="F357" t="inlineStr">
        <is>
          <t>Sqm</t>
        </is>
      </c>
    </row>
    <row r="358">
      <c r="B358" t="inlineStr">
        <is>
          <t>Inside Parapet</t>
        </is>
      </c>
      <c r="C358" t="n">
        <v>1</v>
      </c>
      <c r="D358" t="inlineStr">
        <is>
          <t>x</t>
        </is>
      </c>
      <c r="E358">
        <f>K39</f>
        <v/>
      </c>
      <c r="F358" t="inlineStr">
        <is>
          <t>x</t>
        </is>
      </c>
      <c r="G358" t="n">
        <v>0.75</v>
      </c>
      <c r="J358" t="inlineStr">
        <is>
          <t>=</t>
        </is>
      </c>
      <c r="K358">
        <f>IF(C358,C358*E358*G358,"")</f>
        <v/>
      </c>
      <c r="L358" t="inlineStr">
        <is>
          <t>Sqm</t>
        </is>
      </c>
    </row>
    <row r="359">
      <c r="B359" t="inlineStr">
        <is>
          <t>Inside Parapet</t>
        </is>
      </c>
      <c r="C359" t="n">
        <v>1</v>
      </c>
      <c r="D359" t="inlineStr">
        <is>
          <t>x</t>
        </is>
      </c>
      <c r="E359">
        <f>K59</f>
        <v/>
      </c>
      <c r="F359" t="inlineStr">
        <is>
          <t>x</t>
        </is>
      </c>
      <c r="G359" t="n">
        <v>0.75</v>
      </c>
      <c r="J359" t="inlineStr">
        <is>
          <t>=</t>
        </is>
      </c>
      <c r="K359">
        <f>IF(C359,C359*E359*G359,"")</f>
        <v/>
      </c>
      <c r="L359" t="inlineStr">
        <is>
          <t>Sqm</t>
        </is>
      </c>
    </row>
    <row r="360">
      <c r="G360" t="inlineStr">
        <is>
          <t>Gross Qty.</t>
        </is>
      </c>
      <c r="J360" t="inlineStr">
        <is>
          <t>+</t>
        </is>
      </c>
      <c r="K360">
        <f>SUM(K327:K359)</f>
        <v/>
      </c>
      <c r="L360" t="inlineStr">
        <is>
          <t>Sqm</t>
        </is>
      </c>
    </row>
    <row r="361">
      <c r="B361" t="inlineStr">
        <is>
          <t>Deductions</t>
        </is>
      </c>
    </row>
    <row r="362">
      <c r="B362" t="inlineStr">
        <is>
          <t>D</t>
        </is>
      </c>
      <c r="C362" t="n">
        <v>7</v>
      </c>
      <c r="D362" t="inlineStr">
        <is>
          <t>x</t>
        </is>
      </c>
      <c r="E362" t="n">
        <v>1.2</v>
      </c>
      <c r="F362" t="inlineStr">
        <is>
          <t>x</t>
        </is>
      </c>
      <c r="G362" t="n">
        <v>2.55</v>
      </c>
      <c r="J362" t="inlineStr">
        <is>
          <t>=</t>
        </is>
      </c>
      <c r="K362">
        <f>IF(C362,C362*E362*G362,"")</f>
        <v/>
      </c>
      <c r="L362" t="inlineStr">
        <is>
          <t>Sqm</t>
        </is>
      </c>
    </row>
    <row r="363">
      <c r="B363" t="inlineStr">
        <is>
          <t>D1</t>
        </is>
      </c>
      <c r="C363" t="n">
        <v>4</v>
      </c>
      <c r="D363" t="inlineStr">
        <is>
          <t>x</t>
        </is>
      </c>
      <c r="E363" t="n">
        <v>1.05</v>
      </c>
      <c r="F363" t="inlineStr">
        <is>
          <t>x</t>
        </is>
      </c>
      <c r="G363" t="n">
        <v>2.1</v>
      </c>
      <c r="J363" t="inlineStr">
        <is>
          <t>=</t>
        </is>
      </c>
      <c r="K363">
        <f>IF(C363,C363*E363*G363,"")</f>
        <v/>
      </c>
      <c r="L363" t="inlineStr">
        <is>
          <t>Sqm</t>
        </is>
      </c>
    </row>
    <row r="364">
      <c r="B364" t="inlineStr">
        <is>
          <t>D2</t>
        </is>
      </c>
      <c r="C364" t="n">
        <v>6</v>
      </c>
      <c r="D364" t="inlineStr">
        <is>
          <t>x</t>
        </is>
      </c>
      <c r="E364" t="n">
        <v>0.84</v>
      </c>
      <c r="F364" t="inlineStr">
        <is>
          <t>x</t>
        </is>
      </c>
      <c r="G364" t="n">
        <v>2.1</v>
      </c>
      <c r="J364" t="inlineStr">
        <is>
          <t>=</t>
        </is>
      </c>
      <c r="K364">
        <f>IF(C364,C364*E364*G364,"")</f>
        <v/>
      </c>
      <c r="L364" t="inlineStr">
        <is>
          <t>Sqm</t>
        </is>
      </c>
    </row>
    <row r="365">
      <c r="B365" t="inlineStr">
        <is>
          <t>D3</t>
        </is>
      </c>
      <c r="C365" t="n">
        <v>3</v>
      </c>
      <c r="D365" t="inlineStr">
        <is>
          <t>x</t>
        </is>
      </c>
      <c r="E365" t="n">
        <v>0.9</v>
      </c>
      <c r="F365" t="inlineStr">
        <is>
          <t>x</t>
        </is>
      </c>
      <c r="G365" t="n">
        <v>2.1</v>
      </c>
      <c r="J365" t="inlineStr">
        <is>
          <t>=</t>
        </is>
      </c>
      <c r="K365">
        <f>IF(C365,C365*E365*G365,"")</f>
        <v/>
      </c>
      <c r="L365" t="inlineStr">
        <is>
          <t>Sqm</t>
        </is>
      </c>
    </row>
    <row r="366">
      <c r="B366" t="inlineStr">
        <is>
          <t>D4</t>
        </is>
      </c>
      <c r="C366" t="n">
        <v>1</v>
      </c>
      <c r="D366" t="inlineStr">
        <is>
          <t>x</t>
        </is>
      </c>
      <c r="E366" t="n">
        <v>0.75</v>
      </c>
      <c r="F366" t="inlineStr">
        <is>
          <t>x</t>
        </is>
      </c>
      <c r="G366" t="n">
        <v>2.1</v>
      </c>
      <c r="J366" t="inlineStr">
        <is>
          <t>=</t>
        </is>
      </c>
      <c r="K366">
        <f>IF(C366,C366*E366*G366,"")</f>
        <v/>
      </c>
      <c r="L366" t="inlineStr">
        <is>
          <t>Sqm</t>
        </is>
      </c>
    </row>
    <row r="367">
      <c r="B367" t="inlineStr">
        <is>
          <t>W</t>
        </is>
      </c>
      <c r="C367" t="n">
        <v>7</v>
      </c>
      <c r="D367" t="inlineStr">
        <is>
          <t>x</t>
        </is>
      </c>
      <c r="E367" t="n">
        <v>2.1</v>
      </c>
      <c r="F367" t="inlineStr">
        <is>
          <t>x</t>
        </is>
      </c>
      <c r="G367" t="n">
        <v>1.8</v>
      </c>
      <c r="J367" t="inlineStr">
        <is>
          <t>=</t>
        </is>
      </c>
      <c r="K367">
        <f>IF(C367,C367*E367*G367,"")</f>
        <v/>
      </c>
      <c r="L367" t="inlineStr">
        <is>
          <t>Sqm</t>
        </is>
      </c>
    </row>
    <row r="368">
      <c r="B368" t="inlineStr">
        <is>
          <t>W1</t>
        </is>
      </c>
      <c r="C368" t="n">
        <v>8</v>
      </c>
      <c r="D368" t="inlineStr">
        <is>
          <t>x</t>
        </is>
      </c>
      <c r="E368" t="n">
        <v>1.5</v>
      </c>
      <c r="F368" t="inlineStr">
        <is>
          <t>x</t>
        </is>
      </c>
      <c r="G368" t="n">
        <v>1.8</v>
      </c>
      <c r="J368" t="inlineStr">
        <is>
          <t>=</t>
        </is>
      </c>
      <c r="K368">
        <f>IF(C368,C368*E368*G368,"")</f>
        <v/>
      </c>
      <c r="L368" t="inlineStr">
        <is>
          <t>Sqm</t>
        </is>
      </c>
    </row>
    <row r="369">
      <c r="B369" t="inlineStr">
        <is>
          <t>W2</t>
        </is>
      </c>
      <c r="C369" t="n">
        <v>10</v>
      </c>
      <c r="D369" t="inlineStr">
        <is>
          <t>x</t>
        </is>
      </c>
      <c r="E369" t="n">
        <v>0.9</v>
      </c>
      <c r="F369" t="inlineStr">
        <is>
          <t>x</t>
        </is>
      </c>
      <c r="G369" t="n">
        <v>1.8</v>
      </c>
      <c r="J369" t="inlineStr">
        <is>
          <t>=</t>
        </is>
      </c>
      <c r="K369">
        <f>IF(C369,C369*E369*G369,"")</f>
        <v/>
      </c>
      <c r="L369" t="inlineStr">
        <is>
          <t>Sqm</t>
        </is>
      </c>
    </row>
    <row r="370">
      <c r="B370" t="inlineStr">
        <is>
          <t>V</t>
        </is>
      </c>
      <c r="C370" t="n">
        <v>2</v>
      </c>
      <c r="D370" t="inlineStr">
        <is>
          <t>x</t>
        </is>
      </c>
      <c r="E370" t="n">
        <v>1.05</v>
      </c>
      <c r="F370" t="inlineStr">
        <is>
          <t>x</t>
        </is>
      </c>
      <c r="G370" t="n">
        <v>0.75</v>
      </c>
      <c r="J370" t="inlineStr">
        <is>
          <t>=</t>
        </is>
      </c>
      <c r="K370">
        <f>IF(C370,C370*E370*G370,"")</f>
        <v/>
      </c>
      <c r="L370" t="inlineStr">
        <is>
          <t>Sqm</t>
        </is>
      </c>
    </row>
    <row r="371">
      <c r="B371" t="inlineStr">
        <is>
          <t>V1</t>
        </is>
      </c>
      <c r="C371" t="n">
        <v>3</v>
      </c>
      <c r="D371" t="inlineStr">
        <is>
          <t>x</t>
        </is>
      </c>
      <c r="E371" t="n">
        <v>0.75</v>
      </c>
      <c r="F371" t="inlineStr">
        <is>
          <t>x</t>
        </is>
      </c>
      <c r="G371" t="n">
        <v>0.75</v>
      </c>
      <c r="J371" t="inlineStr">
        <is>
          <t>=</t>
        </is>
      </c>
      <c r="K371">
        <f>IF(C371,C371*E371*G371,"")</f>
        <v/>
      </c>
      <c r="L371" t="inlineStr">
        <is>
          <t>Sqm</t>
        </is>
      </c>
    </row>
    <row r="372">
      <c r="B372" t="inlineStr">
        <is>
          <t>V2</t>
        </is>
      </c>
      <c r="C372" t="n">
        <v>3</v>
      </c>
      <c r="D372" t="inlineStr">
        <is>
          <t>x</t>
        </is>
      </c>
      <c r="E372" t="n">
        <v>0.6</v>
      </c>
      <c r="F372" t="inlineStr">
        <is>
          <t>x</t>
        </is>
      </c>
      <c r="G372" t="n">
        <v>0.6</v>
      </c>
      <c r="J372" t="inlineStr">
        <is>
          <t>=</t>
        </is>
      </c>
      <c r="K372">
        <f>IF(C372,C372*E372*G372,"")</f>
        <v/>
      </c>
      <c r="L372" t="inlineStr">
        <is>
          <t>Sqm</t>
        </is>
      </c>
    </row>
    <row r="373">
      <c r="B373" t="inlineStr">
        <is>
          <t>Rolling Shutter</t>
        </is>
      </c>
      <c r="C373" t="n">
        <v>1</v>
      </c>
      <c r="D373" t="inlineStr">
        <is>
          <t>x</t>
        </is>
      </c>
      <c r="E373" t="n">
        <v>2.7</v>
      </c>
      <c r="F373" t="inlineStr">
        <is>
          <t>x</t>
        </is>
      </c>
      <c r="G373" t="n">
        <v>2.4</v>
      </c>
      <c r="J373" t="inlineStr">
        <is>
          <t>=</t>
        </is>
      </c>
      <c r="K373">
        <f>IF(C373,C373*E373*G373,"")</f>
        <v/>
      </c>
      <c r="L373" t="inlineStr">
        <is>
          <t>Sqm</t>
        </is>
      </c>
    </row>
    <row r="374">
      <c r="B374" t="inlineStr">
        <is>
          <t>Verandah</t>
        </is>
      </c>
      <c r="C374" t="n">
        <v>1</v>
      </c>
      <c r="D374" t="inlineStr">
        <is>
          <t>x</t>
        </is>
      </c>
      <c r="E374" t="n">
        <v>3.6</v>
      </c>
      <c r="F374" t="inlineStr">
        <is>
          <t>x</t>
        </is>
      </c>
      <c r="G374" t="n">
        <v>2.4</v>
      </c>
      <c r="J374" t="inlineStr">
        <is>
          <t>=</t>
        </is>
      </c>
      <c r="K374">
        <f>IF(C374,C374*E374*G374,"")</f>
        <v/>
      </c>
      <c r="L374" t="inlineStr">
        <is>
          <t>Sqm</t>
        </is>
      </c>
    </row>
    <row r="375">
      <c r="B375" t="inlineStr">
        <is>
          <t>Verandah</t>
        </is>
      </c>
      <c r="C375" t="n">
        <v>1</v>
      </c>
      <c r="D375" t="inlineStr">
        <is>
          <t>x</t>
        </is>
      </c>
      <c r="E375" t="n">
        <v>4.2</v>
      </c>
      <c r="F375" t="inlineStr">
        <is>
          <t>x</t>
        </is>
      </c>
      <c r="G375" t="n">
        <v>2.4</v>
      </c>
      <c r="J375" t="inlineStr">
        <is>
          <t>=</t>
        </is>
      </c>
      <c r="K375">
        <f>IF(C375,C375*E375*G375,"")</f>
        <v/>
      </c>
      <c r="L375" t="inlineStr">
        <is>
          <t>Sqm</t>
        </is>
      </c>
    </row>
    <row r="376">
      <c r="B376" t="inlineStr">
        <is>
          <t>Platform</t>
        </is>
      </c>
      <c r="C376" t="n">
        <v>2</v>
      </c>
      <c r="D376" t="inlineStr">
        <is>
          <t>x</t>
        </is>
      </c>
      <c r="E376" t="n">
        <v>0.6</v>
      </c>
      <c r="F376" t="inlineStr">
        <is>
          <t>x</t>
        </is>
      </c>
      <c r="G376" t="n">
        <v>2.4</v>
      </c>
      <c r="J376" t="inlineStr">
        <is>
          <t>=</t>
        </is>
      </c>
      <c r="K376">
        <f>IF(C376,C376*E376*G376,"")</f>
        <v/>
      </c>
      <c r="L376" t="inlineStr">
        <is>
          <t>Sqm</t>
        </is>
      </c>
    </row>
    <row r="377">
      <c r="G377" t="inlineStr">
        <is>
          <t>Total Deductions</t>
        </is>
      </c>
      <c r="J377" t="inlineStr">
        <is>
          <t>-</t>
        </is>
      </c>
      <c r="K377">
        <f>SUM(K362:K376)</f>
        <v/>
      </c>
      <c r="L377" t="inlineStr">
        <is>
          <t>Sqm</t>
        </is>
      </c>
    </row>
    <row r="378">
      <c r="B378" t="inlineStr">
        <is>
          <t>Net qty. of Internal Plaster in GF</t>
        </is>
      </c>
      <c r="D378">
        <f>K360</f>
        <v/>
      </c>
      <c r="F378" t="inlineStr">
        <is>
          <t>-</t>
        </is>
      </c>
      <c r="G378">
        <f>K377</f>
        <v/>
      </c>
      <c r="J378" t="inlineStr">
        <is>
          <t>=</t>
        </is>
      </c>
      <c r="K378">
        <f>D378-G378</f>
        <v/>
      </c>
      <c r="L378" t="inlineStr">
        <is>
          <t>Sqm</t>
        </is>
      </c>
    </row>
    <row r="379"/>
    <row r="380">
      <c r="B380" t="inlineStr">
        <is>
          <t>External plaster</t>
        </is>
      </c>
    </row>
    <row r="381">
      <c r="B381" t="inlineStr">
        <is>
          <t>Ground Floor</t>
        </is>
      </c>
      <c r="C381" t="n">
        <v>1</v>
      </c>
      <c r="D381" t="inlineStr">
        <is>
          <t>x</t>
        </is>
      </c>
      <c r="E381">
        <f>E122</f>
        <v/>
      </c>
      <c r="F381" t="inlineStr">
        <is>
          <t>x</t>
        </is>
      </c>
      <c r="G381">
        <f>5.5-0.6</f>
        <v/>
      </c>
      <c r="J381" t="inlineStr">
        <is>
          <t>=</t>
        </is>
      </c>
      <c r="K381">
        <f>IF(C381,C381*E381*G381,"")</f>
        <v/>
      </c>
      <c r="L381" t="inlineStr">
        <is>
          <t>Sqm</t>
        </is>
      </c>
    </row>
    <row r="382">
      <c r="B382" t="inlineStr">
        <is>
          <t>First Floor</t>
        </is>
      </c>
      <c r="C382" t="n">
        <v>1</v>
      </c>
      <c r="D382" t="inlineStr">
        <is>
          <t>x</t>
        </is>
      </c>
      <c r="E382">
        <f>E359</f>
        <v/>
      </c>
      <c r="F382" t="inlineStr">
        <is>
          <t>x</t>
        </is>
      </c>
      <c r="G382" t="n">
        <v>3.9</v>
      </c>
      <c r="J382" t="inlineStr">
        <is>
          <t>=</t>
        </is>
      </c>
      <c r="K382">
        <f>IF(C382,C382*E382*G382,"")</f>
        <v/>
      </c>
      <c r="L382" t="inlineStr">
        <is>
          <t>Sqm</t>
        </is>
      </c>
    </row>
    <row r="383">
      <c r="B383" t="inlineStr">
        <is>
          <t>Tank Stand</t>
        </is>
      </c>
      <c r="C383" t="n">
        <v>8</v>
      </c>
      <c r="D383" t="inlineStr">
        <is>
          <t>x</t>
        </is>
      </c>
      <c r="E383" t="n">
        <v>1.5</v>
      </c>
      <c r="F383" t="inlineStr">
        <is>
          <t>x</t>
        </is>
      </c>
      <c r="G383" t="n">
        <v>1.2</v>
      </c>
      <c r="J383" t="inlineStr">
        <is>
          <t>=</t>
        </is>
      </c>
      <c r="K383">
        <f>IF(C383,C383*E383*G383,"")</f>
        <v/>
      </c>
      <c r="L383" t="inlineStr">
        <is>
          <t>Sqm</t>
        </is>
      </c>
    </row>
    <row r="384">
      <c r="F384" t="inlineStr">
        <is>
          <t>Net qty. of External Plaster</t>
        </is>
      </c>
      <c r="J384" t="inlineStr">
        <is>
          <t>=</t>
        </is>
      </c>
      <c r="K384">
        <f>SUM(K381:K383)</f>
        <v/>
      </c>
      <c r="L384" t="inlineStr">
        <is>
          <t>Sqm</t>
        </is>
      </c>
    </row>
    <row r="385"/>
    <row r="386">
      <c r="B386" t="inlineStr">
        <is>
          <t>Total qty. of  Plaster</t>
        </is>
      </c>
      <c r="D386">
        <f>K378</f>
        <v/>
      </c>
      <c r="F386" t="inlineStr">
        <is>
          <t>+</t>
        </is>
      </c>
      <c r="G386">
        <f>K384</f>
        <v/>
      </c>
      <c r="J386" t="inlineStr">
        <is>
          <t>=</t>
        </is>
      </c>
      <c r="K386">
        <f>D386+G386</f>
        <v/>
      </c>
      <c r="L386" t="inlineStr">
        <is>
          <t>Sqm</t>
        </is>
      </c>
    </row>
    <row r="387">
      <c r="A387" t="n">
        <v>16</v>
      </c>
      <c r="B387" t="inlineStr">
        <is>
          <t>Plaster on new surface over ceiling in cement sand mortar 1:3 including raking of joints etc. complete fine finished :12 mm thick.</t>
        </is>
      </c>
    </row>
    <row r="388">
      <c r="B388" t="inlineStr">
        <is>
          <t>Qty. of Sunshade shuttering</t>
        </is>
      </c>
      <c r="J388" t="inlineStr">
        <is>
          <t>=</t>
        </is>
      </c>
      <c r="K388">
        <f>C206</f>
        <v/>
      </c>
      <c r="L388" t="inlineStr">
        <is>
          <t>Sqm</t>
        </is>
      </c>
    </row>
    <row r="389">
      <c r="B389" t="inlineStr">
        <is>
          <t>Qty. of Slab shuttering</t>
        </is>
      </c>
      <c r="J389" t="inlineStr">
        <is>
          <t>=</t>
        </is>
      </c>
      <c r="K389">
        <f>C251</f>
        <v/>
      </c>
      <c r="L389" t="inlineStr">
        <is>
          <t>Sqm</t>
        </is>
      </c>
    </row>
    <row r="390">
      <c r="G390" t="inlineStr">
        <is>
          <t>Total</t>
        </is>
      </c>
      <c r="J390" t="inlineStr">
        <is>
          <t>=</t>
        </is>
      </c>
      <c r="K390">
        <f>SUM(K388:K389)</f>
        <v/>
      </c>
      <c r="L390" t="inlineStr">
        <is>
          <t>Sqm</t>
        </is>
      </c>
    </row>
    <row r="391">
      <c r="A391" t="n">
        <v>17</v>
      </c>
      <c r="B391" t="inlineStr">
        <is>
          <t>Random rubble dry stone kharanja under floor.</t>
        </is>
      </c>
    </row>
    <row r="392">
      <c r="B392" t="inlineStr">
        <is>
          <t>Ref. Qty. of earth filling</t>
        </is>
      </c>
      <c r="C392">
        <f>K90</f>
        <v/>
      </c>
      <c r="F392" t="inlineStr">
        <is>
          <t>x</t>
        </is>
      </c>
      <c r="G392" t="n">
        <v>0.23</v>
      </c>
      <c r="H392" t="inlineStr">
        <is>
          <t>/</t>
        </is>
      </c>
      <c r="I392" t="n">
        <v>1.2</v>
      </c>
      <c r="J392" t="inlineStr">
        <is>
          <t>=</t>
        </is>
      </c>
      <c r="K392">
        <f>C392*G392/I392</f>
        <v/>
      </c>
      <c r="L392" t="inlineStr">
        <is>
          <t>Cum</t>
        </is>
      </c>
    </row>
    <row r="393"/>
    <row r="394">
      <c r="A394" t="n">
        <v>18</v>
      </c>
      <c r="B394" t="inlineStr">
        <is>
          <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t>
        </is>
      </c>
    </row>
    <row r="395">
      <c r="B395" t="inlineStr">
        <is>
          <t>D</t>
        </is>
      </c>
      <c r="C395" t="n">
        <v>7</v>
      </c>
      <c r="D395" t="inlineStr">
        <is>
          <t>x(</t>
        </is>
      </c>
      <c r="E395" t="n">
        <v>1.5</v>
      </c>
      <c r="F395" t="inlineStr">
        <is>
          <t>+</t>
        </is>
      </c>
      <c r="G395" t="n">
        <v>2.6</v>
      </c>
      <c r="H395" t="inlineStr">
        <is>
          <t>+</t>
        </is>
      </c>
      <c r="I395" t="n">
        <v>2.6</v>
      </c>
      <c r="J395" t="inlineStr">
        <is>
          <t>)=</t>
        </is>
      </c>
      <c r="K395">
        <f>C395*(E395+G395+I395)</f>
        <v/>
      </c>
      <c r="L395" t="inlineStr">
        <is>
          <t>RM</t>
        </is>
      </c>
    </row>
    <row r="396">
      <c r="B396" t="inlineStr">
        <is>
          <t>D1</t>
        </is>
      </c>
      <c r="C396" t="n">
        <v>4</v>
      </c>
      <c r="D396" t="inlineStr">
        <is>
          <t>x(</t>
        </is>
      </c>
      <c r="E396" t="n">
        <v>1.35</v>
      </c>
      <c r="F396" t="inlineStr">
        <is>
          <t>+</t>
        </is>
      </c>
      <c r="G396" t="n">
        <v>2.15</v>
      </c>
      <c r="H396" t="inlineStr">
        <is>
          <t>+</t>
        </is>
      </c>
      <c r="I396" t="n">
        <v>2.15</v>
      </c>
      <c r="J396" t="inlineStr">
        <is>
          <t>)=</t>
        </is>
      </c>
      <c r="K396">
        <f>C396*(E396+G396+I396)</f>
        <v/>
      </c>
      <c r="L396" t="inlineStr">
        <is>
          <t>RM</t>
        </is>
      </c>
    </row>
    <row r="397">
      <c r="B397" t="inlineStr">
        <is>
          <t>D2</t>
        </is>
      </c>
      <c r="C397" t="n">
        <v>6</v>
      </c>
      <c r="D397" t="inlineStr">
        <is>
          <t>x(</t>
        </is>
      </c>
      <c r="E397" t="n">
        <v>1.14</v>
      </c>
      <c r="F397" t="inlineStr">
        <is>
          <t>+</t>
        </is>
      </c>
      <c r="G397" t="n">
        <v>2.15</v>
      </c>
      <c r="H397" t="inlineStr">
        <is>
          <t>+</t>
        </is>
      </c>
      <c r="I397" t="n">
        <v>2.15</v>
      </c>
      <c r="J397" t="inlineStr">
        <is>
          <t>)=</t>
        </is>
      </c>
      <c r="K397">
        <f>C397*(E397+G397+I397)</f>
        <v/>
      </c>
      <c r="L397" t="inlineStr">
        <is>
          <t>RM</t>
        </is>
      </c>
    </row>
    <row r="398">
      <c r="B398" t="inlineStr">
        <is>
          <t>D3</t>
        </is>
      </c>
      <c r="C398" t="n">
        <v>3</v>
      </c>
      <c r="D398" t="inlineStr">
        <is>
          <t>x(</t>
        </is>
      </c>
      <c r="E398" t="n">
        <v>1.2</v>
      </c>
      <c r="F398" t="inlineStr">
        <is>
          <t>+</t>
        </is>
      </c>
      <c r="G398" t="n">
        <v>2.15</v>
      </c>
      <c r="H398" t="inlineStr">
        <is>
          <t>+</t>
        </is>
      </c>
      <c r="I398" t="n">
        <v>2.15</v>
      </c>
      <c r="J398" t="inlineStr">
        <is>
          <t>)=</t>
        </is>
      </c>
      <c r="K398">
        <f>C398*(E398+G398+I398)</f>
        <v/>
      </c>
      <c r="L398" t="inlineStr">
        <is>
          <t>RM</t>
        </is>
      </c>
    </row>
    <row r="399">
      <c r="B399" t="inlineStr">
        <is>
          <t>D4</t>
        </is>
      </c>
      <c r="C399" t="n">
        <v>1</v>
      </c>
      <c r="D399" t="inlineStr">
        <is>
          <t>x(</t>
        </is>
      </c>
      <c r="E399" t="n">
        <v>1.05</v>
      </c>
      <c r="F399" t="inlineStr">
        <is>
          <t>+</t>
        </is>
      </c>
      <c r="G399" t="n">
        <v>2.15</v>
      </c>
      <c r="H399" t="inlineStr">
        <is>
          <t>+</t>
        </is>
      </c>
      <c r="I399" t="n">
        <v>2.15</v>
      </c>
      <c r="J399" t="inlineStr">
        <is>
          <t>)=</t>
        </is>
      </c>
      <c r="K399">
        <f>C399*(E399+G399+I399)</f>
        <v/>
      </c>
      <c r="L399" t="inlineStr">
        <is>
          <t>RM</t>
        </is>
      </c>
    </row>
    <row r="400">
      <c r="G400" t="inlineStr">
        <is>
          <t>Total</t>
        </is>
      </c>
      <c r="K400">
        <f>SUM(K395:K399)</f>
        <v/>
      </c>
      <c r="L400" t="inlineStr">
        <is>
          <t>RM</t>
        </is>
      </c>
    </row>
    <row r="401">
      <c r="E401">
        <f>K400</f>
        <v/>
      </c>
      <c r="F401" t="inlineStr">
        <is>
          <t>RM</t>
        </is>
      </c>
      <c r="H401" t="inlineStr">
        <is>
          <t>@ 6.15 Kg/m</t>
        </is>
      </c>
      <c r="K401">
        <f>E401*6.15</f>
        <v/>
      </c>
      <c r="L401" t="inlineStr">
        <is>
          <t>Kg</t>
        </is>
      </c>
    </row>
    <row r="402">
      <c r="A402" t="n">
        <v>19</v>
      </c>
      <c r="B402" t="inlineStr">
        <is>
          <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 (Partly Fixed Partly Openable)</t>
        </is>
      </c>
    </row>
    <row r="403">
      <c r="B403" t="inlineStr">
        <is>
          <t>W</t>
        </is>
      </c>
      <c r="C403" t="n">
        <v>7</v>
      </c>
      <c r="D403" t="inlineStr">
        <is>
          <t>x</t>
        </is>
      </c>
      <c r="E403" t="n">
        <v>2.1</v>
      </c>
      <c r="F403" t="inlineStr">
        <is>
          <t>x</t>
        </is>
      </c>
      <c r="G403" t="n">
        <v>1.8</v>
      </c>
      <c r="J403" t="inlineStr">
        <is>
          <t>=</t>
        </is>
      </c>
      <c r="K403">
        <f>IF(C403,C403*E403*G403,"")</f>
        <v/>
      </c>
      <c r="L403" t="inlineStr">
        <is>
          <t>Sqm</t>
        </is>
      </c>
    </row>
    <row r="404">
      <c r="B404" t="inlineStr">
        <is>
          <t>W1</t>
        </is>
      </c>
      <c r="C404" t="n">
        <v>8</v>
      </c>
      <c r="D404" t="inlineStr">
        <is>
          <t>x</t>
        </is>
      </c>
      <c r="E404" t="n">
        <v>1.5</v>
      </c>
      <c r="F404" t="inlineStr">
        <is>
          <t>x</t>
        </is>
      </c>
      <c r="G404" t="n">
        <v>1.8</v>
      </c>
      <c r="J404" t="inlineStr">
        <is>
          <t>=</t>
        </is>
      </c>
      <c r="K404">
        <f>IF(C404,C404*E404*G404,"")</f>
        <v/>
      </c>
      <c r="L404" t="inlineStr">
        <is>
          <t>Sqm</t>
        </is>
      </c>
    </row>
    <row r="405">
      <c r="B405" t="inlineStr">
        <is>
          <t>W2</t>
        </is>
      </c>
      <c r="C405" t="n">
        <v>10</v>
      </c>
      <c r="D405" t="inlineStr">
        <is>
          <t>x</t>
        </is>
      </c>
      <c r="E405" t="n">
        <v>0.9</v>
      </c>
      <c r="F405" t="inlineStr">
        <is>
          <t>x</t>
        </is>
      </c>
      <c r="G405" t="n">
        <v>1.8</v>
      </c>
      <c r="J405" t="inlineStr">
        <is>
          <t>=</t>
        </is>
      </c>
      <c r="K405">
        <f>IF(C405,C405*E405*G405,"")</f>
        <v/>
      </c>
      <c r="L405" t="inlineStr">
        <is>
          <t>Sqm</t>
        </is>
      </c>
    </row>
    <row r="406">
      <c r="B406" t="inlineStr">
        <is>
          <t>V</t>
        </is>
      </c>
      <c r="C406" t="n">
        <v>2</v>
      </c>
      <c r="D406" t="inlineStr">
        <is>
          <t>x</t>
        </is>
      </c>
      <c r="E406" t="n">
        <v>1.05</v>
      </c>
      <c r="F406" t="inlineStr">
        <is>
          <t>x</t>
        </is>
      </c>
      <c r="G406" t="n">
        <v>0.75</v>
      </c>
      <c r="J406" t="inlineStr">
        <is>
          <t>=</t>
        </is>
      </c>
      <c r="K406">
        <f>IF(C406,C406*E406*G406,"")</f>
        <v/>
      </c>
      <c r="L406" t="inlineStr">
        <is>
          <t>Sqm</t>
        </is>
      </c>
    </row>
    <row r="407">
      <c r="B407" t="inlineStr">
        <is>
          <t>V1</t>
        </is>
      </c>
      <c r="C407" t="n">
        <v>3</v>
      </c>
      <c r="D407" t="inlineStr">
        <is>
          <t>x</t>
        </is>
      </c>
      <c r="E407" t="n">
        <v>0.75</v>
      </c>
      <c r="F407" t="inlineStr">
        <is>
          <t>x</t>
        </is>
      </c>
      <c r="G407" t="n">
        <v>0.75</v>
      </c>
      <c r="J407" t="inlineStr">
        <is>
          <t>=</t>
        </is>
      </c>
      <c r="K407">
        <f>IF(C407,C407*E407*G407,"")</f>
        <v/>
      </c>
      <c r="L407" t="inlineStr">
        <is>
          <t>Sqm</t>
        </is>
      </c>
    </row>
    <row r="408">
      <c r="B408" t="inlineStr">
        <is>
          <t>V2</t>
        </is>
      </c>
      <c r="C408" t="n">
        <v>3</v>
      </c>
      <c r="D408" t="inlineStr">
        <is>
          <t>x</t>
        </is>
      </c>
      <c r="E408" t="n">
        <v>0.6</v>
      </c>
      <c r="F408" t="inlineStr">
        <is>
          <t>x</t>
        </is>
      </c>
      <c r="G408" t="n">
        <v>0.6</v>
      </c>
      <c r="J408" t="inlineStr">
        <is>
          <t>=</t>
        </is>
      </c>
      <c r="K408">
        <f>IF(C408,C408*E408*G408,"")</f>
        <v/>
      </c>
      <c r="L408" t="inlineStr">
        <is>
          <t>Sqm</t>
        </is>
      </c>
    </row>
    <row r="409">
      <c r="G409" t="inlineStr">
        <is>
          <t>Total</t>
        </is>
      </c>
      <c r="K409">
        <f>SUM(K403:K408)</f>
        <v/>
      </c>
      <c r="L409" t="inlineStr">
        <is>
          <t>Sqm</t>
        </is>
      </c>
    </row>
    <row r="410"/>
    <row r="411">
      <c r="A411">
        <f>A402+1</f>
        <v/>
      </c>
      <c r="B411" t="inlineStr">
        <is>
          <t>Providing and fixing square bars or other flat welded to window, ventilators etc.</t>
        </is>
      </c>
    </row>
    <row r="412">
      <c r="B412" t="inlineStr">
        <is>
          <t>W</t>
        </is>
      </c>
      <c r="C412" t="n">
        <v>7</v>
      </c>
      <c r="D412" t="inlineStr">
        <is>
          <t>x</t>
        </is>
      </c>
      <c r="E412" t="n">
        <v>2.1</v>
      </c>
      <c r="F412" t="inlineStr">
        <is>
          <t>x</t>
        </is>
      </c>
      <c r="G412" t="n">
        <v>16</v>
      </c>
      <c r="H412" t="inlineStr">
        <is>
          <t>@ 1.13 Kg/m</t>
        </is>
      </c>
      <c r="I412" t="n">
        <v>1.13</v>
      </c>
      <c r="J412" t="inlineStr">
        <is>
          <t>=</t>
        </is>
      </c>
      <c r="K412">
        <f>C412*E412*G412*I412</f>
        <v/>
      </c>
      <c r="L412" t="inlineStr">
        <is>
          <t>Kg</t>
        </is>
      </c>
    </row>
    <row r="413">
      <c r="B413" t="inlineStr">
        <is>
          <t>W1</t>
        </is>
      </c>
      <c r="C413" t="n">
        <v>8</v>
      </c>
      <c r="D413" t="inlineStr">
        <is>
          <t>x</t>
        </is>
      </c>
      <c r="E413" t="n">
        <v>1.5</v>
      </c>
      <c r="F413" t="inlineStr">
        <is>
          <t>x</t>
        </is>
      </c>
      <c r="G413" t="n">
        <v>16</v>
      </c>
      <c r="H413" t="inlineStr">
        <is>
          <t>@ 1.13 Kg/m</t>
        </is>
      </c>
      <c r="I413" t="n">
        <v>1.13</v>
      </c>
      <c r="J413" t="inlineStr">
        <is>
          <t>=</t>
        </is>
      </c>
      <c r="K413">
        <f>C413*E413*G413*I413</f>
        <v/>
      </c>
      <c r="L413" t="inlineStr">
        <is>
          <t>Kg</t>
        </is>
      </c>
    </row>
    <row r="414">
      <c r="B414" t="inlineStr">
        <is>
          <t>W2</t>
        </is>
      </c>
      <c r="C414" t="n">
        <v>10</v>
      </c>
      <c r="D414" t="inlineStr">
        <is>
          <t>x</t>
        </is>
      </c>
      <c r="E414" t="n">
        <v>0.9</v>
      </c>
      <c r="F414" t="inlineStr">
        <is>
          <t>x</t>
        </is>
      </c>
      <c r="G414" t="n">
        <v>16</v>
      </c>
      <c r="H414" t="inlineStr">
        <is>
          <t>@ 1.13 Kg/m</t>
        </is>
      </c>
      <c r="I414" t="n">
        <v>1.13</v>
      </c>
      <c r="J414" t="inlineStr">
        <is>
          <t>=</t>
        </is>
      </c>
      <c r="K414">
        <f>C414*E414*G414*I414</f>
        <v/>
      </c>
      <c r="L414" t="inlineStr">
        <is>
          <t>Kg</t>
        </is>
      </c>
    </row>
    <row r="415">
      <c r="B415" t="inlineStr">
        <is>
          <t>V</t>
        </is>
      </c>
      <c r="C415" t="n">
        <v>2</v>
      </c>
      <c r="D415" t="inlineStr">
        <is>
          <t>x</t>
        </is>
      </c>
      <c r="E415" t="n">
        <v>1.05</v>
      </c>
      <c r="F415" t="inlineStr">
        <is>
          <t>x</t>
        </is>
      </c>
      <c r="G415" t="n">
        <v>7</v>
      </c>
      <c r="H415" t="inlineStr">
        <is>
          <t>@ 1.13 Kg/m</t>
        </is>
      </c>
      <c r="I415" t="n">
        <v>1.13</v>
      </c>
      <c r="J415" t="inlineStr">
        <is>
          <t>=</t>
        </is>
      </c>
      <c r="K415">
        <f>C415*E415*G415*I415</f>
        <v/>
      </c>
      <c r="L415" t="inlineStr">
        <is>
          <t>Kg</t>
        </is>
      </c>
    </row>
    <row r="416">
      <c r="B416" t="inlineStr">
        <is>
          <t>V1</t>
        </is>
      </c>
      <c r="C416" t="n">
        <v>3</v>
      </c>
      <c r="D416" t="inlineStr">
        <is>
          <t>x</t>
        </is>
      </c>
      <c r="E416" t="n">
        <v>0.75</v>
      </c>
      <c r="F416" t="inlineStr">
        <is>
          <t>x</t>
        </is>
      </c>
      <c r="G416" t="n">
        <v>7</v>
      </c>
      <c r="H416" t="inlineStr">
        <is>
          <t>@ 1.13 Kg/m</t>
        </is>
      </c>
      <c r="I416" t="n">
        <v>1.13</v>
      </c>
      <c r="J416" t="inlineStr">
        <is>
          <t>=</t>
        </is>
      </c>
      <c r="K416">
        <f>C416*E416*G416*I416</f>
        <v/>
      </c>
      <c r="L416" t="inlineStr">
        <is>
          <t>Kg</t>
        </is>
      </c>
    </row>
    <row r="417">
      <c r="B417" t="inlineStr">
        <is>
          <t>V2</t>
        </is>
      </c>
      <c r="C417" t="n">
        <v>3</v>
      </c>
      <c r="D417" t="inlineStr">
        <is>
          <t>x</t>
        </is>
      </c>
      <c r="E417" t="n">
        <v>0.6</v>
      </c>
      <c r="F417" t="inlineStr">
        <is>
          <t>x</t>
        </is>
      </c>
      <c r="G417" t="n">
        <v>5</v>
      </c>
      <c r="H417" t="inlineStr">
        <is>
          <t>@ 1.13 Kg/m</t>
        </is>
      </c>
      <c r="I417" t="n">
        <v>1.13</v>
      </c>
      <c r="J417" t="inlineStr">
        <is>
          <t>=</t>
        </is>
      </c>
      <c r="K417">
        <f>C417*E417*G417*I417</f>
        <v/>
      </c>
      <c r="L417" t="inlineStr">
        <is>
          <t>Kg</t>
        </is>
      </c>
    </row>
    <row r="418">
      <c r="G418" t="inlineStr">
        <is>
          <t>Total</t>
        </is>
      </c>
      <c r="K418">
        <f>SUM(K412:K417)</f>
        <v/>
      </c>
      <c r="L418" t="inlineStr">
        <is>
          <t>Kg</t>
        </is>
      </c>
    </row>
    <row r="419">
      <c r="A419">
        <f>A411+1</f>
        <v/>
      </c>
      <c r="B419" t="inlineStr">
        <is>
          <t>Supplying and fixing wire gauge of 14 mesh x 24 gauge to the metal frame of rolled section by metal beading 20 x 3 mm with suitable screw at not exceeding 150 mm distance.</t>
        </is>
      </c>
    </row>
    <row r="420">
      <c r="B420" t="inlineStr">
        <is>
          <t>Qty.  80% of total windows area</t>
        </is>
      </c>
      <c r="C420">
        <f>K409</f>
        <v/>
      </c>
      <c r="F420" t="inlineStr">
        <is>
          <t>x</t>
        </is>
      </c>
      <c r="G420" t="n">
        <v>0.8</v>
      </c>
      <c r="K420">
        <f>C420*G420</f>
        <v/>
      </c>
      <c r="L420" t="inlineStr">
        <is>
          <t>Sqm</t>
        </is>
      </c>
    </row>
    <row r="421">
      <c r="A421">
        <f>A419+1</f>
        <v/>
      </c>
      <c r="B421" t="inlineStr">
        <is>
          <t>Supplying and fixing in cement mortar welded hand railing made out of MS round or square bars flats. etc. for staircase or verandah as per design complete in all respect (wooden or PVC hand railing to be paid extra) with priming coat of red oxide.</t>
        </is>
      </c>
    </row>
    <row r="422">
      <c r="B422" t="inlineStr">
        <is>
          <t>Staircase</t>
        </is>
      </c>
    </row>
    <row r="423">
      <c r="B423" t="inlineStr">
        <is>
          <t>20 mm Square bar</t>
        </is>
      </c>
      <c r="C423" t="n">
        <v>51</v>
      </c>
      <c r="D423" t="inlineStr">
        <is>
          <t>x</t>
        </is>
      </c>
      <c r="E423" t="n">
        <v>1.2</v>
      </c>
      <c r="F423" t="inlineStr">
        <is>
          <t xml:space="preserve">@ </t>
        </is>
      </c>
      <c r="G423">
        <f>0.2*0.002*7850</f>
        <v/>
      </c>
      <c r="J423" t="inlineStr">
        <is>
          <t>=</t>
        </is>
      </c>
      <c r="K423">
        <f>C423*E423*G423</f>
        <v/>
      </c>
      <c r="L423" t="inlineStr">
        <is>
          <t>Kg</t>
        </is>
      </c>
    </row>
    <row r="424">
      <c r="C424" t="n">
        <v>51</v>
      </c>
      <c r="D424" t="inlineStr">
        <is>
          <t>x</t>
        </is>
      </c>
      <c r="E424" t="n">
        <v>0.05</v>
      </c>
      <c r="F424" t="inlineStr">
        <is>
          <t xml:space="preserve">@ </t>
        </is>
      </c>
      <c r="G424">
        <f>0.2*0.002*7850</f>
        <v/>
      </c>
      <c r="J424" t="inlineStr">
        <is>
          <t>=</t>
        </is>
      </c>
      <c r="K424">
        <f>C424*E424*G424</f>
        <v/>
      </c>
      <c r="L424" t="inlineStr">
        <is>
          <t>Kg</t>
        </is>
      </c>
    </row>
    <row r="425">
      <c r="B425" t="inlineStr">
        <is>
          <t>Flat 50x5 mm</t>
        </is>
      </c>
      <c r="C425" t="n">
        <v>2</v>
      </c>
      <c r="D425" t="inlineStr">
        <is>
          <t>x</t>
        </is>
      </c>
      <c r="E425" t="n">
        <v>9.449999999999999</v>
      </c>
      <c r="F425" t="inlineStr">
        <is>
          <t xml:space="preserve">@ </t>
        </is>
      </c>
      <c r="G425">
        <f>0.05*0.005*7850</f>
        <v/>
      </c>
      <c r="J425" t="inlineStr">
        <is>
          <t>=</t>
        </is>
      </c>
      <c r="K425">
        <f>C425*E425*G425</f>
        <v/>
      </c>
      <c r="L425" t="inlineStr">
        <is>
          <t>Kg</t>
        </is>
      </c>
    </row>
    <row r="426">
      <c r="B426" t="inlineStr">
        <is>
          <t>Balcony &amp; Parapet</t>
        </is>
      </c>
    </row>
    <row r="427">
      <c r="B427" t="inlineStr">
        <is>
          <t>20 mm Square bar</t>
        </is>
      </c>
      <c r="C427" t="n">
        <v>80</v>
      </c>
      <c r="D427" t="inlineStr">
        <is>
          <t>x</t>
        </is>
      </c>
      <c r="E427" t="n">
        <v>0.9</v>
      </c>
      <c r="F427" t="inlineStr">
        <is>
          <t xml:space="preserve">@ </t>
        </is>
      </c>
      <c r="G427">
        <f>0.2*0.002*7850</f>
        <v/>
      </c>
      <c r="J427" t="inlineStr">
        <is>
          <t>=</t>
        </is>
      </c>
      <c r="K427">
        <f>C427*E427*G427</f>
        <v/>
      </c>
      <c r="L427" t="inlineStr">
        <is>
          <t>Kg</t>
        </is>
      </c>
    </row>
    <row r="428">
      <c r="C428" t="n">
        <v>80</v>
      </c>
      <c r="D428" t="inlineStr">
        <is>
          <t>x</t>
        </is>
      </c>
      <c r="E428" t="n">
        <v>0.05</v>
      </c>
      <c r="F428" t="inlineStr">
        <is>
          <t xml:space="preserve">@ </t>
        </is>
      </c>
      <c r="G428">
        <f>0.2*0.002*7850</f>
        <v/>
      </c>
      <c r="J428" t="inlineStr">
        <is>
          <t>=</t>
        </is>
      </c>
      <c r="K428">
        <f>C428*E428*G428</f>
        <v/>
      </c>
      <c r="L428" t="inlineStr">
        <is>
          <t>Kg</t>
        </is>
      </c>
    </row>
    <row r="429">
      <c r="B429" t="inlineStr">
        <is>
          <t>Flat 50x5 mm</t>
        </is>
      </c>
      <c r="C429" t="n">
        <v>3</v>
      </c>
      <c r="D429" t="inlineStr">
        <is>
          <t>x</t>
        </is>
      </c>
      <c r="E429" t="n">
        <v>6</v>
      </c>
      <c r="F429" t="inlineStr">
        <is>
          <t xml:space="preserve">@ </t>
        </is>
      </c>
      <c r="G429">
        <f>0.05*0.005*7850</f>
        <v/>
      </c>
      <c r="J429" t="inlineStr">
        <is>
          <t>=</t>
        </is>
      </c>
      <c r="K429">
        <f>C429*E429*G429</f>
        <v/>
      </c>
      <c r="L429" t="inlineStr">
        <is>
          <t>Kg</t>
        </is>
      </c>
    </row>
    <row r="430">
      <c r="G430" t="inlineStr">
        <is>
          <t>Total</t>
        </is>
      </c>
      <c r="K430">
        <f>SUM(K423:K429)</f>
        <v/>
      </c>
      <c r="L430" t="inlineStr">
        <is>
          <t>Kg</t>
        </is>
      </c>
    </row>
    <row r="431">
      <c r="A431">
        <f>A421+1</f>
        <v/>
      </c>
      <c r="B431" t="inlineStr">
        <is>
          <t>Cement concrete including curing compaction etc. complete using stone aggregate 40 mm nominal size in foundation plinth, excluding the cost of shuttering, using : 1 Cement : 5 Sand : 10 aggregate Mix. (under floor)</t>
        </is>
      </c>
    </row>
    <row r="432">
      <c r="B432" t="inlineStr">
        <is>
          <t>Ref. Qty. of earth filling</t>
        </is>
      </c>
      <c r="C432">
        <f>C392</f>
        <v/>
      </c>
      <c r="F432" t="inlineStr">
        <is>
          <t>x</t>
        </is>
      </c>
      <c r="G432" t="n">
        <v>0.1</v>
      </c>
      <c r="H432" t="inlineStr">
        <is>
          <t>/</t>
        </is>
      </c>
      <c r="I432" t="n">
        <v>1.2</v>
      </c>
      <c r="J432" t="inlineStr">
        <is>
          <t>=</t>
        </is>
      </c>
      <c r="K432">
        <f>C432*G432/I432</f>
        <v/>
      </c>
      <c r="L432" t="inlineStr">
        <is>
          <t>Cum</t>
        </is>
      </c>
    </row>
    <row r="433">
      <c r="A433">
        <f>A431+1</f>
        <v/>
      </c>
      <c r="B433">
        <f>GF1_ABS!B35</f>
        <v/>
      </c>
    </row>
    <row r="434">
      <c r="B434" t="inlineStr">
        <is>
          <t>(a) for area of each slab from 901  to 2000 sq. cm 25 mm thick  slab.</t>
        </is>
      </c>
      <c r="G434">
        <f>IF(C434,C434*E434,"")</f>
        <v/>
      </c>
    </row>
    <row r="435">
      <c r="B435" t="inlineStr">
        <is>
          <t>Skirting</t>
        </is>
      </c>
    </row>
    <row r="436">
      <c r="B436" t="inlineStr">
        <is>
          <t>Ref. Inside Gross Plaster Area</t>
        </is>
      </c>
      <c r="C436">
        <f>C357</f>
        <v/>
      </c>
      <c r="F436" t="inlineStr">
        <is>
          <t>x</t>
        </is>
      </c>
      <c r="G436" t="n">
        <v>0.1</v>
      </c>
      <c r="H436" t="inlineStr">
        <is>
          <t>/</t>
        </is>
      </c>
      <c r="I436" t="n">
        <v>2.9</v>
      </c>
      <c r="J436" t="inlineStr">
        <is>
          <t>=</t>
        </is>
      </c>
      <c r="K436">
        <f>C436*G436/I436</f>
        <v/>
      </c>
      <c r="L436" t="inlineStr">
        <is>
          <t>Sqm</t>
        </is>
      </c>
    </row>
    <row r="437">
      <c r="G437" t="inlineStr">
        <is>
          <t>Total</t>
        </is>
      </c>
      <c r="K437">
        <f>SUM(K436:K436)</f>
        <v/>
      </c>
      <c r="L437" t="inlineStr">
        <is>
          <t>Sqm</t>
        </is>
      </c>
    </row>
    <row r="438">
      <c r="B438" t="inlineStr">
        <is>
          <t>(b) for area of each slab from 2001  to 5000 sq. cm 25 mm thick  slab.</t>
        </is>
      </c>
      <c r="G438">
        <f>IF(C438,C438*E438,"")</f>
        <v/>
      </c>
    </row>
    <row r="439">
      <c r="B439" t="inlineStr">
        <is>
          <t>Servant Room</t>
        </is>
      </c>
      <c r="C439" t="n">
        <v>1</v>
      </c>
      <c r="D439" t="inlineStr">
        <is>
          <t>x</t>
        </is>
      </c>
      <c r="E439" t="n">
        <v>3.05</v>
      </c>
      <c r="F439" t="inlineStr">
        <is>
          <t>x</t>
        </is>
      </c>
      <c r="G439" t="n">
        <v>2.44</v>
      </c>
      <c r="J439" t="inlineStr">
        <is>
          <t>=</t>
        </is>
      </c>
      <c r="K439">
        <f>IF(C439,C439*E439*G439,"")</f>
        <v/>
      </c>
      <c r="L439" t="inlineStr">
        <is>
          <t>Sqm</t>
        </is>
      </c>
    </row>
    <row r="440">
      <c r="B440" t="inlineStr">
        <is>
          <t>WC</t>
        </is>
      </c>
      <c r="C440" t="n">
        <v>1</v>
      </c>
      <c r="D440" t="inlineStr">
        <is>
          <t>x</t>
        </is>
      </c>
      <c r="E440" t="n">
        <v>1.53</v>
      </c>
      <c r="F440" t="inlineStr">
        <is>
          <t>x</t>
        </is>
      </c>
      <c r="G440" t="n">
        <v>1</v>
      </c>
      <c r="J440" t="inlineStr">
        <is>
          <t>=</t>
        </is>
      </c>
      <c r="K440">
        <f>IF(C440,C440*E440*G440,"")</f>
        <v/>
      </c>
      <c r="L440" t="inlineStr">
        <is>
          <t>Sqm</t>
        </is>
      </c>
    </row>
    <row r="441">
      <c r="B441" t="inlineStr">
        <is>
          <t>Garage</t>
        </is>
      </c>
      <c r="C441" t="n">
        <v>1</v>
      </c>
      <c r="D441" t="inlineStr">
        <is>
          <t>x</t>
        </is>
      </c>
      <c r="E441" t="n">
        <v>3.05</v>
      </c>
      <c r="F441" t="inlineStr">
        <is>
          <t>x</t>
        </is>
      </c>
      <c r="G441" t="n">
        <v>5.19</v>
      </c>
      <c r="J441" t="inlineStr">
        <is>
          <t>=</t>
        </is>
      </c>
      <c r="K441">
        <f>IF(C441,C441*E441*G441,"")</f>
        <v/>
      </c>
      <c r="L441" t="inlineStr">
        <is>
          <t>Sqm</t>
        </is>
      </c>
    </row>
    <row r="442">
      <c r="B442" t="inlineStr">
        <is>
          <t>Kitchen</t>
        </is>
      </c>
      <c r="C442" t="n">
        <v>1</v>
      </c>
      <c r="D442" t="inlineStr">
        <is>
          <t>x</t>
        </is>
      </c>
      <c r="E442" t="n">
        <v>3.97</v>
      </c>
      <c r="F442" t="inlineStr">
        <is>
          <t>x</t>
        </is>
      </c>
      <c r="G442" t="n">
        <v>3.97</v>
      </c>
      <c r="J442" t="inlineStr">
        <is>
          <t>=</t>
        </is>
      </c>
      <c r="K442">
        <f>IF(C442,C442*E442*G442,"")</f>
        <v/>
      </c>
      <c r="L442" t="inlineStr">
        <is>
          <t>Sqm</t>
        </is>
      </c>
    </row>
    <row r="443">
      <c r="B443" t="inlineStr">
        <is>
          <t>Staircase</t>
        </is>
      </c>
      <c r="C443" t="n">
        <v>1</v>
      </c>
      <c r="D443" t="inlineStr">
        <is>
          <t>x</t>
        </is>
      </c>
      <c r="E443" t="n">
        <v>2.9</v>
      </c>
      <c r="F443" t="inlineStr">
        <is>
          <t>x</t>
        </is>
      </c>
      <c r="G443" t="n">
        <v>1.99</v>
      </c>
      <c r="J443" t="inlineStr">
        <is>
          <t>=</t>
        </is>
      </c>
      <c r="K443">
        <f>IF(C443,C443*E443*G443,"")</f>
        <v/>
      </c>
      <c r="L443" t="inlineStr">
        <is>
          <t>Sqm</t>
        </is>
      </c>
    </row>
    <row r="444">
      <c r="B444" t="inlineStr">
        <is>
          <t>Toilet</t>
        </is>
      </c>
      <c r="C444" t="n">
        <v>1</v>
      </c>
      <c r="D444" t="inlineStr">
        <is>
          <t>x</t>
        </is>
      </c>
      <c r="E444" t="n">
        <v>1.83</v>
      </c>
      <c r="F444" t="inlineStr">
        <is>
          <t>x</t>
        </is>
      </c>
      <c r="G444" t="n">
        <v>1.38</v>
      </c>
      <c r="J444" t="inlineStr">
        <is>
          <t>=</t>
        </is>
      </c>
      <c r="K444">
        <f>IF(C444,C444*E444*G444,"")</f>
        <v/>
      </c>
      <c r="L444" t="inlineStr">
        <is>
          <t>Sqm</t>
        </is>
      </c>
    </row>
    <row r="445">
      <c r="B445" t="inlineStr">
        <is>
          <t>Platform</t>
        </is>
      </c>
      <c r="C445" t="n">
        <v>1</v>
      </c>
      <c r="D445" t="inlineStr">
        <is>
          <t>x</t>
        </is>
      </c>
      <c r="E445" t="n">
        <v>4.27</v>
      </c>
      <c r="F445" t="inlineStr">
        <is>
          <t>x</t>
        </is>
      </c>
      <c r="G445" t="n">
        <v>1.68</v>
      </c>
      <c r="J445" t="inlineStr">
        <is>
          <t>=</t>
        </is>
      </c>
      <c r="K445">
        <f>IF(C445,C445*E445*G445,"")</f>
        <v/>
      </c>
      <c r="L445" t="inlineStr">
        <is>
          <t>Sqm</t>
        </is>
      </c>
    </row>
    <row r="446">
      <c r="B446" t="inlineStr">
        <is>
          <t>Dining</t>
        </is>
      </c>
      <c r="C446" t="n">
        <v>1</v>
      </c>
      <c r="D446" t="inlineStr">
        <is>
          <t>x</t>
        </is>
      </c>
      <c r="E446" t="n">
        <v>4.27</v>
      </c>
      <c r="F446" t="inlineStr">
        <is>
          <t>x</t>
        </is>
      </c>
      <c r="G446" t="n">
        <v>6.86</v>
      </c>
      <c r="J446" t="inlineStr">
        <is>
          <t>=</t>
        </is>
      </c>
      <c r="K446">
        <f>IF(C446,C446*E446*G446,"")</f>
        <v/>
      </c>
      <c r="L446" t="inlineStr">
        <is>
          <t>Sqm</t>
        </is>
      </c>
    </row>
    <row r="447">
      <c r="B447" t="inlineStr">
        <is>
          <t>Bed Rm</t>
        </is>
      </c>
      <c r="C447" t="n">
        <v>1</v>
      </c>
      <c r="D447" t="inlineStr">
        <is>
          <t>x</t>
        </is>
      </c>
      <c r="E447" t="n">
        <v>4.27</v>
      </c>
      <c r="F447" t="inlineStr">
        <is>
          <t>x</t>
        </is>
      </c>
      <c r="G447" t="n">
        <v>3.66</v>
      </c>
      <c r="J447" t="inlineStr">
        <is>
          <t>=</t>
        </is>
      </c>
      <c r="K447">
        <f>IF(C447,C447*E447*G447,"")</f>
        <v/>
      </c>
      <c r="L447" t="inlineStr">
        <is>
          <t>Sqm</t>
        </is>
      </c>
    </row>
    <row r="448">
      <c r="B448" t="inlineStr">
        <is>
          <t>Toilet</t>
        </is>
      </c>
      <c r="C448" t="n">
        <v>2</v>
      </c>
      <c r="D448" t="inlineStr">
        <is>
          <t>x</t>
        </is>
      </c>
      <c r="E448" t="n">
        <v>2.44</v>
      </c>
      <c r="F448" t="inlineStr">
        <is>
          <t>x</t>
        </is>
      </c>
      <c r="G448" t="n">
        <v>1.68</v>
      </c>
      <c r="J448" t="inlineStr">
        <is>
          <t>=</t>
        </is>
      </c>
      <c r="K448">
        <f>IF(C448,C448*E448*G448,"")</f>
        <v/>
      </c>
      <c r="L448" t="inlineStr">
        <is>
          <t>Sqm</t>
        </is>
      </c>
    </row>
    <row r="449">
      <c r="B449" t="inlineStr">
        <is>
          <t>Bed Rm</t>
        </is>
      </c>
      <c r="C449" t="n">
        <v>1</v>
      </c>
      <c r="D449" t="inlineStr">
        <is>
          <t>x</t>
        </is>
      </c>
      <c r="E449" t="n">
        <v>4.27</v>
      </c>
      <c r="F449" t="inlineStr">
        <is>
          <t>x</t>
        </is>
      </c>
      <c r="G449" t="n">
        <v>3.66</v>
      </c>
      <c r="J449" t="inlineStr">
        <is>
          <t>=</t>
        </is>
      </c>
      <c r="K449">
        <f>IF(C449,C449*E449*G449,"")</f>
        <v/>
      </c>
      <c r="L449" t="inlineStr">
        <is>
          <t>Sqm</t>
        </is>
      </c>
    </row>
    <row r="450">
      <c r="B450" t="inlineStr">
        <is>
          <t>First Floor</t>
        </is>
      </c>
      <c r="C450" t="n">
        <v>1</v>
      </c>
      <c r="D450" t="inlineStr">
        <is>
          <t>x</t>
        </is>
      </c>
      <c r="E450" t="n">
        <v>12</v>
      </c>
      <c r="F450" t="inlineStr">
        <is>
          <t>x</t>
        </is>
      </c>
      <c r="G450" t="n">
        <v>3.6</v>
      </c>
      <c r="J450" t="inlineStr">
        <is>
          <t>=</t>
        </is>
      </c>
      <c r="K450">
        <f>IF(C450,C450*E450*G450,"")</f>
        <v/>
      </c>
      <c r="L450" t="inlineStr">
        <is>
          <t>Sqm</t>
        </is>
      </c>
    </row>
    <row r="451">
      <c r="B451" t="inlineStr">
        <is>
          <t>Staircase</t>
        </is>
      </c>
      <c r="C451" t="n">
        <v>2</v>
      </c>
      <c r="D451" t="inlineStr">
        <is>
          <t>x</t>
        </is>
      </c>
      <c r="E451" t="n">
        <v>4.2</v>
      </c>
      <c r="F451" t="inlineStr">
        <is>
          <t>x</t>
        </is>
      </c>
      <c r="G451" t="n">
        <v>1.9</v>
      </c>
      <c r="J451" t="inlineStr">
        <is>
          <t>=</t>
        </is>
      </c>
      <c r="K451">
        <f>IF(C451,C451*E451*G451,"")</f>
        <v/>
      </c>
      <c r="L451" t="inlineStr">
        <is>
          <t>Sqm</t>
        </is>
      </c>
    </row>
    <row r="452">
      <c r="C452" t="n">
        <v>1</v>
      </c>
      <c r="D452" t="inlineStr">
        <is>
          <t>x</t>
        </is>
      </c>
      <c r="E452" t="n">
        <v>4.2</v>
      </c>
      <c r="F452" t="inlineStr">
        <is>
          <t>x</t>
        </is>
      </c>
      <c r="G452" t="n">
        <v>3.3</v>
      </c>
      <c r="J452" t="inlineStr">
        <is>
          <t>=</t>
        </is>
      </c>
      <c r="K452">
        <f>IF(C452,C452*E452*G452,"")</f>
        <v/>
      </c>
      <c r="L452" t="inlineStr">
        <is>
          <t>Sqm</t>
        </is>
      </c>
    </row>
    <row r="453">
      <c r="B453" t="inlineStr">
        <is>
          <t>Staircase</t>
        </is>
      </c>
      <c r="C453" t="n">
        <v>50</v>
      </c>
      <c r="D453" t="inlineStr">
        <is>
          <t>x</t>
        </is>
      </c>
      <c r="E453" t="n">
        <v>0.9</v>
      </c>
      <c r="F453" t="inlineStr">
        <is>
          <t>x</t>
        </is>
      </c>
      <c r="G453" t="n">
        <v>0.3</v>
      </c>
      <c r="J453" t="inlineStr">
        <is>
          <t>=</t>
        </is>
      </c>
      <c r="K453">
        <f>IF(C453,C453*E453*G453,"")</f>
        <v/>
      </c>
      <c r="L453" t="inlineStr">
        <is>
          <t>Sqm</t>
        </is>
      </c>
    </row>
    <row r="454">
      <c r="C454" t="n">
        <v>54</v>
      </c>
      <c r="D454" t="inlineStr">
        <is>
          <t>x</t>
        </is>
      </c>
      <c r="E454" t="n">
        <v>0.9</v>
      </c>
      <c r="F454" t="inlineStr">
        <is>
          <t>x</t>
        </is>
      </c>
      <c r="G454" t="n">
        <v>0.15</v>
      </c>
      <c r="J454" t="inlineStr">
        <is>
          <t>=</t>
        </is>
      </c>
      <c r="K454">
        <f>IF(C454,C454*E454*G454,"")</f>
        <v/>
      </c>
      <c r="L454" t="inlineStr">
        <is>
          <t>Sqm</t>
        </is>
      </c>
    </row>
    <row r="455">
      <c r="B455" t="inlineStr">
        <is>
          <t>Landing</t>
        </is>
      </c>
      <c r="C455" t="n">
        <v>2</v>
      </c>
      <c r="D455" t="inlineStr">
        <is>
          <t>x</t>
        </is>
      </c>
      <c r="E455" t="n">
        <v>1.95</v>
      </c>
      <c r="F455" t="inlineStr">
        <is>
          <t>x</t>
        </is>
      </c>
      <c r="G455" t="n">
        <v>0.9</v>
      </c>
      <c r="J455" t="inlineStr">
        <is>
          <t>=</t>
        </is>
      </c>
      <c r="K455">
        <f>IF(C455,C455*E455*G455,"")</f>
        <v/>
      </c>
      <c r="L455" t="inlineStr">
        <is>
          <t>Sqm</t>
        </is>
      </c>
    </row>
    <row r="456">
      <c r="B456" t="inlineStr">
        <is>
          <t>Library</t>
        </is>
      </c>
      <c r="C456" t="n">
        <v>1</v>
      </c>
      <c r="D456" t="inlineStr">
        <is>
          <t>x</t>
        </is>
      </c>
      <c r="E456" t="n">
        <v>3.66</v>
      </c>
      <c r="F456" t="inlineStr">
        <is>
          <t>x</t>
        </is>
      </c>
      <c r="G456" t="n">
        <v>3.05</v>
      </c>
      <c r="J456" t="inlineStr">
        <is>
          <t>=</t>
        </is>
      </c>
      <c r="K456">
        <f>IF(C456,C456*E456*G456,"")</f>
        <v/>
      </c>
      <c r="L456" t="inlineStr">
        <is>
          <t>Sqm</t>
        </is>
      </c>
    </row>
    <row r="457">
      <c r="B457" t="inlineStr">
        <is>
          <t>Verandah</t>
        </is>
      </c>
      <c r="C457" t="n">
        <v>1</v>
      </c>
      <c r="D457" t="inlineStr">
        <is>
          <t>x</t>
        </is>
      </c>
      <c r="E457" t="n">
        <v>4.27</v>
      </c>
      <c r="F457" t="inlineStr">
        <is>
          <t>x</t>
        </is>
      </c>
      <c r="G457" t="n">
        <v>1.83</v>
      </c>
      <c r="J457" t="inlineStr">
        <is>
          <t>=</t>
        </is>
      </c>
      <c r="K457">
        <f>IF(C457,C457*E457*G457,"")</f>
        <v/>
      </c>
      <c r="L457" t="inlineStr">
        <is>
          <t>Sqm</t>
        </is>
      </c>
    </row>
    <row r="458">
      <c r="B458" t="inlineStr">
        <is>
          <t>Canopy</t>
        </is>
      </c>
      <c r="C458" t="n">
        <v>1</v>
      </c>
      <c r="D458" t="inlineStr">
        <is>
          <t>x</t>
        </is>
      </c>
      <c r="E458" t="n">
        <v>6</v>
      </c>
      <c r="F458" t="inlineStr">
        <is>
          <t>x</t>
        </is>
      </c>
      <c r="G458" t="n">
        <v>2.4</v>
      </c>
      <c r="J458" t="inlineStr">
        <is>
          <t>=</t>
        </is>
      </c>
      <c r="K458">
        <f>IF(C458,C458*E458*G458,"")</f>
        <v/>
      </c>
      <c r="L458" t="inlineStr">
        <is>
          <t>Sqm</t>
        </is>
      </c>
    </row>
    <row r="459">
      <c r="B459" t="inlineStr">
        <is>
          <t>Living</t>
        </is>
      </c>
      <c r="C459" t="n">
        <v>1</v>
      </c>
      <c r="D459" t="inlineStr">
        <is>
          <t>x</t>
        </is>
      </c>
      <c r="E459" t="n">
        <v>4.27</v>
      </c>
      <c r="F459" t="inlineStr">
        <is>
          <t>x</t>
        </is>
      </c>
      <c r="G459" t="n">
        <v>4.58</v>
      </c>
      <c r="J459" t="inlineStr">
        <is>
          <t>=</t>
        </is>
      </c>
      <c r="K459">
        <f>IF(C459,C459*E459*G459,"")</f>
        <v/>
      </c>
      <c r="L459" t="inlineStr">
        <is>
          <t>Sqm</t>
        </is>
      </c>
    </row>
    <row r="460">
      <c r="B460" t="inlineStr">
        <is>
          <t>Steps Front Ent</t>
        </is>
      </c>
      <c r="C460" t="n">
        <v>3</v>
      </c>
      <c r="D460" t="inlineStr">
        <is>
          <t>x</t>
        </is>
      </c>
      <c r="E460" t="n">
        <v>0.9</v>
      </c>
      <c r="F460" t="inlineStr">
        <is>
          <t>x</t>
        </is>
      </c>
      <c r="G460" t="n">
        <v>0.3</v>
      </c>
      <c r="J460" t="inlineStr">
        <is>
          <t>=</t>
        </is>
      </c>
      <c r="K460">
        <f>IF(C460,C460*E460*G460,"")</f>
        <v/>
      </c>
      <c r="L460" t="inlineStr">
        <is>
          <t>Sqm</t>
        </is>
      </c>
    </row>
    <row r="461">
      <c r="B461" t="inlineStr">
        <is>
          <t>Steps</t>
        </is>
      </c>
      <c r="C461" t="n">
        <v>4</v>
      </c>
      <c r="D461" t="inlineStr">
        <is>
          <t>x</t>
        </is>
      </c>
      <c r="E461" t="n">
        <v>0.9</v>
      </c>
      <c r="F461" t="inlineStr">
        <is>
          <t>x</t>
        </is>
      </c>
      <c r="G461" t="n">
        <v>0.15</v>
      </c>
      <c r="J461" t="inlineStr">
        <is>
          <t>=</t>
        </is>
      </c>
      <c r="K461">
        <f>IF(C461,C461*E461*G461,"")</f>
        <v/>
      </c>
      <c r="L461" t="inlineStr">
        <is>
          <t>Sqm</t>
        </is>
      </c>
    </row>
    <row r="462">
      <c r="B462" t="inlineStr">
        <is>
          <t>Steps Other Ent</t>
        </is>
      </c>
      <c r="C462" t="n">
        <v>3</v>
      </c>
      <c r="D462" t="inlineStr">
        <is>
          <t>x</t>
        </is>
      </c>
      <c r="E462" t="n">
        <v>1.5</v>
      </c>
      <c r="F462" t="inlineStr">
        <is>
          <t>x</t>
        </is>
      </c>
      <c r="G462" t="n">
        <v>0.3</v>
      </c>
      <c r="J462" t="inlineStr">
        <is>
          <t>=</t>
        </is>
      </c>
      <c r="K462">
        <f>IF(C462,C462*E462*G462,"")</f>
        <v/>
      </c>
      <c r="L462" t="inlineStr">
        <is>
          <t>Sqm</t>
        </is>
      </c>
    </row>
    <row r="463">
      <c r="B463" t="inlineStr">
        <is>
          <t>Steps</t>
        </is>
      </c>
      <c r="C463" t="n">
        <v>4</v>
      </c>
      <c r="D463" t="inlineStr">
        <is>
          <t>x</t>
        </is>
      </c>
      <c r="E463" t="n">
        <v>1.5</v>
      </c>
      <c r="F463" t="inlineStr">
        <is>
          <t>x</t>
        </is>
      </c>
      <c r="G463" t="n">
        <v>0.15</v>
      </c>
      <c r="J463" t="inlineStr">
        <is>
          <t>=</t>
        </is>
      </c>
      <c r="K463">
        <f>IF(C463,C463*E463*G463,"")</f>
        <v/>
      </c>
      <c r="L463" t="inlineStr">
        <is>
          <t>Sqm</t>
        </is>
      </c>
    </row>
    <row r="464">
      <c r="B464" t="inlineStr">
        <is>
          <t>Window Sills</t>
        </is>
      </c>
    </row>
    <row r="465">
      <c r="B465" t="inlineStr">
        <is>
          <t>W</t>
        </is>
      </c>
      <c r="C465" t="n">
        <v>7</v>
      </c>
      <c r="D465" t="inlineStr">
        <is>
          <t>x</t>
        </is>
      </c>
      <c r="E465" t="n">
        <v>2.1</v>
      </c>
      <c r="F465" t="inlineStr">
        <is>
          <t>x</t>
        </is>
      </c>
      <c r="G465" t="n">
        <v>0.3</v>
      </c>
      <c r="J465" t="inlineStr">
        <is>
          <t>=</t>
        </is>
      </c>
      <c r="K465">
        <f>IF(C465,C465*E465*G465,"")</f>
        <v/>
      </c>
      <c r="L465" t="inlineStr">
        <is>
          <t>Cum</t>
        </is>
      </c>
    </row>
    <row r="466">
      <c r="B466" t="inlineStr">
        <is>
          <t>W1</t>
        </is>
      </c>
      <c r="C466" t="n">
        <v>8</v>
      </c>
      <c r="D466" t="inlineStr">
        <is>
          <t>x</t>
        </is>
      </c>
      <c r="E466" t="n">
        <v>1.5</v>
      </c>
      <c r="F466" t="inlineStr">
        <is>
          <t>x</t>
        </is>
      </c>
      <c r="G466" t="n">
        <v>0.3</v>
      </c>
      <c r="J466" t="inlineStr">
        <is>
          <t>=</t>
        </is>
      </c>
      <c r="K466">
        <f>IF(C466,C466*E466*G466,"")</f>
        <v/>
      </c>
      <c r="L466" t="inlineStr">
        <is>
          <t>Cum</t>
        </is>
      </c>
    </row>
    <row r="467">
      <c r="B467" t="inlineStr">
        <is>
          <t>W2</t>
        </is>
      </c>
      <c r="C467" t="n">
        <v>10</v>
      </c>
      <c r="D467" t="inlineStr">
        <is>
          <t>x</t>
        </is>
      </c>
      <c r="E467" t="n">
        <v>0.9</v>
      </c>
      <c r="F467" t="inlineStr">
        <is>
          <t>x</t>
        </is>
      </c>
      <c r="G467" t="n">
        <v>0.3</v>
      </c>
      <c r="J467" t="inlineStr">
        <is>
          <t>=</t>
        </is>
      </c>
      <c r="K467">
        <f>IF(C467,C467*E467*G467,"")</f>
        <v/>
      </c>
      <c r="L467" t="inlineStr">
        <is>
          <t>Cum</t>
        </is>
      </c>
    </row>
    <row r="468">
      <c r="B468" t="inlineStr">
        <is>
          <t>V</t>
        </is>
      </c>
      <c r="C468" t="n">
        <v>2</v>
      </c>
      <c r="D468" t="inlineStr">
        <is>
          <t>x</t>
        </is>
      </c>
      <c r="E468" t="n">
        <v>1.05</v>
      </c>
      <c r="F468" t="inlineStr">
        <is>
          <t>x</t>
        </is>
      </c>
      <c r="G468" t="n">
        <v>0.3</v>
      </c>
      <c r="J468" t="inlineStr">
        <is>
          <t>=</t>
        </is>
      </c>
      <c r="K468">
        <f>IF(C468,C468*E468*G468,"")</f>
        <v/>
      </c>
      <c r="L468" t="inlineStr">
        <is>
          <t>Sqm</t>
        </is>
      </c>
    </row>
    <row r="469">
      <c r="B469" t="inlineStr">
        <is>
          <t>V1</t>
        </is>
      </c>
      <c r="C469" t="n">
        <v>3</v>
      </c>
      <c r="D469" t="inlineStr">
        <is>
          <t>x</t>
        </is>
      </c>
      <c r="E469" t="n">
        <v>0.75</v>
      </c>
      <c r="F469" t="inlineStr">
        <is>
          <t>x</t>
        </is>
      </c>
      <c r="G469" t="n">
        <v>0.3</v>
      </c>
      <c r="J469" t="inlineStr">
        <is>
          <t>=</t>
        </is>
      </c>
      <c r="K469">
        <f>IF(C469,C469*E469*G469,"")</f>
        <v/>
      </c>
      <c r="L469" t="inlineStr">
        <is>
          <t>Sqm</t>
        </is>
      </c>
    </row>
    <row r="470">
      <c r="B470" t="inlineStr">
        <is>
          <t>V2</t>
        </is>
      </c>
      <c r="C470" t="n">
        <v>3</v>
      </c>
      <c r="D470" t="inlineStr">
        <is>
          <t>x</t>
        </is>
      </c>
      <c r="E470" t="n">
        <v>0.6</v>
      </c>
      <c r="F470" t="inlineStr">
        <is>
          <t>x</t>
        </is>
      </c>
      <c r="G470" t="n">
        <v>0.3</v>
      </c>
      <c r="J470" t="inlineStr">
        <is>
          <t>=</t>
        </is>
      </c>
      <c r="K470">
        <f>IF(C470,C470*E470*G470,"")</f>
        <v/>
      </c>
      <c r="L470" t="inlineStr">
        <is>
          <t>Sqm</t>
        </is>
      </c>
    </row>
    <row r="471">
      <c r="B471" t="inlineStr">
        <is>
          <t>Nitch</t>
        </is>
      </c>
      <c r="C471" t="n">
        <v>2</v>
      </c>
      <c r="D471" t="inlineStr">
        <is>
          <t>x</t>
        </is>
      </c>
      <c r="E471" t="n">
        <v>1.8</v>
      </c>
      <c r="F471" t="inlineStr">
        <is>
          <t>x</t>
        </is>
      </c>
      <c r="G471" t="n">
        <v>0.3</v>
      </c>
      <c r="J471" t="inlineStr">
        <is>
          <t>=</t>
        </is>
      </c>
      <c r="K471">
        <f>IF(C471,C471*E471*G471,"")</f>
        <v/>
      </c>
      <c r="L471" t="inlineStr">
        <is>
          <t>Sqm</t>
        </is>
      </c>
    </row>
    <row r="472">
      <c r="B472" t="inlineStr">
        <is>
          <t>Nitch</t>
        </is>
      </c>
      <c r="C472" t="n">
        <v>1</v>
      </c>
      <c r="D472" t="inlineStr">
        <is>
          <t>x</t>
        </is>
      </c>
      <c r="E472" t="n">
        <v>2.1</v>
      </c>
      <c r="F472" t="inlineStr">
        <is>
          <t>x</t>
        </is>
      </c>
      <c r="G472" t="n">
        <v>0.3</v>
      </c>
      <c r="J472" t="inlineStr">
        <is>
          <t>=</t>
        </is>
      </c>
      <c r="K472">
        <f>IF(C472,C472*E472*G472,"")</f>
        <v/>
      </c>
      <c r="L472" t="inlineStr">
        <is>
          <t>Sqm</t>
        </is>
      </c>
    </row>
    <row r="473">
      <c r="B473" t="inlineStr">
        <is>
          <t>Nitch</t>
        </is>
      </c>
      <c r="C473" t="n">
        <v>2</v>
      </c>
      <c r="D473" t="inlineStr">
        <is>
          <t>x</t>
        </is>
      </c>
      <c r="E473" t="n">
        <v>0.9</v>
      </c>
      <c r="F473" t="inlineStr">
        <is>
          <t>x</t>
        </is>
      </c>
      <c r="G473" t="n">
        <v>0.3</v>
      </c>
      <c r="J473" t="inlineStr">
        <is>
          <t>=</t>
        </is>
      </c>
      <c r="K473">
        <f>IF(C473,C473*E473*G473,"")</f>
        <v/>
      </c>
      <c r="L473" t="inlineStr">
        <is>
          <t>Sqm</t>
        </is>
      </c>
    </row>
    <row r="474">
      <c r="B474" t="inlineStr">
        <is>
          <t>Cup Boards</t>
        </is>
      </c>
    </row>
    <row r="475">
      <c r="C475" t="n">
        <v>1</v>
      </c>
      <c r="D475" t="inlineStr">
        <is>
          <t>x</t>
        </is>
      </c>
      <c r="E475" t="n">
        <v>2.1</v>
      </c>
      <c r="F475" t="inlineStr">
        <is>
          <t>x</t>
        </is>
      </c>
      <c r="G475" t="n">
        <v>0.6</v>
      </c>
      <c r="J475" t="inlineStr">
        <is>
          <t>=</t>
        </is>
      </c>
      <c r="K475">
        <f>IF(C475,C475*E475*G475,"")</f>
        <v/>
      </c>
      <c r="L475" t="inlineStr">
        <is>
          <t>Sqm</t>
        </is>
      </c>
    </row>
    <row r="476">
      <c r="C476" t="n">
        <v>2</v>
      </c>
      <c r="D476" t="inlineStr">
        <is>
          <t>x</t>
        </is>
      </c>
      <c r="E476" t="n">
        <v>1.8</v>
      </c>
      <c r="F476" t="inlineStr">
        <is>
          <t>x</t>
        </is>
      </c>
      <c r="G476" t="n">
        <v>0.6</v>
      </c>
      <c r="J476" t="inlineStr">
        <is>
          <t>=</t>
        </is>
      </c>
      <c r="K476">
        <f>IF(C476,C476*E476*G476,"")</f>
        <v/>
      </c>
      <c r="L476" t="inlineStr">
        <is>
          <t>Sqm</t>
        </is>
      </c>
    </row>
    <row r="477">
      <c r="C477" t="n">
        <v>2</v>
      </c>
      <c r="D477" t="inlineStr">
        <is>
          <t>x</t>
        </is>
      </c>
      <c r="E477" t="n">
        <v>1.5</v>
      </c>
      <c r="F477" t="inlineStr">
        <is>
          <t>x</t>
        </is>
      </c>
      <c r="G477" t="n">
        <v>0.6</v>
      </c>
      <c r="J477" t="inlineStr">
        <is>
          <t>=</t>
        </is>
      </c>
      <c r="K477">
        <f>IF(C477,C477*E477*G477,"")</f>
        <v/>
      </c>
      <c r="L477" t="inlineStr">
        <is>
          <t>Sqm</t>
        </is>
      </c>
    </row>
    <row r="478">
      <c r="C478" t="n">
        <v>2</v>
      </c>
      <c r="D478" t="inlineStr">
        <is>
          <t>x</t>
        </is>
      </c>
      <c r="E478" t="n">
        <v>1.35</v>
      </c>
      <c r="F478" t="inlineStr">
        <is>
          <t>x</t>
        </is>
      </c>
      <c r="G478" t="n">
        <v>0.6</v>
      </c>
      <c r="J478" t="inlineStr">
        <is>
          <t>=</t>
        </is>
      </c>
      <c r="K478">
        <f>IF(C478,C478*E478*G478,"")</f>
        <v/>
      </c>
      <c r="L478" t="inlineStr">
        <is>
          <t>Sqm</t>
        </is>
      </c>
    </row>
    <row r="479">
      <c r="C479" t="n">
        <v>3</v>
      </c>
      <c r="D479" t="inlineStr">
        <is>
          <t>x</t>
        </is>
      </c>
      <c r="E479" t="n">
        <v>0.75</v>
      </c>
      <c r="F479" t="inlineStr">
        <is>
          <t>x</t>
        </is>
      </c>
      <c r="G479" t="n">
        <v>0.6</v>
      </c>
      <c r="J479" t="inlineStr">
        <is>
          <t>=</t>
        </is>
      </c>
      <c r="K479">
        <f>IF(C479,C479*E479*G479,"")</f>
        <v/>
      </c>
      <c r="L479" t="inlineStr">
        <is>
          <t>Sqm</t>
        </is>
      </c>
    </row>
    <row r="480">
      <c r="G480" t="inlineStr">
        <is>
          <t>Total</t>
        </is>
      </c>
      <c r="K480">
        <f>SUM(K439:K479)</f>
        <v/>
      </c>
      <c r="L480" t="inlineStr">
        <is>
          <t>Sqm</t>
        </is>
      </c>
    </row>
    <row r="481">
      <c r="A481" t="n">
        <v>25</v>
      </c>
      <c r="B481" t="inlineStr">
        <is>
          <t xml:space="preserve">Supplying and fixing in wall machine cut and polished stone shelves, tands and sills in cement mortar 1:3 with machine cut edge.  </t>
        </is>
      </c>
    </row>
    <row r="482">
      <c r="B482" t="inlineStr">
        <is>
          <t>(A) Kota stone 25 to 30 mm thick</t>
        </is>
      </c>
    </row>
    <row r="483">
      <c r="B483" t="inlineStr">
        <is>
          <t>Kitchen Platform</t>
        </is>
      </c>
      <c r="C483" t="n">
        <v>1</v>
      </c>
      <c r="D483" t="inlineStr">
        <is>
          <t>x</t>
        </is>
      </c>
      <c r="E483" t="n">
        <v>7</v>
      </c>
      <c r="F483" t="inlineStr">
        <is>
          <t>x</t>
        </is>
      </c>
      <c r="G483" t="n">
        <v>0.75</v>
      </c>
      <c r="J483" t="inlineStr">
        <is>
          <t>=</t>
        </is>
      </c>
      <c r="K483">
        <f>IF(C483,C483*E483*G483,"")</f>
        <v/>
      </c>
      <c r="L483" t="inlineStr">
        <is>
          <t>Sqm</t>
        </is>
      </c>
    </row>
    <row r="484">
      <c r="C484" t="n">
        <v>2</v>
      </c>
      <c r="D484" t="inlineStr">
        <is>
          <t>x</t>
        </is>
      </c>
      <c r="E484" t="n">
        <v>7</v>
      </c>
      <c r="F484" t="inlineStr">
        <is>
          <t>x</t>
        </is>
      </c>
      <c r="G484" t="n">
        <v>0.6</v>
      </c>
      <c r="J484" t="inlineStr">
        <is>
          <t>=</t>
        </is>
      </c>
      <c r="K484">
        <f>IF(C484,C484*E484*G484,"")</f>
        <v/>
      </c>
      <c r="L484" t="inlineStr">
        <is>
          <t>Sqm</t>
        </is>
      </c>
    </row>
    <row r="485">
      <c r="C485" t="n">
        <v>4</v>
      </c>
      <c r="D485" t="inlineStr">
        <is>
          <t>x</t>
        </is>
      </c>
      <c r="E485" t="n">
        <v>7</v>
      </c>
      <c r="F485" t="inlineStr">
        <is>
          <t>x</t>
        </is>
      </c>
      <c r="G485" t="n">
        <v>0.3</v>
      </c>
      <c r="J485" t="inlineStr">
        <is>
          <t>=</t>
        </is>
      </c>
      <c r="K485">
        <f>IF(C485,C485*E485*G485,"")</f>
        <v/>
      </c>
      <c r="L485" t="inlineStr">
        <is>
          <t>Sqm</t>
        </is>
      </c>
    </row>
    <row r="486">
      <c r="B486" t="inlineStr">
        <is>
          <t>Nitch</t>
        </is>
      </c>
      <c r="C486" t="n">
        <v>8</v>
      </c>
      <c r="D486" t="inlineStr">
        <is>
          <t>x</t>
        </is>
      </c>
      <c r="E486" t="n">
        <v>1.8</v>
      </c>
      <c r="F486" t="inlineStr">
        <is>
          <t>x</t>
        </is>
      </c>
      <c r="G486" t="n">
        <v>0.3</v>
      </c>
      <c r="J486" t="inlineStr">
        <is>
          <t>=</t>
        </is>
      </c>
      <c r="K486">
        <f>IF(C486,C486*E486*G486,"")</f>
        <v/>
      </c>
      <c r="L486" t="inlineStr">
        <is>
          <t>Sqm</t>
        </is>
      </c>
    </row>
    <row r="487">
      <c r="B487" t="inlineStr">
        <is>
          <t>Nitch</t>
        </is>
      </c>
      <c r="C487" t="n">
        <v>4</v>
      </c>
      <c r="D487" t="inlineStr">
        <is>
          <t>x</t>
        </is>
      </c>
      <c r="E487" t="n">
        <v>2.1</v>
      </c>
      <c r="F487" t="inlineStr">
        <is>
          <t>x</t>
        </is>
      </c>
      <c r="G487" t="n">
        <v>0.3</v>
      </c>
      <c r="J487" t="inlineStr">
        <is>
          <t>=</t>
        </is>
      </c>
      <c r="K487">
        <f>IF(C487,C487*E487*G487,"")</f>
        <v/>
      </c>
      <c r="L487" t="inlineStr">
        <is>
          <t>Sqm</t>
        </is>
      </c>
    </row>
    <row r="488">
      <c r="B488" t="inlineStr">
        <is>
          <t>Nitch</t>
        </is>
      </c>
      <c r="C488" t="n">
        <v>8</v>
      </c>
      <c r="D488" t="inlineStr">
        <is>
          <t>x</t>
        </is>
      </c>
      <c r="E488" t="n">
        <v>0.9</v>
      </c>
      <c r="F488" t="inlineStr">
        <is>
          <t>x</t>
        </is>
      </c>
      <c r="G488" t="n">
        <v>0.3</v>
      </c>
      <c r="J488" t="inlineStr">
        <is>
          <t>=</t>
        </is>
      </c>
      <c r="K488">
        <f>IF(C488,C488*E488*G488,"")</f>
        <v/>
      </c>
      <c r="L488" t="inlineStr">
        <is>
          <t>Sqm</t>
        </is>
      </c>
    </row>
    <row r="489">
      <c r="B489" t="inlineStr">
        <is>
          <t>Cup Boards</t>
        </is>
      </c>
    </row>
    <row r="490">
      <c r="C490" t="n">
        <v>2</v>
      </c>
      <c r="D490" t="inlineStr">
        <is>
          <t>x</t>
        </is>
      </c>
      <c r="E490" t="n">
        <v>2.1</v>
      </c>
      <c r="F490" t="inlineStr">
        <is>
          <t>x</t>
        </is>
      </c>
      <c r="G490" t="n">
        <v>0.6</v>
      </c>
      <c r="J490" t="inlineStr">
        <is>
          <t>=</t>
        </is>
      </c>
      <c r="K490">
        <f>IF(C490,C490*E490*G490,"")</f>
        <v/>
      </c>
      <c r="L490" t="inlineStr">
        <is>
          <t>Sqm</t>
        </is>
      </c>
    </row>
    <row r="491">
      <c r="B491" t="inlineStr">
        <is>
          <t>Verticals</t>
        </is>
      </c>
      <c r="C491">
        <f>C490/2</f>
        <v/>
      </c>
      <c r="D491" t="inlineStr">
        <is>
          <t>x</t>
        </is>
      </c>
      <c r="E491">
        <f>E490</f>
        <v/>
      </c>
      <c r="F491" t="inlineStr">
        <is>
          <t>x</t>
        </is>
      </c>
      <c r="G491" t="n">
        <v>2</v>
      </c>
      <c r="J491" t="inlineStr">
        <is>
          <t>=</t>
        </is>
      </c>
      <c r="K491">
        <f>IF(C491,C491*E491*G491,"")</f>
        <v/>
      </c>
      <c r="L491" t="inlineStr">
        <is>
          <t>Sqm</t>
        </is>
      </c>
    </row>
    <row r="492">
      <c r="C492" t="n">
        <v>4</v>
      </c>
      <c r="D492" t="inlineStr">
        <is>
          <t>x</t>
        </is>
      </c>
      <c r="E492">
        <f>E490/2</f>
        <v/>
      </c>
      <c r="F492" t="inlineStr">
        <is>
          <t>x</t>
        </is>
      </c>
      <c r="G492" t="n">
        <v>0.6</v>
      </c>
      <c r="J492" t="inlineStr">
        <is>
          <t>=</t>
        </is>
      </c>
      <c r="K492">
        <f>IF(C492,C492*E492*G492,"")</f>
        <v/>
      </c>
      <c r="L492" t="inlineStr">
        <is>
          <t>Sqm</t>
        </is>
      </c>
    </row>
    <row r="493">
      <c r="C493" t="n">
        <v>4</v>
      </c>
      <c r="D493" t="inlineStr">
        <is>
          <t>x</t>
        </is>
      </c>
      <c r="E493" t="n">
        <v>1.8</v>
      </c>
      <c r="F493" t="inlineStr">
        <is>
          <t>x</t>
        </is>
      </c>
      <c r="G493" t="n">
        <v>0.6</v>
      </c>
      <c r="J493" t="inlineStr">
        <is>
          <t>=</t>
        </is>
      </c>
      <c r="K493">
        <f>IF(C493,C493*E493*G493,"")</f>
        <v/>
      </c>
      <c r="L493" t="inlineStr">
        <is>
          <t>Sqm</t>
        </is>
      </c>
    </row>
    <row r="494">
      <c r="B494" t="inlineStr">
        <is>
          <t>Verticals</t>
        </is>
      </c>
      <c r="C494">
        <f>C493/2</f>
        <v/>
      </c>
      <c r="D494" t="inlineStr">
        <is>
          <t>x</t>
        </is>
      </c>
      <c r="E494">
        <f>E493</f>
        <v/>
      </c>
      <c r="F494" t="inlineStr">
        <is>
          <t>x</t>
        </is>
      </c>
      <c r="G494" t="n">
        <v>2</v>
      </c>
      <c r="J494" t="inlineStr">
        <is>
          <t>=</t>
        </is>
      </c>
      <c r="K494">
        <f>IF(C494,C494*E494*G494,"")</f>
        <v/>
      </c>
      <c r="L494" t="inlineStr">
        <is>
          <t>Sqm</t>
        </is>
      </c>
    </row>
    <row r="495">
      <c r="C495" t="n">
        <v>4</v>
      </c>
      <c r="D495" t="inlineStr">
        <is>
          <t>x</t>
        </is>
      </c>
      <c r="E495">
        <f>E493/2</f>
        <v/>
      </c>
      <c r="F495" t="inlineStr">
        <is>
          <t>x</t>
        </is>
      </c>
      <c r="G495" t="n">
        <v>0.6</v>
      </c>
      <c r="J495" t="inlineStr">
        <is>
          <t>=</t>
        </is>
      </c>
      <c r="K495">
        <f>IF(C495,C495*E495*G495,"")</f>
        <v/>
      </c>
      <c r="L495" t="inlineStr">
        <is>
          <t>Sqm</t>
        </is>
      </c>
    </row>
    <row r="496">
      <c r="C496" t="n">
        <v>4</v>
      </c>
      <c r="D496" t="inlineStr">
        <is>
          <t>x</t>
        </is>
      </c>
      <c r="E496" t="n">
        <v>1.5</v>
      </c>
      <c r="F496" t="inlineStr">
        <is>
          <t>x</t>
        </is>
      </c>
      <c r="G496" t="n">
        <v>0.6</v>
      </c>
      <c r="J496" t="inlineStr">
        <is>
          <t>=</t>
        </is>
      </c>
      <c r="K496">
        <f>IF(C496,C496*E496*G496,"")</f>
        <v/>
      </c>
      <c r="L496" t="inlineStr">
        <is>
          <t>Sqm</t>
        </is>
      </c>
    </row>
    <row r="497">
      <c r="B497" t="inlineStr">
        <is>
          <t>Verticals</t>
        </is>
      </c>
      <c r="C497">
        <f>C496/2</f>
        <v/>
      </c>
      <c r="D497" t="inlineStr">
        <is>
          <t>x</t>
        </is>
      </c>
      <c r="E497">
        <f>E496</f>
        <v/>
      </c>
      <c r="F497" t="inlineStr">
        <is>
          <t>x</t>
        </is>
      </c>
      <c r="G497" t="n">
        <v>2</v>
      </c>
      <c r="J497" t="inlineStr">
        <is>
          <t>=</t>
        </is>
      </c>
      <c r="K497">
        <f>IF(C497,C497*E497*G497,"")</f>
        <v/>
      </c>
      <c r="L497" t="inlineStr">
        <is>
          <t>Sqm</t>
        </is>
      </c>
    </row>
    <row r="498">
      <c r="C498" t="n">
        <v>4</v>
      </c>
      <c r="D498" t="inlineStr">
        <is>
          <t>x</t>
        </is>
      </c>
      <c r="E498">
        <f>E496/2</f>
        <v/>
      </c>
      <c r="F498" t="inlineStr">
        <is>
          <t>x</t>
        </is>
      </c>
      <c r="G498" t="n">
        <v>0.6</v>
      </c>
      <c r="J498" t="inlineStr">
        <is>
          <t>=</t>
        </is>
      </c>
      <c r="K498">
        <f>IF(C498,C498*E498*G498,"")</f>
        <v/>
      </c>
      <c r="L498" t="inlineStr">
        <is>
          <t>Sqm</t>
        </is>
      </c>
    </row>
    <row r="499">
      <c r="C499" t="n">
        <v>4</v>
      </c>
      <c r="D499" t="inlineStr">
        <is>
          <t>x</t>
        </is>
      </c>
      <c r="E499" t="n">
        <v>1.35</v>
      </c>
      <c r="F499" t="inlineStr">
        <is>
          <t>x</t>
        </is>
      </c>
      <c r="G499" t="n">
        <v>0.6</v>
      </c>
      <c r="J499" t="inlineStr">
        <is>
          <t>=</t>
        </is>
      </c>
      <c r="K499">
        <f>IF(C499,C499*E499*G499,"")</f>
        <v/>
      </c>
      <c r="L499" t="inlineStr">
        <is>
          <t>Sqm</t>
        </is>
      </c>
    </row>
    <row r="500">
      <c r="B500" t="inlineStr">
        <is>
          <t>Verticals</t>
        </is>
      </c>
      <c r="C500">
        <f>C499/2</f>
        <v/>
      </c>
      <c r="D500" t="inlineStr">
        <is>
          <t>x</t>
        </is>
      </c>
      <c r="E500">
        <f>E499</f>
        <v/>
      </c>
      <c r="F500" t="inlineStr">
        <is>
          <t>x</t>
        </is>
      </c>
      <c r="G500" t="n">
        <v>2</v>
      </c>
      <c r="J500" t="inlineStr">
        <is>
          <t>=</t>
        </is>
      </c>
      <c r="K500">
        <f>IF(C500,C500*E500*G500,"")</f>
        <v/>
      </c>
      <c r="L500" t="inlineStr">
        <is>
          <t>Sqm</t>
        </is>
      </c>
    </row>
    <row r="501">
      <c r="C501" t="n">
        <v>4</v>
      </c>
      <c r="D501" t="inlineStr">
        <is>
          <t>x</t>
        </is>
      </c>
      <c r="E501">
        <f>E499/2</f>
        <v/>
      </c>
      <c r="F501" t="inlineStr">
        <is>
          <t>x</t>
        </is>
      </c>
      <c r="G501" t="n">
        <v>0.6</v>
      </c>
      <c r="J501" t="inlineStr">
        <is>
          <t>=</t>
        </is>
      </c>
      <c r="K501">
        <f>IF(C501,C501*E501*G501,"")</f>
        <v/>
      </c>
      <c r="L501" t="inlineStr">
        <is>
          <t>Sqm</t>
        </is>
      </c>
    </row>
    <row r="502">
      <c r="C502" t="n">
        <v>6</v>
      </c>
      <c r="D502" t="inlineStr">
        <is>
          <t>x</t>
        </is>
      </c>
      <c r="E502" t="n">
        <v>0.75</v>
      </c>
      <c r="F502" t="inlineStr">
        <is>
          <t>x</t>
        </is>
      </c>
      <c r="G502" t="n">
        <v>0.6</v>
      </c>
      <c r="J502" t="inlineStr">
        <is>
          <t>=</t>
        </is>
      </c>
      <c r="K502">
        <f>IF(C502,C502*E502*G502,"")</f>
        <v/>
      </c>
      <c r="L502" t="inlineStr">
        <is>
          <t>Sqm</t>
        </is>
      </c>
    </row>
    <row r="503">
      <c r="B503" t="inlineStr">
        <is>
          <t>Verticals</t>
        </is>
      </c>
      <c r="C503">
        <f>C502/2</f>
        <v/>
      </c>
      <c r="D503" t="inlineStr">
        <is>
          <t>x</t>
        </is>
      </c>
      <c r="E503">
        <f>E502</f>
        <v/>
      </c>
      <c r="F503" t="inlineStr">
        <is>
          <t>x</t>
        </is>
      </c>
      <c r="G503" t="n">
        <v>2</v>
      </c>
      <c r="J503" t="inlineStr">
        <is>
          <t>=</t>
        </is>
      </c>
      <c r="K503">
        <f>IF(C503,C503*E503*G503,"")</f>
        <v/>
      </c>
      <c r="L503" t="inlineStr">
        <is>
          <t>Sqm</t>
        </is>
      </c>
    </row>
    <row r="504">
      <c r="C504" t="n">
        <v>4</v>
      </c>
      <c r="D504" t="inlineStr">
        <is>
          <t>x</t>
        </is>
      </c>
      <c r="E504">
        <f>E502/2</f>
        <v/>
      </c>
      <c r="F504" t="inlineStr">
        <is>
          <t>x</t>
        </is>
      </c>
      <c r="G504" t="n">
        <v>0.6</v>
      </c>
      <c r="J504" t="inlineStr">
        <is>
          <t>=</t>
        </is>
      </c>
      <c r="K504">
        <f>IF(C504,C504*E504*G504,"")</f>
        <v/>
      </c>
      <c r="L504" t="inlineStr">
        <is>
          <t>Sqm</t>
        </is>
      </c>
    </row>
    <row r="505">
      <c r="G505" t="inlineStr">
        <is>
          <t>Total</t>
        </is>
      </c>
      <c r="K505">
        <f>SUM(K483:K504)</f>
        <v/>
      </c>
      <c r="L505" t="inlineStr">
        <is>
          <t>Sqm</t>
        </is>
      </c>
    </row>
    <row r="506">
      <c r="B506" t="inlineStr">
        <is>
          <t>(B) Sand or other approved  stone 50 mm thick</t>
        </is>
      </c>
    </row>
    <row r="507">
      <c r="B507" t="inlineStr">
        <is>
          <t>Tank Stand</t>
        </is>
      </c>
      <c r="C507" t="n">
        <v>4</v>
      </c>
      <c r="D507" t="inlineStr">
        <is>
          <t>x</t>
        </is>
      </c>
      <c r="E507" t="n">
        <v>1.5</v>
      </c>
      <c r="F507" t="inlineStr">
        <is>
          <t>x</t>
        </is>
      </c>
      <c r="G507" t="n">
        <v>1.5</v>
      </c>
      <c r="J507" t="inlineStr">
        <is>
          <t>=</t>
        </is>
      </c>
      <c r="K507">
        <f>IF(C507,C507*E507*G507,"")</f>
        <v/>
      </c>
      <c r="L507" t="inlineStr">
        <is>
          <t>Sqm</t>
        </is>
      </c>
    </row>
    <row r="508">
      <c r="B508" t="inlineStr">
        <is>
          <t>Sore</t>
        </is>
      </c>
      <c r="C508" t="n">
        <v>4</v>
      </c>
      <c r="D508" t="inlineStr">
        <is>
          <t>x</t>
        </is>
      </c>
      <c r="E508" t="n">
        <v>1.5</v>
      </c>
      <c r="F508" t="inlineStr">
        <is>
          <t>x</t>
        </is>
      </c>
      <c r="G508" t="n">
        <v>0.75</v>
      </c>
      <c r="J508" t="inlineStr">
        <is>
          <t>=</t>
        </is>
      </c>
      <c r="K508">
        <f>IF(C508,C508*E508*G508,"")</f>
        <v/>
      </c>
      <c r="L508" t="inlineStr">
        <is>
          <t>Sqm</t>
        </is>
      </c>
    </row>
    <row r="509">
      <c r="B509" t="inlineStr">
        <is>
          <t>Garage</t>
        </is>
      </c>
      <c r="C509" t="n">
        <v>4</v>
      </c>
      <c r="D509" t="inlineStr">
        <is>
          <t>x</t>
        </is>
      </c>
      <c r="E509" t="n">
        <v>1.5</v>
      </c>
      <c r="F509" t="inlineStr">
        <is>
          <t>x</t>
        </is>
      </c>
      <c r="G509" t="n">
        <v>0.75</v>
      </c>
      <c r="J509" t="inlineStr">
        <is>
          <t>=</t>
        </is>
      </c>
      <c r="K509">
        <f>IF(C509,C509*E509*G509,"")</f>
        <v/>
      </c>
      <c r="L509" t="inlineStr">
        <is>
          <t>Sqm</t>
        </is>
      </c>
    </row>
    <row r="510">
      <c r="G510" t="inlineStr">
        <is>
          <t>Total</t>
        </is>
      </c>
      <c r="K510">
        <f>SUM(K507:K509)</f>
        <v/>
      </c>
      <c r="L510" t="inlineStr">
        <is>
          <t>Sqm</t>
        </is>
      </c>
    </row>
    <row r="511">
      <c r="A511">
        <f>A481+1</f>
        <v/>
      </c>
      <c r="B511" t="inlineStr">
        <is>
          <t>Providing and fixing fully panelled double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Assam teak wood grade I 35 mm thick . 12 mm thick shuttering ply (Kit ply make) both faces panels.</t>
        </is>
      </c>
    </row>
    <row r="512">
      <c r="B512" t="inlineStr">
        <is>
          <t>D3</t>
        </is>
      </c>
      <c r="C512" t="n">
        <v>3</v>
      </c>
      <c r="D512" t="inlineStr">
        <is>
          <t>x</t>
        </is>
      </c>
      <c r="E512" t="n">
        <v>0.9</v>
      </c>
      <c r="F512" t="inlineStr">
        <is>
          <t>x</t>
        </is>
      </c>
      <c r="G512" t="n">
        <v>2.1</v>
      </c>
      <c r="J512" t="inlineStr">
        <is>
          <t>=</t>
        </is>
      </c>
      <c r="K512">
        <f>C512*E512*G512</f>
        <v/>
      </c>
      <c r="L512" t="inlineStr">
        <is>
          <t>Sqm</t>
        </is>
      </c>
    </row>
    <row r="513">
      <c r="G513" t="inlineStr">
        <is>
          <t>Total</t>
        </is>
      </c>
      <c r="K513">
        <f>SUM(K512)</f>
        <v/>
      </c>
      <c r="L513" t="inlineStr">
        <is>
          <t>Sqm</t>
        </is>
      </c>
    </row>
    <row r="514">
      <c r="A514">
        <f>A511+1</f>
        <v/>
      </c>
      <c r="B514" t="inlineStr">
        <is>
          <t>Providing and fixing fully panelled Single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Assam teak wood grade I 35 mm thick . 12 mm thick shuttering ply (Kit ply make) both faces panels.</t>
        </is>
      </c>
    </row>
    <row r="515">
      <c r="B515" t="inlineStr">
        <is>
          <t>D</t>
        </is>
      </c>
      <c r="C515" t="n">
        <v>7</v>
      </c>
      <c r="D515" t="inlineStr">
        <is>
          <t>x</t>
        </is>
      </c>
      <c r="E515" t="n">
        <v>1.2</v>
      </c>
      <c r="F515" t="inlineStr">
        <is>
          <t>x</t>
        </is>
      </c>
      <c r="G515" t="n">
        <v>2.1</v>
      </c>
      <c r="J515" t="inlineStr">
        <is>
          <t>=</t>
        </is>
      </c>
      <c r="K515">
        <f>C515*E515*G515</f>
        <v/>
      </c>
      <c r="L515" t="inlineStr">
        <is>
          <t>Sqm</t>
        </is>
      </c>
    </row>
    <row r="516">
      <c r="B516" t="inlineStr">
        <is>
          <t>D1</t>
        </is>
      </c>
      <c r="C516" t="n">
        <v>4</v>
      </c>
      <c r="D516" t="inlineStr">
        <is>
          <t>x</t>
        </is>
      </c>
      <c r="E516" t="n">
        <v>1.05</v>
      </c>
      <c r="F516" t="inlineStr">
        <is>
          <t>x</t>
        </is>
      </c>
      <c r="G516" t="n">
        <v>2.1</v>
      </c>
      <c r="J516" t="inlineStr">
        <is>
          <t>=</t>
        </is>
      </c>
      <c r="K516">
        <f>C516*E516*G516</f>
        <v/>
      </c>
      <c r="L516" t="inlineStr">
        <is>
          <t>Sqm</t>
        </is>
      </c>
    </row>
    <row r="517">
      <c r="B517" t="inlineStr">
        <is>
          <t>D2</t>
        </is>
      </c>
      <c r="C517" t="n">
        <v>6</v>
      </c>
      <c r="D517" t="inlineStr">
        <is>
          <t>x</t>
        </is>
      </c>
      <c r="E517" t="n">
        <v>0.84</v>
      </c>
      <c r="F517" t="inlineStr">
        <is>
          <t>x</t>
        </is>
      </c>
      <c r="G517" t="n">
        <v>2.1</v>
      </c>
      <c r="J517" t="inlineStr">
        <is>
          <t>=</t>
        </is>
      </c>
      <c r="K517">
        <f>C517*E517*G517</f>
        <v/>
      </c>
      <c r="L517" t="inlineStr">
        <is>
          <t>Sqm</t>
        </is>
      </c>
    </row>
    <row r="518">
      <c r="B518" t="inlineStr">
        <is>
          <t>D4</t>
        </is>
      </c>
      <c r="C518" t="n">
        <v>1</v>
      </c>
      <c r="D518" t="inlineStr">
        <is>
          <t>x</t>
        </is>
      </c>
      <c r="E518" t="n">
        <v>0.75</v>
      </c>
      <c r="F518" t="inlineStr">
        <is>
          <t>x</t>
        </is>
      </c>
      <c r="G518" t="n">
        <v>2.1</v>
      </c>
      <c r="J518" t="inlineStr">
        <is>
          <t>=</t>
        </is>
      </c>
      <c r="K518">
        <f>C518*E518*G518</f>
        <v/>
      </c>
      <c r="L518" t="inlineStr">
        <is>
          <t>Sqm</t>
        </is>
      </c>
    </row>
    <row r="519">
      <c r="G519" t="inlineStr">
        <is>
          <t>Total</t>
        </is>
      </c>
      <c r="K519">
        <f>SUM(K515:K518)</f>
        <v/>
      </c>
      <c r="L519" t="inlineStr">
        <is>
          <t>Sqm</t>
        </is>
      </c>
    </row>
    <row r="520">
      <c r="A520" t="n">
        <v>28</v>
      </c>
      <c r="B520">
        <f>GF1_ABS!B43</f>
        <v/>
      </c>
    </row>
    <row r="521">
      <c r="B521" t="inlineStr">
        <is>
          <t>Qty. of Internal Plaster</t>
        </is>
      </c>
      <c r="J521" t="inlineStr">
        <is>
          <t>=</t>
        </is>
      </c>
      <c r="K521">
        <f>K378</f>
        <v/>
      </c>
      <c r="L521" t="inlineStr">
        <is>
          <t>Sqm</t>
        </is>
      </c>
    </row>
    <row r="522">
      <c r="B522" t="inlineStr">
        <is>
          <t>Qty. of Sunshade shuttering</t>
        </is>
      </c>
      <c r="C522" t="n">
        <v>2</v>
      </c>
      <c r="D522" t="inlineStr">
        <is>
          <t>x</t>
        </is>
      </c>
      <c r="E522">
        <f>C206</f>
        <v/>
      </c>
      <c r="J522" t="inlineStr">
        <is>
          <t>=</t>
        </is>
      </c>
      <c r="K522">
        <f>C522*E522</f>
        <v/>
      </c>
      <c r="L522" t="inlineStr">
        <is>
          <t>Sqm</t>
        </is>
      </c>
    </row>
    <row r="523">
      <c r="B523" t="inlineStr">
        <is>
          <t>Qty. of Slab shuttering</t>
        </is>
      </c>
      <c r="J523" t="inlineStr">
        <is>
          <t>=</t>
        </is>
      </c>
      <c r="K523">
        <f>C251</f>
        <v/>
      </c>
      <c r="L523" t="inlineStr">
        <is>
          <t>Sqm</t>
        </is>
      </c>
    </row>
    <row r="524">
      <c r="G524" t="inlineStr">
        <is>
          <t>Total</t>
        </is>
      </c>
      <c r="K524">
        <f>SUM(K521:K523)</f>
        <v/>
      </c>
      <c r="L524" t="inlineStr">
        <is>
          <t>Sqm</t>
        </is>
      </c>
    </row>
    <row r="525">
      <c r="A525">
        <f>A520+1</f>
        <v/>
      </c>
      <c r="B525">
        <f>GF1_ABS!B44</f>
        <v/>
      </c>
    </row>
    <row r="526">
      <c r="B526" t="inlineStr">
        <is>
          <t>Qty. of External Plaster</t>
        </is>
      </c>
      <c r="C526" t="n">
        <v>1</v>
      </c>
      <c r="D526" t="inlineStr">
        <is>
          <t>x</t>
        </is>
      </c>
      <c r="E526">
        <f>K384</f>
        <v/>
      </c>
      <c r="J526" t="inlineStr">
        <is>
          <t>=</t>
        </is>
      </c>
      <c r="K526">
        <f>K384</f>
        <v/>
      </c>
      <c r="L526" t="inlineStr">
        <is>
          <t>Sqm</t>
        </is>
      </c>
    </row>
    <row r="527">
      <c r="A527">
        <f>A525+1</f>
        <v/>
      </c>
      <c r="B527" t="inlineStr">
        <is>
          <t>Applying priming coat with ready mix pink or Grey primer of approved brand and manufacture on wood work hard and soft wood.</t>
        </is>
      </c>
    </row>
    <row r="528">
      <c r="B528" t="inlineStr">
        <is>
          <t>Double Leaf door shutters</t>
        </is>
      </c>
      <c r="C528">
        <f>K513</f>
        <v/>
      </c>
      <c r="F528" t="inlineStr">
        <is>
          <t>Sqm</t>
        </is>
      </c>
      <c r="H528" t="inlineStr">
        <is>
          <t>@</t>
        </is>
      </c>
      <c r="I528" t="n">
        <v>2.25</v>
      </c>
      <c r="J528" t="inlineStr">
        <is>
          <t>=</t>
        </is>
      </c>
      <c r="K528">
        <f>C528*I528</f>
        <v/>
      </c>
      <c r="L528" t="inlineStr">
        <is>
          <t>Sqm</t>
        </is>
      </c>
    </row>
    <row r="529">
      <c r="B529" t="inlineStr">
        <is>
          <t>Single Leaf door shutters</t>
        </is>
      </c>
      <c r="C529">
        <f>K519</f>
        <v/>
      </c>
      <c r="F529" t="inlineStr">
        <is>
          <t>Sqm</t>
        </is>
      </c>
      <c r="H529" t="inlineStr">
        <is>
          <t>@</t>
        </is>
      </c>
      <c r="I529" t="n">
        <v>2.25</v>
      </c>
      <c r="J529" t="inlineStr">
        <is>
          <t>=</t>
        </is>
      </c>
      <c r="K529">
        <f>C529*I529</f>
        <v/>
      </c>
      <c r="L529" t="inlineStr">
        <is>
          <t>Sqm</t>
        </is>
      </c>
    </row>
    <row r="530">
      <c r="B530" t="inlineStr">
        <is>
          <t>Windows</t>
        </is>
      </c>
      <c r="C530">
        <f>K409</f>
        <v/>
      </c>
      <c r="F530" t="inlineStr">
        <is>
          <t>Sqm</t>
        </is>
      </c>
      <c r="H530" t="inlineStr">
        <is>
          <t>@</t>
        </is>
      </c>
      <c r="I530" t="n">
        <v>2.6</v>
      </c>
      <c r="J530" t="inlineStr">
        <is>
          <t>=</t>
        </is>
      </c>
      <c r="K530">
        <f>C530*I530</f>
        <v/>
      </c>
      <c r="L530" t="inlineStr">
        <is>
          <t>Sqm</t>
        </is>
      </c>
    </row>
    <row r="531">
      <c r="B531" t="inlineStr">
        <is>
          <t>Collapsible shutters</t>
        </is>
      </c>
      <c r="C531" t="n">
        <v>3</v>
      </c>
      <c r="D531" t="inlineStr">
        <is>
          <t>x</t>
        </is>
      </c>
      <c r="E531" t="n">
        <v>3</v>
      </c>
      <c r="F531" t="inlineStr">
        <is>
          <t>x</t>
        </is>
      </c>
      <c r="G531" t="n">
        <v>2.55</v>
      </c>
      <c r="H531" t="inlineStr">
        <is>
          <t>@</t>
        </is>
      </c>
      <c r="I531" t="n">
        <v>2</v>
      </c>
      <c r="J531" t="inlineStr">
        <is>
          <t>=</t>
        </is>
      </c>
      <c r="K531">
        <f>C531*E531*G531*I531</f>
        <v/>
      </c>
      <c r="L531" t="inlineStr">
        <is>
          <t>Sqm</t>
        </is>
      </c>
    </row>
    <row r="532">
      <c r="B532" t="inlineStr">
        <is>
          <t>Railing</t>
        </is>
      </c>
      <c r="C532" t="n">
        <v>4</v>
      </c>
      <c r="D532" t="inlineStr">
        <is>
          <t>x</t>
        </is>
      </c>
      <c r="E532" t="n">
        <v>4.71</v>
      </c>
      <c r="F532" t="inlineStr">
        <is>
          <t>x</t>
        </is>
      </c>
      <c r="G532" t="n">
        <v>1</v>
      </c>
      <c r="H532" t="inlineStr">
        <is>
          <t>@</t>
        </is>
      </c>
      <c r="I532" t="n">
        <v>1</v>
      </c>
      <c r="J532" t="inlineStr">
        <is>
          <t>=</t>
        </is>
      </c>
      <c r="K532">
        <f>C532*E532*G532*I532</f>
        <v/>
      </c>
      <c r="L532" t="inlineStr">
        <is>
          <t>Sqm</t>
        </is>
      </c>
    </row>
    <row r="533">
      <c r="B533" t="inlineStr">
        <is>
          <t>Railing</t>
        </is>
      </c>
      <c r="C533" t="n">
        <v>3</v>
      </c>
      <c r="D533" t="inlineStr">
        <is>
          <t>x</t>
        </is>
      </c>
      <c r="E533" t="n">
        <v>6</v>
      </c>
      <c r="F533" t="inlineStr">
        <is>
          <t>x</t>
        </is>
      </c>
      <c r="G533" t="n">
        <v>1</v>
      </c>
      <c r="H533" t="inlineStr">
        <is>
          <t>@</t>
        </is>
      </c>
      <c r="I533" t="n">
        <v>1</v>
      </c>
      <c r="J533" t="inlineStr">
        <is>
          <t>=</t>
        </is>
      </c>
      <c r="K533">
        <f>C533*E533*G533*I533</f>
        <v/>
      </c>
      <c r="L533" t="inlineStr">
        <is>
          <t>Sqm</t>
        </is>
      </c>
    </row>
    <row r="534">
      <c r="I534" t="inlineStr">
        <is>
          <t>Total</t>
        </is>
      </c>
      <c r="J534" t="inlineStr">
        <is>
          <t>=</t>
        </is>
      </c>
      <c r="K534">
        <f>SUM(K528:K533)</f>
        <v/>
      </c>
      <c r="L534" t="inlineStr">
        <is>
          <t>Sqm</t>
        </is>
      </c>
    </row>
    <row r="535">
      <c r="A535">
        <f>A527+1</f>
        <v/>
      </c>
      <c r="B535" t="inlineStr">
        <is>
          <t>Painting with enamel paint of approved brand and manufacture to give an even shade two or more coats on new work.</t>
        </is>
      </c>
    </row>
    <row r="536">
      <c r="B536" t="inlineStr">
        <is>
          <t xml:space="preserve">Qty. of priming </t>
        </is>
      </c>
      <c r="K536">
        <f>K534</f>
        <v/>
      </c>
      <c r="L536" t="inlineStr">
        <is>
          <t>Sqm</t>
        </is>
      </c>
    </row>
    <row r="537">
      <c r="A537" t="n">
        <v>32</v>
      </c>
      <c r="B537" t="inlineStr">
        <is>
          <t>Spreading of hot blown bitumen (IS grade 85/25, 90/25 industrial grade) applied at 175 to 180 C @ rate of 1.75 Kg. per Sqm. complete.</t>
        </is>
      </c>
    </row>
    <row r="538">
      <c r="B538" t="inlineStr">
        <is>
          <t>Servant room</t>
        </is>
      </c>
      <c r="C538" t="n">
        <v>1</v>
      </c>
      <c r="D538" t="inlineStr">
        <is>
          <t>x</t>
        </is>
      </c>
      <c r="E538" t="n">
        <v>3</v>
      </c>
      <c r="F538" t="inlineStr">
        <is>
          <t>x</t>
        </is>
      </c>
      <c r="G538" t="n">
        <v>2.4</v>
      </c>
      <c r="J538" t="inlineStr">
        <is>
          <t>=</t>
        </is>
      </c>
      <c r="K538">
        <f>IF(C538,C538*E538*G538,"")</f>
        <v/>
      </c>
      <c r="L538" t="inlineStr">
        <is>
          <t>Sqm</t>
        </is>
      </c>
    </row>
    <row r="539">
      <c r="B539" t="inlineStr">
        <is>
          <t>Kitchen</t>
        </is>
      </c>
      <c r="C539" t="n">
        <v>1</v>
      </c>
      <c r="D539" t="inlineStr">
        <is>
          <t>x</t>
        </is>
      </c>
      <c r="E539" t="n">
        <v>10.05</v>
      </c>
      <c r="F539" t="inlineStr">
        <is>
          <t>x</t>
        </is>
      </c>
      <c r="G539" t="n">
        <v>3.95</v>
      </c>
      <c r="J539" t="inlineStr">
        <is>
          <t>=</t>
        </is>
      </c>
      <c r="K539">
        <f>IF(C539,C539*E539*G539,"")</f>
        <v/>
      </c>
      <c r="L539" t="inlineStr">
        <is>
          <t>Sqm</t>
        </is>
      </c>
    </row>
    <row r="540">
      <c r="C540" t="n">
        <v>1</v>
      </c>
      <c r="D540" t="inlineStr">
        <is>
          <t>x</t>
        </is>
      </c>
      <c r="E540" t="n">
        <v>4.55</v>
      </c>
      <c r="F540" t="inlineStr">
        <is>
          <t>x</t>
        </is>
      </c>
      <c r="G540" t="n">
        <v>0.9</v>
      </c>
      <c r="J540" t="inlineStr">
        <is>
          <t>=</t>
        </is>
      </c>
      <c r="K540">
        <f>IF(C540,C540*E540*G540,"")</f>
        <v/>
      </c>
      <c r="L540" t="inlineStr">
        <is>
          <t>Sqm</t>
        </is>
      </c>
    </row>
    <row r="541">
      <c r="B541" t="inlineStr">
        <is>
          <t>Dining</t>
        </is>
      </c>
      <c r="C541" t="n">
        <v>1</v>
      </c>
      <c r="D541" t="inlineStr">
        <is>
          <t>x</t>
        </is>
      </c>
      <c r="E541" t="n">
        <v>8.85</v>
      </c>
      <c r="F541" t="inlineStr">
        <is>
          <t>x</t>
        </is>
      </c>
      <c r="G541" t="n">
        <v>8.1</v>
      </c>
      <c r="J541" t="inlineStr">
        <is>
          <t>=</t>
        </is>
      </c>
      <c r="K541">
        <f>IF(C541,C541*E541*G541,"")</f>
        <v/>
      </c>
      <c r="L541" t="inlineStr">
        <is>
          <t>Sqm</t>
        </is>
      </c>
    </row>
    <row r="542">
      <c r="C542" t="n">
        <v>1</v>
      </c>
      <c r="D542" t="inlineStr">
        <is>
          <t>x</t>
        </is>
      </c>
      <c r="E542" t="n">
        <v>10.98</v>
      </c>
      <c r="F542" t="inlineStr">
        <is>
          <t>x</t>
        </is>
      </c>
      <c r="G542" t="n">
        <v>8.1</v>
      </c>
      <c r="J542" t="inlineStr">
        <is>
          <t>=</t>
        </is>
      </c>
      <c r="K542">
        <f>IF(C542,C542*E542*G542,"")</f>
        <v/>
      </c>
      <c r="L542" t="inlineStr">
        <is>
          <t>Sqm</t>
        </is>
      </c>
    </row>
    <row r="543">
      <c r="B543" t="inlineStr">
        <is>
          <t>Toilet</t>
        </is>
      </c>
      <c r="C543" t="n">
        <v>1</v>
      </c>
      <c r="D543" t="inlineStr">
        <is>
          <t>x</t>
        </is>
      </c>
      <c r="E543" t="n">
        <v>3.25</v>
      </c>
      <c r="F543" t="inlineStr">
        <is>
          <t>x</t>
        </is>
      </c>
      <c r="G543" t="n">
        <v>1.65</v>
      </c>
      <c r="J543" t="inlineStr">
        <is>
          <t>=</t>
        </is>
      </c>
      <c r="K543">
        <f>IF(C543,C543*E543*G543,"")</f>
        <v/>
      </c>
      <c r="L543" t="inlineStr">
        <is>
          <t>Sqm</t>
        </is>
      </c>
    </row>
    <row r="544">
      <c r="B544" t="inlineStr">
        <is>
          <t>Library</t>
        </is>
      </c>
      <c r="C544" t="n">
        <v>1</v>
      </c>
      <c r="D544" t="inlineStr">
        <is>
          <t>x</t>
        </is>
      </c>
      <c r="E544" t="n">
        <v>3.65</v>
      </c>
      <c r="F544" t="inlineStr">
        <is>
          <t>x</t>
        </is>
      </c>
      <c r="G544" t="n">
        <v>5</v>
      </c>
      <c r="J544" t="inlineStr">
        <is>
          <t>=</t>
        </is>
      </c>
      <c r="K544">
        <f>IF(C544,C544*E544*G544,"")</f>
        <v/>
      </c>
      <c r="L544" t="inlineStr">
        <is>
          <t>Sqm</t>
        </is>
      </c>
    </row>
    <row r="545">
      <c r="B545" t="inlineStr">
        <is>
          <t>First Floor</t>
        </is>
      </c>
      <c r="C545" t="n">
        <v>1</v>
      </c>
      <c r="D545" t="inlineStr">
        <is>
          <t>x</t>
        </is>
      </c>
      <c r="E545" t="n">
        <v>3</v>
      </c>
      <c r="F545" t="inlineStr">
        <is>
          <t>x</t>
        </is>
      </c>
      <c r="G545" t="n">
        <v>7.5</v>
      </c>
      <c r="J545" t="inlineStr">
        <is>
          <t>=</t>
        </is>
      </c>
      <c r="K545">
        <f>IF(C545,C545*E545*G545,"")</f>
        <v/>
      </c>
      <c r="L545" t="inlineStr">
        <is>
          <t>Sqm</t>
        </is>
      </c>
    </row>
    <row r="546">
      <c r="C546" t="n">
        <v>1</v>
      </c>
      <c r="D546" t="inlineStr">
        <is>
          <t>x</t>
        </is>
      </c>
      <c r="E546" t="n">
        <v>1.9</v>
      </c>
      <c r="F546" t="inlineStr">
        <is>
          <t>x</t>
        </is>
      </c>
      <c r="G546" t="n">
        <v>3.6</v>
      </c>
      <c r="J546" t="inlineStr">
        <is>
          <t>=</t>
        </is>
      </c>
      <c r="K546">
        <f>IF(C546,C546*E546*G546,"")</f>
        <v/>
      </c>
      <c r="L546" t="inlineStr">
        <is>
          <t>Sqm</t>
        </is>
      </c>
    </row>
    <row r="547">
      <c r="E547" t="inlineStr">
        <is>
          <t>Total</t>
        </is>
      </c>
      <c r="K547">
        <f>SUM(K538:K546)</f>
        <v/>
      </c>
      <c r="L547" t="inlineStr">
        <is>
          <t>Sqm</t>
        </is>
      </c>
    </row>
    <row r="548">
      <c r="A548" t="n">
        <v>33</v>
      </c>
      <c r="B548" t="inlineStr">
        <is>
          <t xml:space="preserve">Providing brick kharanja in cement sand mortar 1 : 4 in square pattern over roof of ground  floor  75 to 100 mm thick average. </t>
        </is>
      </c>
      <c r="E548" t="inlineStr">
        <is>
          <t>Qty. same as Brick Kharanja</t>
        </is>
      </c>
      <c r="J548" t="inlineStr">
        <is>
          <t>=</t>
        </is>
      </c>
      <c r="K548">
        <f>K547</f>
        <v/>
      </c>
      <c r="L548" t="inlineStr">
        <is>
          <t>Sqm</t>
        </is>
      </c>
    </row>
    <row r="549">
      <c r="A549" t="n">
        <v>34</v>
      </c>
      <c r="B549" t="inlineStr">
        <is>
          <t>Providing batta (gola) 75 mm x 75 mm in cement concrete (1 :2 :4) including finishing with cement mortar 1 : 3 as per standard design.</t>
        </is>
      </c>
    </row>
    <row r="550">
      <c r="B550" t="inlineStr">
        <is>
          <t>@' 0.25 M per Sqm of Kharanja</t>
        </is>
      </c>
      <c r="E550">
        <f>K547</f>
        <v/>
      </c>
      <c r="F550" t="inlineStr">
        <is>
          <t xml:space="preserve">@' 0.25 M per Sqm </t>
        </is>
      </c>
      <c r="J550" t="inlineStr">
        <is>
          <t>=</t>
        </is>
      </c>
      <c r="K550">
        <f>E550*0.25</f>
        <v/>
      </c>
      <c r="L550" t="inlineStr">
        <is>
          <t>Sqm</t>
        </is>
      </c>
    </row>
    <row r="551">
      <c r="A551">
        <f>IF(A549,A549+1,#REF!+1)</f>
        <v/>
      </c>
      <c r="B551" t="inlineStr">
        <is>
          <t xml:space="preserve">Finishing with  25 mm thick cement plaster on roofs in cement sand mortar 1:4 mix including water proofing compound @ 2% of cement used with neat cement finishing, curing etc. complete in all respects. </t>
        </is>
      </c>
      <c r="E551" t="inlineStr">
        <is>
          <t>Qty. same as Brick Kharanja</t>
        </is>
      </c>
      <c r="J551" t="inlineStr">
        <is>
          <t>=</t>
        </is>
      </c>
      <c r="K551">
        <f>K547</f>
        <v/>
      </c>
      <c r="L551" t="inlineStr">
        <is>
          <t>Sqm</t>
        </is>
      </c>
    </row>
    <row r="552">
      <c r="A552" t="n">
        <v>36</v>
      </c>
      <c r="B552" t="inlineStr">
        <is>
          <t>Providing and fixing Ist quality white Glazed  Tiles of approved make &amp; size (Somani, Johnson etc.)  5 mm thick in walls, floors, steps, pillars etc. laid on a bed of neat cement slurry  finished with flush pointing with white cement  ( excluding cost of cement plaster)</t>
        </is>
      </c>
    </row>
    <row r="553">
      <c r="B553" t="inlineStr">
        <is>
          <t>Kitchen</t>
        </is>
      </c>
      <c r="C553" t="n">
        <v>2</v>
      </c>
      <c r="D553" t="inlineStr">
        <is>
          <t>x</t>
        </is>
      </c>
      <c r="E553" t="n">
        <v>3</v>
      </c>
      <c r="F553" t="inlineStr">
        <is>
          <t>x</t>
        </is>
      </c>
      <c r="G553" t="n">
        <v>0.6</v>
      </c>
      <c r="J553" t="inlineStr">
        <is>
          <t>=</t>
        </is>
      </c>
      <c r="K553">
        <f>IF(C553,C553*E553*G553,"")</f>
        <v/>
      </c>
      <c r="L553" t="inlineStr">
        <is>
          <t>Sqm</t>
        </is>
      </c>
    </row>
    <row r="554">
      <c r="B554" t="inlineStr">
        <is>
          <t>Toilets</t>
        </is>
      </c>
      <c r="C554" t="n">
        <v>2</v>
      </c>
      <c r="D554" t="inlineStr">
        <is>
          <t>x</t>
        </is>
      </c>
      <c r="E554" t="n">
        <v>8.1</v>
      </c>
      <c r="F554" t="inlineStr">
        <is>
          <t>x</t>
        </is>
      </c>
      <c r="G554" t="n">
        <v>2.1</v>
      </c>
      <c r="J554" t="inlineStr">
        <is>
          <t>=</t>
        </is>
      </c>
      <c r="K554">
        <f>IF(C554,C554*E554*G554,"")</f>
        <v/>
      </c>
      <c r="L554" t="inlineStr">
        <is>
          <t>Sqm</t>
        </is>
      </c>
    </row>
    <row r="555">
      <c r="C555" t="n">
        <v>1</v>
      </c>
      <c r="D555" t="inlineStr">
        <is>
          <t>x</t>
        </is>
      </c>
      <c r="E555" t="n">
        <v>6.3</v>
      </c>
      <c r="F555" t="inlineStr">
        <is>
          <t>x</t>
        </is>
      </c>
      <c r="G555" t="n">
        <v>2.1</v>
      </c>
      <c r="J555" t="inlineStr">
        <is>
          <t>=</t>
        </is>
      </c>
      <c r="K555">
        <f>IF(C555,C555*E555*G555,"")</f>
        <v/>
      </c>
      <c r="L555" t="inlineStr">
        <is>
          <t>Sqm</t>
        </is>
      </c>
    </row>
    <row r="556">
      <c r="C556" t="n">
        <v>1</v>
      </c>
      <c r="D556" t="inlineStr">
        <is>
          <t>x</t>
        </is>
      </c>
      <c r="E556" t="n">
        <v>9</v>
      </c>
      <c r="F556" t="inlineStr">
        <is>
          <t>x</t>
        </is>
      </c>
      <c r="G556" t="n">
        <v>2.1</v>
      </c>
      <c r="J556" t="inlineStr">
        <is>
          <t>=</t>
        </is>
      </c>
      <c r="K556">
        <f>IF(C556,C556*E556*G556,"")</f>
        <v/>
      </c>
      <c r="L556" t="inlineStr">
        <is>
          <t>Sqm</t>
        </is>
      </c>
    </row>
    <row r="557">
      <c r="B557" t="inlineStr">
        <is>
          <t>WC</t>
        </is>
      </c>
      <c r="C557" t="n">
        <v>1</v>
      </c>
      <c r="D557" t="inlineStr">
        <is>
          <t>x</t>
        </is>
      </c>
      <c r="E557">
        <f>16.5*0.3</f>
        <v/>
      </c>
      <c r="F557" t="inlineStr">
        <is>
          <t>x</t>
        </is>
      </c>
      <c r="G557" t="n">
        <v>1.2</v>
      </c>
      <c r="J557" t="inlineStr">
        <is>
          <t>=</t>
        </is>
      </c>
      <c r="K557">
        <f>IF(C557,C557*E557*G557,"")</f>
        <v/>
      </c>
      <c r="L557" t="inlineStr">
        <is>
          <t>Sqm</t>
        </is>
      </c>
    </row>
    <row r="558">
      <c r="I558" t="inlineStr">
        <is>
          <t>Total</t>
        </is>
      </c>
      <c r="J558" t="inlineStr">
        <is>
          <t>=</t>
        </is>
      </c>
      <c r="K558">
        <f>SUM(K553:K557)</f>
        <v/>
      </c>
      <c r="L558" t="inlineStr">
        <is>
          <t>Sqm</t>
        </is>
      </c>
    </row>
    <row r="559">
      <c r="A559">
        <f>A552+1</f>
        <v/>
      </c>
      <c r="B559" t="inlineStr">
        <is>
          <t>Supplying and fixing ashlar rain water spouts fine ( 3 line) dressed as per approved design of size 60 x 30 x 25 cm.</t>
        </is>
      </c>
      <c r="C559" t="n">
        <v>10</v>
      </c>
      <c r="D559" t="inlineStr">
        <is>
          <t>x</t>
        </is>
      </c>
      <c r="E559" t="n">
        <v>1</v>
      </c>
      <c r="J559" t="inlineStr">
        <is>
          <t>=</t>
        </is>
      </c>
      <c r="K559">
        <f>C559*E559</f>
        <v/>
      </c>
      <c r="L559" t="inlineStr">
        <is>
          <t>Nos.</t>
        </is>
      </c>
    </row>
    <row r="560">
      <c r="I560" t="inlineStr">
        <is>
          <t>Total</t>
        </is>
      </c>
      <c r="J560" t="inlineStr">
        <is>
          <t>=</t>
        </is>
      </c>
      <c r="K560">
        <f>SUM(K559:K559)</f>
        <v/>
      </c>
      <c r="L560" t="inlineStr">
        <is>
          <t>Nos.</t>
        </is>
      </c>
    </row>
    <row r="561">
      <c r="A561" t="n">
        <v>38</v>
      </c>
      <c r="B561" t="inlineStr">
        <is>
          <t>Providing and fixing precast cement concrete coping 1:2:4 mix 50 mm thick complete as per specification 50 mm thick.</t>
        </is>
      </c>
    </row>
    <row r="562">
      <c r="B562" t="inlineStr">
        <is>
          <t>Coping GF Parapet  300 mm wall</t>
        </is>
      </c>
      <c r="C562" t="n">
        <v>1</v>
      </c>
      <c r="D562" t="inlineStr">
        <is>
          <t>x</t>
        </is>
      </c>
      <c r="E562">
        <f>K39</f>
        <v/>
      </c>
      <c r="F562" t="inlineStr">
        <is>
          <t>x</t>
        </is>
      </c>
      <c r="G562" t="n">
        <v>0.35</v>
      </c>
      <c r="J562" t="inlineStr">
        <is>
          <t>=</t>
        </is>
      </c>
      <c r="K562">
        <f>IF(C562,C562*E562*G562,"")</f>
        <v/>
      </c>
      <c r="L562" t="inlineStr">
        <is>
          <t>Sqm</t>
        </is>
      </c>
    </row>
    <row r="563">
      <c r="B563" t="inlineStr">
        <is>
          <t>Coping FF Parapet  150 mm wall</t>
        </is>
      </c>
      <c r="C563" t="n">
        <v>1</v>
      </c>
      <c r="D563" t="inlineStr">
        <is>
          <t>x</t>
        </is>
      </c>
      <c r="E563">
        <f>K39</f>
        <v/>
      </c>
      <c r="F563" t="inlineStr">
        <is>
          <t>x</t>
        </is>
      </c>
      <c r="G563" t="n">
        <v>0.2</v>
      </c>
      <c r="J563" t="inlineStr">
        <is>
          <t>=</t>
        </is>
      </c>
      <c r="K563">
        <f>IF(C563,C563*E563*G563,"")</f>
        <v/>
      </c>
      <c r="L563" t="inlineStr">
        <is>
          <t>Sqm</t>
        </is>
      </c>
    </row>
    <row r="564">
      <c r="I564" t="inlineStr">
        <is>
          <t>Total</t>
        </is>
      </c>
      <c r="J564" t="inlineStr">
        <is>
          <t>=</t>
        </is>
      </c>
      <c r="K564">
        <f>SUM(K562:K563)</f>
        <v/>
      </c>
      <c r="L564" t="inlineStr">
        <is>
          <t>Sqm</t>
        </is>
      </c>
    </row>
    <row r="565">
      <c r="A565" t="n">
        <v>39</v>
      </c>
      <c r="B565" t="inlineStr">
        <is>
          <t>Supplying and fixing rolling shutters of approved make, made of 80 x 1.25 mm MS laths interlocked together through their entire length and jointed together at the end by end locks mounted on specially designed pipe shaft with brackets, side guides and arrangement for inside and outside locking with push and pull operation complete including cost of spring hooks, providing and fixing necessary 25.3 cm long wire springs grade No.2 and MS top cover 1.25 mm thick for rolling shutters as per design. (Clear openable area to be measured.)</t>
        </is>
      </c>
      <c r="C565" t="n">
        <v>1</v>
      </c>
      <c r="D565" t="inlineStr">
        <is>
          <t>x</t>
        </is>
      </c>
      <c r="E565" t="n">
        <v>2.7</v>
      </c>
      <c r="F565" t="inlineStr">
        <is>
          <t>x</t>
        </is>
      </c>
      <c r="G565" t="n">
        <v>2.4</v>
      </c>
      <c r="J565" t="inlineStr">
        <is>
          <t>=</t>
        </is>
      </c>
      <c r="K565">
        <f>IF(C565,C565*E565*G565,"")</f>
        <v/>
      </c>
      <c r="L565" t="inlineStr">
        <is>
          <t>Sqm</t>
        </is>
      </c>
    </row>
    <row r="566">
      <c r="B566" t="inlineStr">
        <is>
          <t>Garage</t>
        </is>
      </c>
    </row>
    <row r="567"/>
    <row r="568">
      <c r="B568" t="inlineStr">
        <is>
          <t>ASSISTANT ENGINEER,</t>
        </is>
      </c>
      <c r="K568" t="inlineStr">
        <is>
          <t>EXECUTIVE  ENGINEER,</t>
        </is>
      </c>
    </row>
    <row r="569">
      <c r="B569" t="inlineStr">
        <is>
          <t>P.W.D. Sub Div.- NATHDWARA</t>
        </is>
      </c>
      <c r="K569" t="inlineStr">
        <is>
          <t>P.W.D. Div.- RAJSAMAND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87"/>
  <sheetViews>
    <sheetView workbookViewId="0">
      <selection activeCell="A1" sqref="A1"/>
    </sheetView>
  </sheetViews>
  <sheetFormatPr baseColWidth="8" defaultRowHeight="15"/>
  <cols>
    <col width="41" customWidth="1" min="1" max="1"/>
    <col width="50" customWidth="1" min="2" max="2"/>
    <col width="22" customWidth="1" min="3" max="3"/>
    <col width="24" customWidth="1" min="4" max="4"/>
    <col width="7" customWidth="1" min="5" max="5"/>
    <col width="9" customWidth="1" min="6" max="6"/>
    <col width="32" customWidth="1" min="7" max="7"/>
    <col width="6" customWidth="1" min="8" max="8"/>
    <col width="6" customWidth="1" min="9" max="9"/>
    <col width="6" customWidth="1" min="10" max="10"/>
    <col width="6" customWidth="1" min="11" max="11"/>
    <col width="6" customWidth="1" min="12" max="12"/>
  </cols>
  <sheetData>
    <row r="1">
      <c r="A1" s="4">
        <f>'gen-abstract'!A2</f>
        <v/>
      </c>
      <c r="B1" s="4" t="n"/>
      <c r="C1" s="4" t="n"/>
      <c r="D1" s="4" t="n"/>
      <c r="E1" s="4" t="n"/>
      <c r="F1" s="4" t="n"/>
      <c r="G1" s="4" t="n"/>
      <c r="H1" s="4" t="n"/>
      <c r="I1" s="4" t="n"/>
      <c r="J1" s="4" t="n"/>
      <c r="K1" s="4" t="n"/>
      <c r="L1" s="4" t="n"/>
    </row>
    <row r="2">
      <c r="A2" t="inlineStr">
        <is>
          <t>PART 'B'  SANITARY &amp; WATER SUPPLY  WORK</t>
        </is>
      </c>
    </row>
    <row r="3">
      <c r="A3" t="inlineStr">
        <is>
          <t>ABSTRACT OF COST</t>
        </is>
      </c>
    </row>
    <row r="4">
      <c r="A4" t="inlineStr">
        <is>
          <t>S.No.</t>
        </is>
      </c>
      <c r="B4" t="inlineStr">
        <is>
          <t>Particulars.</t>
        </is>
      </c>
      <c r="C4" t="inlineStr">
        <is>
          <t xml:space="preserve">Quantity </t>
        </is>
      </c>
      <c r="E4" t="inlineStr">
        <is>
          <t>Rate</t>
        </is>
      </c>
      <c r="F4" t="inlineStr">
        <is>
          <t>Unit</t>
        </is>
      </c>
      <c r="G4" t="inlineStr">
        <is>
          <t>Amount</t>
        </is>
      </c>
    </row>
    <row r="5">
      <c r="A5" t="n">
        <v>1</v>
      </c>
      <c r="B5" t="inlineStr">
        <is>
          <t>P &amp; F Indian Type white glazed vitreous china Ist quality WC Orissa Pan (IS : 2556 Mark) with 100 mm vitreous china P or S trap including cutting and making good the wall and floor. Size 580x440 mm</t>
        </is>
      </c>
      <c r="C5" t="n">
        <v>2</v>
      </c>
      <c r="D5" t="inlineStr">
        <is>
          <t>Nos.</t>
        </is>
      </c>
      <c r="E5" t="n">
        <v>890</v>
      </c>
      <c r="F5" t="inlineStr">
        <is>
          <t>Each</t>
        </is>
      </c>
      <c r="G5">
        <f>IF(C5,ROUNDUP(C5*E5,0),"")</f>
        <v/>
      </c>
    </row>
    <row r="6">
      <c r="A6">
        <f>A5+1</f>
        <v/>
      </c>
      <c r="B6" t="inlineStr">
        <is>
          <t>P &amp; F Flush cock/Flush valve (IS : 9758 Mark) for WC of approved quality make : C.P. Brass concealed 25 mm</t>
        </is>
      </c>
      <c r="C6" t="n">
        <v>2</v>
      </c>
      <c r="D6" t="inlineStr">
        <is>
          <t>Nos.</t>
        </is>
      </c>
      <c r="E6" t="n">
        <v>650</v>
      </c>
      <c r="F6" t="inlineStr">
        <is>
          <t>Each</t>
        </is>
      </c>
      <c r="G6">
        <f>IF(C6,ROUNDUP(C6*E6,0),"")</f>
        <v/>
      </c>
    </row>
    <row r="7">
      <c r="A7">
        <f>IF(A6,A6+1,#REF!+1)</f>
        <v/>
      </c>
      <c r="B7" t="inlineStr">
        <is>
          <t xml:space="preserve">P &amp; F WVC wash basin (Ist quality, IS : 2556 Mark) of approved make with C.I. brackets duly painted 1 No. 15 mm C.P. Pillar cock (IS : 8934 Mark) &amp; 32 mm C.P. Brass waste coupling of approved make, 25 mm G.I. waste pipe complete including cutting and making good the wall size 580mmx450mm. </t>
        </is>
      </c>
      <c r="C7" t="n">
        <v>4</v>
      </c>
      <c r="D7" t="inlineStr">
        <is>
          <t>Nos.</t>
        </is>
      </c>
      <c r="E7" t="n">
        <v>1250</v>
      </c>
      <c r="F7" t="inlineStr">
        <is>
          <t>Each</t>
        </is>
      </c>
      <c r="G7">
        <f>IF(C7,ROUNDUP(C7*E7,0),"")</f>
        <v/>
      </c>
    </row>
    <row r="8">
      <c r="A8">
        <f>IF(A7,A7+1,A6+1)</f>
        <v/>
      </c>
      <c r="B8" t="inlineStr">
        <is>
          <t xml:space="preserve">P&amp;F beveled edge mirror of special glass of approved make (Atul or equivalent) complete with 6 mm thick Asbestos Cement  sheet ground fixed to wooden screws &amp; washers sizes 600 x 450 mm x 4 mm thick. </t>
        </is>
      </c>
      <c r="C8" t="n">
        <v>4</v>
      </c>
      <c r="D8" t="inlineStr">
        <is>
          <t>Nos.</t>
        </is>
      </c>
      <c r="E8" t="n">
        <v>210</v>
      </c>
      <c r="F8" t="inlineStr">
        <is>
          <t>Each</t>
        </is>
      </c>
      <c r="G8">
        <f>IF(C8,ROUNDUP(C8*E8,0),"")</f>
        <v/>
      </c>
    </row>
    <row r="9">
      <c r="A9">
        <f>IF(A8,A8+1,A7+1)</f>
        <v/>
      </c>
      <c r="B9" t="inlineStr">
        <is>
          <t>P &amp; F grating of approved/quality make : Cast iron.</t>
        </is>
      </c>
      <c r="C9" t="n">
        <v>8</v>
      </c>
      <c r="D9" t="inlineStr">
        <is>
          <t>Nos.</t>
        </is>
      </c>
      <c r="E9" t="n">
        <v>30</v>
      </c>
      <c r="F9" t="inlineStr">
        <is>
          <t>Each</t>
        </is>
      </c>
      <c r="G9">
        <f>IF(C9,ROUNDUP(C9*E9,0),"")</f>
        <v/>
      </c>
    </row>
    <row r="10">
      <c r="A10">
        <f>IF(A9,A9+1,A8+1)</f>
        <v/>
      </c>
      <c r="B10" t="inlineStr">
        <is>
          <t xml:space="preserve">P &amp; F GI Pipes (Internal work) with G.I. fittings (IS : 1239 Mark) &amp; MS clamps, including cutting and making good the wall and floors : </t>
        </is>
      </c>
      <c r="G10">
        <f>IF(C10,ROUNDUP(C10*E10,0),"")</f>
        <v/>
      </c>
    </row>
    <row r="11">
      <c r="A11" t="inlineStr">
        <is>
          <t>A.</t>
        </is>
      </c>
      <c r="B11" t="inlineStr">
        <is>
          <t>15 mm Dai nominal bore `B’ Class.</t>
        </is>
      </c>
      <c r="C11">
        <f>sanitary_MEASUR!K22</f>
        <v/>
      </c>
      <c r="D11" t="inlineStr">
        <is>
          <t>RM</t>
        </is>
      </c>
      <c r="E11" t="n">
        <v>70</v>
      </c>
      <c r="F11" t="inlineStr">
        <is>
          <t>P RM</t>
        </is>
      </c>
      <c r="G11">
        <f>IF(C11,ROUNDUP(C11*E11,0),"")</f>
        <v/>
      </c>
    </row>
    <row r="12">
      <c r="A12" t="inlineStr">
        <is>
          <t>B.</t>
        </is>
      </c>
      <c r="B12" t="inlineStr">
        <is>
          <t xml:space="preserve">25 mm Dai nominal bore `B’ Class </t>
        </is>
      </c>
      <c r="C12">
        <f>sanitary_MEASUR!K27</f>
        <v/>
      </c>
      <c r="D12" t="inlineStr">
        <is>
          <t>RM</t>
        </is>
      </c>
      <c r="E12" t="n">
        <v>117</v>
      </c>
      <c r="F12" t="inlineStr">
        <is>
          <t>P RM</t>
        </is>
      </c>
      <c r="G12">
        <f>IF(C12,ROUNDUP(C12*E12,0),"")</f>
        <v/>
      </c>
    </row>
    <row r="13">
      <c r="A13" t="n">
        <v>7</v>
      </c>
      <c r="B13" t="inlineStr">
        <is>
          <t xml:space="preserve">P &amp; F GI Pipes (External work) with G.I. fittings (IS : 1239 Mark) , including  trenching and refilling earth etc. : </t>
        </is>
      </c>
      <c r="G13">
        <f>IF(C13,ROUNDUP(C13*E13,0),"")</f>
        <v/>
      </c>
    </row>
    <row r="14">
      <c r="A14" t="inlineStr">
        <is>
          <t>A.</t>
        </is>
      </c>
      <c r="B14" t="inlineStr">
        <is>
          <t>25 mm Dai nominal bore `B’ Class.</t>
        </is>
      </c>
      <c r="C14">
        <f>sanitary_MEASUR!K32</f>
        <v/>
      </c>
      <c r="D14" t="inlineStr">
        <is>
          <t>RM</t>
        </is>
      </c>
      <c r="E14" t="n">
        <v>98</v>
      </c>
      <c r="F14" t="inlineStr">
        <is>
          <t>P RM</t>
        </is>
      </c>
      <c r="G14">
        <f>IF(C14,ROUNDUP(C14*E14,0),"")</f>
        <v/>
      </c>
    </row>
    <row r="15">
      <c r="A15">
        <f>A13+1</f>
        <v/>
      </c>
      <c r="B15" t="inlineStr">
        <is>
          <t>Making connection of G.I. distribution branch with G.I. main including all fittings . (a) upto 25 mm  Dai.</t>
        </is>
      </c>
      <c r="C15">
        <f>sanitary_MEASUR!K35</f>
        <v/>
      </c>
      <c r="D15" t="inlineStr">
        <is>
          <t>Nos.</t>
        </is>
      </c>
      <c r="E15" t="n">
        <v>100</v>
      </c>
      <c r="F15" t="inlineStr">
        <is>
          <t>Each</t>
        </is>
      </c>
      <c r="G15">
        <f>IF(C15,ROUNDUP(C15*E15,0),"")</f>
        <v/>
      </c>
    </row>
    <row r="16">
      <c r="A16" t="n">
        <v>9</v>
      </c>
      <c r="B16" t="inlineStr">
        <is>
          <t xml:space="preserve">P &amp; F Bib Cock (IS : 8931 Mark) superior quality of approved make : Brass 400 gram 15 mm </t>
        </is>
      </c>
      <c r="C16" t="n">
        <v>15</v>
      </c>
      <c r="D16" t="inlineStr">
        <is>
          <t>Nos.</t>
        </is>
      </c>
      <c r="E16" t="n">
        <v>120</v>
      </c>
      <c r="F16" t="inlineStr">
        <is>
          <t>Each</t>
        </is>
      </c>
      <c r="G16">
        <f>IF(C16,ROUNDUP(C16*E16,0),"")</f>
        <v/>
      </c>
    </row>
    <row r="17">
      <c r="A17">
        <f>IF(A16,A16+1,#REF!+1)</f>
        <v/>
      </c>
      <c r="B17" t="inlineStr">
        <is>
          <t xml:space="preserve">P &amp; F Stop Cock (IS : 8931 Mark) superior quality of approved make : Brass 400 gram 15 mm </t>
        </is>
      </c>
      <c r="C17" t="n">
        <v>5</v>
      </c>
      <c r="D17" t="inlineStr">
        <is>
          <t>Nos.</t>
        </is>
      </c>
      <c r="E17" t="n">
        <v>120</v>
      </c>
      <c r="F17" t="inlineStr">
        <is>
          <t>Each</t>
        </is>
      </c>
      <c r="G17">
        <f>IF(C17,ROUNDUP(C17*E17,0),"")</f>
        <v/>
      </c>
    </row>
    <row r="18">
      <c r="A18" t="n">
        <v>11</v>
      </c>
      <c r="B18" t="inlineStr">
        <is>
          <t xml:space="preserve">P/F full way valve (IS:778 Mark) or wheel valve of approved make: gun metal  </t>
        </is>
      </c>
      <c r="G18">
        <f>IF(C18,ROUNDUP(C18*E18,0),"")</f>
        <v/>
      </c>
    </row>
    <row r="19">
      <c r="B19" t="inlineStr">
        <is>
          <t>(A)  15 mm</t>
        </is>
      </c>
      <c r="C19" t="n">
        <v>2</v>
      </c>
      <c r="D19" t="inlineStr">
        <is>
          <t>Nos.</t>
        </is>
      </c>
      <c r="E19" t="n">
        <v>150</v>
      </c>
      <c r="F19" t="inlineStr">
        <is>
          <t>Each</t>
        </is>
      </c>
      <c r="G19">
        <f>IF(C19,ROUNDUP(C19*E19,0),"")</f>
        <v/>
      </c>
    </row>
    <row r="20">
      <c r="B20" t="inlineStr">
        <is>
          <t>(B) 25 mm</t>
        </is>
      </c>
      <c r="C20" t="n">
        <v>2</v>
      </c>
      <c r="D20" t="inlineStr">
        <is>
          <t>Nos.</t>
        </is>
      </c>
      <c r="E20" t="n">
        <v>300</v>
      </c>
      <c r="F20" t="inlineStr">
        <is>
          <t>Each</t>
        </is>
      </c>
      <c r="G20">
        <f>IF(C20,ROUNDUP(C20*E20,0),"")</f>
        <v/>
      </c>
    </row>
    <row r="21">
      <c r="A21">
        <f>IF(A18,A18+1,#REF!+1)</f>
        <v/>
      </c>
      <c r="B21" t="inlineStr">
        <is>
          <t>P &amp; F PVC Storage Tank confirming to IS standards of approved make with cover, 25 mm Dai 1 M long C.I. over flow pipe &amp; 25 cm. long wash out pipe with plug and socket, including making connection, etc. complete of approved design:</t>
        </is>
      </c>
      <c r="G21">
        <f>IF(C21,ROUNDUP(C21*E21,0),"")</f>
        <v/>
      </c>
    </row>
    <row r="22">
      <c r="B22" t="inlineStr">
        <is>
          <t>(A) 1000 (litres capacity).</t>
        </is>
      </c>
      <c r="C22" t="n">
        <v>4</v>
      </c>
      <c r="D22" t="inlineStr">
        <is>
          <t>Nos.</t>
        </is>
      </c>
      <c r="E22">
        <f>5000</f>
        <v/>
      </c>
      <c r="F22" t="inlineStr">
        <is>
          <t>Each</t>
        </is>
      </c>
      <c r="G22">
        <f>IF(C22,ROUNDUP(C22*E22,0),"")</f>
        <v/>
      </c>
    </row>
    <row r="23">
      <c r="A23">
        <f>IF(A21,A21+1,A18+1)</f>
        <v/>
      </c>
      <c r="B23" t="inlineStr">
        <is>
          <t>P &amp; F Ball Cock (IS : 1703 Mark) with Rod &amp; PVC Ball complete :</t>
        </is>
      </c>
      <c r="G23">
        <f>IF(C23,ROUNDUP(C23*E23,0),"")</f>
        <v/>
      </c>
    </row>
    <row r="24">
      <c r="B24" t="inlineStr">
        <is>
          <t>(A)  Brass wt. 400 gram 15 mm.</t>
        </is>
      </c>
      <c r="C24" t="n">
        <v>4</v>
      </c>
      <c r="D24" t="inlineStr">
        <is>
          <t>Nos.</t>
        </is>
      </c>
      <c r="E24" t="n">
        <v>150</v>
      </c>
      <c r="F24" t="inlineStr">
        <is>
          <t>Each</t>
        </is>
      </c>
      <c r="G24">
        <f>IF(C24,ROUNDUP(C24*E24,0),"")</f>
        <v/>
      </c>
    </row>
    <row r="25">
      <c r="A25">
        <f>IF(A23,A23+1,A21+1)</f>
        <v/>
      </c>
      <c r="B25" t="inlineStr">
        <is>
          <t xml:space="preserve">Providing and fixing Unplasticized Poly Vinyl Chloride (UPVC) SWR pipes type B for soil and rain and waste discharge system (IS:13592 : 1992 marked) of approved quality/ make including jointing the pipes complete. </t>
        </is>
      </c>
      <c r="G25">
        <f>IF(C25,ROUNDUP(C25*E25,0),"")</f>
        <v/>
      </c>
    </row>
    <row r="26">
      <c r="B26" t="inlineStr">
        <is>
          <t xml:space="preserve">(A) 110 mm dia. </t>
        </is>
      </c>
      <c r="C26">
        <f>sanitary_MEASUR!K59</f>
        <v/>
      </c>
      <c r="D26" t="inlineStr">
        <is>
          <t>RM</t>
        </is>
      </c>
      <c r="E26">
        <f>200</f>
        <v/>
      </c>
      <c r="F26" t="inlineStr">
        <is>
          <t>P RM</t>
        </is>
      </c>
      <c r="G26">
        <f>IF(C26,ROUNDUP(C26*E26,0),"")</f>
        <v/>
      </c>
    </row>
    <row r="27">
      <c r="A27" t="n">
        <v>15</v>
      </c>
      <c r="B27" t="inlineStr">
        <is>
          <t>Providing and fixing Unplasticized Poly Vinyl Chloride (UPVC) SWR pipe fittings type B for soil and rain and waste discharge system (IS:13592 : 1992 marked) of approved quality/ make including jointing the pipes complete.</t>
        </is>
      </c>
      <c r="G27">
        <f>IF(C27,ROUNDUP(C27*E27,0),"")</f>
        <v/>
      </c>
    </row>
    <row r="28">
      <c r="A28" t="inlineStr">
        <is>
          <t>A.</t>
        </is>
      </c>
      <c r="B28" t="inlineStr">
        <is>
          <t>110  mm dia. Offset</t>
        </is>
      </c>
      <c r="C28" t="n">
        <v>1</v>
      </c>
      <c r="D28" t="inlineStr">
        <is>
          <t>Nos.</t>
        </is>
      </c>
      <c r="E28" t="n">
        <v>162</v>
      </c>
      <c r="F28" t="inlineStr">
        <is>
          <t>Each</t>
        </is>
      </c>
      <c r="G28">
        <f>IF(C28,ROUNDUP(C28*E28,0),"")</f>
        <v/>
      </c>
    </row>
    <row r="29">
      <c r="A29" t="inlineStr">
        <is>
          <t>B.</t>
        </is>
      </c>
      <c r="B29" t="inlineStr">
        <is>
          <t>110 mm dia. Coupler</t>
        </is>
      </c>
      <c r="C29" t="n">
        <v>5</v>
      </c>
      <c r="D29" t="inlineStr">
        <is>
          <t>Nos.</t>
        </is>
      </c>
      <c r="E29" t="n">
        <v>62</v>
      </c>
      <c r="F29" t="inlineStr">
        <is>
          <t>Each</t>
        </is>
      </c>
      <c r="G29">
        <f>IF(C29,ROUNDUP(C29*E29,0),"")</f>
        <v/>
      </c>
    </row>
    <row r="30">
      <c r="A30" t="inlineStr">
        <is>
          <t>C.</t>
        </is>
      </c>
      <c r="B30" t="inlineStr">
        <is>
          <t>110 mm dia. Single 'Y' with Door</t>
        </is>
      </c>
      <c r="C30" t="n">
        <v>1</v>
      </c>
      <c r="D30" t="inlineStr">
        <is>
          <t>Nos.</t>
        </is>
      </c>
      <c r="E30" t="n">
        <v>199</v>
      </c>
      <c r="F30" t="inlineStr">
        <is>
          <t>Each</t>
        </is>
      </c>
      <c r="G30">
        <f>IF(C30,ROUNDUP(C30*E30,0),"")</f>
        <v/>
      </c>
    </row>
    <row r="31">
      <c r="A31" t="inlineStr">
        <is>
          <t>D.</t>
        </is>
      </c>
      <c r="B31" t="inlineStr">
        <is>
          <t>100 mm dia. vent  Cowl</t>
        </is>
      </c>
      <c r="C31">
        <f>sanitary_MEASUR!K64</f>
        <v/>
      </c>
      <c r="D31" t="inlineStr">
        <is>
          <t>Nos.</t>
        </is>
      </c>
      <c r="E31" t="n">
        <v>34</v>
      </c>
      <c r="F31" t="inlineStr">
        <is>
          <t>Each</t>
        </is>
      </c>
      <c r="G31">
        <f>IF(C31,ROUNDUP(C31*E31,0),"")</f>
        <v/>
      </c>
    </row>
    <row r="32">
      <c r="A32" t="inlineStr">
        <is>
          <t>E.</t>
        </is>
      </c>
      <c r="B32" t="inlineStr">
        <is>
          <t>110 mm dia. Single 'Y'</t>
        </is>
      </c>
      <c r="C32" t="n">
        <v>1</v>
      </c>
      <c r="D32" t="inlineStr">
        <is>
          <t>Nos.</t>
        </is>
      </c>
      <c r="E32" t="n">
        <v>159</v>
      </c>
      <c r="F32" t="inlineStr">
        <is>
          <t>Each</t>
        </is>
      </c>
      <c r="G32">
        <f>IF(C32,ROUNDUP(C32*E32,0),"")</f>
        <v/>
      </c>
    </row>
    <row r="33">
      <c r="A33" t="inlineStr">
        <is>
          <t>F.</t>
        </is>
      </c>
      <c r="B33" t="inlineStr">
        <is>
          <t>110 mm dia.  door  Bend</t>
        </is>
      </c>
      <c r="C33" t="n">
        <v>1</v>
      </c>
      <c r="D33" t="inlineStr">
        <is>
          <t>Nos.</t>
        </is>
      </c>
      <c r="E33" t="n">
        <v>111</v>
      </c>
      <c r="F33" t="inlineStr">
        <is>
          <t>Each</t>
        </is>
      </c>
      <c r="G33">
        <f>IF(C33,ROUNDUP(C33*E33,0),"")</f>
        <v/>
      </c>
    </row>
    <row r="34">
      <c r="A34" t="inlineStr">
        <is>
          <t>G.</t>
        </is>
      </c>
      <c r="B34" t="inlineStr">
        <is>
          <t>110 mm dia.   Bend 87.5 degree.</t>
        </is>
      </c>
      <c r="C34" t="n">
        <v>1</v>
      </c>
      <c r="D34" t="inlineStr">
        <is>
          <t>Nos.</t>
        </is>
      </c>
      <c r="E34" t="n">
        <v>89</v>
      </c>
      <c r="F34" t="inlineStr">
        <is>
          <t>Each</t>
        </is>
      </c>
      <c r="G34">
        <f>IF(C34,ROUNDUP(C34*E34,0),"")</f>
        <v/>
      </c>
    </row>
    <row r="35">
      <c r="A35" t="n">
        <v>16</v>
      </c>
      <c r="B35" t="inlineStr">
        <is>
          <t xml:space="preserve">Providing and fixing Spun Cast Iron  (SCI ) Floor Trap (Nahni) of (IS : 3789mark) approved quality /make with socket down or hinged grating including cutting and making good the floor :- size 100x100 mm. </t>
        </is>
      </c>
      <c r="C35" t="n">
        <v>4</v>
      </c>
      <c r="D35" t="inlineStr">
        <is>
          <t>Nos.</t>
        </is>
      </c>
      <c r="E35" t="n">
        <v>140</v>
      </c>
      <c r="F35" t="inlineStr">
        <is>
          <t>Each</t>
        </is>
      </c>
      <c r="G35">
        <f>IF(C35,ROUNDUP(C35*E35,0),"")</f>
        <v/>
      </c>
    </row>
    <row r="36">
      <c r="A36" t="n">
        <v>17</v>
      </c>
      <c r="B36" t="inlineStr">
        <is>
          <t>Construction of manhole in all types of soil inner size 90 x 60 Cm with 300 mm thick masonry in CM 1:6, 10 cm. thick cement concrete 1:5:10 in foundation, 20 mm thick inside plaster in CM 1:6, finished with floating neat cement, 50 mm thick M-15 grade CC  flooring, making channels, 80 mm thick stone slab covering with 40 mm thick M-15 grade C.C. flooring, 25 Kg CI cover with frame of 450 mm Dai. earth work etc. Complete as per approved drawing including disposal of surplus earth within a lead of 50 m.</t>
        </is>
      </c>
      <c r="G36">
        <f>IF(C36,ROUNDUP(C36*E36,0),"")</f>
        <v/>
      </c>
    </row>
    <row r="37">
      <c r="B37" t="inlineStr">
        <is>
          <t>(A) Depth upto 0.5 M</t>
        </is>
      </c>
      <c r="C37" t="n">
        <v>3</v>
      </c>
      <c r="D37" t="inlineStr">
        <is>
          <t>Nos.</t>
        </is>
      </c>
      <c r="E37" t="n">
        <v>1500</v>
      </c>
      <c r="F37" t="inlineStr">
        <is>
          <t>Each</t>
        </is>
      </c>
      <c r="G37">
        <f>IF(C37,ROUNDUP(C37*E37,0),"")</f>
        <v/>
      </c>
    </row>
    <row r="38">
      <c r="B38" t="inlineStr">
        <is>
          <t>(B) Depth 0.5 M to 1.0 M</t>
        </is>
      </c>
      <c r="C38" t="n">
        <v>3</v>
      </c>
      <c r="D38" t="inlineStr">
        <is>
          <t>Nos.</t>
        </is>
      </c>
      <c r="E38" t="n">
        <v>2050</v>
      </c>
      <c r="F38" t="inlineStr">
        <is>
          <t>Each</t>
        </is>
      </c>
      <c r="G38">
        <f>IF(C38,ROUNDUP(C38*E38,0),"")</f>
        <v/>
      </c>
    </row>
    <row r="39">
      <c r="A39">
        <f>IF(A36,A36+1,#REF!+1)</f>
        <v/>
      </c>
      <c r="B39" t="inlineStr">
        <is>
          <t>Supplying and fixing  C.I. cover with frame, C.I. gratings for chambers &amp; man holes.</t>
        </is>
      </c>
      <c r="C39">
        <f>sanitary_MEASUR!K72</f>
        <v/>
      </c>
      <c r="D39" t="inlineStr">
        <is>
          <t>Kg.</t>
        </is>
      </c>
      <c r="E39" t="n">
        <v>12</v>
      </c>
      <c r="F39" t="inlineStr">
        <is>
          <t>P Kg.</t>
        </is>
      </c>
      <c r="G39">
        <f>IF(C39,ROUNDUP(C39*E39,0),"")</f>
        <v/>
      </c>
    </row>
    <row r="40">
      <c r="A40" t="n">
        <v>19</v>
      </c>
      <c r="B40" t="inlineStr">
        <is>
          <t>Providing laying and jointing glazed SW pipes Grade `A’ (IS : 651 marked) of approved make with spun yarn &amp; stiff mixture of cement mortar 1:1 excavation and refilling of earth in all types of soil upto 1.2m depth, SW fittings, including testing of joints etc. complete 100 mm dia.</t>
        </is>
      </c>
      <c r="C40" t="n">
        <v>40</v>
      </c>
      <c r="D40" t="inlineStr">
        <is>
          <t>RM</t>
        </is>
      </c>
      <c r="E40" t="n">
        <v>95</v>
      </c>
      <c r="F40" t="inlineStr">
        <is>
          <t>P RM</t>
        </is>
      </c>
      <c r="G40">
        <f>IF(C40,ROUNDUP(C40*E40,0),"")</f>
        <v/>
      </c>
    </row>
    <row r="41">
      <c r="A41" t="n">
        <v>20</v>
      </c>
      <c r="B41" t="inlineStr">
        <is>
          <t>Providing &amp; laying CC 1 : 5 : 10 (stone aggregate 40 nominal size) all around SW pipe incl. 15cm thick bed concrete as per Rajasthan PWD specifications (width W=dia of pipe in cm + 40 cm ). 100mm Dai SW pipe</t>
        </is>
      </c>
      <c r="C41" t="n">
        <v>40</v>
      </c>
      <c r="D41" t="inlineStr">
        <is>
          <t>Rm.</t>
        </is>
      </c>
      <c r="E41" t="n">
        <v>115</v>
      </c>
      <c r="F41" t="inlineStr">
        <is>
          <t>Per Rm.</t>
        </is>
      </c>
      <c r="G41">
        <f>IF(C41,ROUNDUP(C41*E41,0),"")</f>
        <v/>
      </c>
    </row>
    <row r="42">
      <c r="A42" t="n">
        <v>21</v>
      </c>
      <c r="B42" t="inlineStr">
        <is>
          <t>P &amp; F square mouth gully trap `A’  grade (IS : marked) of approved make complete with CI grating frame &amp; cover, masonry chamber is CM 1:6, 100 mm thick CC 1:5:10 base concrete 40 mm thick CC M-15 grade coping, 12 mm thick cement plaster in CM 1:3 complete as per approved design and type: Internal chamber size 300 x 300 mm</t>
        </is>
      </c>
      <c r="C42">
        <f>sanitary_MEASUR!K81</f>
        <v/>
      </c>
      <c r="D42" t="inlineStr">
        <is>
          <t>No.</t>
        </is>
      </c>
      <c r="E42" t="n">
        <v>500</v>
      </c>
      <c r="F42" t="inlineStr">
        <is>
          <t>Each</t>
        </is>
      </c>
      <c r="G42">
        <f>IF(C42,ROUNDUP(C42*E42,0),"")</f>
        <v/>
      </c>
    </row>
    <row r="43">
      <c r="A43" t="n">
        <v>22</v>
      </c>
      <c r="B43" t="inlineStr">
        <is>
          <t>P &amp; F 15 mm Dai. Connection pipe of approved quality / make: PVC pipe 450 mm</t>
        </is>
      </c>
      <c r="C43" t="n">
        <v>5</v>
      </c>
      <c r="D43" t="inlineStr">
        <is>
          <t>Nos.</t>
        </is>
      </c>
      <c r="E43" t="n">
        <v>35</v>
      </c>
      <c r="F43" t="inlineStr">
        <is>
          <t>Each</t>
        </is>
      </c>
      <c r="G43">
        <f>IF(C43,ROUNDUP(C43*E43,0),"")</f>
        <v/>
      </c>
    </row>
    <row r="44">
      <c r="A44" t="n">
        <v>23</v>
      </c>
      <c r="B44" t="inlineStr">
        <is>
          <t>P &amp; F  1 st quality WVC Urinal (IS: 2556 mark), with 25mm dia G.I. waste pipe, couplings, concealed iron brackets or screws etc. : Flat Back (small) size 456 x 355 X 265 mm.</t>
        </is>
      </c>
      <c r="C44" t="n">
        <v>4</v>
      </c>
      <c r="D44" t="inlineStr">
        <is>
          <t>Nos.</t>
        </is>
      </c>
      <c r="E44" t="n">
        <v>450</v>
      </c>
      <c r="F44" t="inlineStr">
        <is>
          <t>Each</t>
        </is>
      </c>
      <c r="G44">
        <f>IF(C44,ROUNDUP(C44*E44,0),"")</f>
        <v/>
      </c>
    </row>
    <row r="45">
      <c r="A45" t="n">
        <v>25</v>
      </c>
      <c r="B45" t="inlineStr">
        <is>
          <t>P &amp; F Towel rail or ring of approved quality/ make:  CP brass towel rail with brackets 450 x 20 mm.</t>
        </is>
      </c>
      <c r="C45" t="n">
        <v>5</v>
      </c>
      <c r="D45" t="inlineStr">
        <is>
          <t>Nos.</t>
        </is>
      </c>
      <c r="E45" t="n">
        <v>150</v>
      </c>
      <c r="F45" t="inlineStr">
        <is>
          <t>Each</t>
        </is>
      </c>
      <c r="G45">
        <f>IF(C45,E45*C45,"")</f>
        <v/>
      </c>
    </row>
    <row r="46">
      <c r="A46" t="n">
        <v>26</v>
      </c>
      <c r="B46" t="inlineStr">
        <is>
          <t>P &amp; F European type white glazed vitreous china 1st quality W.C. pan (I.S.:2556 mark) P or S trap including cutting and making good the wall and floor.</t>
        </is>
      </c>
      <c r="C46" t="n">
        <v>3</v>
      </c>
      <c r="D46" t="inlineStr">
        <is>
          <t>Nos.</t>
        </is>
      </c>
      <c r="E46" t="n">
        <v>2800</v>
      </c>
      <c r="F46" t="inlineStr">
        <is>
          <t>Each</t>
        </is>
      </c>
      <c r="G46">
        <f>IF(C46,E46*C46,"")</f>
        <v/>
      </c>
    </row>
    <row r="47">
      <c r="A47" t="n">
        <v>27</v>
      </c>
      <c r="B47" t="inlineStr">
        <is>
          <t>P &amp; F water closet seat covers with brass hinges complete :Solid PVC (ISI marked) grade-1 black for EWC</t>
        </is>
      </c>
      <c r="C47" t="n">
        <v>3</v>
      </c>
      <c r="D47" t="inlineStr">
        <is>
          <t>Nos.</t>
        </is>
      </c>
      <c r="E47" t="n">
        <v>240</v>
      </c>
      <c r="F47" t="inlineStr">
        <is>
          <t>Each</t>
        </is>
      </c>
      <c r="G47">
        <f>IF(C47,E47*C47,"")</f>
        <v/>
      </c>
    </row>
    <row r="48">
      <c r="A48" t="n">
        <v>28</v>
      </c>
      <c r="B48" t="inlineStr">
        <is>
          <t>P &amp; F automatic flushing cistern of Ist quality (IS : 774 mark) of approved make with fitting, syphon with copper tube, C.I. Brackets complete including cutting and making good the wall : White vitreous china 5 ltr.</t>
        </is>
      </c>
      <c r="C48" t="n">
        <v>3</v>
      </c>
      <c r="D48" t="inlineStr">
        <is>
          <t>Nos.</t>
        </is>
      </c>
      <c r="E48" t="n">
        <v>635</v>
      </c>
      <c r="F48" t="inlineStr">
        <is>
          <t>Each</t>
        </is>
      </c>
      <c r="G48">
        <f>IF(C48,E48*C48,"")</f>
        <v/>
      </c>
    </row>
    <row r="49">
      <c r="A49" t="n">
        <v>29</v>
      </c>
      <c r="B49" t="inlineStr">
        <is>
          <t>Construction of Septic tank in all types of soil with 40 mm thick masonry in CM 1:6, 15 cm thick cement concrete bed 1:5:10, M-15 grade C.C. flooring, &amp; over stone slab covering 80mm thick slab, jointing of slab covering 80mm thick slab in C.M. 1:3 Ralthal, Kharanja, 50 mm thick stone partition walls, 20 mm thick plaster in C.M. 1:6 finished with neat floating cement, 4 Nos. C.I. foot rests of approved design, two No. 450 mm dia 25 Kg. each C.I. cover with frame, earthwork etc. complete as per approved drawing including disposal of surplus earth within 50 mtr. lead. Size 400 x 140 x 150 cm (for 50 users)</t>
        </is>
      </c>
      <c r="C49" t="n">
        <v>1</v>
      </c>
      <c r="D49" t="inlineStr">
        <is>
          <t>Nos.</t>
        </is>
      </c>
      <c r="E49" t="n">
        <v>15200</v>
      </c>
      <c r="F49" t="inlineStr">
        <is>
          <t>Each</t>
        </is>
      </c>
      <c r="G49">
        <f>IF(C49,E49*C49,"")</f>
        <v/>
      </c>
    </row>
    <row r="50">
      <c r="A50" t="n">
        <v>30</v>
      </c>
      <c r="B50" t="inlineStr">
        <is>
          <t>Construction of Soakage well in all types of soil 300 mm thick dry stone masonry top and bottom 300 mm course in Cm. 1:6 80mm thick stone slab, jointing of slab in CM 1:3, Ralthal, Kharanja, 40mm thick, M-15 grade C.C. flooring, earthwork complete as per approved drawings including disposal of earth within a lead of 50 m. Size 300 cm. Dia outside &amp; 300 Cm. Depth.</t>
        </is>
      </c>
      <c r="C50" t="n">
        <v>1</v>
      </c>
      <c r="D50" t="inlineStr">
        <is>
          <t>Nos.</t>
        </is>
      </c>
      <c r="E50" t="n">
        <v>5000</v>
      </c>
      <c r="F50" t="inlineStr">
        <is>
          <t>Each</t>
        </is>
      </c>
      <c r="G50">
        <f>IF(C50,E50*C50,"")</f>
        <v/>
      </c>
    </row>
    <row r="51">
      <c r="D51" t="inlineStr">
        <is>
          <t xml:space="preserve">Total </t>
        </is>
      </c>
      <c r="F51" t="inlineStr">
        <is>
          <t>Rs.</t>
        </is>
      </c>
      <c r="G51">
        <f>SUM(G5:G50)</f>
        <v/>
      </c>
    </row>
    <row r="52"/>
    <row r="53"/>
    <row r="54">
      <c r="B54" t="inlineStr">
        <is>
          <t>ASSISTANT ENGINEER,</t>
        </is>
      </c>
      <c r="D54" t="inlineStr">
        <is>
          <t>EXECUTIVE  ENGINEER,</t>
        </is>
      </c>
    </row>
    <row r="55">
      <c r="B55" t="inlineStr">
        <is>
          <t>P.W.D. Sub Div.- NATHDWARA</t>
        </is>
      </c>
      <c r="D55" t="inlineStr">
        <is>
          <t>P.W.D. Div.- RAJSAMAND</t>
        </is>
      </c>
    </row>
    <row r="56"/>
    <row r="57"/>
    <row r="58"/>
    <row r="59"/>
    <row r="60"/>
    <row r="61"/>
    <row r="62"/>
    <row r="63"/>
    <row r="64"/>
    <row r="65"/>
    <row r="66"/>
    <row r="67"/>
    <row r="68"/>
    <row r="69"/>
    <row r="70"/>
    <row r="71"/>
    <row r="72"/>
    <row r="73"/>
    <row r="74"/>
    <row r="75"/>
    <row r="76"/>
    <row r="77"/>
    <row r="78"/>
    <row r="79"/>
    <row r="80"/>
    <row r="81"/>
    <row r="82"/>
    <row r="83"/>
    <row r="84"/>
    <row r="85"/>
    <row r="86"/>
    <row r="87"/>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87"/>
  <sheetViews>
    <sheetView workbookViewId="0">
      <selection activeCell="A1" sqref="A1"/>
    </sheetView>
  </sheetViews>
  <sheetFormatPr baseColWidth="8" defaultRowHeight="15"/>
  <cols>
    <col width="41" customWidth="1" min="1" max="1"/>
    <col width="50" customWidth="1" min="2" max="2"/>
    <col width="6" customWidth="1" min="3" max="3"/>
    <col width="6" customWidth="1" min="4" max="4"/>
    <col width="8" customWidth="1" min="5" max="5"/>
    <col width="6" customWidth="1" min="6" max="6"/>
    <col width="10" customWidth="1" min="7" max="7"/>
    <col width="8" customWidth="1" min="8" max="8"/>
    <col width="8" customWidth="1" min="9" max="9"/>
    <col width="17" customWidth="1" min="10" max="10"/>
    <col width="24" customWidth="1" min="11" max="11"/>
    <col width="7" customWidth="1" min="12" max="12"/>
    <col width="6" customWidth="1" min="13" max="13"/>
  </cols>
  <sheetData>
    <row r="1">
      <c r="A1" s="4">
        <f>'gen-abstract'!A2</f>
        <v/>
      </c>
      <c r="B1" s="4" t="n"/>
      <c r="C1" s="4" t="n"/>
      <c r="D1" s="4" t="n"/>
      <c r="E1" s="4" t="n"/>
      <c r="F1" s="4" t="n"/>
      <c r="G1" s="4" t="n"/>
      <c r="H1" s="4" t="n"/>
      <c r="I1" s="4" t="n"/>
      <c r="J1" s="4" t="n"/>
      <c r="K1" s="4" t="n"/>
      <c r="L1" s="4" t="n"/>
      <c r="M1" s="4" t="n"/>
    </row>
    <row r="2">
      <c r="A2" t="inlineStr">
        <is>
          <t>PART 'B'  SANITARY &amp; WATER SUPPLY  WORK</t>
        </is>
      </c>
    </row>
    <row r="3">
      <c r="A3" t="inlineStr">
        <is>
          <t>DETAILS OF MEASUREMENTS</t>
        </is>
      </c>
    </row>
    <row r="4">
      <c r="A4" t="inlineStr">
        <is>
          <t>S.N.</t>
        </is>
      </c>
      <c r="B4" t="inlineStr">
        <is>
          <t>Particulars</t>
        </is>
      </c>
      <c r="C4" t="inlineStr">
        <is>
          <t>Nos.</t>
        </is>
      </c>
      <c r="E4" t="inlineStr">
        <is>
          <t>Length</t>
        </is>
      </c>
      <c r="G4" t="inlineStr">
        <is>
          <t xml:space="preserve">Breadth </t>
        </is>
      </c>
      <c r="I4" t="inlineStr">
        <is>
          <t>Height</t>
        </is>
      </c>
      <c r="K4" t="inlineStr">
        <is>
          <t>Qty.</t>
        </is>
      </c>
      <c r="L4" t="inlineStr">
        <is>
          <t>Units</t>
        </is>
      </c>
    </row>
    <row r="5">
      <c r="A5" t="n">
        <v>1</v>
      </c>
      <c r="B5" t="inlineStr">
        <is>
          <t>P &amp; F Indian Type white glazed vitreous china Ist quality WC Orissa Pan (IS : 2556 Mark) with 100 mm vitreous china P or S trap including cutting and making good the wall and floor. Size 580x440 mm</t>
        </is>
      </c>
    </row>
    <row r="6">
      <c r="C6" t="n">
        <v>6</v>
      </c>
      <c r="D6" t="inlineStr">
        <is>
          <t>x</t>
        </is>
      </c>
      <c r="E6" t="n">
        <v>1</v>
      </c>
      <c r="J6">
        <f>IF(K6,"=","")</f>
        <v/>
      </c>
      <c r="K6">
        <f>C6*E6</f>
        <v/>
      </c>
      <c r="L6" t="inlineStr">
        <is>
          <t>Nos.</t>
        </is>
      </c>
    </row>
    <row r="7">
      <c r="A7">
        <f>A5+1</f>
        <v/>
      </c>
      <c r="B7" t="inlineStr">
        <is>
          <t>P &amp; F Flush cock/Flush valve (IS : 9758 Mark) for WC of approved quality make : C.P. Brass concealed 25 mm</t>
        </is>
      </c>
      <c r="J7">
        <f>IF(K7,"=","")</f>
        <v/>
      </c>
    </row>
    <row r="8">
      <c r="C8" t="n">
        <v>6</v>
      </c>
      <c r="D8" t="inlineStr">
        <is>
          <t>x</t>
        </is>
      </c>
      <c r="E8" t="n">
        <v>1</v>
      </c>
      <c r="J8">
        <f>IF(K8,"=","")</f>
        <v/>
      </c>
      <c r="K8">
        <f>C8*E8</f>
        <v/>
      </c>
      <c r="L8" t="inlineStr">
        <is>
          <t>Nos.</t>
        </is>
      </c>
    </row>
    <row r="9">
      <c r="H9" t="inlineStr">
        <is>
          <t>Total</t>
        </is>
      </c>
      <c r="J9">
        <f>IF(K9,"=","")</f>
        <v/>
      </c>
      <c r="K9">
        <f>SUM(K8:K8)</f>
        <v/>
      </c>
      <c r="L9" t="inlineStr">
        <is>
          <t>Nos.</t>
        </is>
      </c>
    </row>
    <row r="10">
      <c r="A10">
        <f>IF(A7,A7+1,A5+1)</f>
        <v/>
      </c>
      <c r="J10">
        <f>IF(K10,"=","")</f>
        <v/>
      </c>
    </row>
    <row r="11">
      <c r="C11" t="n">
        <v>5</v>
      </c>
      <c r="D11" t="inlineStr">
        <is>
          <t>x</t>
        </is>
      </c>
      <c r="E11" t="n">
        <v>1</v>
      </c>
      <c r="J11">
        <f>IF(K11,"=","")</f>
        <v/>
      </c>
      <c r="K11">
        <f>C11*E11</f>
        <v/>
      </c>
      <c r="L11" t="inlineStr">
        <is>
          <t>Nos.</t>
        </is>
      </c>
    </row>
    <row r="12">
      <c r="H12" t="inlineStr">
        <is>
          <t>Total</t>
        </is>
      </c>
      <c r="J12">
        <f>IF(K12,"=","")</f>
        <v/>
      </c>
      <c r="K12">
        <f>SUM(K11:K11)</f>
        <v/>
      </c>
      <c r="L12" t="inlineStr">
        <is>
          <t>Nos.</t>
        </is>
      </c>
    </row>
    <row r="13">
      <c r="A13">
        <f>IF(A10,A10+1,A7+1)</f>
        <v/>
      </c>
      <c r="B13" t="inlineStr">
        <is>
          <t xml:space="preserve">P&amp;F beveled edge mirror of special glass of approved make (Atul or equivalent) complete with 6 mm thick Asbestos Cement  sheet ground fixed to wooden screws &amp; washers sizes 600 x 450 mm x 4 mm thick. </t>
        </is>
      </c>
      <c r="C13">
        <f>K12</f>
        <v/>
      </c>
      <c r="D13" t="inlineStr">
        <is>
          <t>x</t>
        </is>
      </c>
      <c r="E13" t="n">
        <v>1</v>
      </c>
      <c r="J13">
        <f>IF(K13,"=","")</f>
        <v/>
      </c>
      <c r="K13">
        <f>C13*E13</f>
        <v/>
      </c>
      <c r="L13" t="inlineStr">
        <is>
          <t>Nos.</t>
        </is>
      </c>
    </row>
    <row r="14"/>
    <row r="15">
      <c r="A15" t="n">
        <v>5</v>
      </c>
      <c r="B15" t="inlineStr">
        <is>
          <t>P &amp; F grating of approved/quality make : Cast iron.</t>
        </is>
      </c>
      <c r="J15">
        <f>IF(K15,"=","")</f>
        <v/>
      </c>
    </row>
    <row r="16">
      <c r="B16" t="inlineStr">
        <is>
          <t xml:space="preserve">G.F. </t>
        </is>
      </c>
      <c r="C16" t="n">
        <v>11</v>
      </c>
      <c r="D16" t="inlineStr">
        <is>
          <t>x</t>
        </is>
      </c>
      <c r="E16" t="n">
        <v>1</v>
      </c>
      <c r="J16">
        <f>IF(K16,"=","")</f>
        <v/>
      </c>
      <c r="K16">
        <f>C16*E16</f>
        <v/>
      </c>
      <c r="L16" t="inlineStr">
        <is>
          <t>Nos.</t>
        </is>
      </c>
    </row>
    <row r="17">
      <c r="H17" t="inlineStr">
        <is>
          <t>Total</t>
        </is>
      </c>
      <c r="J17">
        <f>IF(K17,"=","")</f>
        <v/>
      </c>
      <c r="K17">
        <f>SUM(K16:K16)</f>
        <v/>
      </c>
      <c r="L17" t="inlineStr">
        <is>
          <t>Nos.</t>
        </is>
      </c>
    </row>
    <row r="18">
      <c r="A18" t="n">
        <v>6</v>
      </c>
      <c r="B18" t="inlineStr">
        <is>
          <t xml:space="preserve">P &amp; F GI Pipes (Internal work) with G.I. fittings (IS : 1239 Mark) &amp; MS clamps, including cutting and making good the walls and floors : </t>
        </is>
      </c>
      <c r="J18">
        <f>IF(K18,"=","")</f>
        <v/>
      </c>
    </row>
    <row r="19">
      <c r="A19" t="inlineStr">
        <is>
          <t>A.</t>
        </is>
      </c>
      <c r="B19" t="inlineStr">
        <is>
          <t>15 mm dia nominal bore `B’ Class.</t>
        </is>
      </c>
      <c r="J19">
        <f>IF(K19,"=","")</f>
        <v/>
      </c>
    </row>
    <row r="20">
      <c r="B20" t="inlineStr">
        <is>
          <t>W.C. Internal plumbing</t>
        </is>
      </c>
      <c r="C20" t="n">
        <v>5</v>
      </c>
      <c r="D20" t="inlineStr">
        <is>
          <t>x</t>
        </is>
      </c>
      <c r="E20" t="n">
        <v>4.5</v>
      </c>
      <c r="J20">
        <f>IF(K20,"=","")</f>
        <v/>
      </c>
      <c r="K20">
        <f>C20*E20</f>
        <v/>
      </c>
      <c r="L20" t="inlineStr">
        <is>
          <t>RM</t>
        </is>
      </c>
    </row>
    <row r="21">
      <c r="B21" t="inlineStr">
        <is>
          <t>W.B. Internal plumbing</t>
        </is>
      </c>
      <c r="C21" t="n">
        <v>5</v>
      </c>
      <c r="D21" t="inlineStr">
        <is>
          <t>x</t>
        </is>
      </c>
      <c r="E21" t="n">
        <v>4.5</v>
      </c>
      <c r="J21">
        <f>IF(K21,"=","")</f>
        <v/>
      </c>
      <c r="K21">
        <f>C21*E21</f>
        <v/>
      </c>
      <c r="L21" t="inlineStr">
        <is>
          <t>RM</t>
        </is>
      </c>
    </row>
    <row r="22">
      <c r="H22" t="inlineStr">
        <is>
          <t xml:space="preserve">Total </t>
        </is>
      </c>
      <c r="J22">
        <f>IF(K22,"=","")</f>
        <v/>
      </c>
      <c r="K22">
        <f>SUM(K19:K21)</f>
        <v/>
      </c>
      <c r="L22" t="inlineStr">
        <is>
          <t>RM</t>
        </is>
      </c>
    </row>
    <row r="23">
      <c r="A23" t="inlineStr">
        <is>
          <t>B.</t>
        </is>
      </c>
      <c r="B23" t="inlineStr">
        <is>
          <t xml:space="preserve">25 mm dia nominal bore `B’ Class </t>
        </is>
      </c>
      <c r="J23">
        <f>IF(K23,"=","")</f>
        <v/>
      </c>
    </row>
    <row r="24">
      <c r="B24" t="inlineStr">
        <is>
          <t>Uptake pipes</t>
        </is>
      </c>
      <c r="C24" t="n">
        <v>4</v>
      </c>
      <c r="D24" t="inlineStr">
        <is>
          <t>x</t>
        </is>
      </c>
      <c r="E24" t="n">
        <v>16.8</v>
      </c>
      <c r="J24">
        <f>IF(K24,"=","")</f>
        <v/>
      </c>
      <c r="K24">
        <f>C24*E24</f>
        <v/>
      </c>
      <c r="L24" t="inlineStr">
        <is>
          <t>RM</t>
        </is>
      </c>
    </row>
    <row r="25">
      <c r="B25" t="inlineStr">
        <is>
          <t xml:space="preserve">Down take </t>
        </is>
      </c>
      <c r="C25" t="n">
        <v>4</v>
      </c>
      <c r="D25" t="inlineStr">
        <is>
          <t>x</t>
        </is>
      </c>
      <c r="E25" t="n">
        <v>14.6</v>
      </c>
      <c r="J25">
        <f>IF(K25,"=","")</f>
        <v/>
      </c>
      <c r="K25">
        <f>C25*E25</f>
        <v/>
      </c>
      <c r="L25" t="inlineStr">
        <is>
          <t>RM</t>
        </is>
      </c>
    </row>
    <row r="26">
      <c r="B26" t="inlineStr">
        <is>
          <t>Down take for W.C.</t>
        </is>
      </c>
      <c r="C26" t="n">
        <v>4</v>
      </c>
      <c r="D26" t="inlineStr">
        <is>
          <t>x</t>
        </is>
      </c>
      <c r="E26" t="n">
        <v>8.699999999999999</v>
      </c>
      <c r="J26">
        <f>IF(K26,"=","")</f>
        <v/>
      </c>
      <c r="K26">
        <f>C26*E26</f>
        <v/>
      </c>
      <c r="L26" t="inlineStr">
        <is>
          <t>RM</t>
        </is>
      </c>
    </row>
    <row r="27">
      <c r="H27" t="inlineStr">
        <is>
          <t xml:space="preserve">Total </t>
        </is>
      </c>
      <c r="J27">
        <f>IF(K27,"=","")</f>
        <v/>
      </c>
      <c r="K27">
        <f>SUM(K23:K26)</f>
        <v/>
      </c>
      <c r="L27" t="inlineStr">
        <is>
          <t>RM</t>
        </is>
      </c>
    </row>
    <row r="28">
      <c r="A28">
        <f>A18+1</f>
        <v/>
      </c>
      <c r="B28" t="inlineStr">
        <is>
          <t xml:space="preserve">P &amp; F GI Pipes (External work) with G.I. fittings (IS : 1239 Mark) , including  trenching and refilling earth etc. : </t>
        </is>
      </c>
      <c r="J28">
        <f>IF(K28,"=","")</f>
        <v/>
      </c>
    </row>
    <row r="29">
      <c r="A29" t="inlineStr">
        <is>
          <t>A.</t>
        </is>
      </c>
      <c r="B29" t="inlineStr">
        <is>
          <t>25 mm dia nominal bore `B’ Class.</t>
        </is>
      </c>
      <c r="J29">
        <f>IF(K29,"=","")</f>
        <v/>
      </c>
    </row>
    <row r="30">
      <c r="B30" t="inlineStr">
        <is>
          <t>From OHT/ Sump</t>
        </is>
      </c>
      <c r="C30" t="n">
        <v>1</v>
      </c>
      <c r="D30" t="inlineStr">
        <is>
          <t>x</t>
        </is>
      </c>
      <c r="E30" t="n">
        <v>10</v>
      </c>
      <c r="J30">
        <f>IF(K30,"=","")</f>
        <v/>
      </c>
      <c r="K30">
        <f>C30*E30</f>
        <v/>
      </c>
      <c r="L30" t="inlineStr">
        <is>
          <t>RM</t>
        </is>
      </c>
    </row>
    <row r="31">
      <c r="B31" t="inlineStr">
        <is>
          <t>Ring main</t>
        </is>
      </c>
      <c r="C31" t="n">
        <v>2</v>
      </c>
      <c r="D31" t="inlineStr">
        <is>
          <t>x</t>
        </is>
      </c>
      <c r="E31" t="n">
        <v>10</v>
      </c>
      <c r="J31">
        <f>IF(K31,"=","")</f>
        <v/>
      </c>
      <c r="K31">
        <f>C31*E31</f>
        <v/>
      </c>
      <c r="L31" t="inlineStr">
        <is>
          <t>RM</t>
        </is>
      </c>
    </row>
    <row r="32">
      <c r="H32" t="inlineStr">
        <is>
          <t xml:space="preserve">Total </t>
        </is>
      </c>
      <c r="J32">
        <f>IF(K32,"=","")</f>
        <v/>
      </c>
      <c r="K32">
        <f>SUM(K30:K31)</f>
        <v/>
      </c>
      <c r="L32" t="inlineStr">
        <is>
          <t>RM</t>
        </is>
      </c>
    </row>
    <row r="33">
      <c r="A33">
        <f>A28+1</f>
        <v/>
      </c>
      <c r="B33" t="inlineStr">
        <is>
          <t>Making connection of G.I. distribution branch with G.I. main including all fittings . (a) upto 25 mm  dia.</t>
        </is>
      </c>
      <c r="J33">
        <f>IF(K33,"=","")</f>
        <v/>
      </c>
    </row>
    <row r="34">
      <c r="B34" t="inlineStr">
        <is>
          <t>Toilets</t>
        </is>
      </c>
      <c r="C34" t="n">
        <v>6</v>
      </c>
      <c r="D34" t="inlineStr">
        <is>
          <t>x</t>
        </is>
      </c>
      <c r="E34" t="n">
        <v>3</v>
      </c>
      <c r="J34">
        <f>IF(K34,"=","")</f>
        <v/>
      </c>
      <c r="K34">
        <f>C34*E34</f>
        <v/>
      </c>
      <c r="L34" t="inlineStr">
        <is>
          <t>Nos.</t>
        </is>
      </c>
    </row>
    <row r="35">
      <c r="H35" t="inlineStr">
        <is>
          <t>Total</t>
        </is>
      </c>
      <c r="J35">
        <f>IF(K35,"=","")</f>
        <v/>
      </c>
      <c r="K35">
        <f>SUM(K34:K34)</f>
        <v/>
      </c>
      <c r="L35" t="inlineStr">
        <is>
          <t>Nos.</t>
        </is>
      </c>
    </row>
    <row r="36">
      <c r="A36">
        <f>A33+1</f>
        <v/>
      </c>
      <c r="B36" t="inlineStr">
        <is>
          <t xml:space="preserve">P &amp; F Bib Cock (IS : 8931 Mark) superior quality of approved make : Brass 400 gram 15 mm </t>
        </is>
      </c>
      <c r="J36">
        <f>IF(K36,"=","")</f>
        <v/>
      </c>
    </row>
    <row r="37">
      <c r="B37" t="inlineStr">
        <is>
          <t>W.C.</t>
        </is>
      </c>
      <c r="C37" t="n">
        <v>12</v>
      </c>
      <c r="D37" t="inlineStr">
        <is>
          <t>x</t>
        </is>
      </c>
      <c r="E37" t="n">
        <v>1</v>
      </c>
      <c r="J37">
        <f>IF(K37,"=","")</f>
        <v/>
      </c>
      <c r="K37">
        <f>C37*E37</f>
        <v/>
      </c>
      <c r="L37" t="inlineStr">
        <is>
          <t>Nos.</t>
        </is>
      </c>
    </row>
    <row r="38">
      <c r="B38" t="inlineStr">
        <is>
          <t>Court Yard</t>
        </is>
      </c>
      <c r="C38" t="n">
        <v>6</v>
      </c>
      <c r="D38" t="inlineStr">
        <is>
          <t>x</t>
        </is>
      </c>
      <c r="E38" t="n">
        <v>1</v>
      </c>
      <c r="J38">
        <f>IF(K38,"=","")</f>
        <v/>
      </c>
      <c r="K38">
        <f>C38*E38</f>
        <v/>
      </c>
      <c r="L38" t="inlineStr">
        <is>
          <t>Nos.</t>
        </is>
      </c>
    </row>
    <row r="39">
      <c r="H39" t="inlineStr">
        <is>
          <t>Total</t>
        </is>
      </c>
      <c r="J39">
        <f>IF(K39,"=","")</f>
        <v/>
      </c>
      <c r="K39">
        <f>SUM(K37:K38)</f>
        <v/>
      </c>
      <c r="L39" t="inlineStr">
        <is>
          <t>Nos.</t>
        </is>
      </c>
    </row>
    <row r="40">
      <c r="A40">
        <f>IF(A36,A36+1,#REF!+1)</f>
        <v/>
      </c>
      <c r="B40" t="inlineStr">
        <is>
          <t xml:space="preserve">P &amp; F Stop Cock (IS : 8931 Mark) superior quality of approved make : Brass 400 gram 15 mm </t>
        </is>
      </c>
      <c r="J40">
        <f>IF(K40,"=","")</f>
        <v/>
      </c>
    </row>
    <row r="41">
      <c r="B41" t="inlineStr">
        <is>
          <t>W.B.</t>
        </is>
      </c>
      <c r="C41" t="n">
        <v>5</v>
      </c>
      <c r="D41" t="inlineStr">
        <is>
          <t>x</t>
        </is>
      </c>
      <c r="E41" t="n">
        <v>1</v>
      </c>
      <c r="J41">
        <f>IF(K41,"=","")</f>
        <v/>
      </c>
      <c r="K41">
        <f>C41*E41</f>
        <v/>
      </c>
      <c r="L41" t="inlineStr">
        <is>
          <t>Nos.</t>
        </is>
      </c>
    </row>
    <row r="42">
      <c r="H42" t="inlineStr">
        <is>
          <t>Total</t>
        </is>
      </c>
      <c r="J42">
        <f>IF(K42,"=","")</f>
        <v/>
      </c>
      <c r="K42">
        <f>SUM(K41:K41)</f>
        <v/>
      </c>
      <c r="L42" t="inlineStr">
        <is>
          <t>Nos.</t>
        </is>
      </c>
    </row>
    <row r="43">
      <c r="A43" t="n">
        <v>11</v>
      </c>
      <c r="B43" t="inlineStr">
        <is>
          <t xml:space="preserve">P/F full way valve (IS:778 Mark) or wheel valve of approved make: gun metal  </t>
        </is>
      </c>
      <c r="J43">
        <f>IF(K43,"=","")</f>
        <v/>
      </c>
    </row>
    <row r="44">
      <c r="B44" t="inlineStr">
        <is>
          <t>(A)  15 mm</t>
        </is>
      </c>
      <c r="J44">
        <f>IF(K44,"=","")</f>
        <v/>
      </c>
    </row>
    <row r="45">
      <c r="B45" t="inlineStr">
        <is>
          <t>G.F. units</t>
        </is>
      </c>
      <c r="C45" t="n">
        <v>6</v>
      </c>
      <c r="D45" t="inlineStr">
        <is>
          <t>x</t>
        </is>
      </c>
      <c r="E45" t="n">
        <v>1</v>
      </c>
      <c r="J45">
        <f>IF(K45,"=","")</f>
        <v/>
      </c>
      <c r="K45">
        <f>C45*E45</f>
        <v/>
      </c>
      <c r="L45" t="inlineStr">
        <is>
          <t>Nos.</t>
        </is>
      </c>
    </row>
    <row r="46">
      <c r="H46" t="inlineStr">
        <is>
          <t>Total</t>
        </is>
      </c>
      <c r="J46">
        <f>IF(K46,"=","")</f>
        <v/>
      </c>
      <c r="K46">
        <f>SUM(K45)</f>
        <v/>
      </c>
      <c r="L46" t="inlineStr">
        <is>
          <t>Nos.</t>
        </is>
      </c>
    </row>
    <row r="47">
      <c r="B47" t="inlineStr">
        <is>
          <t>(B) 25 mm</t>
        </is>
      </c>
      <c r="J47">
        <f>IF(K47,"=","")</f>
        <v/>
      </c>
    </row>
    <row r="48">
      <c r="B48" t="inlineStr">
        <is>
          <t>Tanks</t>
        </is>
      </c>
      <c r="C48" t="n">
        <v>6</v>
      </c>
      <c r="D48" t="inlineStr">
        <is>
          <t>x</t>
        </is>
      </c>
      <c r="E48" t="n">
        <v>1</v>
      </c>
      <c r="J48">
        <f>IF(K48,"=","")</f>
        <v/>
      </c>
      <c r="K48">
        <f>C48*E48</f>
        <v/>
      </c>
      <c r="L48" t="inlineStr">
        <is>
          <t>Nos.</t>
        </is>
      </c>
    </row>
    <row r="49">
      <c r="H49" t="inlineStr">
        <is>
          <t>Total</t>
        </is>
      </c>
      <c r="J49">
        <f>IF(K49,"=","")</f>
        <v/>
      </c>
      <c r="K49">
        <f>SUM(K48:K48)</f>
        <v/>
      </c>
      <c r="L49" t="inlineStr">
        <is>
          <t>Nos.</t>
        </is>
      </c>
    </row>
    <row r="50">
      <c r="A50">
        <f>IF(A43,A43+1,#REF!+1)</f>
        <v/>
      </c>
      <c r="B50" t="inlineStr">
        <is>
          <t>P &amp; F PVC Storage Tank confirming to IS standards of approved make with cover, 25 mm dia 1 M long C.I. over flow pipe &amp; 25 cm. long wash out pipe with plug and socket, including making connection, etc. complete of approved design:</t>
        </is>
      </c>
      <c r="J50">
        <f>IF(K50,"=","")</f>
        <v/>
      </c>
    </row>
    <row r="51">
      <c r="B51" t="inlineStr">
        <is>
          <t>(A) 1000 (litres capacity).</t>
        </is>
      </c>
      <c r="C51" t="n">
        <v>6</v>
      </c>
      <c r="D51" t="inlineStr">
        <is>
          <t>x</t>
        </is>
      </c>
      <c r="E51" t="n">
        <v>1</v>
      </c>
      <c r="J51">
        <f>IF(K51,"=","")</f>
        <v/>
      </c>
      <c r="K51">
        <f>C51*E51</f>
        <v/>
      </c>
      <c r="L51" t="inlineStr">
        <is>
          <t>Nos.</t>
        </is>
      </c>
    </row>
    <row r="52">
      <c r="A52">
        <f>IF(A50,A50+1,A43+1)</f>
        <v/>
      </c>
      <c r="B52" t="inlineStr">
        <is>
          <t>P &amp; F Ball Cock (IS : 1703 Mark) with Rod &amp; PVC Ball complete :</t>
        </is>
      </c>
      <c r="J52">
        <f>IF(K52,"=","")</f>
        <v/>
      </c>
    </row>
    <row r="53">
      <c r="B53" t="inlineStr">
        <is>
          <t>(A)  Brass wt. 400 gram 15 mm.</t>
        </is>
      </c>
      <c r="C53" t="n">
        <v>6</v>
      </c>
      <c r="D53" t="inlineStr">
        <is>
          <t>x</t>
        </is>
      </c>
      <c r="E53" t="n">
        <v>1</v>
      </c>
      <c r="J53">
        <f>IF(K53,"=","")</f>
        <v/>
      </c>
      <c r="K53">
        <f>C53*E53</f>
        <v/>
      </c>
      <c r="L53" t="inlineStr">
        <is>
          <t>Nos.</t>
        </is>
      </c>
    </row>
    <row r="54">
      <c r="A54">
        <f>IF(A52,A52+1,A50+1)</f>
        <v/>
      </c>
      <c r="J54">
        <f>IF(K54,"=","")</f>
        <v/>
      </c>
    </row>
    <row r="55">
      <c r="B55" t="inlineStr">
        <is>
          <t xml:space="preserve">(A) 110 mm dia. </t>
        </is>
      </c>
    </row>
    <row r="56">
      <c r="B56" t="inlineStr">
        <is>
          <t xml:space="preserve">Horizontal Internal </t>
        </is>
      </c>
      <c r="J56">
        <f>IF(K56,"=","")</f>
        <v/>
      </c>
    </row>
    <row r="57">
      <c r="B57" t="inlineStr">
        <is>
          <t>W.C.</t>
        </is>
      </c>
      <c r="C57" t="n">
        <v>12</v>
      </c>
      <c r="D57" t="inlineStr">
        <is>
          <t>x</t>
        </is>
      </c>
      <c r="E57" t="n">
        <v>2.2</v>
      </c>
      <c r="J57">
        <f>IF(K57,"=","")</f>
        <v/>
      </c>
      <c r="K57">
        <f>C57*E57</f>
        <v/>
      </c>
      <c r="L57" t="inlineStr">
        <is>
          <t>RM</t>
        </is>
      </c>
    </row>
    <row r="58">
      <c r="B58" t="inlineStr">
        <is>
          <t>W.B.</t>
        </is>
      </c>
      <c r="C58" t="n">
        <v>5</v>
      </c>
      <c r="D58" t="inlineStr">
        <is>
          <t>x</t>
        </is>
      </c>
      <c r="E58" t="n">
        <v>2.2</v>
      </c>
      <c r="J58">
        <f>IF(K58,"=","")</f>
        <v/>
      </c>
      <c r="K58">
        <f>C58*E58</f>
        <v/>
      </c>
      <c r="L58" t="inlineStr">
        <is>
          <t>RM</t>
        </is>
      </c>
    </row>
    <row r="59">
      <c r="H59" t="inlineStr">
        <is>
          <t xml:space="preserve">Total </t>
        </is>
      </c>
      <c r="J59">
        <f>IF(K59,"=","")</f>
        <v/>
      </c>
      <c r="K59">
        <f>SUM(K57:K58)</f>
        <v/>
      </c>
      <c r="L59" t="inlineStr">
        <is>
          <t>RM</t>
        </is>
      </c>
    </row>
    <row r="60">
      <c r="A60" t="n">
        <v>15</v>
      </c>
      <c r="B60" t="inlineStr">
        <is>
          <t>Providing and fixing Unplasticized Poly Vinyl Chloride (UPVC) SWR pipe fittings type B for soil and rain and waste discharge system (IS:13592 : 1992 marked) of approved quality/ make including jointing the pipes complete.</t>
        </is>
      </c>
      <c r="J60">
        <f>IF(K60,"=","")</f>
        <v/>
      </c>
    </row>
    <row r="61">
      <c r="A61" t="inlineStr">
        <is>
          <t>A.</t>
        </is>
      </c>
      <c r="B61" t="inlineStr">
        <is>
          <t>110  mm dia. Offset</t>
        </is>
      </c>
      <c r="C61" t="n">
        <v>1</v>
      </c>
      <c r="D61" t="inlineStr">
        <is>
          <t>x</t>
        </is>
      </c>
      <c r="E61" t="n">
        <v>1</v>
      </c>
      <c r="J61">
        <f>IF(K61,"=","")</f>
        <v/>
      </c>
      <c r="K61">
        <f>C61*E61</f>
        <v/>
      </c>
      <c r="L61" t="inlineStr">
        <is>
          <t>Nos.</t>
        </is>
      </c>
    </row>
    <row r="62">
      <c r="A62" t="inlineStr">
        <is>
          <t>B.</t>
        </is>
      </c>
      <c r="B62" t="inlineStr">
        <is>
          <t>110 mm dia. Coupler</t>
        </is>
      </c>
      <c r="C62" t="n">
        <v>5</v>
      </c>
      <c r="D62" t="inlineStr">
        <is>
          <t>x</t>
        </is>
      </c>
      <c r="E62" t="n">
        <v>1</v>
      </c>
      <c r="J62">
        <f>IF(K62,"=","")</f>
        <v/>
      </c>
      <c r="K62">
        <f>C62*E62</f>
        <v/>
      </c>
      <c r="L62" t="inlineStr">
        <is>
          <t>Nos.</t>
        </is>
      </c>
    </row>
    <row r="63">
      <c r="A63" t="inlineStr">
        <is>
          <t>C.</t>
        </is>
      </c>
      <c r="B63" t="inlineStr">
        <is>
          <t>110 mm dia. Single 'Y' with Door</t>
        </is>
      </c>
      <c r="C63" t="n">
        <v>1</v>
      </c>
      <c r="D63" t="inlineStr">
        <is>
          <t>x</t>
        </is>
      </c>
      <c r="E63" t="n">
        <v>1</v>
      </c>
      <c r="J63">
        <f>IF(K63,"=","")</f>
        <v/>
      </c>
      <c r="K63">
        <f>C63*E63</f>
        <v/>
      </c>
      <c r="L63" t="inlineStr">
        <is>
          <t>Nos.</t>
        </is>
      </c>
    </row>
    <row r="64">
      <c r="A64" t="inlineStr">
        <is>
          <t>D.</t>
        </is>
      </c>
      <c r="B64" t="inlineStr">
        <is>
          <t>100 mm dia. vent  Cowl</t>
        </is>
      </c>
      <c r="C64" t="n">
        <v>3</v>
      </c>
      <c r="D64" t="inlineStr">
        <is>
          <t>x</t>
        </is>
      </c>
      <c r="E64" t="n">
        <v>1</v>
      </c>
      <c r="J64">
        <f>IF(K64,"=","")</f>
        <v/>
      </c>
      <c r="K64">
        <f>C64*E64</f>
        <v/>
      </c>
      <c r="L64" t="inlineStr">
        <is>
          <t>Nos.</t>
        </is>
      </c>
    </row>
    <row r="65">
      <c r="A65" t="inlineStr">
        <is>
          <t>E.</t>
        </is>
      </c>
      <c r="B65" t="inlineStr">
        <is>
          <t>110 mm dia. Single 'Y'</t>
        </is>
      </c>
      <c r="C65" t="n">
        <v>1</v>
      </c>
      <c r="D65" t="inlineStr">
        <is>
          <t>x</t>
        </is>
      </c>
      <c r="E65" t="n">
        <v>1</v>
      </c>
      <c r="J65">
        <f>IF(K65,"=","")</f>
        <v/>
      </c>
      <c r="K65">
        <f>C65*E65</f>
        <v/>
      </c>
      <c r="L65" t="inlineStr">
        <is>
          <t>Nos.</t>
        </is>
      </c>
    </row>
    <row r="66">
      <c r="A66" t="inlineStr">
        <is>
          <t>F.</t>
        </is>
      </c>
      <c r="B66" t="inlineStr">
        <is>
          <t>110 mm dia.  door  Bend</t>
        </is>
      </c>
      <c r="C66" t="n">
        <v>1</v>
      </c>
      <c r="D66" t="inlineStr">
        <is>
          <t>x</t>
        </is>
      </c>
      <c r="E66" t="n">
        <v>1</v>
      </c>
      <c r="J66">
        <f>IF(K66,"=","")</f>
        <v/>
      </c>
      <c r="K66">
        <f>C66*E66</f>
        <v/>
      </c>
      <c r="L66" t="inlineStr">
        <is>
          <t>Nos.</t>
        </is>
      </c>
    </row>
    <row r="67">
      <c r="A67" t="inlineStr">
        <is>
          <t>G.</t>
        </is>
      </c>
      <c r="B67" t="inlineStr">
        <is>
          <t>110 mm dia.   Bend 87.5 degree.</t>
        </is>
      </c>
      <c r="C67" t="n">
        <v>1</v>
      </c>
      <c r="D67" t="inlineStr">
        <is>
          <t>x</t>
        </is>
      </c>
      <c r="E67" t="n">
        <v>1</v>
      </c>
      <c r="J67">
        <f>IF(K67,"=","")</f>
        <v/>
      </c>
      <c r="K67">
        <f>C67*E67</f>
        <v/>
      </c>
      <c r="L67" t="inlineStr">
        <is>
          <t>Nos.</t>
        </is>
      </c>
    </row>
    <row r="68">
      <c r="A68">
        <f>A60+1</f>
        <v/>
      </c>
      <c r="B68" t="inlineStr">
        <is>
          <t xml:space="preserve">Providing and fixing Spun Cast Iron  (SCI ) Floor Trap (Nahni) of (IS : 3789mark) approved quality /make with socket down or hinged grating including cutting and making good the floor :- size 100x100 mm. </t>
        </is>
      </c>
      <c r="C68" t="n">
        <v>6</v>
      </c>
      <c r="D68" t="inlineStr">
        <is>
          <t>x</t>
        </is>
      </c>
      <c r="E68" t="n">
        <v>1</v>
      </c>
      <c r="J68">
        <f>IF(K68,"=","")</f>
        <v/>
      </c>
      <c r="K68">
        <f>C68*E68</f>
        <v/>
      </c>
      <c r="L68" t="inlineStr">
        <is>
          <t>Nos.</t>
        </is>
      </c>
    </row>
    <row r="69">
      <c r="A69" t="n">
        <v>17</v>
      </c>
      <c r="B69" t="inlineStr">
        <is>
          <t>Construction of manhole in all types of soil inner size 90 x 60 Cm with 300 mm thick masonry in CM 1:6, 10 cm. thick cement concrete 1:5:10 in foundation, 20 mm thick inside plaster in CM 1:6, finished with floating neat cement, 50 mm thick M-15 grade CC  flooring, making channels, 80 mm thick stone slab covering with 40 mm thick M-15 grade C.C. flooring, 25 Kg CI cover with frame of 450 mm dia. earth work etc. Complete as per approved drawing including disposal of surplus earth within a lead of 50 m</t>
        </is>
      </c>
      <c r="J69">
        <f>IF(K69,"=","")</f>
        <v/>
      </c>
    </row>
    <row r="70">
      <c r="B70" t="inlineStr">
        <is>
          <t>(A) Depth upto 0.5 M</t>
        </is>
      </c>
      <c r="C70" t="n">
        <v>6</v>
      </c>
      <c r="D70" t="inlineStr">
        <is>
          <t>x'.</t>
        </is>
      </c>
      <c r="E70" t="n">
        <v>1</v>
      </c>
      <c r="J70">
        <f>IF(K70,"=","")</f>
        <v/>
      </c>
      <c r="K70">
        <f>C70*E70</f>
        <v/>
      </c>
      <c r="L70" t="inlineStr">
        <is>
          <t>Nos.</t>
        </is>
      </c>
    </row>
    <row r="71">
      <c r="B71" t="inlineStr">
        <is>
          <t>(B) Depth 0.5 M to 1.0 M</t>
        </is>
      </c>
      <c r="C71" t="n">
        <v>6</v>
      </c>
      <c r="D71" t="inlineStr">
        <is>
          <t>x</t>
        </is>
      </c>
      <c r="E71" t="n">
        <v>1</v>
      </c>
      <c r="J71">
        <f>IF(K71,"=","")</f>
        <v/>
      </c>
      <c r="K71">
        <f>C71*E71</f>
        <v/>
      </c>
      <c r="L71" t="inlineStr">
        <is>
          <t>Nos.</t>
        </is>
      </c>
    </row>
    <row r="72">
      <c r="A72">
        <f>IF(A69,A69+1,#REF!+1)</f>
        <v/>
      </c>
      <c r="B72" t="inlineStr">
        <is>
          <t>S &amp; F C.I. cover with frame, C.I. gratings for chambers &amp; man holes.</t>
        </is>
      </c>
      <c r="C72" t="n">
        <v>12</v>
      </c>
      <c r="D72" t="inlineStr">
        <is>
          <t>x</t>
        </is>
      </c>
      <c r="E72" t="n">
        <v>25</v>
      </c>
      <c r="J72">
        <f>IF(K72,"=","")</f>
        <v/>
      </c>
      <c r="K72">
        <f>C72*E72</f>
        <v/>
      </c>
      <c r="L72" t="inlineStr">
        <is>
          <t>Kg.</t>
        </is>
      </c>
    </row>
    <row r="73">
      <c r="J73">
        <f>IF(K73,"=","")</f>
        <v/>
      </c>
    </row>
    <row r="74">
      <c r="A74">
        <f>A72+1</f>
        <v/>
      </c>
      <c r="B74" t="inlineStr">
        <is>
          <t>Providing laying and jointing glazed SW pipes Grade `A’ (IS : 651 marked) of approved make with spun yarn &amp; stiff mixture of cement mortar 1:1 excavation and refilling of earth in all types of soil upto 1.2m depth, SW fittings, including testing of joints etc. complete 100 mm dia.</t>
        </is>
      </c>
      <c r="J74">
        <f>IF(K74,"=","")</f>
        <v/>
      </c>
    </row>
    <row r="75">
      <c r="B75" t="inlineStr">
        <is>
          <t>Horizontal External</t>
        </is>
      </c>
      <c r="J75">
        <f>IF(K75,"=","")</f>
        <v/>
      </c>
    </row>
    <row r="76">
      <c r="B76" t="inlineStr">
        <is>
          <t>Left Line</t>
        </is>
      </c>
      <c r="C76" t="n">
        <v>2</v>
      </c>
      <c r="D76" t="inlineStr">
        <is>
          <t>x</t>
        </is>
      </c>
      <c r="E76" t="n">
        <v>85</v>
      </c>
      <c r="J76">
        <f>IF(K76,"=","")</f>
        <v/>
      </c>
      <c r="K76">
        <f>C76*E76</f>
        <v/>
      </c>
      <c r="L76" t="inlineStr">
        <is>
          <t>RM</t>
        </is>
      </c>
    </row>
    <row r="77">
      <c r="B77" t="inlineStr">
        <is>
          <t>Back Line</t>
        </is>
      </c>
      <c r="C77" t="n">
        <v>1</v>
      </c>
      <c r="D77" t="inlineStr">
        <is>
          <t>x</t>
        </is>
      </c>
      <c r="E77" t="n">
        <v>55</v>
      </c>
      <c r="J77">
        <f>IF(K77,"=","")</f>
        <v/>
      </c>
      <c r="K77">
        <f>C77*E77</f>
        <v/>
      </c>
      <c r="L77" t="inlineStr">
        <is>
          <t>RM</t>
        </is>
      </c>
    </row>
    <row r="78">
      <c r="B78" t="inlineStr">
        <is>
          <t>To ST</t>
        </is>
      </c>
      <c r="C78" t="n">
        <v>1</v>
      </c>
      <c r="D78" t="inlineStr">
        <is>
          <t>x</t>
        </is>
      </c>
      <c r="E78" t="n">
        <v>18</v>
      </c>
      <c r="J78">
        <f>IF(K78,"=","")</f>
        <v/>
      </c>
      <c r="K78">
        <f>C78*E78</f>
        <v/>
      </c>
      <c r="L78" t="inlineStr">
        <is>
          <t>RM</t>
        </is>
      </c>
    </row>
    <row r="79">
      <c r="H79" t="inlineStr">
        <is>
          <t xml:space="preserve">Total </t>
        </is>
      </c>
      <c r="J79">
        <f>IF(K79,"=","")</f>
        <v/>
      </c>
      <c r="K79">
        <f>SUM(K76:K78)</f>
        <v/>
      </c>
      <c r="L79" t="inlineStr">
        <is>
          <t>RM</t>
        </is>
      </c>
    </row>
    <row r="80">
      <c r="A80">
        <f>A74+1</f>
        <v/>
      </c>
      <c r="B80" t="inlineStr">
        <is>
          <t>Providing &amp; laying CC 1 : 5 : 10 (stone aggregate 40 nominal size) all around SW pipe incl. 15cm thick bed concrete as per Rajasthan PWD specifications (width W=dia of pipe in cm + 40 cm ). 100mm dia SW pipe</t>
        </is>
      </c>
      <c r="J80">
        <f>IF(K80,"=","")</f>
        <v/>
      </c>
      <c r="K80">
        <f>K79</f>
        <v/>
      </c>
      <c r="L80" t="inlineStr">
        <is>
          <t>RM</t>
        </is>
      </c>
    </row>
    <row r="81">
      <c r="A81">
        <f>A80+1</f>
        <v/>
      </c>
      <c r="B81" t="inlineStr">
        <is>
          <t>P &amp; F square mouth gully trap `A’  grade (IS : marked) of approved make complete with CI grating frame &amp; cover, masonry chamber is CM 1:6, 100 mm thick CC 1:5:10 base concrete 40 mm thick CC M-15 grade coping, 12 mm thick cement plaster in CM 1:3 complete as per approved design and type: Trap size 150 x 100 mm, 7.20 Kg C.I. cover with frame . Internal chamber size 300 x 300 mm</t>
        </is>
      </c>
      <c r="C81" t="n">
        <v>5</v>
      </c>
      <c r="D81" t="inlineStr">
        <is>
          <t>x</t>
        </is>
      </c>
      <c r="E81" t="n">
        <v>1</v>
      </c>
      <c r="J81">
        <f>IF(K81,"=","")</f>
        <v/>
      </c>
      <c r="K81">
        <f>C81*E81</f>
        <v/>
      </c>
      <c r="L81" t="inlineStr">
        <is>
          <t>Nos.</t>
        </is>
      </c>
    </row>
    <row r="82">
      <c r="J82">
        <f>IF(K82,"=","")</f>
        <v/>
      </c>
    </row>
    <row r="83">
      <c r="A83" t="n">
        <v>22</v>
      </c>
      <c r="B83" t="inlineStr">
        <is>
          <t>P &amp; F 15 mm dia. Connection pipe of approved quality / make: PVC pipe 450 mm</t>
        </is>
      </c>
      <c r="C83" t="n">
        <v>11</v>
      </c>
      <c r="D83" t="inlineStr">
        <is>
          <t>x</t>
        </is>
      </c>
      <c r="E83" t="n">
        <v>1</v>
      </c>
      <c r="J83">
        <f>IF(K83,"=","")</f>
        <v/>
      </c>
      <c r="K83">
        <f>C83*E83</f>
        <v/>
      </c>
      <c r="L83" t="inlineStr">
        <is>
          <t>Nos.</t>
        </is>
      </c>
    </row>
    <row r="84"/>
    <row r="85">
      <c r="B85" t="inlineStr">
        <is>
          <t>ASSISTANT ENGINEER,</t>
        </is>
      </c>
      <c r="K85" t="inlineStr">
        <is>
          <t>EXECUTIVE  ENGINEER,</t>
        </is>
      </c>
    </row>
    <row r="86">
      <c r="B86" t="inlineStr">
        <is>
          <t>P.W.D. Sub Div.- NATHDWARA</t>
        </is>
      </c>
      <c r="K86" t="inlineStr">
        <is>
          <t>P.W.D. Div.- RAJSAMAND</t>
        </is>
      </c>
    </row>
    <row r="87"/>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2025-11-08T15:46:52Z</dcterms:created>
  <dcterms:modified xmlns:dcterms="http://purl.org/dc/terms/" xmlns:xsi="http://www.w3.org/2001/XMLSchema-instance" xsi:type="dcterms:W3CDTF">2025-11-08T15:46:52Z</dcterms:modified>
</cp:coreProperties>
</file>