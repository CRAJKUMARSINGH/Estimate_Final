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BUILDING PROJECTS\PANKAJ PATIDDAR\"/>
    </mc:Choice>
  </mc:AlternateContent>
  <bookViews>
    <workbookView visibility="hidden" xWindow="-15" yWindow="1680" windowWidth="9570" windowHeight="3105" tabRatio="880" firstSheet="2" activeTab="2"/>
    <workbookView visibility="hidden" xWindow="0" yWindow="210" windowWidth="9720" windowHeight="6345" tabRatio="922"/>
    <workbookView xWindow="-15" yWindow="-15" windowWidth="4770" windowHeight="4800" tabRatio="722" activeTab="2"/>
  </bookViews>
  <sheets>
    <sheet name="gen-abstract" sheetId="21" r:id="rId1"/>
    <sheet name="GF1_ABS" sheetId="5" r:id="rId2"/>
    <sheet name="GF1_MES" sheetId="6" r:id="rId3"/>
  </sheets>
  <definedNames>
    <definedName name="_xlnm.Print_Titles" localSheetId="1">GF1_ABS!$5:$5</definedName>
    <definedName name="_xlnm.Print_Titles" localSheetId="2">GF1_MES!$5:$5</definedName>
  </definedNames>
  <calcPr calcId="152511"/>
</workbook>
</file>

<file path=xl/calcChain.xml><?xml version="1.0" encoding="utf-8"?>
<calcChain xmlns="http://schemas.openxmlformats.org/spreadsheetml/2006/main">
  <c r="E47" i="6" l="1"/>
  <c r="K47" i="6"/>
  <c r="E46" i="6"/>
  <c r="K46" i="6"/>
  <c r="K53" i="6"/>
  <c r="E10" i="6" l="1"/>
  <c r="C137" i="6" l="1"/>
  <c r="E75" i="6"/>
  <c r="E74" i="6"/>
  <c r="G110" i="6"/>
  <c r="E110" i="6"/>
  <c r="K110" i="6" s="1"/>
  <c r="B108" i="6"/>
  <c r="E9" i="5"/>
  <c r="K111" i="6" l="1"/>
  <c r="C20" i="5" s="1"/>
  <c r="E133" i="6" l="1"/>
  <c r="E113" i="6"/>
  <c r="E105" i="6"/>
  <c r="E84" i="6"/>
  <c r="K84" i="6" s="1"/>
  <c r="E83" i="6"/>
  <c r="K83" i="6" s="1"/>
  <c r="C79" i="6"/>
  <c r="K79" i="6" s="1"/>
  <c r="C78" i="6"/>
  <c r="K78" i="6" s="1"/>
  <c r="K75" i="6"/>
  <c r="K51" i="6"/>
  <c r="C28" i="6"/>
  <c r="K28" i="6" s="1"/>
  <c r="G21" i="6"/>
  <c r="G25" i="6" s="1"/>
  <c r="E21" i="6"/>
  <c r="K14" i="6"/>
  <c r="G20" i="5"/>
  <c r="A1" i="5"/>
  <c r="A24" i="5"/>
  <c r="A1" i="6"/>
  <c r="K9" i="6"/>
  <c r="K10" i="6"/>
  <c r="K17" i="6"/>
  <c r="K64" i="6"/>
  <c r="K65" i="6"/>
  <c r="C91" i="6"/>
  <c r="K91" i="6" s="1"/>
  <c r="A94" i="6"/>
  <c r="A98" i="6" s="1"/>
  <c r="A102" i="6" s="1"/>
  <c r="C95" i="6"/>
  <c r="C99" i="6" s="1"/>
  <c r="K99" i="6" s="1"/>
  <c r="E95" i="6"/>
  <c r="A120" i="6"/>
  <c r="A124" i="6" s="1"/>
  <c r="A129" i="6" s="1"/>
  <c r="G115" i="6"/>
  <c r="G133" i="6" l="1"/>
  <c r="K133" i="6" s="1"/>
  <c r="G105" i="6"/>
  <c r="K105" i="6" s="1"/>
  <c r="K106" i="6" s="1"/>
  <c r="C19" i="5" s="1"/>
  <c r="G19" i="5" s="1"/>
  <c r="C113" i="6"/>
  <c r="K113" i="6" s="1"/>
  <c r="K114" i="6" s="1"/>
  <c r="C125" i="6" s="1"/>
  <c r="K125" i="6" s="1"/>
  <c r="K100" i="6"/>
  <c r="K92" i="6"/>
  <c r="E93" i="6" s="1"/>
  <c r="K93" i="6" s="1"/>
  <c r="C37" i="6"/>
  <c r="C44" i="6" s="1"/>
  <c r="K21" i="6"/>
  <c r="K22" i="6" s="1"/>
  <c r="C6" i="5" s="1"/>
  <c r="G6" i="5" s="1"/>
  <c r="E25" i="6"/>
  <c r="K25" i="6" s="1"/>
  <c r="E31" i="6" s="1"/>
  <c r="K95" i="6"/>
  <c r="K11" i="6"/>
  <c r="K18" i="6"/>
  <c r="K29" i="6"/>
  <c r="G31" i="6" s="1"/>
  <c r="K52" i="6"/>
  <c r="K54" i="6" s="1"/>
  <c r="C10" i="5" s="1"/>
  <c r="G10" i="5" s="1"/>
  <c r="K85" i="6"/>
  <c r="D86" i="6" s="1"/>
  <c r="K15" i="6"/>
  <c r="E61" i="6" l="1"/>
  <c r="E70" i="6" s="1"/>
  <c r="K70" i="6" s="1"/>
  <c r="K71" i="6" s="1"/>
  <c r="E48" i="6"/>
  <c r="K48" i="6" s="1"/>
  <c r="K44" i="6"/>
  <c r="C45" i="6"/>
  <c r="K45" i="6" s="1"/>
  <c r="C18" i="5"/>
  <c r="G18" i="5" s="1"/>
  <c r="C15" i="5"/>
  <c r="G15" i="5" s="1"/>
  <c r="K134" i="6"/>
  <c r="C25" i="5"/>
  <c r="K37" i="6"/>
  <c r="C41" i="6"/>
  <c r="K41" i="6" s="1"/>
  <c r="K49" i="6" s="1"/>
  <c r="K96" i="6"/>
  <c r="K31" i="6"/>
  <c r="E121" i="6"/>
  <c r="K121" i="6"/>
  <c r="K122" i="6" s="1"/>
  <c r="C22" i="5" s="1"/>
  <c r="G22" i="5" s="1"/>
  <c r="K74" i="6"/>
  <c r="K76" i="6" s="1"/>
  <c r="D81" i="6" s="1"/>
  <c r="E66" i="6" l="1"/>
  <c r="K66" i="6" s="1"/>
  <c r="K67" i="6" s="1"/>
  <c r="G68" i="6" s="1"/>
  <c r="K68" i="6" s="1"/>
  <c r="C12" i="5" s="1"/>
  <c r="C13" i="5"/>
  <c r="G13" i="5" s="1"/>
  <c r="K61" i="6"/>
  <c r="K62" i="6" s="1"/>
  <c r="E68" i="6" s="1"/>
  <c r="C57" i="6"/>
  <c r="K57" i="6" s="1"/>
  <c r="C126" i="6"/>
  <c r="K126" i="6" s="1"/>
  <c r="K127" i="6" s="1"/>
  <c r="K130" i="6" s="1"/>
  <c r="C24" i="5" s="1"/>
  <c r="G24" i="5" s="1"/>
  <c r="C16" i="5"/>
  <c r="G16" i="5" s="1"/>
  <c r="C26" i="5"/>
  <c r="G26" i="5" s="1"/>
  <c r="G25" i="5"/>
  <c r="K38" i="6"/>
  <c r="C8" i="5" s="1"/>
  <c r="G8" i="5" s="1"/>
  <c r="K86" i="6"/>
  <c r="G88" i="6" s="1"/>
  <c r="C42" i="6"/>
  <c r="C56" i="6" s="1"/>
  <c r="K56" i="6" s="1"/>
  <c r="C9" i="5"/>
  <c r="G9" i="5" s="1"/>
  <c r="C103" i="6"/>
  <c r="K103" i="6" s="1"/>
  <c r="E33" i="6"/>
  <c r="K33" i="6" s="1"/>
  <c r="K34" i="6" s="1"/>
  <c r="C7" i="5" s="1"/>
  <c r="G7" i="5" s="1"/>
  <c r="K58" i="6" l="1"/>
  <c r="C11" i="5" s="1"/>
  <c r="G11" i="5" s="1"/>
  <c r="C23" i="5"/>
  <c r="G23" i="5" s="1"/>
  <c r="C17" i="5"/>
  <c r="G17" i="5" s="1"/>
  <c r="G12" i="5"/>
  <c r="K80" i="6"/>
  <c r="G81" i="6" s="1"/>
  <c r="K81" i="6" s="1"/>
  <c r="E88" i="6" l="1"/>
  <c r="K88" i="6" s="1"/>
  <c r="C14" i="5" s="1"/>
  <c r="G14" i="5" s="1"/>
  <c r="K117" i="6"/>
  <c r="K118" i="6" s="1"/>
  <c r="C21" i="5" s="1"/>
  <c r="G21" i="5" s="1"/>
  <c r="G27" i="5" l="1"/>
  <c r="G6" i="21" s="1"/>
  <c r="D13" i="21" l="1"/>
  <c r="G13" i="21" s="1"/>
  <c r="G8" i="21"/>
  <c r="G10" i="21" s="1"/>
  <c r="G14" i="21" l="1"/>
  <c r="G16" i="21" s="1"/>
</calcChain>
</file>

<file path=xl/sharedStrings.xml><?xml version="1.0" encoding="utf-8"?>
<sst xmlns="http://schemas.openxmlformats.org/spreadsheetml/2006/main" count="436" uniqueCount="130">
  <si>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Partly Openable)</t>
  </si>
  <si>
    <t>CHARTERED   ENGINEER,</t>
  </si>
  <si>
    <t>PARAPET WALL 230 MM</t>
  </si>
  <si>
    <t>Brick work in superstructure upto 4.5 metre height  above plinth level Cement Mortar 1:6 with bricks are class designation 75.</t>
  </si>
  <si>
    <t>@ 4.15 Kg/m</t>
  </si>
  <si>
    <t>Columns C1</t>
  </si>
  <si>
    <t>Columns</t>
  </si>
  <si>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</si>
  <si>
    <t>White washing with lime to give an even shade including all scaffolding: New work (two or more coats).</t>
  </si>
  <si>
    <t>GENERAL ABSTRACT OF COST</t>
  </si>
  <si>
    <t>Rs.</t>
  </si>
  <si>
    <t>TOTAL Rs.</t>
  </si>
  <si>
    <t>i.e. on Rs.</t>
  </si>
  <si>
    <t>SAY Rs.</t>
  </si>
  <si>
    <t>ABSTRACT OF COST</t>
  </si>
  <si>
    <t>S.No.</t>
  </si>
  <si>
    <t>Particulars.</t>
  </si>
  <si>
    <t xml:space="preserve">Quantity </t>
  </si>
  <si>
    <t>Rate</t>
  </si>
  <si>
    <t>Unit</t>
  </si>
  <si>
    <t>Amount</t>
  </si>
  <si>
    <t>Cum</t>
  </si>
  <si>
    <t>P Cum</t>
  </si>
  <si>
    <t>Sqm</t>
  </si>
  <si>
    <t>P Sqm</t>
  </si>
  <si>
    <t>Kg</t>
  </si>
  <si>
    <t>P Kg</t>
  </si>
  <si>
    <t>Providing and fixing square bars or other flat welded to window, ventilators etc.</t>
  </si>
  <si>
    <t>Supplying and fixing wire gauge of 14 mesh x 24 gauge to the metal frame of rolled section by metal beading 20 x 3 mm with suitable screw at not exceeding 150 mm distance.</t>
  </si>
  <si>
    <t/>
  </si>
  <si>
    <t>RM</t>
  </si>
  <si>
    <t>Painting with enamel paint of approved brand and manufacture to give an even shade two or more coats on new work.</t>
  </si>
  <si>
    <t xml:space="preserve">Total </t>
  </si>
  <si>
    <t>DETAILS OF MEASUREMENTS</t>
  </si>
  <si>
    <t>S.N.</t>
  </si>
  <si>
    <t>Particulars</t>
  </si>
  <si>
    <t>Nos.</t>
  </si>
  <si>
    <t>Length</t>
  </si>
  <si>
    <t xml:space="preserve">Breadth </t>
  </si>
  <si>
    <t>Height</t>
  </si>
  <si>
    <t>Qty.</t>
  </si>
  <si>
    <t>Units</t>
  </si>
  <si>
    <t>x</t>
  </si>
  <si>
    <t>=</t>
  </si>
  <si>
    <t>Total</t>
  </si>
  <si>
    <t>-</t>
  </si>
  <si>
    <t>Gross Qty.</t>
  </si>
  <si>
    <t>+</t>
  </si>
  <si>
    <t>Deductions</t>
  </si>
  <si>
    <t xml:space="preserve">Lintels </t>
  </si>
  <si>
    <t>Total Deductions</t>
  </si>
  <si>
    <t>External plaster</t>
  </si>
  <si>
    <t>Total qty. of  Plaster</t>
  </si>
  <si>
    <t>Cum @</t>
  </si>
  <si>
    <t>Kg/Cum</t>
  </si>
  <si>
    <t>x(</t>
  </si>
  <si>
    <t>)=</t>
  </si>
  <si>
    <t>@ 1.13 Kg/m</t>
  </si>
  <si>
    <t>Qty. of Internal Plaster</t>
  </si>
  <si>
    <t>Qty. of External Plaster</t>
  </si>
  <si>
    <t>@</t>
  </si>
  <si>
    <t>Double Leaf door shutters</t>
  </si>
  <si>
    <t>Windows</t>
  </si>
  <si>
    <t xml:space="preserve">Qty. of priming </t>
  </si>
  <si>
    <t>GRAND TOTAL Rs.</t>
  </si>
  <si>
    <t>TOTAL</t>
  </si>
  <si>
    <t>Applying priming coat with ready mix pink or Grey primer of approved brand and manufacture on wood work hard and soft wood.</t>
  </si>
  <si>
    <t>Center to center distances</t>
  </si>
  <si>
    <t>Plaster on new surface on walls in cement sand mortar 1:6 including raking of joints etc. complete fine finished : 20 mm thick.</t>
  </si>
  <si>
    <t>Colour  washing of all shades to give an even shade including all scaffolding: New work (two or more coats) with a base coat of white washing with lime.</t>
  </si>
  <si>
    <t>D1</t>
  </si>
  <si>
    <t>W1</t>
  </si>
  <si>
    <t>GROUND FLOOR  INSIDE PLASTER</t>
  </si>
  <si>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</si>
  <si>
    <t>Main Walls</t>
  </si>
  <si>
    <t>Net qty. of External Plaster in FF</t>
  </si>
  <si>
    <t>= +</t>
  </si>
  <si>
    <t>Gross qty. of External Plaster (+)</t>
  </si>
  <si>
    <t>Qty.  10% of total windows area</t>
  </si>
  <si>
    <t>Lacs.</t>
  </si>
  <si>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within a lead of 50 meter.  All kinds of soil.</t>
  </si>
  <si>
    <t>Filling available excavated earth (excluding rock) in trenches, plinth side of foundation etc. in layers not exceeding 20 cm. in depth , consolidating  each deposited layer by ramming and watering including lead upto 50Mtr. and lift upto 1.5Mtr.</t>
  </si>
  <si>
    <t>Providing and laying in position cement concrete including curing compaction etc. of specified grade excluding the cost of centering and shuttering =All up to plinth leve 1:4:8 (1Cement :4 Coarse  Sand :8 Graded stone aggregate 40 mm nominal size</t>
  </si>
  <si>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</si>
  <si>
    <t>Centering and shuttering with plywood or steel sheets including strutting, propping, bracing both ways and removal of formwork for foundations in basements rafts, footings, strap beams, bases of columns , etc. up to plinth level.</t>
  </si>
  <si>
    <t>Providing and fabricating reinforcement for R.C.C. work including straightening, cutting, bending, placing in position and binding (including cost of binding wire) all complete up to floor three level. Tremo Mechanically treated bars</t>
  </si>
  <si>
    <t>Random Rubble stone masonry for foundation and plinth in Cement Sand mortar above 30CM thick wall in: Cement Mortar 1:6 ( 1-Cement : 6-Sand).</t>
  </si>
  <si>
    <t>Providing &amp; fixing steel glazed doors, windows and ventilators shutters of standred rolled steel section joint mitred and welded with steel 13x3mm lugs 10 Cm. long embedded in cement concrete blocks 15x10x10 Cm. of 1:3:6 (1-Cement:3-coarse sand:6-graded stone aggregate 20 mm nominal size) or with wooden plugs and screws or rawl plugs and screws or with fixing clips or with bolts and nuts as required, including providing and fixing of plain glass panes 4mm thick with copper glazing clips and special metal-sash putty of approved make, or metal beading with screws complete including priming coat of approved steel primer, excluding the cost of metal beading and other fittings except necessary hinges of pivots steel handles and peg stay etc. as required. Patially fixed and partially openable fixed area not exceed 33%</t>
  </si>
  <si>
    <t>Supplying and fixing fixed wire gauge of 14 mesh x 24 gauge to the metal frame of rolled section by metal beading 20x3mm with suitable screw at not exceeding 150 mm distance.</t>
  </si>
  <si>
    <t>Providing and fixing Square bars or other flat welded to window, ventilators etc.</t>
  </si>
  <si>
    <t>Polished Blue Kota Stone flooring skirting, laid over 20 mm thick base of C.M. 1:4 and jointed with grey cement slurry to match the shade of the slab including rubbing and polishing complete : For area of each slab up to 2001 to 5000  Sq. Cm : (A) 25 mm thick slab.</t>
  </si>
  <si>
    <t>Random rubble dry stone Kharanja under floor.</t>
  </si>
  <si>
    <t xml:space="preserve">Ground Floor </t>
  </si>
  <si>
    <t>Back Side</t>
  </si>
  <si>
    <t xml:space="preserve"> Main walls 230 mm th. in x and Y Direction</t>
  </si>
  <si>
    <r>
      <t xml:space="preserve">PART 'A' </t>
    </r>
    <r>
      <rPr>
        <sz val="11"/>
        <rFont val="Arial"/>
        <family val="2"/>
      </rPr>
      <t xml:space="preserve"> CIVIL WORK FIRST  FLOOR </t>
    </r>
  </si>
  <si>
    <r>
      <t xml:space="preserve">Centering &amp; shuttering with plywood or steel sheets including strutting propping, bracing both ways with wooden members and removal of form work for superstructure upto 4.5 Mtr. height above plinth level </t>
    </r>
    <r>
      <rPr>
        <b/>
        <sz val="11"/>
        <rFont val="Arial"/>
        <family val="2"/>
      </rPr>
      <t>(A) For Columns, Pillars, Posts and Struts etc.</t>
    </r>
  </si>
  <si>
    <t xml:space="preserve"> Brick Partition walls in X and Y Direction</t>
  </si>
  <si>
    <t>Average Width (49.83+18.44)/2=34.14</t>
  </si>
  <si>
    <t xml:space="preserve">Area of Open Excavation </t>
  </si>
  <si>
    <t>Footing Area</t>
  </si>
  <si>
    <t>Net earth Filling Area</t>
  </si>
  <si>
    <t>Qty. in Filling</t>
  </si>
  <si>
    <t>C1</t>
  </si>
  <si>
    <t>FOOTING</t>
  </si>
  <si>
    <t>Total Qty.</t>
  </si>
  <si>
    <t xml:space="preserve">TOTAL QTY IN FOOTING </t>
  </si>
  <si>
    <t>COLUMNS</t>
  </si>
  <si>
    <t>F1</t>
  </si>
  <si>
    <t>Footings</t>
  </si>
  <si>
    <t>Supply and installation of Multi Rib Proofing/cladding Sheet Manufacture out of  0.50mm TCT (Total Coated Thickness) high tensile Zinc aluminum alloy coated galvalume steel (as per 150gsm zinc aluminum coated 550Mpa tuekd strength) confirming to IS: 1397/astm A-792 sheet to have wide pens 30mm high NB at 250 centre and centre width of 1020mm sheets be casted with regular modified polyster system on a continuous with line on centre for face and with a polyster coating respectively sheet shall have proportionality with siphoned plate made to prevent leakage sheet shall be fixed by more of sell drilling lift tapping hot dip zinc coated hox head fasterner of size 12x14x55mm long. The sheet shall be supplied in cost one length and for a minimum up to 12mts with all scaffolding.</t>
  </si>
  <si>
    <t>Add extra for 0.60mm TCT (Total Coated Thickness) high tensile Zinc aluminum alloy coated galvalume steel sheet in place of 0.50mm thick</t>
  </si>
  <si>
    <t>Footing</t>
  </si>
  <si>
    <t>Net qty. of Internal Plaster in GF</t>
  </si>
  <si>
    <t>Hall</t>
  </si>
  <si>
    <t xml:space="preserve">PART 'A'  CIVIL WORK GROUND FLOOR </t>
  </si>
  <si>
    <t>PART 'B'  ELECTRIC  WORK @ 12% OF Civil Work</t>
  </si>
  <si>
    <t>RKS TECHNO-LEGAL CONSULTANTS, UDAIPUR</t>
  </si>
  <si>
    <t xml:space="preserve">Net qty. </t>
  </si>
  <si>
    <t>Walls in X AND Y direction</t>
  </si>
  <si>
    <t xml:space="preserve">PART 'A'  CIVIL WORK BASEMENT, GROUND FLOOR </t>
  </si>
  <si>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</si>
  <si>
    <t xml:space="preserve">Earth work in excavation by mechanical means (Hydraulic Excavator )/ manual means in foundation trenches or drains (not exceeding 1.5 m in width or 10 sqm on plan) including dressing of sides and ramming of bottoms, lift upto 1.5 m, including taking out the excavated soil and depositing and refilling of jhiri with watering &amp; ramming and disposal of surplus excavated soil as directed with in a lead of 50 meter. All kinds of soils </t>
  </si>
  <si>
    <t>Brick work with F.P.S. bricks of class designation 75 in superstructure above plinth level upto floor V level in all shapes and sizes in :  : Cement mortar 1 : 6 (1 cement : 6 coarse sand)</t>
  </si>
  <si>
    <t>Random Rubble stone masonry for foundation and plinth in Cement Sand mortar above 30 CM thick wall in: Cement Mortar 1:6 ( 1-Cement : 6-Sand).</t>
  </si>
  <si>
    <t>Add @ 2 % for Electric Fixtures On Civil Work Part 'A'</t>
  </si>
  <si>
    <t>NAME OF WORK :- Construction of Hall with Dome Roof at Arthuna   [SIZE 20 M X 30 M]</t>
  </si>
  <si>
    <t>Sheet Support Block 0.36 Sqm X-Sec</t>
  </si>
  <si>
    <t>PLINTH BEAM</t>
  </si>
  <si>
    <t>LINTEL</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</si>
</sst>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2"/>
      <name val="Arial"/>
    </font>
    <font>
      <b/>
      <sz val="12"/>
      <name val="Arial"/>
      <family val="2"/>
    </font>
    <font>
      <sz val="12"/>
      <name val="Arial"/>
      <family val="2"/>
    </font>
    <font>
      <sz val="12"/>
      <name val="Arial"/>
      <family val="2"/>
    </font>
    <font>
      <sz val="14"/>
      <name val="Arial"/>
      <family val="2"/>
    </font>
    <font>
      <sz val="10"/>
      <name val="Arial"/>
      <family val="2"/>
    </font>
    <font>
      <b/>
      <sz val="12"/>
      <name val="Arial"/>
      <family val="2"/>
    </font>
    <font>
      <sz val="11"/>
      <name val="Arial"/>
      <family val="2"/>
    </font>
    <font>
      <b/>
      <sz val="11"/>
      <name val="Arial"/>
      <family val="2"/>
    </font>
    <font>
      <b/>
      <i/>
      <u/>
      <sz val="11"/>
      <name val="Arial"/>
      <family val="2"/>
    </font>
    <font>
      <b/>
      <u/>
      <sz val="11"/>
      <name val="Arial"/>
      <family val="2"/>
    </font>
    <font>
      <i/>
      <u/>
      <sz val="1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1">
    <xf numFmtId="0" fontId="0" fillId="0" borderId="0" xfId="0"/>
    <xf numFmtId="0" fontId="0" fillId="0" borderId="0" xfId="0" applyAlignment="1">
      <alignment horizontal="centerContinuous"/>
    </xf>
    <xf numFmtId="2" fontId="0" fillId="0" borderId="0" xfId="0" applyNumberFormat="1"/>
    <xf numFmtId="0" fontId="0" fillId="0" borderId="0" xfId="0" quotePrefix="1" applyAlignment="1">
      <alignment horizontal="left"/>
    </xf>
    <xf numFmtId="2" fontId="0" fillId="0" borderId="1" xfId="0" applyNumberFormat="1" applyBorder="1"/>
    <xf numFmtId="0" fontId="0" fillId="0" borderId="0" xfId="0" applyBorder="1"/>
    <xf numFmtId="0" fontId="3" fillId="0" borderId="0" xfId="0" applyFont="1"/>
    <xf numFmtId="0" fontId="3" fillId="0" borderId="0" xfId="0" applyFont="1" applyAlignment="1">
      <alignment horizontal="centerContinuous"/>
    </xf>
    <xf numFmtId="2" fontId="3" fillId="0" borderId="0" xfId="0" applyNumberFormat="1" applyFont="1" applyAlignment="1">
      <alignment horizontal="centerContinuous"/>
    </xf>
    <xf numFmtId="0" fontId="1" fillId="0" borderId="0" xfId="0" applyFont="1" applyAlignment="1">
      <alignment horizontal="centerContinuous"/>
    </xf>
    <xf numFmtId="0" fontId="3" fillId="0" borderId="0" xfId="0" quotePrefix="1" applyFont="1" applyAlignment="1">
      <alignment horizontal="left" vertical="top" wrapText="1"/>
    </xf>
    <xf numFmtId="0" fontId="3" fillId="0" borderId="0" xfId="0" quotePrefix="1" applyFont="1" applyAlignment="1">
      <alignment horizontal="centerContinuous" vertical="top"/>
    </xf>
    <xf numFmtId="2" fontId="0" fillId="0" borderId="0" xfId="0" applyNumberFormat="1" applyAlignment="1">
      <alignment horizontal="left"/>
    </xf>
    <xf numFmtId="2" fontId="0" fillId="0" borderId="0" xfId="0" applyNumberFormat="1" applyAlignment="1">
      <alignment horizontal="centerContinuous"/>
    </xf>
    <xf numFmtId="0" fontId="3" fillId="0" borderId="0" xfId="0" quotePrefix="1" applyFont="1" applyAlignment="1">
      <alignment horizontal="left" vertical="top"/>
    </xf>
    <xf numFmtId="0" fontId="4" fillId="0" borderId="0" xfId="0" applyFont="1" applyAlignment="1">
      <alignment horizontal="centerContinuous" vertical="top" wrapText="1"/>
    </xf>
    <xf numFmtId="2" fontId="6" fillId="0" borderId="0" xfId="0" applyNumberFormat="1" applyFont="1" applyAlignment="1">
      <alignment horizontal="left"/>
    </xf>
    <xf numFmtId="0" fontId="3" fillId="0" borderId="0" xfId="0" applyFont="1" applyAlignment="1">
      <alignment horizontal="left" vertical="top" wrapText="1"/>
    </xf>
    <xf numFmtId="0" fontId="6" fillId="0" borderId="0" xfId="0" applyFont="1" applyAlignment="1">
      <alignment vertical="top"/>
    </xf>
    <xf numFmtId="0" fontId="0" fillId="0" borderId="0" xfId="0" quotePrefix="1" applyAlignment="1">
      <alignment horizontal="center"/>
    </xf>
    <xf numFmtId="0" fontId="6" fillId="0" borderId="0" xfId="0" quotePrefix="1" applyFont="1" applyAlignment="1">
      <alignment horizontal="left" vertical="top"/>
    </xf>
    <xf numFmtId="0" fontId="0" fillId="0" borderId="0" xfId="0" applyAlignment="1">
      <alignment horizontal="right"/>
    </xf>
    <xf numFmtId="1" fontId="3" fillId="0" borderId="1" xfId="0" applyNumberFormat="1" applyFont="1" applyBorder="1" applyAlignment="1">
      <alignment horizontal="right"/>
    </xf>
    <xf numFmtId="0" fontId="3" fillId="0" borderId="0" xfId="0" applyFont="1" applyBorder="1" applyAlignment="1">
      <alignment horizontal="left" vertical="top" wrapText="1"/>
    </xf>
    <xf numFmtId="0" fontId="0" fillId="0" borderId="0" xfId="0" applyBorder="1" applyAlignment="1">
      <alignment horizontal="centerContinuous"/>
    </xf>
    <xf numFmtId="2" fontId="6" fillId="0" borderId="0" xfId="0" applyNumberFormat="1" applyFont="1" applyAlignment="1">
      <alignment horizontal="right"/>
    </xf>
    <xf numFmtId="0" fontId="3" fillId="0" borderId="0" xfId="0" applyFont="1" applyAlignment="1"/>
    <xf numFmtId="2" fontId="3" fillId="0" borderId="0" xfId="0" applyNumberFormat="1" applyFont="1" applyBorder="1" applyAlignment="1">
      <alignment horizontal="right" vertical="top" wrapText="1"/>
    </xf>
    <xf numFmtId="2" fontId="0" fillId="0" borderId="2" xfId="0" applyNumberFormat="1" applyBorder="1"/>
    <xf numFmtId="0" fontId="6" fillId="0" borderId="0" xfId="0" applyFont="1" applyAlignment="1"/>
    <xf numFmtId="0" fontId="3" fillId="0" borderId="0" xfId="0" quotePrefix="1" applyFont="1" applyBorder="1" applyAlignment="1">
      <alignment horizontal="left" vertical="top" wrapText="1"/>
    </xf>
    <xf numFmtId="2" fontId="1" fillId="0" borderId="0" xfId="0" applyNumberFormat="1" applyFont="1" applyAlignment="1">
      <alignment horizontal="center"/>
    </xf>
    <xf numFmtId="1" fontId="3" fillId="0" borderId="0" xfId="0" applyNumberFormat="1" applyFont="1" applyAlignment="1">
      <alignment horizontal="right" vertical="top"/>
    </xf>
    <xf numFmtId="2" fontId="3" fillId="0" borderId="0" xfId="0" applyNumberFormat="1" applyFont="1" applyAlignment="1">
      <alignment horizontal="right" vertical="top"/>
    </xf>
    <xf numFmtId="1" fontId="3" fillId="0" borderId="0" xfId="0" applyNumberFormat="1" applyFont="1" applyBorder="1" applyAlignment="1">
      <alignment horizontal="right" vertical="top"/>
    </xf>
    <xf numFmtId="0" fontId="0" fillId="0" borderId="2" xfId="0" applyBorder="1" applyAlignment="1">
      <alignment vertical="top"/>
    </xf>
    <xf numFmtId="2" fontId="0" fillId="0" borderId="2" xfId="0" applyNumberFormat="1" applyBorder="1" applyAlignment="1">
      <alignment vertical="top"/>
    </xf>
    <xf numFmtId="0" fontId="2" fillId="0" borderId="0" xfId="0" applyFont="1" applyAlignment="1">
      <alignment horizontal="left" vertical="top" wrapText="1"/>
    </xf>
    <xf numFmtId="0" fontId="2" fillId="0" borderId="0" xfId="0" quotePrefix="1" applyFont="1" applyAlignment="1">
      <alignment horizontal="left" vertical="top"/>
    </xf>
    <xf numFmtId="0" fontId="7" fillId="0" borderId="0" xfId="0" applyFont="1" applyFill="1" applyBorder="1" applyAlignment="1">
      <alignment horizontal="center" vertical="top"/>
    </xf>
    <xf numFmtId="0" fontId="7" fillId="0" borderId="0" xfId="0" applyFont="1" applyFill="1" applyBorder="1" applyAlignment="1">
      <alignment horizontal="justify" vertical="top" wrapText="1"/>
    </xf>
    <xf numFmtId="0" fontId="7" fillId="0" borderId="0" xfId="0" applyFont="1" applyFill="1" applyBorder="1" applyAlignment="1">
      <alignment vertical="top"/>
    </xf>
    <xf numFmtId="49" fontId="7" fillId="0" borderId="0" xfId="0" applyNumberFormat="1" applyFont="1" applyFill="1" applyBorder="1" applyAlignment="1">
      <alignment horizontal="center" vertical="top"/>
    </xf>
    <xf numFmtId="2" fontId="7" fillId="0" borderId="0" xfId="0" applyNumberFormat="1" applyFont="1" applyFill="1" applyBorder="1" applyAlignment="1">
      <alignment vertical="top"/>
    </xf>
    <xf numFmtId="0" fontId="2" fillId="0" borderId="2" xfId="0" applyFont="1" applyFill="1" applyBorder="1" applyAlignment="1">
      <alignment horizontal="center" vertical="top"/>
    </xf>
    <xf numFmtId="0" fontId="2" fillId="0" borderId="2" xfId="0" applyFont="1" applyFill="1" applyBorder="1" applyAlignment="1">
      <alignment horizontal="center" vertical="top" wrapText="1"/>
    </xf>
    <xf numFmtId="0" fontId="2" fillId="0" borderId="3" xfId="0" applyFont="1" applyFill="1" applyBorder="1" applyAlignment="1">
      <alignment horizontal="center" vertical="top"/>
    </xf>
    <xf numFmtId="0" fontId="2" fillId="0" borderId="3" xfId="0" applyFont="1" applyFill="1" applyBorder="1" applyAlignment="1">
      <alignment horizontal="justify" vertical="top" wrapText="1"/>
    </xf>
    <xf numFmtId="49" fontId="2" fillId="0" borderId="3" xfId="0" applyNumberFormat="1" applyFont="1" applyFill="1" applyBorder="1" applyAlignment="1">
      <alignment horizontal="center" vertical="top"/>
    </xf>
    <xf numFmtId="2" fontId="2" fillId="0" borderId="0" xfId="0" applyNumberFormat="1" applyFont="1" applyFill="1"/>
    <xf numFmtId="0" fontId="2" fillId="0" borderId="0" xfId="0" applyFont="1" applyFill="1"/>
    <xf numFmtId="0" fontId="2" fillId="0" borderId="0" xfId="0" applyFont="1" applyFill="1" applyAlignment="1">
      <alignment horizontal="left" vertical="top"/>
    </xf>
    <xf numFmtId="0" fontId="2" fillId="0" borderId="0" xfId="0" applyFont="1" applyFill="1" applyAlignment="1">
      <alignment horizontal="justify" vertical="top" wrapText="1"/>
    </xf>
    <xf numFmtId="1" fontId="2" fillId="0" borderId="3" xfId="0" applyNumberFormat="1" applyFont="1" applyFill="1" applyBorder="1" applyAlignment="1">
      <alignment horizontal="left" vertical="top"/>
    </xf>
    <xf numFmtId="0" fontId="2" fillId="0" borderId="3" xfId="0" quotePrefix="1" applyFont="1" applyFill="1" applyBorder="1" applyAlignment="1">
      <alignment horizontal="justify" vertical="top" wrapText="1"/>
    </xf>
    <xf numFmtId="0" fontId="2" fillId="0" borderId="3" xfId="0" applyNumberFormat="1" applyFont="1" applyFill="1" applyBorder="1" applyAlignment="1">
      <alignment horizontal="justify" vertical="top" wrapText="1"/>
    </xf>
    <xf numFmtId="0" fontId="2" fillId="0" borderId="0" xfId="0" applyFont="1" applyFill="1" applyBorder="1"/>
    <xf numFmtId="0" fontId="6" fillId="0" borderId="0" xfId="0" applyFont="1" applyFill="1"/>
    <xf numFmtId="2" fontId="2" fillId="0" borderId="0" xfId="0" applyNumberFormat="1" applyFont="1" applyFill="1" applyBorder="1"/>
    <xf numFmtId="0" fontId="6" fillId="0" borderId="0" xfId="0" applyFont="1" applyFill="1" applyAlignment="1">
      <alignment vertical="top"/>
    </xf>
    <xf numFmtId="0" fontId="6" fillId="0" borderId="0" xfId="0" applyFont="1" applyFill="1" applyAlignment="1">
      <alignment horizontal="justify" vertical="top"/>
    </xf>
    <xf numFmtId="0" fontId="2" fillId="0" borderId="0" xfId="0" applyFont="1" applyFill="1" applyAlignment="1">
      <alignment vertical="top"/>
    </xf>
    <xf numFmtId="2" fontId="2" fillId="0" borderId="2" xfId="0" applyNumberFormat="1" applyFont="1" applyFill="1" applyBorder="1" applyAlignment="1">
      <alignment horizontal="center" vertical="top"/>
    </xf>
    <xf numFmtId="1" fontId="2" fillId="0" borderId="2" xfId="0" applyNumberFormat="1" applyFont="1" applyFill="1" applyBorder="1" applyAlignment="1">
      <alignment horizontal="center" vertical="top"/>
    </xf>
    <xf numFmtId="2" fontId="2" fillId="0" borderId="3" xfId="0" applyNumberFormat="1" applyFont="1" applyFill="1" applyBorder="1" applyAlignment="1">
      <alignment horizontal="center" vertical="top"/>
    </xf>
    <xf numFmtId="1" fontId="2" fillId="0" borderId="3" xfId="0" applyNumberFormat="1" applyFont="1" applyFill="1" applyBorder="1" applyAlignment="1">
      <alignment horizontal="center" vertical="top"/>
    </xf>
    <xf numFmtId="0" fontId="2" fillId="0" borderId="3" xfId="0" quotePrefix="1" applyFont="1" applyFill="1" applyBorder="1" applyAlignment="1">
      <alignment horizontal="center" vertical="top"/>
    </xf>
    <xf numFmtId="0" fontId="2" fillId="0" borderId="0" xfId="0" applyFont="1" applyFill="1" applyAlignment="1">
      <alignment horizontal="center" vertical="top"/>
    </xf>
    <xf numFmtId="2" fontId="2" fillId="0" borderId="1" xfId="0" applyNumberFormat="1" applyFont="1" applyFill="1" applyBorder="1" applyAlignment="1">
      <alignment horizontal="center" vertical="top"/>
    </xf>
    <xf numFmtId="2" fontId="2" fillId="0" borderId="0" xfId="0" applyNumberFormat="1" applyFont="1" applyFill="1" applyAlignment="1">
      <alignment horizontal="center" vertical="top"/>
    </xf>
    <xf numFmtId="0" fontId="6" fillId="0" borderId="0" xfId="0" applyFont="1" applyFill="1" applyAlignment="1">
      <alignment horizontal="center" vertical="top"/>
    </xf>
    <xf numFmtId="0" fontId="6" fillId="0" borderId="0" xfId="0" quotePrefix="1" applyFont="1" applyFill="1" applyAlignment="1">
      <alignment horizontal="center" vertical="top"/>
    </xf>
    <xf numFmtId="0" fontId="7" fillId="0" borderId="0" xfId="0" applyFont="1" applyFill="1" applyAlignment="1">
      <alignment vertical="top"/>
    </xf>
    <xf numFmtId="0" fontId="7" fillId="0" borderId="2" xfId="0" applyFont="1" applyFill="1" applyBorder="1" applyAlignment="1">
      <alignment horizontal="center" vertical="top"/>
    </xf>
    <xf numFmtId="0" fontId="7" fillId="0" borderId="2" xfId="0" applyNumberFormat="1" applyFont="1" applyFill="1" applyBorder="1" applyAlignment="1">
      <alignment horizontal="center" vertical="top" wrapText="1"/>
    </xf>
    <xf numFmtId="2" fontId="7" fillId="0" borderId="2" xfId="0" applyNumberFormat="1" applyFont="1" applyFill="1" applyBorder="1" applyAlignment="1">
      <alignment horizontal="center" vertical="top"/>
    </xf>
    <xf numFmtId="0" fontId="7" fillId="0" borderId="0" xfId="0" applyFont="1" applyFill="1" applyAlignment="1">
      <alignment horizontal="center" vertical="top"/>
    </xf>
    <xf numFmtId="0" fontId="7" fillId="0" borderId="0" xfId="0" applyFont="1" applyFill="1" applyAlignment="1">
      <alignment horizontal="left" vertical="top"/>
    </xf>
    <xf numFmtId="0" fontId="9" fillId="0" borderId="0" xfId="0" applyNumberFormat="1" applyFont="1" applyFill="1" applyAlignment="1">
      <alignment horizontal="justify" vertical="top" wrapText="1"/>
    </xf>
    <xf numFmtId="2" fontId="7" fillId="0" borderId="0" xfId="0" applyNumberFormat="1" applyFont="1" applyFill="1" applyAlignment="1">
      <alignment vertical="top"/>
    </xf>
    <xf numFmtId="2" fontId="7" fillId="0" borderId="0" xfId="0" applyNumberFormat="1" applyFont="1" applyFill="1" applyAlignment="1">
      <alignment horizontal="right" vertical="top"/>
    </xf>
    <xf numFmtId="0" fontId="10" fillId="0" borderId="0" xfId="0" applyNumberFormat="1" applyFont="1" applyFill="1" applyAlignment="1">
      <alignment horizontal="justify" vertical="top" wrapText="1"/>
    </xf>
    <xf numFmtId="0" fontId="7" fillId="0" borderId="0" xfId="0" quotePrefix="1" applyFont="1" applyFill="1" applyAlignment="1">
      <alignment horizontal="left" vertical="top"/>
    </xf>
    <xf numFmtId="0" fontId="7" fillId="0" borderId="0" xfId="0" applyNumberFormat="1" applyFont="1" applyFill="1" applyAlignment="1">
      <alignment horizontal="justify" vertical="top" wrapText="1"/>
    </xf>
    <xf numFmtId="0" fontId="7" fillId="0" borderId="0" xfId="0" quotePrefix="1" applyFont="1" applyFill="1" applyAlignment="1">
      <alignment vertical="top"/>
    </xf>
    <xf numFmtId="2" fontId="7" fillId="0" borderId="2" xfId="0" applyNumberFormat="1" applyFont="1" applyFill="1" applyBorder="1" applyAlignment="1">
      <alignment vertical="top"/>
    </xf>
    <xf numFmtId="0" fontId="7" fillId="0" borderId="2" xfId="0" quotePrefix="1" applyFont="1" applyFill="1" applyBorder="1" applyAlignment="1">
      <alignment vertical="top"/>
    </xf>
    <xf numFmtId="0" fontId="7" fillId="0" borderId="2" xfId="0" applyFont="1" applyFill="1" applyBorder="1" applyAlignment="1">
      <alignment horizontal="left" vertical="top"/>
    </xf>
    <xf numFmtId="0" fontId="7" fillId="0" borderId="0" xfId="0" quotePrefix="1" applyFont="1" applyFill="1" applyBorder="1" applyAlignment="1">
      <alignment vertical="top"/>
    </xf>
    <xf numFmtId="0" fontId="7" fillId="0" borderId="0" xfId="0" applyFont="1" applyFill="1" applyBorder="1" applyAlignment="1">
      <alignment horizontal="left" vertical="top"/>
    </xf>
    <xf numFmtId="0" fontId="8" fillId="0" borderId="0" xfId="0" applyNumberFormat="1" applyFont="1" applyFill="1" applyAlignment="1">
      <alignment horizontal="justify" vertical="top" wrapText="1"/>
    </xf>
    <xf numFmtId="2" fontId="7" fillId="0" borderId="0" xfId="0" quotePrefix="1" applyNumberFormat="1" applyFont="1" applyFill="1" applyAlignment="1">
      <alignment horizontal="centerContinuous" vertical="top"/>
    </xf>
    <xf numFmtId="2" fontId="7" fillId="0" borderId="0" xfId="0" applyNumberFormat="1" applyFont="1" applyFill="1" applyAlignment="1">
      <alignment horizontal="centerContinuous" vertical="top"/>
    </xf>
    <xf numFmtId="0" fontId="7" fillId="0" borderId="0" xfId="0" applyFont="1" applyFill="1" applyAlignment="1">
      <alignment horizontal="centerContinuous" vertical="top"/>
    </xf>
    <xf numFmtId="0" fontId="8" fillId="0" borderId="0" xfId="0" quotePrefix="1" applyFont="1" applyFill="1" applyAlignment="1">
      <alignment vertical="top"/>
    </xf>
    <xf numFmtId="2" fontId="8" fillId="0" borderId="0" xfId="0" applyNumberFormat="1" applyFont="1" applyFill="1" applyAlignment="1">
      <alignment vertical="top"/>
    </xf>
    <xf numFmtId="0" fontId="8" fillId="0" borderId="0" xfId="0" applyFont="1" applyFill="1" applyAlignment="1">
      <alignment horizontal="left" vertical="top"/>
    </xf>
    <xf numFmtId="0" fontId="7" fillId="0" borderId="0" xfId="0" quotePrefix="1" applyNumberFormat="1" applyFont="1" applyFill="1" applyAlignment="1">
      <alignment horizontal="justify" vertical="top" wrapText="1"/>
    </xf>
    <xf numFmtId="0" fontId="7" fillId="0" borderId="0" xfId="0" applyFont="1" applyFill="1" applyAlignment="1">
      <alignment horizontal="right" vertical="top"/>
    </xf>
    <xf numFmtId="0" fontId="7" fillId="0" borderId="0" xfId="0" applyFont="1" applyFill="1" applyBorder="1" applyAlignment="1">
      <alignment horizontal="right" vertical="top"/>
    </xf>
    <xf numFmtId="2" fontId="7" fillId="0" borderId="0" xfId="0" applyNumberFormat="1" applyFont="1" applyFill="1" applyBorder="1" applyAlignment="1">
      <alignment horizontal="right" vertical="top"/>
    </xf>
    <xf numFmtId="0" fontId="7" fillId="0" borderId="0" xfId="0" quotePrefix="1" applyFont="1" applyFill="1" applyBorder="1" applyAlignment="1">
      <alignment horizontal="right" vertical="top"/>
    </xf>
    <xf numFmtId="0" fontId="7" fillId="0" borderId="0" xfId="0" quotePrefix="1" applyFont="1" applyFill="1" applyBorder="1" applyAlignment="1">
      <alignment horizontal="left" vertical="top"/>
    </xf>
    <xf numFmtId="2" fontId="8" fillId="0" borderId="2" xfId="0" applyNumberFormat="1" applyFont="1" applyFill="1" applyBorder="1" applyAlignment="1">
      <alignment vertical="top"/>
    </xf>
    <xf numFmtId="0" fontId="8" fillId="0" borderId="2" xfId="0" applyFont="1" applyFill="1" applyBorder="1" applyAlignment="1">
      <alignment vertical="top"/>
    </xf>
    <xf numFmtId="2" fontId="8" fillId="0" borderId="2" xfId="0" applyNumberFormat="1" applyFont="1" applyFill="1" applyBorder="1" applyAlignment="1">
      <alignment horizontal="right" vertical="top"/>
    </xf>
    <xf numFmtId="0" fontId="8" fillId="0" borderId="2" xfId="0" quotePrefix="1" applyFont="1" applyFill="1" applyBorder="1" applyAlignment="1">
      <alignment horizontal="left" vertical="top"/>
    </xf>
    <xf numFmtId="0" fontId="2" fillId="0" borderId="0" xfId="0" applyFont="1" applyFill="1" applyBorder="1" applyAlignment="1">
      <alignment wrapText="1"/>
    </xf>
    <xf numFmtId="2" fontId="2" fillId="0" borderId="0" xfId="0" applyNumberFormat="1" applyFont="1" applyFill="1" applyBorder="1" applyAlignment="1">
      <alignment wrapText="1"/>
    </xf>
    <xf numFmtId="2" fontId="7" fillId="0" borderId="1" xfId="0" applyNumberFormat="1" applyFont="1" applyFill="1" applyBorder="1" applyAlignment="1">
      <alignment vertical="top"/>
    </xf>
    <xf numFmtId="0" fontId="7" fillId="0" borderId="1" xfId="0" applyFont="1" applyFill="1" applyBorder="1" applyAlignment="1">
      <alignment vertical="top"/>
    </xf>
    <xf numFmtId="2" fontId="7" fillId="0" borderId="1" xfId="0" applyNumberFormat="1" applyFont="1" applyFill="1" applyBorder="1" applyAlignment="1">
      <alignment horizontal="right" vertical="top"/>
    </xf>
    <xf numFmtId="0" fontId="7" fillId="0" borderId="2" xfId="0" applyFont="1" applyFill="1" applyBorder="1" applyAlignment="1">
      <alignment vertical="top"/>
    </xf>
    <xf numFmtId="0" fontId="7" fillId="0" borderId="2" xfId="0" quotePrefix="1" applyFont="1" applyFill="1" applyBorder="1" applyAlignment="1">
      <alignment horizontal="left" vertical="top"/>
    </xf>
    <xf numFmtId="0" fontId="7" fillId="0" borderId="0" xfId="0" quotePrefix="1" applyFont="1" applyFill="1" applyAlignment="1">
      <alignment horizontal="left" vertical="top" wrapText="1"/>
    </xf>
    <xf numFmtId="0" fontId="11" fillId="0" borderId="0" xfId="0" applyNumberFormat="1" applyFont="1" applyFill="1" applyAlignment="1">
      <alignment horizontal="justify" vertical="top" wrapText="1"/>
    </xf>
    <xf numFmtId="2" fontId="2" fillId="0" borderId="0" xfId="0" applyNumberFormat="1" applyFont="1" applyFill="1" applyBorder="1" applyAlignment="1">
      <alignment vertical="top" wrapText="1"/>
    </xf>
    <xf numFmtId="2" fontId="8" fillId="0" borderId="0" xfId="0" applyNumberFormat="1" applyFont="1" applyFill="1" applyAlignment="1">
      <alignment horizontal="right" vertical="top"/>
    </xf>
    <xf numFmtId="0" fontId="8" fillId="0" borderId="0" xfId="0" applyFont="1" applyFill="1" applyAlignment="1">
      <alignment horizontal="right" vertical="top"/>
    </xf>
    <xf numFmtId="0" fontId="8" fillId="0" borderId="2" xfId="0" applyFont="1" applyFill="1" applyBorder="1" applyAlignment="1">
      <alignment horizontal="left" vertical="top"/>
    </xf>
    <xf numFmtId="1" fontId="7" fillId="0" borderId="0" xfId="0" applyNumberFormat="1" applyFont="1" applyFill="1" applyAlignment="1">
      <alignment vertical="top"/>
    </xf>
    <xf numFmtId="1" fontId="7" fillId="0" borderId="0" xfId="0" applyNumberFormat="1" applyFont="1" applyFill="1" applyAlignment="1">
      <alignment horizontal="right" vertical="top"/>
    </xf>
    <xf numFmtId="1" fontId="7" fillId="0" borderId="0" xfId="0" applyNumberFormat="1" applyFont="1" applyFill="1" applyBorder="1" applyAlignment="1">
      <alignment horizontal="right" vertical="top"/>
    </xf>
    <xf numFmtId="1" fontId="7" fillId="0" borderId="0" xfId="0" applyNumberFormat="1" applyFont="1" applyFill="1" applyBorder="1" applyAlignment="1">
      <alignment vertical="top"/>
    </xf>
    <xf numFmtId="2" fontId="7" fillId="0" borderId="2" xfId="0" applyNumberFormat="1" applyFont="1" applyFill="1" applyBorder="1" applyAlignment="1">
      <alignment horizontal="right" vertical="top"/>
    </xf>
    <xf numFmtId="1" fontId="7" fillId="0" borderId="2" xfId="0" applyNumberFormat="1" applyFont="1" applyFill="1" applyBorder="1" applyAlignment="1">
      <alignment vertical="top"/>
    </xf>
    <xf numFmtId="2" fontId="7" fillId="0" borderId="0" xfId="0" applyNumberFormat="1" applyFont="1" applyFill="1" applyAlignment="1">
      <alignment horizontal="left" vertical="top"/>
    </xf>
    <xf numFmtId="0" fontId="9" fillId="0" borderId="0" xfId="0" quotePrefix="1" applyNumberFormat="1" applyFont="1" applyFill="1" applyAlignment="1">
      <alignment horizontal="justify" vertical="top" wrapText="1"/>
    </xf>
    <xf numFmtId="0" fontId="7" fillId="0" borderId="0" xfId="0" quotePrefix="1" applyFont="1" applyFill="1" applyAlignment="1">
      <alignment horizontal="center" vertical="top"/>
    </xf>
    <xf numFmtId="0" fontId="7" fillId="0" borderId="0" xfId="0" applyNumberFormat="1" applyFont="1" applyFill="1" applyAlignment="1">
      <alignment vertical="top" wrapText="1"/>
    </xf>
    <xf numFmtId="2" fontId="7" fillId="0" borderId="2" xfId="0" quotePrefix="1" applyNumberFormat="1" applyFont="1" applyFill="1" applyBorder="1" applyAlignment="1">
      <alignment horizontal="center" vertical="top"/>
    </xf>
    <xf numFmtId="2" fontId="7" fillId="0" borderId="0" xfId="0" quotePrefix="1" applyNumberFormat="1" applyFont="1" applyFill="1" applyAlignment="1">
      <alignment horizontal="center" vertical="top"/>
    </xf>
    <xf numFmtId="2" fontId="8" fillId="0" borderId="0" xfId="0" quotePrefix="1" applyNumberFormat="1" applyFont="1" applyFill="1" applyAlignment="1">
      <alignment horizontal="left" vertical="top"/>
    </xf>
    <xf numFmtId="0" fontId="8" fillId="0" borderId="0" xfId="0" applyFont="1" applyFill="1" applyAlignment="1">
      <alignment vertical="top"/>
    </xf>
    <xf numFmtId="2" fontId="7" fillId="0" borderId="0" xfId="0" applyNumberFormat="1" applyFont="1" applyFill="1" applyAlignment="1">
      <alignment horizontal="center" vertical="top"/>
    </xf>
    <xf numFmtId="0" fontId="7" fillId="0" borderId="0" xfId="0" applyFont="1" applyFill="1" applyAlignment="1">
      <alignment horizontal="justify" vertical="top" wrapText="1"/>
    </xf>
    <xf numFmtId="0" fontId="7" fillId="0" borderId="0" xfId="0" quotePrefix="1" applyFont="1" applyFill="1" applyAlignment="1">
      <alignment horizontal="centerContinuous" vertical="top"/>
    </xf>
    <xf numFmtId="0" fontId="7" fillId="0" borderId="1" xfId="0" quotePrefix="1" applyFont="1" applyFill="1" applyBorder="1" applyAlignment="1">
      <alignment horizontal="left" vertical="top"/>
    </xf>
    <xf numFmtId="2" fontId="7" fillId="0" borderId="0" xfId="0" quotePrefix="1" applyNumberFormat="1" applyFont="1" applyFill="1" applyBorder="1" applyAlignment="1">
      <alignment horizontal="center" vertical="top"/>
    </xf>
    <xf numFmtId="2" fontId="8" fillId="0" borderId="0" xfId="0" applyNumberFormat="1" applyFont="1" applyFill="1" applyBorder="1" applyAlignment="1">
      <alignment vertical="top"/>
    </xf>
    <xf numFmtId="0" fontId="5" fillId="0" borderId="0" xfId="0" applyFont="1" applyFill="1"/>
    <xf numFmtId="0" fontId="5" fillId="0" borderId="0" xfId="0" quotePrefix="1" applyFont="1" applyFill="1" applyAlignment="1">
      <alignment horizontal="left"/>
    </xf>
    <xf numFmtId="2" fontId="2" fillId="0" borderId="0" xfId="0" applyNumberFormat="1" applyFont="1" applyFill="1" applyAlignment="1">
      <alignment horizontal="right"/>
    </xf>
    <xf numFmtId="0" fontId="7" fillId="0" borderId="0" xfId="0" applyNumberFormat="1" applyFont="1" applyFill="1" applyBorder="1" applyAlignment="1">
      <alignment horizontal="justify" vertical="top" wrapText="1"/>
    </xf>
    <xf numFmtId="2" fontId="8" fillId="0" borderId="3" xfId="0" applyNumberFormat="1" applyFont="1" applyFill="1" applyBorder="1" applyAlignment="1">
      <alignment vertical="top"/>
    </xf>
    <xf numFmtId="0" fontId="2" fillId="0" borderId="0" xfId="0" applyFont="1" applyAlignment="1">
      <alignment horizontal="left"/>
    </xf>
    <xf numFmtId="1" fontId="7" fillId="0" borderId="0" xfId="0" applyNumberFormat="1" applyFont="1" applyFill="1" applyAlignment="1">
      <alignment horizontal="center" vertical="top"/>
    </xf>
    <xf numFmtId="1" fontId="2" fillId="0" borderId="0" xfId="0" applyNumberFormat="1" applyFont="1" applyFill="1" applyAlignment="1">
      <alignment horizontal="center" vertical="top"/>
    </xf>
    <xf numFmtId="0" fontId="7" fillId="0" borderId="0" xfId="0" applyFont="1" applyFill="1" applyAlignment="1">
      <alignment horizontal="center" vertical="top"/>
    </xf>
    <xf numFmtId="0" fontId="0" fillId="0" borderId="2" xfId="0" applyBorder="1" applyAlignment="1">
      <alignment horizontal="right"/>
    </xf>
    <xf numFmtId="0" fontId="6" fillId="0" borderId="0" xfId="0" applyFont="1" applyAlignment="1">
      <alignment horizontal="center" vertical="top"/>
    </xf>
    <xf numFmtId="0" fontId="2" fillId="0" borderId="0" xfId="0" applyFont="1" applyAlignment="1">
      <alignment horizontal="left" vertical="top" wrapText="1"/>
    </xf>
    <xf numFmtId="0" fontId="3" fillId="0" borderId="0" xfId="0" quotePrefix="1" applyFont="1" applyAlignment="1">
      <alignment horizontal="left" vertical="top" wrapText="1"/>
    </xf>
    <xf numFmtId="0" fontId="2" fillId="0" borderId="0" xfId="0" applyFont="1" applyFill="1" applyAlignment="1">
      <alignment horizontal="center"/>
    </xf>
    <xf numFmtId="0" fontId="6" fillId="0" borderId="0" xfId="0" applyFont="1" applyFill="1" applyAlignment="1">
      <alignment horizontal="center"/>
    </xf>
    <xf numFmtId="0" fontId="2" fillId="0" borderId="0" xfId="0" applyFont="1" applyFill="1" applyAlignment="1">
      <alignment horizontal="center" vertical="top" wrapText="1"/>
    </xf>
    <xf numFmtId="2" fontId="8" fillId="0" borderId="0" xfId="0" applyNumberFormat="1" applyFont="1" applyFill="1" applyAlignment="1">
      <alignment horizontal="center" vertical="top"/>
    </xf>
    <xf numFmtId="0" fontId="8" fillId="0" borderId="0" xfId="0" applyFont="1" applyFill="1" applyAlignment="1">
      <alignment horizontal="center" vertical="top"/>
    </xf>
    <xf numFmtId="0" fontId="7" fillId="0" borderId="0" xfId="0" applyFont="1" applyFill="1" applyAlignment="1">
      <alignment horizontal="center" vertical="top"/>
    </xf>
    <xf numFmtId="2" fontId="7" fillId="0" borderId="0" xfId="0" applyNumberFormat="1" applyFont="1" applyFill="1" applyAlignment="1">
      <alignment horizontal="center" vertical="top"/>
    </xf>
    <xf numFmtId="0" fontId="7" fillId="0" borderId="0" xfId="0" applyFont="1" applyFill="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20</xdr:row>
      <xdr:rowOff>0</xdr:rowOff>
    </xdr:from>
    <xdr:to>
      <xdr:col>2</xdr:col>
      <xdr:colOff>0</xdr:colOff>
      <xdr:row>20</xdr:row>
      <xdr:rowOff>0</xdr:rowOff>
    </xdr:to>
    <xdr:sp macro="" textlink="">
      <xdr:nvSpPr>
        <xdr:cNvPr id="1074" name="Text 50"/>
        <xdr:cNvSpPr txBox="1">
          <a:spLocks noChangeArrowheads="1"/>
        </xdr:cNvSpPr>
      </xdr:nvSpPr>
      <xdr:spPr bwMode="auto">
        <a:xfrm>
          <a:off x="314325" y="1155382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9525</xdr:colOff>
      <xdr:row>20</xdr:row>
      <xdr:rowOff>0</xdr:rowOff>
    </xdr:from>
    <xdr:to>
      <xdr:col>2</xdr:col>
      <xdr:colOff>9525</xdr:colOff>
      <xdr:row>20</xdr:row>
      <xdr:rowOff>0</xdr:rowOff>
    </xdr:to>
    <xdr:sp macro="" textlink="">
      <xdr:nvSpPr>
        <xdr:cNvPr id="1119" name="Text 95"/>
        <xdr:cNvSpPr txBox="1">
          <a:spLocks noChangeArrowheads="1"/>
        </xdr:cNvSpPr>
      </xdr:nvSpPr>
      <xdr:spPr bwMode="auto">
        <a:xfrm>
          <a:off x="323850" y="2976562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9525</xdr:colOff>
      <xdr:row>20</xdr:row>
      <xdr:rowOff>0</xdr:rowOff>
    </xdr:from>
    <xdr:to>
      <xdr:col>2</xdr:col>
      <xdr:colOff>9525</xdr:colOff>
      <xdr:row>20</xdr:row>
      <xdr:rowOff>0</xdr:rowOff>
    </xdr:to>
    <xdr:sp macro="" textlink="">
      <xdr:nvSpPr>
        <xdr:cNvPr id="1139" name="Text 115"/>
        <xdr:cNvSpPr txBox="1">
          <a:spLocks noChangeArrowheads="1"/>
        </xdr:cNvSpPr>
      </xdr:nvSpPr>
      <xdr:spPr bwMode="auto">
        <a:xfrm>
          <a:off x="323850" y="2976562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116</xdr:row>
      <xdr:rowOff>0</xdr:rowOff>
    </xdr:from>
    <xdr:to>
      <xdr:col>2</xdr:col>
      <xdr:colOff>0</xdr:colOff>
      <xdr:row>116</xdr:row>
      <xdr:rowOff>0</xdr:rowOff>
    </xdr:to>
    <xdr:sp macro="" textlink="">
      <xdr:nvSpPr>
        <xdr:cNvPr id="2088" name="Text 40"/>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116</xdr:row>
      <xdr:rowOff>0</xdr:rowOff>
    </xdr:from>
    <xdr:to>
      <xdr:col>2</xdr:col>
      <xdr:colOff>0</xdr:colOff>
      <xdr:row>116</xdr:row>
      <xdr:rowOff>0</xdr:rowOff>
    </xdr:to>
    <xdr:sp macro="" textlink="">
      <xdr:nvSpPr>
        <xdr:cNvPr id="2089" name="Text 41"/>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116</xdr:row>
      <xdr:rowOff>0</xdr:rowOff>
    </xdr:from>
    <xdr:to>
      <xdr:col>2</xdr:col>
      <xdr:colOff>9525</xdr:colOff>
      <xdr:row>116</xdr:row>
      <xdr:rowOff>0</xdr:rowOff>
    </xdr:to>
    <xdr:sp macro="" textlink="">
      <xdr:nvSpPr>
        <xdr:cNvPr id="2090" name="Text 42"/>
        <xdr:cNvSpPr txBox="1">
          <a:spLocks noChangeArrowheads="1"/>
        </xdr:cNvSpPr>
      </xdr:nvSpPr>
      <xdr:spPr bwMode="auto">
        <a:xfrm>
          <a:off x="295275" y="65655825"/>
          <a:ext cx="28384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116</xdr:row>
      <xdr:rowOff>0</xdr:rowOff>
    </xdr:from>
    <xdr:to>
      <xdr:col>2</xdr:col>
      <xdr:colOff>0</xdr:colOff>
      <xdr:row>116</xdr:row>
      <xdr:rowOff>0</xdr:rowOff>
    </xdr:to>
    <xdr:sp macro="" textlink="">
      <xdr:nvSpPr>
        <xdr:cNvPr id="2095" name="Text 47"/>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19050</xdr:colOff>
      <xdr:row>116</xdr:row>
      <xdr:rowOff>0</xdr:rowOff>
    </xdr:from>
    <xdr:to>
      <xdr:col>2</xdr:col>
      <xdr:colOff>0</xdr:colOff>
      <xdr:row>116</xdr:row>
      <xdr:rowOff>0</xdr:rowOff>
    </xdr:to>
    <xdr:sp macro="" textlink="">
      <xdr:nvSpPr>
        <xdr:cNvPr id="2097" name="Text 49"/>
        <xdr:cNvSpPr txBox="1">
          <a:spLocks noChangeArrowheads="1"/>
        </xdr:cNvSpPr>
      </xdr:nvSpPr>
      <xdr:spPr bwMode="auto">
        <a:xfrm>
          <a:off x="314325" y="65655825"/>
          <a:ext cx="28098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116</xdr:row>
      <xdr:rowOff>0</xdr:rowOff>
    </xdr:from>
    <xdr:to>
      <xdr:col>1</xdr:col>
      <xdr:colOff>2828925</xdr:colOff>
      <xdr:row>116</xdr:row>
      <xdr:rowOff>0</xdr:rowOff>
    </xdr:to>
    <xdr:sp macro="" textlink="">
      <xdr:nvSpPr>
        <xdr:cNvPr id="2098" name="Text 50"/>
        <xdr:cNvSpPr txBox="1">
          <a:spLocks noChangeArrowheads="1"/>
        </xdr:cNvSpPr>
      </xdr:nvSpPr>
      <xdr:spPr bwMode="auto">
        <a:xfrm>
          <a:off x="295275" y="6565582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116</xdr:row>
      <xdr:rowOff>0</xdr:rowOff>
    </xdr:from>
    <xdr:to>
      <xdr:col>2</xdr:col>
      <xdr:colOff>0</xdr:colOff>
      <xdr:row>116</xdr:row>
      <xdr:rowOff>0</xdr:rowOff>
    </xdr:to>
    <xdr:sp macro="" textlink="">
      <xdr:nvSpPr>
        <xdr:cNvPr id="2099" name="Text 51"/>
        <xdr:cNvSpPr txBox="1">
          <a:spLocks noChangeArrowheads="1"/>
        </xdr:cNvSpPr>
      </xdr:nvSpPr>
      <xdr:spPr bwMode="auto">
        <a:xfrm>
          <a:off x="295275" y="6565582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116</xdr:row>
      <xdr:rowOff>0</xdr:rowOff>
    </xdr:from>
    <xdr:to>
      <xdr:col>2</xdr:col>
      <xdr:colOff>0</xdr:colOff>
      <xdr:row>116</xdr:row>
      <xdr:rowOff>0</xdr:rowOff>
    </xdr:to>
    <xdr:sp macro="" textlink="">
      <xdr:nvSpPr>
        <xdr:cNvPr id="2100" name="Text 52"/>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126</xdr:row>
      <xdr:rowOff>0</xdr:rowOff>
    </xdr:from>
    <xdr:to>
      <xdr:col>2</xdr:col>
      <xdr:colOff>0</xdr:colOff>
      <xdr:row>126</xdr:row>
      <xdr:rowOff>0</xdr:rowOff>
    </xdr:to>
    <xdr:sp macro="" textlink="">
      <xdr:nvSpPr>
        <xdr:cNvPr id="2112" name="Text 64"/>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0</xdr:colOff>
      <xdr:row>126</xdr:row>
      <xdr:rowOff>0</xdr:rowOff>
    </xdr:from>
    <xdr:to>
      <xdr:col>2</xdr:col>
      <xdr:colOff>0</xdr:colOff>
      <xdr:row>126</xdr:row>
      <xdr:rowOff>0</xdr:rowOff>
    </xdr:to>
    <xdr:sp macro="" textlink="">
      <xdr:nvSpPr>
        <xdr:cNvPr id="2116" name="Text 68"/>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xdr:col>
      <xdr:colOff>0</xdr:colOff>
      <xdr:row>126</xdr:row>
      <xdr:rowOff>0</xdr:rowOff>
    </xdr:from>
    <xdr:to>
      <xdr:col>2</xdr:col>
      <xdr:colOff>0</xdr:colOff>
      <xdr:row>126</xdr:row>
      <xdr:rowOff>0</xdr:rowOff>
    </xdr:to>
    <xdr:sp macro="" textlink="">
      <xdr:nvSpPr>
        <xdr:cNvPr id="2117" name="Text 69"/>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1</xdr:col>
      <xdr:colOff>0</xdr:colOff>
      <xdr:row>126</xdr:row>
      <xdr:rowOff>0</xdr:rowOff>
    </xdr:from>
    <xdr:to>
      <xdr:col>2</xdr:col>
      <xdr:colOff>0</xdr:colOff>
      <xdr:row>126</xdr:row>
      <xdr:rowOff>0</xdr:rowOff>
    </xdr:to>
    <xdr:sp macro="" textlink="">
      <xdr:nvSpPr>
        <xdr:cNvPr id="2119" name="Text 71"/>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126</xdr:row>
      <xdr:rowOff>0</xdr:rowOff>
    </xdr:from>
    <xdr:to>
      <xdr:col>1</xdr:col>
      <xdr:colOff>2828925</xdr:colOff>
      <xdr:row>126</xdr:row>
      <xdr:rowOff>0</xdr:rowOff>
    </xdr:to>
    <xdr:sp macro="" textlink="">
      <xdr:nvSpPr>
        <xdr:cNvPr id="2120" name="Text 72"/>
        <xdr:cNvSpPr txBox="1">
          <a:spLocks noChangeArrowheads="1"/>
        </xdr:cNvSpPr>
      </xdr:nvSpPr>
      <xdr:spPr bwMode="auto">
        <a:xfrm>
          <a:off x="304800" y="70104000"/>
          <a:ext cx="28194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126</xdr:row>
      <xdr:rowOff>0</xdr:rowOff>
    </xdr:from>
    <xdr:to>
      <xdr:col>2</xdr:col>
      <xdr:colOff>0</xdr:colOff>
      <xdr:row>126</xdr:row>
      <xdr:rowOff>0</xdr:rowOff>
    </xdr:to>
    <xdr:sp macro="" textlink="">
      <xdr:nvSpPr>
        <xdr:cNvPr id="2121" name="Text 73"/>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0</xdr:colOff>
      <xdr:row>126</xdr:row>
      <xdr:rowOff>0</xdr:rowOff>
    </xdr:from>
    <xdr:to>
      <xdr:col>2</xdr:col>
      <xdr:colOff>0</xdr:colOff>
      <xdr:row>126</xdr:row>
      <xdr:rowOff>0</xdr:rowOff>
    </xdr:to>
    <xdr:sp macro="" textlink="">
      <xdr:nvSpPr>
        <xdr:cNvPr id="2127" name="Text 79"/>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Blue  Kota stone slab in steps, walls, pillars having fine machine cut edges laid on 12 mm (Av.) thick  CM 1:3 and jointed with Grey cement slurry mixed with pigment to match the shade of the slab including rubbing and polishing complete </a:t>
          </a:r>
        </a:p>
        <a:p>
          <a:pPr algn="l" rtl="0">
            <a:defRPr sz="1000"/>
          </a:pPr>
          <a:r>
            <a:rPr lang="en-US" sz="1200" b="0" i="0" strike="noStrike">
              <a:solidFill>
                <a:srgbClr val="000000"/>
              </a:solidFill>
              <a:latin typeface="Arial"/>
              <a:cs typeface="Arial"/>
            </a:rPr>
            <a:t> 25 mm thick  slab area 901 to 2000 Sq. cm.</a:t>
          </a:r>
        </a:p>
      </xdr:txBody>
    </xdr:sp>
    <xdr:clientData/>
  </xdr:twoCellAnchor>
  <xdr:twoCellAnchor>
    <xdr:from>
      <xdr:col>1</xdr:col>
      <xdr:colOff>0</xdr:colOff>
      <xdr:row>126</xdr:row>
      <xdr:rowOff>0</xdr:rowOff>
    </xdr:from>
    <xdr:to>
      <xdr:col>2</xdr:col>
      <xdr:colOff>0</xdr:colOff>
      <xdr:row>126</xdr:row>
      <xdr:rowOff>0</xdr:rowOff>
    </xdr:to>
    <xdr:sp macro="" textlink="">
      <xdr:nvSpPr>
        <xdr:cNvPr id="2129" name="Text 81"/>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126</xdr:row>
      <xdr:rowOff>0</xdr:rowOff>
    </xdr:from>
    <xdr:to>
      <xdr:col>1</xdr:col>
      <xdr:colOff>2828925</xdr:colOff>
      <xdr:row>126</xdr:row>
      <xdr:rowOff>0</xdr:rowOff>
    </xdr:to>
    <xdr:sp macro="" textlink="">
      <xdr:nvSpPr>
        <xdr:cNvPr id="2130" name="Text 82"/>
        <xdr:cNvSpPr txBox="1">
          <a:spLocks noChangeArrowheads="1"/>
        </xdr:cNvSpPr>
      </xdr:nvSpPr>
      <xdr:spPr bwMode="auto">
        <a:xfrm>
          <a:off x="304800" y="70104000"/>
          <a:ext cx="28194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126</xdr:row>
      <xdr:rowOff>0</xdr:rowOff>
    </xdr:from>
    <xdr:to>
      <xdr:col>2</xdr:col>
      <xdr:colOff>0</xdr:colOff>
      <xdr:row>126</xdr:row>
      <xdr:rowOff>0</xdr:rowOff>
    </xdr:to>
    <xdr:sp macro="" textlink="">
      <xdr:nvSpPr>
        <xdr:cNvPr id="2131" name="Text 83"/>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0</xdr:colOff>
      <xdr:row>126</xdr:row>
      <xdr:rowOff>0</xdr:rowOff>
    </xdr:from>
    <xdr:to>
      <xdr:col>2</xdr:col>
      <xdr:colOff>0</xdr:colOff>
      <xdr:row>126</xdr:row>
      <xdr:rowOff>0</xdr:rowOff>
    </xdr:to>
    <xdr:sp macro="" textlink="">
      <xdr:nvSpPr>
        <xdr:cNvPr id="2204" name="Text 156"/>
        <xdr:cNvSpPr txBox="1">
          <a:spLocks noChangeArrowheads="1"/>
        </xdr:cNvSpPr>
      </xdr:nvSpPr>
      <xdr:spPr bwMode="auto">
        <a:xfrm>
          <a:off x="295275" y="701040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126</xdr:row>
      <xdr:rowOff>0</xdr:rowOff>
    </xdr:from>
    <xdr:to>
      <xdr:col>2</xdr:col>
      <xdr:colOff>0</xdr:colOff>
      <xdr:row>126</xdr:row>
      <xdr:rowOff>0</xdr:rowOff>
    </xdr:to>
    <xdr:sp macro="" textlink="">
      <xdr:nvSpPr>
        <xdr:cNvPr id="2205" name="Text 157"/>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21 mm thick with under layer of 15 mm thick cement plaster 1:3 (1 cement : 3 coarse sand)</a:t>
          </a:r>
        </a:p>
        <a:p>
          <a:pPr algn="l" rtl="0">
            <a:defRPr sz="1000"/>
          </a:pPr>
          <a:r>
            <a:rPr lang="en-US" sz="1200" b="0" i="0" strike="noStrike">
              <a:solidFill>
                <a:srgbClr val="000000"/>
              </a:solidFill>
              <a:latin typeface="Arial"/>
              <a:cs typeface="Arial"/>
            </a:rPr>
            <a:t>Light shade pigment with ordinary cement.</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146</xdr:row>
      <xdr:rowOff>0</xdr:rowOff>
    </xdr:from>
    <xdr:to>
      <xdr:col>2</xdr:col>
      <xdr:colOff>0</xdr:colOff>
      <xdr:row>146</xdr:row>
      <xdr:rowOff>0</xdr:rowOff>
    </xdr:to>
    <xdr:sp macro="" textlink="">
      <xdr:nvSpPr>
        <xdr:cNvPr id="2208" name="Text 160"/>
        <xdr:cNvSpPr txBox="1">
          <a:spLocks noChangeArrowheads="1"/>
        </xdr:cNvSpPr>
      </xdr:nvSpPr>
      <xdr:spPr bwMode="auto">
        <a:xfrm>
          <a:off x="295275" y="960310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IInd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0</xdr:colOff>
      <xdr:row>146</xdr:row>
      <xdr:rowOff>0</xdr:rowOff>
    </xdr:from>
    <xdr:to>
      <xdr:col>2</xdr:col>
      <xdr:colOff>0</xdr:colOff>
      <xdr:row>146</xdr:row>
      <xdr:rowOff>0</xdr:rowOff>
    </xdr:to>
    <xdr:sp macro="" textlink="">
      <xdr:nvSpPr>
        <xdr:cNvPr id="2209" name="Text 161"/>
        <xdr:cNvSpPr txBox="1">
          <a:spLocks noChangeArrowheads="1"/>
        </xdr:cNvSpPr>
      </xdr:nvSpPr>
      <xdr:spPr bwMode="auto">
        <a:xfrm>
          <a:off x="295275" y="960310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Supplying and fixing steel doors with frame of hollow metal pressed section (80 x 50 mm ) of 1.25 mm thick with single sheet shutter having thickness of 0.80 mm M.S. sheet to be spot welded and embossed with rib type design front vertical including hold fast of ( 15 x 3 mm), M.S. oxidised fittings such as hinges, sliding bolts etc. complete in all respect as per drawing and specifications including applying priming coat of approved steel primer.</a:t>
          </a:r>
        </a:p>
      </xdr:txBody>
    </xdr:sp>
    <xdr:clientData/>
  </xdr:twoCellAnchor>
  <xdr:twoCellAnchor>
    <xdr:from>
      <xdr:col>12</xdr:col>
      <xdr:colOff>0</xdr:colOff>
      <xdr:row>83</xdr:row>
      <xdr:rowOff>0</xdr:rowOff>
    </xdr:from>
    <xdr:to>
      <xdr:col>12</xdr:col>
      <xdr:colOff>0</xdr:colOff>
      <xdr:row>83</xdr:row>
      <xdr:rowOff>0</xdr:rowOff>
    </xdr:to>
    <xdr:sp macro="" textlink="">
      <xdr:nvSpPr>
        <xdr:cNvPr id="2509" name="Text 143"/>
        <xdr:cNvSpPr txBox="1">
          <a:spLocks noChangeArrowheads="1"/>
        </xdr:cNvSpPr>
      </xdr:nvSpPr>
      <xdr:spPr bwMode="auto">
        <a:xfrm>
          <a:off x="7562850" y="444246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xdr:col>
      <xdr:colOff>0</xdr:colOff>
      <xdr:row>147</xdr:row>
      <xdr:rowOff>0</xdr:rowOff>
    </xdr:from>
    <xdr:to>
      <xdr:col>2</xdr:col>
      <xdr:colOff>0</xdr:colOff>
      <xdr:row>147</xdr:row>
      <xdr:rowOff>0</xdr:rowOff>
    </xdr:to>
    <xdr:sp macro="" textlink="">
      <xdr:nvSpPr>
        <xdr:cNvPr id="2920" name="Text 85"/>
        <xdr:cNvSpPr txBox="1">
          <a:spLocks noChangeArrowheads="1"/>
        </xdr:cNvSpPr>
      </xdr:nvSpPr>
      <xdr:spPr bwMode="auto">
        <a:xfrm>
          <a:off x="295275" y="9623107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White Marble Banswara</a:t>
          </a:r>
        </a:p>
        <a:p>
          <a:pPr algn="l" rtl="0">
            <a:defRPr sz="1000"/>
          </a:pPr>
          <a:r>
            <a:rPr lang="en-US" sz="1200" b="0" i="0" strike="noStrike">
              <a:solidFill>
                <a:srgbClr val="000000"/>
              </a:solidFill>
              <a:latin typeface="Arial"/>
              <a:cs typeface="Arial"/>
            </a:rPr>
            <a:t> Above 3601 Sq. cm. </a:t>
          </a:r>
        </a:p>
      </xdr:txBody>
    </xdr:sp>
    <xdr:clientData/>
  </xdr:twoCellAnchor>
  <xdr:twoCellAnchor>
    <xdr:from>
      <xdr:col>1</xdr:col>
      <xdr:colOff>9525</xdr:colOff>
      <xdr:row>149</xdr:row>
      <xdr:rowOff>0</xdr:rowOff>
    </xdr:from>
    <xdr:to>
      <xdr:col>2</xdr:col>
      <xdr:colOff>9525</xdr:colOff>
      <xdr:row>149</xdr:row>
      <xdr:rowOff>0</xdr:rowOff>
    </xdr:to>
    <xdr:sp macro="" textlink="">
      <xdr:nvSpPr>
        <xdr:cNvPr id="2924" name="Text 87"/>
        <xdr:cNvSpPr txBox="1">
          <a:spLocks noChangeArrowheads="1"/>
        </xdr:cNvSpPr>
      </xdr:nvSpPr>
      <xdr:spPr bwMode="auto">
        <a:xfrm>
          <a:off x="304800" y="978217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xdr:col>
      <xdr:colOff>9525</xdr:colOff>
      <xdr:row>149</xdr:row>
      <xdr:rowOff>0</xdr:rowOff>
    </xdr:from>
    <xdr:to>
      <xdr:col>2</xdr:col>
      <xdr:colOff>9525</xdr:colOff>
      <xdr:row>149</xdr:row>
      <xdr:rowOff>0</xdr:rowOff>
    </xdr:to>
    <xdr:sp macro="" textlink="">
      <xdr:nvSpPr>
        <xdr:cNvPr id="170943" name="Text 88"/>
        <xdr:cNvSpPr txBox="1">
          <a:spLocks noChangeArrowheads="1"/>
        </xdr:cNvSpPr>
      </xdr:nvSpPr>
      <xdr:spPr bwMode="auto">
        <a:xfrm>
          <a:off x="304800" y="156038550"/>
          <a:ext cx="282892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12</xdr:col>
      <xdr:colOff>0</xdr:colOff>
      <xdr:row>16</xdr:row>
      <xdr:rowOff>0</xdr:rowOff>
    </xdr:from>
    <xdr:to>
      <xdr:col>12</xdr:col>
      <xdr:colOff>0</xdr:colOff>
      <xdr:row>16</xdr:row>
      <xdr:rowOff>0</xdr:rowOff>
    </xdr:to>
    <xdr:sp macro="" textlink="#REF!">
      <xdr:nvSpPr>
        <xdr:cNvPr id="2939"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33C907C4-545D-419A-AA17-9C2605A5413A}"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
      <xdr:nvSpPr>
        <xdr:cNvPr id="2940" name="Text 113"/>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958"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6050572C-5EF3-449B-B874-FBFBA8FE3601}"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
      <xdr:nvSpPr>
        <xdr:cNvPr id="2959" name="Text 113"/>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968"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E1887A5C-F953-4A2E-BB12-8914DD439528}"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4863"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0FA048FC-0109-4775-9C53-EF44906677A1}"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4864"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30A197E8-3A7C-4CCE-B776-059A33CA0EEB}"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4865"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E4271E8A-4C79-48E6-8EE3-1E6F928C814B}"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4866"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466E8BB6-0C75-4E38-BC1B-9B9B9DCE645C}"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4869"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B4656138-0BE5-43AF-BC45-4DF5DBD8FF4C}" type="TxLink">
            <a:rPr lang="en-US"/>
            <a:pPr/>
            <a:t>​</a:t>
          </a:fld>
          <a:endParaRPr lang="en-US"/>
        </a:p>
      </xdr:txBody>
    </xdr:sp>
    <xdr:clientData/>
  </xdr:twoCellAnchor>
  <xdr:twoCellAnchor>
    <xdr:from>
      <xdr:col>12</xdr:col>
      <xdr:colOff>0</xdr:colOff>
      <xdr:row>84</xdr:row>
      <xdr:rowOff>0</xdr:rowOff>
    </xdr:from>
    <xdr:to>
      <xdr:col>12</xdr:col>
      <xdr:colOff>0</xdr:colOff>
      <xdr:row>84</xdr:row>
      <xdr:rowOff>0</xdr:rowOff>
    </xdr:to>
    <xdr:sp macro="" textlink="">
      <xdr:nvSpPr>
        <xdr:cNvPr id="24942" name="Text 143"/>
        <xdr:cNvSpPr txBox="1">
          <a:spLocks noChangeArrowheads="1"/>
        </xdr:cNvSpPr>
      </xdr:nvSpPr>
      <xdr:spPr bwMode="auto">
        <a:xfrm>
          <a:off x="7562850" y="44624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12</xdr:col>
      <xdr:colOff>0</xdr:colOff>
      <xdr:row>10</xdr:row>
      <xdr:rowOff>0</xdr:rowOff>
    </xdr:from>
    <xdr:to>
      <xdr:col>12</xdr:col>
      <xdr:colOff>0</xdr:colOff>
      <xdr:row>11</xdr:row>
      <xdr:rowOff>0</xdr:rowOff>
    </xdr:to>
    <xdr:sp macro="" textlink="#REF!">
      <xdr:nvSpPr>
        <xdr:cNvPr id="25860" name="Text 112"/>
        <xdr:cNvSpPr txBox="1">
          <a:spLocks noChangeArrowheads="1"/>
        </xdr:cNvSpPr>
      </xdr:nvSpPr>
      <xdr:spPr bwMode="auto">
        <a:xfrm>
          <a:off x="7562850" y="3162300"/>
          <a:ext cx="0" cy="190500"/>
        </a:xfrm>
        <a:prstGeom prst="rect">
          <a:avLst/>
        </a:prstGeom>
        <a:solidFill>
          <a:srgbClr val="FFFFFF"/>
        </a:solidFill>
        <a:ln w="1">
          <a:noFill/>
          <a:miter lim="800000"/>
          <a:headEnd/>
          <a:tailEnd/>
        </a:ln>
      </xdr:spPr>
      <xdr:txBody>
        <a:bodyPr/>
        <a:lstStyle/>
        <a:p>
          <a:fld id="{6F7A48CF-E42C-4F81-8E72-B5F48F320713}"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5861"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631331DB-1AF5-4542-9EE5-FFA11208482F}" type="TxLink">
            <a:rPr lang="en-US"/>
            <a:pPr/>
            <a:t>​</a:t>
          </a:fld>
          <a:endParaRPr lang="en-US"/>
        </a:p>
      </xdr:txBody>
    </xdr:sp>
    <xdr:clientData/>
  </xdr:twoCellAnchor>
  <xdr:twoCellAnchor>
    <xdr:from>
      <xdr:col>12</xdr:col>
      <xdr:colOff>0</xdr:colOff>
      <xdr:row>14</xdr:row>
      <xdr:rowOff>0</xdr:rowOff>
    </xdr:from>
    <xdr:to>
      <xdr:col>12</xdr:col>
      <xdr:colOff>0</xdr:colOff>
      <xdr:row>15</xdr:row>
      <xdr:rowOff>0</xdr:rowOff>
    </xdr:to>
    <xdr:sp macro="" textlink="#REF!">
      <xdr:nvSpPr>
        <xdr:cNvPr id="1618" name="Text 112"/>
        <xdr:cNvSpPr txBox="1">
          <a:spLocks noChangeArrowheads="1"/>
        </xdr:cNvSpPr>
      </xdr:nvSpPr>
      <xdr:spPr bwMode="auto">
        <a:xfrm>
          <a:off x="7572375" y="4127500"/>
          <a:ext cx="0" cy="190500"/>
        </a:xfrm>
        <a:prstGeom prst="rect">
          <a:avLst/>
        </a:prstGeom>
        <a:solidFill>
          <a:srgbClr val="FFFFFF"/>
        </a:solidFill>
        <a:ln w="1">
          <a:noFill/>
          <a:miter lim="800000"/>
          <a:headEnd/>
          <a:tailEnd/>
        </a:ln>
      </xdr:spPr>
      <xdr:txBody>
        <a:bodyPr/>
        <a:lstStyle/>
        <a:p>
          <a:fld id="{C062AD4D-9FFE-46FE-8497-FE0E5D2551D7}" type="TxLink">
            <a:rPr lang="en-US"/>
            <a:pPr/>
            <a:t>​</a:t>
          </a:fld>
          <a:endParaRPr lang="en-US"/>
        </a:p>
      </xdr:txBody>
    </xdr:sp>
    <xdr:clientData/>
  </xdr:twoCellAnchor>
  <xdr:twoCellAnchor>
    <xdr:from>
      <xdr:col>12</xdr:col>
      <xdr:colOff>0</xdr:colOff>
      <xdr:row>28</xdr:row>
      <xdr:rowOff>0</xdr:rowOff>
    </xdr:from>
    <xdr:to>
      <xdr:col>12</xdr:col>
      <xdr:colOff>0</xdr:colOff>
      <xdr:row>29</xdr:row>
      <xdr:rowOff>0</xdr:rowOff>
    </xdr:to>
    <xdr:sp macro="" textlink="#REF!">
      <xdr:nvSpPr>
        <xdr:cNvPr id="1676" name="Text 112"/>
        <xdr:cNvSpPr txBox="1">
          <a:spLocks noChangeArrowheads="1"/>
        </xdr:cNvSpPr>
      </xdr:nvSpPr>
      <xdr:spPr bwMode="auto">
        <a:xfrm>
          <a:off x="7562850" y="17868900"/>
          <a:ext cx="0" cy="180975"/>
        </a:xfrm>
        <a:prstGeom prst="rect">
          <a:avLst/>
        </a:prstGeom>
        <a:solidFill>
          <a:srgbClr val="FFFFFF"/>
        </a:solidFill>
        <a:ln w="1">
          <a:noFill/>
          <a:miter lim="800000"/>
          <a:headEnd/>
          <a:tailEnd/>
        </a:ln>
      </xdr:spPr>
      <xdr:txBody>
        <a:bodyPr/>
        <a:lstStyle/>
        <a:p>
          <a:fld id="{A141679D-11ED-4988-88E4-708990EDD9A7}" type="TxLink">
            <a:rPr lang="en-US"/>
            <a:pPr/>
            <a:t>​</a:t>
          </a:fld>
          <a:endParaRPr lang="en-US"/>
        </a:p>
      </xdr:txBody>
    </xdr:sp>
    <xdr:clientData/>
  </xdr:twoCellAnchor>
  <xdr:twoCellAnchor>
    <xdr:from>
      <xdr:col>1</xdr:col>
      <xdr:colOff>0</xdr:colOff>
      <xdr:row>63</xdr:row>
      <xdr:rowOff>0</xdr:rowOff>
    </xdr:from>
    <xdr:to>
      <xdr:col>2</xdr:col>
      <xdr:colOff>0</xdr:colOff>
      <xdr:row>63</xdr:row>
      <xdr:rowOff>0</xdr:rowOff>
    </xdr:to>
    <xdr:sp macro="" textlink="">
      <xdr:nvSpPr>
        <xdr:cNvPr id="1677" name="Text 148"/>
        <xdr:cNvSpPr txBox="1">
          <a:spLocks noChangeArrowheads="1"/>
        </xdr:cNvSpPr>
      </xdr:nvSpPr>
      <xdr:spPr bwMode="auto">
        <a:xfrm>
          <a:off x="295275" y="516064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63</xdr:row>
      <xdr:rowOff>0</xdr:rowOff>
    </xdr:from>
    <xdr:to>
      <xdr:col>2</xdr:col>
      <xdr:colOff>0</xdr:colOff>
      <xdr:row>63</xdr:row>
      <xdr:rowOff>0</xdr:rowOff>
    </xdr:to>
    <xdr:sp macro="" textlink="">
      <xdr:nvSpPr>
        <xdr:cNvPr id="1678" name="Text 149"/>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63</xdr:row>
      <xdr:rowOff>0</xdr:rowOff>
    </xdr:from>
    <xdr:to>
      <xdr:col>2</xdr:col>
      <xdr:colOff>0</xdr:colOff>
      <xdr:row>63</xdr:row>
      <xdr:rowOff>0</xdr:rowOff>
    </xdr:to>
    <xdr:sp macro="" textlink="">
      <xdr:nvSpPr>
        <xdr:cNvPr id="1679" name="Text 152"/>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63</xdr:row>
      <xdr:rowOff>0</xdr:rowOff>
    </xdr:from>
    <xdr:to>
      <xdr:col>2</xdr:col>
      <xdr:colOff>0</xdr:colOff>
      <xdr:row>63</xdr:row>
      <xdr:rowOff>0</xdr:rowOff>
    </xdr:to>
    <xdr:sp macro="" textlink="">
      <xdr:nvSpPr>
        <xdr:cNvPr id="1770" name="Text 65"/>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63</xdr:row>
      <xdr:rowOff>0</xdr:rowOff>
    </xdr:from>
    <xdr:to>
      <xdr:col>1</xdr:col>
      <xdr:colOff>2828925</xdr:colOff>
      <xdr:row>63</xdr:row>
      <xdr:rowOff>0</xdr:rowOff>
    </xdr:to>
    <xdr:sp macro="" textlink="">
      <xdr:nvSpPr>
        <xdr:cNvPr id="1771" name="Text 71"/>
        <xdr:cNvSpPr txBox="1">
          <a:spLocks noChangeArrowheads="1"/>
        </xdr:cNvSpPr>
      </xdr:nvSpPr>
      <xdr:spPr bwMode="auto">
        <a:xfrm>
          <a:off x="295275" y="516064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63</xdr:row>
      <xdr:rowOff>0</xdr:rowOff>
    </xdr:from>
    <xdr:to>
      <xdr:col>2</xdr:col>
      <xdr:colOff>0</xdr:colOff>
      <xdr:row>63</xdr:row>
      <xdr:rowOff>0</xdr:rowOff>
    </xdr:to>
    <xdr:sp macro="" textlink="">
      <xdr:nvSpPr>
        <xdr:cNvPr id="1772" name="Text 74"/>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H24"/>
  <sheetViews>
    <sheetView topLeftCell="A13" zoomScale="75" workbookViewId="0">
      <selection activeCell="E29" sqref="E29"/>
    </sheetView>
    <sheetView tabSelected="1" workbookViewId="1">
      <selection activeCell="A2" sqref="A2"/>
    </sheetView>
    <sheetView workbookViewId="2">
      <selection activeCell="M23" sqref="M23"/>
    </sheetView>
  </sheetViews>
  <sheetFormatPr defaultRowHeight="15" x14ac:dyDescent="0.2"/>
  <cols>
    <col min="1" max="1" width="4.44140625" customWidth="1"/>
    <col min="5" max="5" width="18.109375" customWidth="1"/>
    <col min="6" max="6" width="11.44140625" customWidth="1"/>
    <col min="7" max="7" width="12.5546875" style="2" customWidth="1"/>
  </cols>
  <sheetData>
    <row r="2" spans="1:7" s="6" customFormat="1" ht="36" x14ac:dyDescent="0.2">
      <c r="A2" s="15" t="s">
        <v>126</v>
      </c>
      <c r="B2" s="7"/>
      <c r="C2" s="7"/>
      <c r="D2" s="7"/>
      <c r="E2" s="8"/>
      <c r="F2" s="7"/>
      <c r="G2" s="8"/>
    </row>
    <row r="3" spans="1:7" s="6" customFormat="1" x14ac:dyDescent="0.2">
      <c r="A3" s="11"/>
      <c r="B3" s="7"/>
      <c r="C3" s="7"/>
      <c r="D3" s="7"/>
      <c r="E3" s="8"/>
      <c r="F3" s="7"/>
      <c r="G3" s="8"/>
    </row>
    <row r="4" spans="1:7" ht="15.75" x14ac:dyDescent="0.25">
      <c r="A4" s="9" t="s">
        <v>9</v>
      </c>
      <c r="B4" s="1"/>
      <c r="C4" s="1"/>
      <c r="D4" s="1"/>
      <c r="E4" s="1"/>
      <c r="F4" s="1"/>
      <c r="G4" s="13"/>
    </row>
    <row r="5" spans="1:7" x14ac:dyDescent="0.2">
      <c r="A5" s="1"/>
      <c r="B5" s="1"/>
      <c r="C5" s="1"/>
      <c r="D5" s="1"/>
      <c r="E5" s="1"/>
      <c r="F5" s="1"/>
      <c r="G5" s="13"/>
    </row>
    <row r="6" spans="1:7" s="6" customFormat="1" x14ac:dyDescent="0.2">
      <c r="B6" s="151" t="s">
        <v>115</v>
      </c>
      <c r="C6" s="152"/>
      <c r="D6" s="152"/>
      <c r="E6" s="152"/>
      <c r="F6" s="32" t="s">
        <v>10</v>
      </c>
      <c r="G6" s="33">
        <f>GF1_ABS!G27</f>
        <v>3049667.9548999998</v>
      </c>
    </row>
    <row r="7" spans="1:7" s="6" customFormat="1" x14ac:dyDescent="0.2">
      <c r="B7" s="37"/>
      <c r="C7" s="10"/>
      <c r="D7" s="10"/>
      <c r="E7" s="10"/>
      <c r="F7" s="32"/>
      <c r="G7" s="33"/>
    </row>
    <row r="8" spans="1:7" s="6" customFormat="1" x14ac:dyDescent="0.2">
      <c r="B8" s="38" t="s">
        <v>116</v>
      </c>
      <c r="C8" s="17"/>
      <c r="D8" s="17"/>
      <c r="E8" s="30"/>
      <c r="F8" s="34" t="s">
        <v>10</v>
      </c>
      <c r="G8" s="27">
        <f>G6*0.12</f>
        <v>365960.15458799998</v>
      </c>
    </row>
    <row r="9" spans="1:7" s="6" customFormat="1" x14ac:dyDescent="0.2">
      <c r="B9" s="14"/>
      <c r="C9" s="17"/>
      <c r="D9" s="17"/>
      <c r="E9" s="23"/>
      <c r="F9" s="34"/>
      <c r="G9" s="27"/>
    </row>
    <row r="10" spans="1:7" x14ac:dyDescent="0.2">
      <c r="F10" s="35" t="s">
        <v>11</v>
      </c>
      <c r="G10" s="36">
        <f>SUM(G6:G8)</f>
        <v>3415628.1094879997</v>
      </c>
    </row>
    <row r="12" spans="1:7" x14ac:dyDescent="0.2">
      <c r="B12" s="145" t="s">
        <v>125</v>
      </c>
      <c r="E12" s="5"/>
      <c r="G12"/>
    </row>
    <row r="13" spans="1:7" x14ac:dyDescent="0.2">
      <c r="C13" s="21" t="s">
        <v>12</v>
      </c>
      <c r="D13" s="13">
        <f>G6</f>
        <v>3049667.9548999998</v>
      </c>
      <c r="E13" s="24"/>
      <c r="F13" s="22" t="s">
        <v>10</v>
      </c>
      <c r="G13" s="4">
        <f>ROUNDUP(D13*0.02,0)</f>
        <v>60994</v>
      </c>
    </row>
    <row r="14" spans="1:7" x14ac:dyDescent="0.2">
      <c r="C14" s="21"/>
      <c r="D14" s="13"/>
      <c r="E14" s="149" t="s">
        <v>64</v>
      </c>
      <c r="F14" s="149"/>
      <c r="G14" s="28">
        <f>SUM(G10:G13)</f>
        <v>3476622.1094879997</v>
      </c>
    </row>
    <row r="16" spans="1:7" ht="15.75" x14ac:dyDescent="0.25">
      <c r="F16" s="21" t="s">
        <v>13</v>
      </c>
      <c r="G16" s="31">
        <f>ROUND(G14/100000,2)</f>
        <v>34.770000000000003</v>
      </c>
    </row>
    <row r="17" spans="1:8" ht="15.75" x14ac:dyDescent="0.25">
      <c r="D17" s="3"/>
      <c r="E17" s="12"/>
      <c r="F17" s="19"/>
      <c r="G17" s="25" t="s">
        <v>79</v>
      </c>
    </row>
    <row r="18" spans="1:8" ht="15.75" x14ac:dyDescent="0.25">
      <c r="G18" s="16"/>
    </row>
    <row r="19" spans="1:8" ht="15.75" x14ac:dyDescent="0.25">
      <c r="G19" s="16"/>
    </row>
    <row r="20" spans="1:8" s="29" customFormat="1" ht="15.75" x14ac:dyDescent="0.25">
      <c r="A20" s="18"/>
      <c r="B20"/>
      <c r="C20"/>
      <c r="D20" s="3"/>
      <c r="E20" s="150" t="s">
        <v>1</v>
      </c>
      <c r="F20" s="150"/>
      <c r="G20" s="150"/>
      <c r="H20" s="26"/>
    </row>
    <row r="21" spans="1:8" s="29" customFormat="1" ht="15.75" x14ac:dyDescent="0.25">
      <c r="A21" s="18"/>
      <c r="B21"/>
      <c r="C21"/>
      <c r="D21"/>
      <c r="E21" s="150" t="s">
        <v>117</v>
      </c>
      <c r="F21" s="150"/>
      <c r="G21" s="150"/>
      <c r="H21" s="26"/>
    </row>
    <row r="23" spans="1:8" ht="15.75" x14ac:dyDescent="0.2">
      <c r="E23" s="20"/>
    </row>
    <row r="24" spans="1:8" ht="15.75" x14ac:dyDescent="0.2">
      <c r="E24" s="18"/>
    </row>
  </sheetData>
  <mergeCells count="4">
    <mergeCell ref="E14:F14"/>
    <mergeCell ref="E20:G20"/>
    <mergeCell ref="E21:G21"/>
    <mergeCell ref="B6:E6"/>
  </mergeCells>
  <phoneticPr fontId="0" type="noConversion"/>
  <printOptions horizontalCentered="1"/>
  <pageMargins left="0.75" right="0.75" top="1" bottom="1" header="0.5" footer="0.5"/>
  <pageSetup paperSize="9" scale="98" fitToHeight="11" orientation="portrait" horizontalDpi="180" verticalDpi="180" r:id="rId1"/>
  <headerFooter alignWithMargins="0">
    <oddFooter>&amp;C&amp;A&amp;RPage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5"/>
  <sheetViews>
    <sheetView topLeftCell="A17" zoomScale="75" zoomScaleNormal="100" workbookViewId="0">
      <selection activeCell="C21" sqref="C21"/>
    </sheetView>
    <sheetView topLeftCell="A2" workbookViewId="1">
      <selection activeCell="G7" sqref="G7"/>
    </sheetView>
    <sheetView topLeftCell="A25" zoomScaleNormal="100" zoomScaleSheetLayoutView="100" workbookViewId="2">
      <selection activeCell="K30" sqref="K30"/>
    </sheetView>
  </sheetViews>
  <sheetFormatPr defaultRowHeight="15" x14ac:dyDescent="0.2"/>
  <cols>
    <col min="1" max="1" width="5.33203125" style="51" bestFit="1" customWidth="1"/>
    <col min="2" max="2" width="35" style="52" customWidth="1"/>
    <col min="3" max="3" width="7.6640625" style="69" bestFit="1" customWidth="1"/>
    <col min="4" max="4" width="6.109375" style="67" customWidth="1"/>
    <col min="5" max="5" width="6.44140625" style="69" bestFit="1" customWidth="1"/>
    <col min="6" max="6" width="6.33203125" style="67" bestFit="1" customWidth="1"/>
    <col min="7" max="7" width="10.44140625" style="67" bestFit="1" customWidth="1"/>
    <col min="8" max="8" width="9.77734375" style="50" bestFit="1" customWidth="1"/>
    <col min="9" max="16384" width="8.88671875" style="50"/>
  </cols>
  <sheetData>
    <row r="1" spans="1:7" ht="15" customHeight="1" x14ac:dyDescent="0.2">
      <c r="A1" s="155" t="str">
        <f>'gen-abstract'!A2</f>
        <v>NAME OF WORK :- Construction of Hall with Dome Roof at Arthuna   [SIZE 20 M X 30 M]</v>
      </c>
      <c r="B1" s="155"/>
      <c r="C1" s="155"/>
      <c r="D1" s="155"/>
      <c r="E1" s="155"/>
      <c r="F1" s="155"/>
      <c r="G1" s="155"/>
    </row>
    <row r="2" spans="1:7" x14ac:dyDescent="0.2">
      <c r="A2" s="155"/>
      <c r="B2" s="155"/>
      <c r="C2" s="155"/>
      <c r="D2" s="155"/>
      <c r="E2" s="155"/>
      <c r="F2" s="155"/>
      <c r="G2" s="155"/>
    </row>
    <row r="3" spans="1:7" x14ac:dyDescent="0.2">
      <c r="A3" s="153" t="s">
        <v>120</v>
      </c>
      <c r="B3" s="153"/>
      <c r="C3" s="153"/>
      <c r="D3" s="153"/>
      <c r="E3" s="153"/>
      <c r="F3" s="153"/>
      <c r="G3" s="153"/>
    </row>
    <row r="4" spans="1:7" ht="15.75" x14ac:dyDescent="0.25">
      <c r="A4" s="154" t="s">
        <v>14</v>
      </c>
      <c r="B4" s="154"/>
      <c r="C4" s="154"/>
      <c r="D4" s="154"/>
      <c r="E4" s="154"/>
      <c r="F4" s="154"/>
      <c r="G4" s="154"/>
    </row>
    <row r="5" spans="1:7" x14ac:dyDescent="0.2">
      <c r="A5" s="44" t="s">
        <v>15</v>
      </c>
      <c r="B5" s="45" t="s">
        <v>16</v>
      </c>
      <c r="C5" s="62" t="s">
        <v>17</v>
      </c>
      <c r="D5" s="44"/>
      <c r="E5" s="62" t="s">
        <v>18</v>
      </c>
      <c r="F5" s="44" t="s">
        <v>19</v>
      </c>
      <c r="G5" s="63" t="s">
        <v>20</v>
      </c>
    </row>
    <row r="6" spans="1:7" s="56" customFormat="1" ht="165" x14ac:dyDescent="0.2">
      <c r="A6" s="46">
        <v>1</v>
      </c>
      <c r="B6" s="47" t="s">
        <v>122</v>
      </c>
      <c r="C6" s="64">
        <f>GF1_MES!K22</f>
        <v>720</v>
      </c>
      <c r="D6" s="48" t="s">
        <v>21</v>
      </c>
      <c r="E6" s="46">
        <v>178</v>
      </c>
      <c r="F6" s="48" t="s">
        <v>22</v>
      </c>
      <c r="G6" s="64">
        <f t="shared" ref="G6:G20" si="0">C6*E6</f>
        <v>128160</v>
      </c>
    </row>
    <row r="7" spans="1:7" ht="111" customHeight="1" x14ac:dyDescent="0.2">
      <c r="A7" s="46">
        <v>2</v>
      </c>
      <c r="B7" s="47" t="s">
        <v>81</v>
      </c>
      <c r="C7" s="64">
        <f>GF1_MES!K34</f>
        <v>526.4</v>
      </c>
      <c r="D7" s="48" t="s">
        <v>21</v>
      </c>
      <c r="E7" s="46">
        <v>64</v>
      </c>
      <c r="F7" s="48" t="s">
        <v>22</v>
      </c>
      <c r="G7" s="64">
        <f t="shared" si="0"/>
        <v>33689.599999999999</v>
      </c>
    </row>
    <row r="8" spans="1:7" ht="105" x14ac:dyDescent="0.2">
      <c r="A8" s="46">
        <v>3</v>
      </c>
      <c r="B8" s="47" t="s">
        <v>82</v>
      </c>
      <c r="C8" s="64">
        <f>GF1_MES!K38</f>
        <v>22.08</v>
      </c>
      <c r="D8" s="48" t="s">
        <v>21</v>
      </c>
      <c r="E8" s="46">
        <v>3302</v>
      </c>
      <c r="F8" s="48" t="s">
        <v>22</v>
      </c>
      <c r="G8" s="64">
        <f t="shared" si="0"/>
        <v>72908.159999999989</v>
      </c>
    </row>
    <row r="9" spans="1:7" ht="135" x14ac:dyDescent="0.2">
      <c r="A9" s="46">
        <v>4</v>
      </c>
      <c r="B9" s="47" t="s">
        <v>83</v>
      </c>
      <c r="C9" s="64">
        <f>GF1_MES!K49</f>
        <v>94.009999999999991</v>
      </c>
      <c r="D9" s="48" t="s">
        <v>21</v>
      </c>
      <c r="E9" s="46">
        <f>4934+69</f>
        <v>5003</v>
      </c>
      <c r="F9" s="48" t="s">
        <v>22</v>
      </c>
      <c r="G9" s="64">
        <f t="shared" si="0"/>
        <v>470332.02999999997</v>
      </c>
    </row>
    <row r="10" spans="1:7" ht="90" x14ac:dyDescent="0.2">
      <c r="A10" s="46">
        <v>5</v>
      </c>
      <c r="B10" s="47" t="s">
        <v>84</v>
      </c>
      <c r="C10" s="64">
        <f>GF1_MES!K54</f>
        <v>69.480000000000018</v>
      </c>
      <c r="D10" s="48" t="s">
        <v>23</v>
      </c>
      <c r="E10" s="46">
        <v>157</v>
      </c>
      <c r="F10" s="48" t="s">
        <v>24</v>
      </c>
      <c r="G10" s="64">
        <f t="shared" si="0"/>
        <v>10908.360000000002</v>
      </c>
    </row>
    <row r="11" spans="1:7" ht="103.5" customHeight="1" x14ac:dyDescent="0.2">
      <c r="A11" s="46">
        <v>6</v>
      </c>
      <c r="B11" s="47" t="s">
        <v>85</v>
      </c>
      <c r="C11" s="65">
        <f>GF1_MES!K58</f>
        <v>5532</v>
      </c>
      <c r="D11" s="48" t="s">
        <v>25</v>
      </c>
      <c r="E11" s="46">
        <v>77</v>
      </c>
      <c r="F11" s="48" t="s">
        <v>26</v>
      </c>
      <c r="G11" s="64">
        <f t="shared" si="0"/>
        <v>425964</v>
      </c>
    </row>
    <row r="12" spans="1:7" ht="75" x14ac:dyDescent="0.2">
      <c r="A12" s="46">
        <v>7</v>
      </c>
      <c r="B12" s="47" t="s">
        <v>123</v>
      </c>
      <c r="C12" s="64">
        <f>GF1_MES!K68</f>
        <v>59.735599999999998</v>
      </c>
      <c r="D12" s="48" t="s">
        <v>21</v>
      </c>
      <c r="E12" s="46">
        <v>4990</v>
      </c>
      <c r="F12" s="48" t="s">
        <v>22</v>
      </c>
      <c r="G12" s="64">
        <f t="shared" si="0"/>
        <v>298080.64399999997</v>
      </c>
    </row>
    <row r="13" spans="1:7" ht="81.75" customHeight="1" x14ac:dyDescent="0.2">
      <c r="A13" s="46">
        <v>8</v>
      </c>
      <c r="B13" s="47" t="s">
        <v>124</v>
      </c>
      <c r="C13" s="64">
        <f>GF1_MES!K70</f>
        <v>54</v>
      </c>
      <c r="D13" s="48" t="s">
        <v>21</v>
      </c>
      <c r="E13" s="46">
        <v>2838</v>
      </c>
      <c r="F13" s="48" t="s">
        <v>22</v>
      </c>
      <c r="G13" s="64">
        <f t="shared" si="0"/>
        <v>153252</v>
      </c>
    </row>
    <row r="14" spans="1:7" s="61" customFormat="1" ht="45" x14ac:dyDescent="0.2">
      <c r="A14" s="65">
        <v>9</v>
      </c>
      <c r="B14" s="54" t="s">
        <v>68</v>
      </c>
      <c r="C14" s="64">
        <f>GF1_MES!K88</f>
        <v>765.12</v>
      </c>
      <c r="D14" s="46" t="s">
        <v>23</v>
      </c>
      <c r="E14" s="64">
        <v>190</v>
      </c>
      <c r="F14" s="66" t="s">
        <v>24</v>
      </c>
      <c r="G14" s="64">
        <f>IF(C14,ROUNDUP(C14*E14,0),"")</f>
        <v>145373</v>
      </c>
    </row>
    <row r="15" spans="1:7" ht="220.5" customHeight="1" x14ac:dyDescent="0.2">
      <c r="A15" s="46">
        <v>10</v>
      </c>
      <c r="B15" s="47" t="s">
        <v>121</v>
      </c>
      <c r="C15" s="64">
        <f>GF1_MES!K93</f>
        <v>138.12029999999999</v>
      </c>
      <c r="D15" s="48" t="s">
        <v>25</v>
      </c>
      <c r="E15" s="46">
        <v>83</v>
      </c>
      <c r="F15" s="48" t="s">
        <v>26</v>
      </c>
      <c r="G15" s="64">
        <f t="shared" si="0"/>
        <v>11463.984899999999</v>
      </c>
    </row>
    <row r="16" spans="1:7" s="57" customFormat="1" ht="315" x14ac:dyDescent="0.25">
      <c r="A16" s="46">
        <v>11</v>
      </c>
      <c r="B16" s="47" t="s">
        <v>87</v>
      </c>
      <c r="C16" s="64">
        <f>GF1_MES!K96</f>
        <v>17.28</v>
      </c>
      <c r="D16" s="48" t="s">
        <v>23</v>
      </c>
      <c r="E16" s="46">
        <v>3090</v>
      </c>
      <c r="F16" s="66" t="s">
        <v>24</v>
      </c>
      <c r="G16" s="64">
        <f t="shared" si="0"/>
        <v>53395.200000000004</v>
      </c>
    </row>
    <row r="17" spans="1:9" s="57" customFormat="1" ht="75" x14ac:dyDescent="0.25">
      <c r="A17" s="46">
        <v>12</v>
      </c>
      <c r="B17" s="47" t="s">
        <v>88</v>
      </c>
      <c r="C17" s="64">
        <f>GF1_MES!K103</f>
        <v>1.7280000000000002</v>
      </c>
      <c r="D17" s="48" t="s">
        <v>23</v>
      </c>
      <c r="E17" s="46">
        <v>617</v>
      </c>
      <c r="F17" s="46"/>
      <c r="G17" s="64">
        <f t="shared" si="0"/>
        <v>1066.1760000000002</v>
      </c>
    </row>
    <row r="18" spans="1:9" s="56" customFormat="1" ht="30" x14ac:dyDescent="0.2">
      <c r="A18" s="46">
        <v>13</v>
      </c>
      <c r="B18" s="47" t="s">
        <v>89</v>
      </c>
      <c r="C18" s="64">
        <f>GF1_MES!K100</f>
        <v>162.71999999999997</v>
      </c>
      <c r="D18" s="48" t="s">
        <v>25</v>
      </c>
      <c r="E18" s="46">
        <v>65</v>
      </c>
      <c r="F18" s="46"/>
      <c r="G18" s="64">
        <f t="shared" si="0"/>
        <v>10576.799999999997</v>
      </c>
      <c r="I18" s="58"/>
    </row>
    <row r="19" spans="1:9" ht="105" x14ac:dyDescent="0.2">
      <c r="A19" s="46">
        <v>14</v>
      </c>
      <c r="B19" s="47" t="s">
        <v>90</v>
      </c>
      <c r="C19" s="64">
        <f>GF1_MES!K106</f>
        <v>600</v>
      </c>
      <c r="D19" s="48" t="s">
        <v>23</v>
      </c>
      <c r="E19" s="46">
        <v>1023</v>
      </c>
      <c r="F19" s="46"/>
      <c r="G19" s="64">
        <f t="shared" si="0"/>
        <v>613800</v>
      </c>
    </row>
    <row r="20" spans="1:9" ht="30" x14ac:dyDescent="0.2">
      <c r="A20" s="46">
        <v>15</v>
      </c>
      <c r="B20" s="47" t="s">
        <v>91</v>
      </c>
      <c r="C20" s="64">
        <f>GF1_MES!K111</f>
        <v>137.75</v>
      </c>
      <c r="D20" s="48" t="s">
        <v>21</v>
      </c>
      <c r="E20" s="46">
        <v>932</v>
      </c>
      <c r="F20" s="48" t="s">
        <v>22</v>
      </c>
      <c r="G20" s="64">
        <f t="shared" si="0"/>
        <v>128383</v>
      </c>
    </row>
    <row r="21" spans="1:9" ht="45" x14ac:dyDescent="0.2">
      <c r="A21" s="53">
        <v>16</v>
      </c>
      <c r="B21" s="55" t="s">
        <v>8</v>
      </c>
      <c r="C21" s="64">
        <f>GF1_MES!K118</f>
        <v>330.12</v>
      </c>
      <c r="D21" s="46" t="s">
        <v>23</v>
      </c>
      <c r="E21" s="64">
        <v>11</v>
      </c>
      <c r="F21" s="66" t="s">
        <v>24</v>
      </c>
      <c r="G21" s="64">
        <f t="shared" ref="G21:G24" si="1">IF(C21,ROUNDUP(C21*E21,0),"")</f>
        <v>3632</v>
      </c>
    </row>
    <row r="22" spans="1:9" ht="60" x14ac:dyDescent="0.2">
      <c r="A22" s="53">
        <v>17</v>
      </c>
      <c r="B22" s="54" t="s">
        <v>69</v>
      </c>
      <c r="C22" s="64">
        <f>GF1_MES!K122</f>
        <v>435</v>
      </c>
      <c r="D22" s="46" t="s">
        <v>23</v>
      </c>
      <c r="E22" s="64">
        <v>14</v>
      </c>
      <c r="F22" s="66" t="s">
        <v>24</v>
      </c>
      <c r="G22" s="64">
        <f t="shared" si="1"/>
        <v>6090</v>
      </c>
    </row>
    <row r="23" spans="1:9" ht="60" x14ac:dyDescent="0.2">
      <c r="A23" s="53">
        <v>18</v>
      </c>
      <c r="B23" s="47" t="s">
        <v>66</v>
      </c>
      <c r="C23" s="64">
        <f>GF1_MES!K127</f>
        <v>73.278000000000006</v>
      </c>
      <c r="D23" s="46" t="s">
        <v>23</v>
      </c>
      <c r="E23" s="64">
        <v>29</v>
      </c>
      <c r="F23" s="66" t="s">
        <v>24</v>
      </c>
      <c r="G23" s="64">
        <f t="shared" si="1"/>
        <v>2126</v>
      </c>
    </row>
    <row r="24" spans="1:9" ht="45" x14ac:dyDescent="0.2">
      <c r="A24" s="53">
        <f>A23+1</f>
        <v>19</v>
      </c>
      <c r="B24" s="54" t="s">
        <v>31</v>
      </c>
      <c r="C24" s="64">
        <f>GF1_MES!K130</f>
        <v>73.278000000000006</v>
      </c>
      <c r="D24" s="46" t="s">
        <v>23</v>
      </c>
      <c r="E24" s="64">
        <v>69</v>
      </c>
      <c r="F24" s="66" t="s">
        <v>24</v>
      </c>
      <c r="G24" s="64">
        <f t="shared" si="1"/>
        <v>5057</v>
      </c>
    </row>
    <row r="25" spans="1:9" ht="300" x14ac:dyDescent="0.2">
      <c r="A25" s="53">
        <v>20</v>
      </c>
      <c r="B25" s="47" t="s">
        <v>110</v>
      </c>
      <c r="C25" s="64">
        <f>GF1_MES!K133</f>
        <v>600</v>
      </c>
      <c r="D25" s="46" t="s">
        <v>23</v>
      </c>
      <c r="E25" s="64">
        <v>689</v>
      </c>
      <c r="F25" s="66" t="s">
        <v>24</v>
      </c>
      <c r="G25" s="64">
        <f>IF(C25,ROUNDUP(C25*E25,0),"")</f>
        <v>413400</v>
      </c>
    </row>
    <row r="26" spans="1:9" ht="60" x14ac:dyDescent="0.2">
      <c r="A26" s="53">
        <v>21</v>
      </c>
      <c r="B26" s="55" t="s">
        <v>111</v>
      </c>
      <c r="C26" s="64">
        <f>C25</f>
        <v>600</v>
      </c>
      <c r="D26" s="46" t="s">
        <v>23</v>
      </c>
      <c r="E26" s="64">
        <v>103.35</v>
      </c>
      <c r="F26" s="66" t="s">
        <v>24</v>
      </c>
      <c r="G26" s="64">
        <f>IF(C26,ROUNDUP(C26*E26,0),"")</f>
        <v>62010</v>
      </c>
    </row>
    <row r="27" spans="1:9" x14ac:dyDescent="0.2">
      <c r="C27" s="67"/>
      <c r="E27" s="68" t="s">
        <v>32</v>
      </c>
      <c r="F27" s="68" t="s">
        <v>10</v>
      </c>
      <c r="G27" s="68">
        <f>SUM(G1:G26)</f>
        <v>3049667.9548999998</v>
      </c>
    </row>
    <row r="28" spans="1:9" x14ac:dyDescent="0.2">
      <c r="C28" s="67"/>
      <c r="F28" s="69"/>
      <c r="G28" s="69"/>
    </row>
    <row r="29" spans="1:9" x14ac:dyDescent="0.2">
      <c r="C29" s="67"/>
      <c r="F29" s="69"/>
      <c r="G29" s="69"/>
    </row>
    <row r="30" spans="1:9" ht="15.75" x14ac:dyDescent="0.2">
      <c r="A30" s="59"/>
      <c r="B30" s="60"/>
      <c r="C30" s="67"/>
      <c r="D30" s="70" t="s">
        <v>1</v>
      </c>
      <c r="E30" s="67"/>
      <c r="F30" s="70"/>
      <c r="G30" s="70"/>
    </row>
    <row r="31" spans="1:9" ht="15.75" x14ac:dyDescent="0.2">
      <c r="A31" s="59"/>
      <c r="B31" s="60"/>
      <c r="C31" s="67"/>
      <c r="D31" s="70" t="s">
        <v>117</v>
      </c>
      <c r="E31" s="67"/>
      <c r="F31" s="70"/>
      <c r="G31" s="70"/>
    </row>
    <row r="32" spans="1:9" x14ac:dyDescent="0.2">
      <c r="A32" s="50"/>
      <c r="C32" s="67"/>
      <c r="E32" s="67"/>
    </row>
    <row r="33" spans="1:5" ht="15.75" x14ac:dyDescent="0.2">
      <c r="A33" s="50"/>
      <c r="C33" s="71"/>
      <c r="E33" s="67"/>
    </row>
    <row r="34" spans="1:5" ht="15.75" x14ac:dyDescent="0.2">
      <c r="A34" s="50"/>
      <c r="C34" s="70"/>
      <c r="E34" s="67"/>
    </row>
    <row r="35" spans="1:5" x14ac:dyDescent="0.2">
      <c r="A35" s="50"/>
      <c r="C35" s="67"/>
      <c r="E35" s="67"/>
    </row>
    <row r="36" spans="1:5" x14ac:dyDescent="0.2">
      <c r="A36" s="50"/>
      <c r="C36" s="67"/>
      <c r="E36" s="67"/>
    </row>
    <row r="37" spans="1:5" x14ac:dyDescent="0.2">
      <c r="A37" s="50"/>
      <c r="C37" s="67"/>
      <c r="E37" s="67"/>
    </row>
    <row r="38" spans="1:5" x14ac:dyDescent="0.2">
      <c r="A38" s="50"/>
      <c r="C38" s="67"/>
      <c r="E38" s="67"/>
    </row>
    <row r="39" spans="1:5" x14ac:dyDescent="0.2">
      <c r="A39" s="50"/>
      <c r="C39" s="67"/>
      <c r="E39" s="67"/>
    </row>
    <row r="40" spans="1:5" x14ac:dyDescent="0.2">
      <c r="A40" s="50"/>
      <c r="C40" s="67"/>
      <c r="E40" s="67"/>
    </row>
    <row r="41" spans="1:5" x14ac:dyDescent="0.2">
      <c r="A41" s="50"/>
      <c r="C41" s="67"/>
      <c r="E41" s="67"/>
    </row>
    <row r="42" spans="1:5" x14ac:dyDescent="0.2">
      <c r="A42" s="50"/>
      <c r="C42" s="67"/>
      <c r="E42" s="67"/>
    </row>
    <row r="43" spans="1:5" x14ac:dyDescent="0.2">
      <c r="A43" s="50"/>
      <c r="C43" s="67"/>
      <c r="E43" s="67"/>
    </row>
    <row r="44" spans="1:5" x14ac:dyDescent="0.2">
      <c r="A44" s="50"/>
      <c r="C44" s="67"/>
      <c r="E44" s="67"/>
    </row>
    <row r="45" spans="1:5" x14ac:dyDescent="0.2">
      <c r="A45" s="50"/>
      <c r="C45" s="67"/>
      <c r="E45" s="67"/>
    </row>
  </sheetData>
  <mergeCells count="3">
    <mergeCell ref="A3:G3"/>
    <mergeCell ref="A4:G4"/>
    <mergeCell ref="A1:G2"/>
  </mergeCells>
  <phoneticPr fontId="0" type="noConversion"/>
  <dataValidations count="4">
    <dataValidation type="decimal" allowBlank="1" showInputMessage="1" showErrorMessage="1" errorTitle="Invalid Entry" error="Only Numeric Values are allowed. " promptTitle="Quantity" prompt="Please enter the Quantity for this item. " sqref="C6 C16:C20 C8:C14">
      <formula1>0</formula1>
      <formula2>999999999999999</formula2>
    </dataValidation>
    <dataValidation type="decimal" allowBlank="1" showInputMessage="1" showErrorMessage="1" errorTitle="Invalid Entry" error="Only Numeric Values are allowed. " sqref="E7 C15 C7 E15">
      <formula1>0</formula1>
      <formula2>999999999999999</formula2>
    </dataValidation>
    <dataValidation type="decimal" allowBlank="1" showInputMessage="1" showErrorMessage="1" errorTitle="Invalid Entry" error="Only Numeric Values are allowed. " promptTitle="Estimated Rate" prompt="Please enter the Estimated Rate for this item. " sqref="E6 E8:E13 E16:E20 F17:F19">
      <formula1>0</formula1>
      <formula2>999999999999999</formula2>
    </dataValidation>
    <dataValidation type="decimal" allowBlank="1" showInputMessage="1" showErrorMessage="1" errorTitle="Invalid Entry" error="Only Numeric Values are allowed." sqref="A15:A20 A6:A13">
      <formula1>0</formula1>
      <formula2>999999999999999</formula2>
    </dataValidation>
  </dataValidations>
  <printOptions horizontalCentered="1"/>
  <pageMargins left="0.75" right="0.75" top="0.76" bottom="1" header="0.5" footer="0.5"/>
  <pageSetup paperSize="9" scale="93" fitToHeight="22" orientation="portrait" horizontalDpi="180" verticalDpi="180" r:id="rId1"/>
  <headerFooter alignWithMargins="0">
    <oddFooter>&amp;C&amp;A&amp;R&amp;P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38"/>
  <sheetViews>
    <sheetView tabSelected="1" topLeftCell="A145" zoomScaleNormal="75" zoomScaleSheetLayoutView="75" workbookViewId="0">
      <selection activeCell="E146" sqref="E146"/>
    </sheetView>
    <sheetView topLeftCell="A165" workbookViewId="1">
      <selection activeCell="A173" sqref="A173"/>
    </sheetView>
    <sheetView tabSelected="1" view="pageBreakPreview" topLeftCell="A31" zoomScaleNormal="75" zoomScaleSheetLayoutView="100" workbookViewId="2">
      <selection activeCell="N48" sqref="A1:XFD1048576"/>
    </sheetView>
  </sheetViews>
  <sheetFormatPr defaultRowHeight="14.25" x14ac:dyDescent="0.2"/>
  <cols>
    <col min="1" max="1" width="3.88671875" style="89" bestFit="1" customWidth="1"/>
    <col min="2" max="2" width="33" style="143" customWidth="1"/>
    <col min="3" max="3" width="4.77734375" style="89" bestFit="1" customWidth="1"/>
    <col min="4" max="4" width="1.5546875" style="41" customWidth="1"/>
    <col min="5" max="5" width="6.44140625" style="43" bestFit="1" customWidth="1"/>
    <col min="6" max="6" width="1.88671875" style="41" customWidth="1"/>
    <col min="7" max="7" width="5.88671875" style="100" customWidth="1"/>
    <col min="8" max="8" width="4" style="41" customWidth="1"/>
    <col min="9" max="9" width="3.77734375" style="43" customWidth="1"/>
    <col min="10" max="10" width="3.21875" style="41" bestFit="1" customWidth="1"/>
    <col min="11" max="11" width="6.5546875" style="43" bestFit="1" customWidth="1"/>
    <col min="12" max="12" width="4.44140625" style="41" bestFit="1" customWidth="1"/>
    <col min="13" max="16384" width="8.88671875" style="41"/>
  </cols>
  <sheetData>
    <row r="1" spans="1:13" s="72" customFormat="1" ht="14.25" customHeight="1" x14ac:dyDescent="0.2">
      <c r="A1" s="160" t="str">
        <f>'gen-abstract'!A2</f>
        <v>NAME OF WORK :- Construction of Hall with Dome Roof at Arthuna   [SIZE 20 M X 30 M]</v>
      </c>
      <c r="B1" s="160"/>
      <c r="C1" s="160"/>
      <c r="D1" s="160"/>
      <c r="E1" s="160"/>
      <c r="F1" s="160"/>
      <c r="G1" s="160"/>
      <c r="H1" s="160"/>
      <c r="I1" s="160"/>
      <c r="J1" s="160"/>
      <c r="K1" s="160"/>
      <c r="L1" s="160"/>
    </row>
    <row r="2" spans="1:13" s="72" customFormat="1" ht="15" customHeight="1" x14ac:dyDescent="0.2">
      <c r="A2" s="160"/>
      <c r="B2" s="160"/>
      <c r="C2" s="160"/>
      <c r="D2" s="160"/>
      <c r="E2" s="160"/>
      <c r="F2" s="160"/>
      <c r="G2" s="160"/>
      <c r="H2" s="160"/>
      <c r="I2" s="160"/>
      <c r="J2" s="160"/>
      <c r="K2" s="160"/>
      <c r="L2" s="160"/>
    </row>
    <row r="3" spans="1:13" s="72" customFormat="1" ht="15" x14ac:dyDescent="0.2">
      <c r="A3" s="157" t="s">
        <v>95</v>
      </c>
      <c r="B3" s="157"/>
      <c r="C3" s="157"/>
      <c r="D3" s="157"/>
      <c r="E3" s="157"/>
      <c r="F3" s="157"/>
      <c r="G3" s="157"/>
      <c r="H3" s="157"/>
      <c r="I3" s="157"/>
      <c r="J3" s="157"/>
      <c r="K3" s="157"/>
      <c r="L3" s="157"/>
    </row>
    <row r="4" spans="1:13" s="72" customFormat="1" x14ac:dyDescent="0.2">
      <c r="A4" s="158" t="s">
        <v>33</v>
      </c>
      <c r="B4" s="158"/>
      <c r="C4" s="158"/>
      <c r="D4" s="158"/>
      <c r="E4" s="158"/>
      <c r="F4" s="158"/>
      <c r="G4" s="158"/>
      <c r="H4" s="158"/>
      <c r="I4" s="158"/>
      <c r="J4" s="158"/>
      <c r="K4" s="158"/>
      <c r="L4" s="158"/>
    </row>
    <row r="5" spans="1:13" s="76" customFormat="1" x14ac:dyDescent="0.2">
      <c r="A5" s="73" t="s">
        <v>34</v>
      </c>
      <c r="B5" s="74" t="s">
        <v>35</v>
      </c>
      <c r="C5" s="73" t="s">
        <v>36</v>
      </c>
      <c r="D5" s="73"/>
      <c r="E5" s="75" t="s">
        <v>37</v>
      </c>
      <c r="F5" s="73"/>
      <c r="G5" s="75" t="s">
        <v>38</v>
      </c>
      <c r="H5" s="75"/>
      <c r="I5" s="75" t="s">
        <v>39</v>
      </c>
      <c r="J5" s="75"/>
      <c r="K5" s="75" t="s">
        <v>40</v>
      </c>
      <c r="L5" s="75" t="s">
        <v>41</v>
      </c>
    </row>
    <row r="6" spans="1:13" s="72" customFormat="1" x14ac:dyDescent="0.2">
      <c r="A6" s="76"/>
      <c r="B6" s="78" t="s">
        <v>67</v>
      </c>
      <c r="C6" s="79"/>
      <c r="E6" s="79"/>
      <c r="G6" s="80"/>
    </row>
    <row r="7" spans="1:13" s="72" customFormat="1" ht="15" x14ac:dyDescent="0.2">
      <c r="A7" s="76"/>
      <c r="B7" s="81" t="s">
        <v>92</v>
      </c>
      <c r="C7" s="79"/>
      <c r="E7" s="79"/>
      <c r="G7" s="80"/>
    </row>
    <row r="8" spans="1:13" s="72" customFormat="1" ht="30" x14ac:dyDescent="0.2">
      <c r="A8" s="76"/>
      <c r="B8" s="81" t="s">
        <v>94</v>
      </c>
      <c r="C8" s="79"/>
      <c r="E8" s="79"/>
      <c r="G8" s="80"/>
    </row>
    <row r="9" spans="1:13" s="72" customFormat="1" ht="15" x14ac:dyDescent="0.2">
      <c r="A9" s="128"/>
      <c r="B9" s="83"/>
      <c r="C9" s="77">
        <v>2</v>
      </c>
      <c r="D9" s="72" t="s">
        <v>42</v>
      </c>
      <c r="E9" s="144">
        <v>20</v>
      </c>
      <c r="G9" s="80"/>
      <c r="I9" s="79"/>
      <c r="J9" s="84" t="s">
        <v>43</v>
      </c>
      <c r="K9" s="79">
        <f t="shared" ref="K9:K10" si="0">IF(C9,C9*E9,"")</f>
        <v>40</v>
      </c>
      <c r="L9" s="77" t="s">
        <v>30</v>
      </c>
      <c r="M9" s="79"/>
    </row>
    <row r="10" spans="1:13" s="72" customFormat="1" ht="15" x14ac:dyDescent="0.2">
      <c r="A10" s="128"/>
      <c r="C10" s="77">
        <v>2</v>
      </c>
      <c r="D10" s="72" t="s">
        <v>42</v>
      </c>
      <c r="E10" s="144">
        <f>E9*1.5</f>
        <v>30</v>
      </c>
      <c r="G10" s="80"/>
      <c r="I10" s="79"/>
      <c r="J10" s="84" t="s">
        <v>43</v>
      </c>
      <c r="K10" s="79">
        <f t="shared" si="0"/>
        <v>60</v>
      </c>
      <c r="L10" s="77" t="s">
        <v>30</v>
      </c>
      <c r="M10" s="79"/>
    </row>
    <row r="11" spans="1:13" s="72" customFormat="1" x14ac:dyDescent="0.2">
      <c r="A11" s="128"/>
      <c r="B11" s="83"/>
      <c r="C11" s="77"/>
      <c r="E11" s="79"/>
      <c r="G11" s="80"/>
      <c r="I11" s="85" t="s">
        <v>65</v>
      </c>
      <c r="J11" s="86" t="s">
        <v>43</v>
      </c>
      <c r="K11" s="85">
        <f>SUM(K9:K10)</f>
        <v>100</v>
      </c>
      <c r="L11" s="87" t="s">
        <v>30</v>
      </c>
    </row>
    <row r="12" spans="1:13" s="72" customFormat="1" x14ac:dyDescent="0.2">
      <c r="A12" s="128"/>
      <c r="B12" s="83"/>
      <c r="C12" s="77"/>
      <c r="E12" s="79"/>
      <c r="G12" s="80"/>
      <c r="I12" s="43"/>
      <c r="J12" s="88"/>
      <c r="K12" s="43"/>
      <c r="L12" s="89"/>
    </row>
    <row r="13" spans="1:13" s="72" customFormat="1" ht="15" x14ac:dyDescent="0.2">
      <c r="A13" s="76"/>
      <c r="B13" s="81" t="s">
        <v>2</v>
      </c>
      <c r="C13" s="79"/>
      <c r="E13" s="79"/>
      <c r="G13" s="80"/>
    </row>
    <row r="14" spans="1:13" s="72" customFormat="1" x14ac:dyDescent="0.2">
      <c r="A14" s="128"/>
      <c r="B14" s="83" t="s">
        <v>93</v>
      </c>
      <c r="C14" s="77">
        <v>1</v>
      </c>
      <c r="D14" s="72" t="s">
        <v>42</v>
      </c>
      <c r="E14" s="79">
        <v>0</v>
      </c>
      <c r="G14" s="80"/>
      <c r="I14" s="79"/>
      <c r="J14" s="84" t="s">
        <v>43</v>
      </c>
      <c r="K14" s="79">
        <f t="shared" ref="K14" si="1">IF(C14,C14*E14,"")</f>
        <v>0</v>
      </c>
      <c r="L14" s="77" t="s">
        <v>30</v>
      </c>
    </row>
    <row r="15" spans="1:13" s="72" customFormat="1" x14ac:dyDescent="0.2">
      <c r="A15" s="128"/>
      <c r="B15" s="83"/>
      <c r="C15" s="77"/>
      <c r="E15" s="79"/>
      <c r="G15" s="80"/>
      <c r="I15" s="85" t="s">
        <v>65</v>
      </c>
      <c r="J15" s="86" t="s">
        <v>43</v>
      </c>
      <c r="K15" s="85">
        <f>SUM(K14:K14)</f>
        <v>0</v>
      </c>
      <c r="L15" s="87" t="s">
        <v>30</v>
      </c>
    </row>
    <row r="16" spans="1:13" s="72" customFormat="1" ht="30" x14ac:dyDescent="0.2">
      <c r="A16" s="76"/>
      <c r="B16" s="81" t="s">
        <v>97</v>
      </c>
      <c r="C16" s="79"/>
      <c r="E16" s="79"/>
      <c r="G16" s="80"/>
    </row>
    <row r="17" spans="1:12" s="72" customFormat="1" ht="15" x14ac:dyDescent="0.2">
      <c r="A17" s="128"/>
      <c r="B17" s="83"/>
      <c r="C17" s="77">
        <v>1</v>
      </c>
      <c r="D17" s="72" t="s">
        <v>42</v>
      </c>
      <c r="E17" s="79">
        <v>0</v>
      </c>
      <c r="F17" s="61"/>
      <c r="G17" s="80"/>
      <c r="I17" s="79"/>
      <c r="J17" s="84" t="s">
        <v>43</v>
      </c>
      <c r="K17" s="79">
        <f t="shared" ref="K17" si="2">IF(C17,C17*E17,"")</f>
        <v>0</v>
      </c>
      <c r="L17" s="77" t="s">
        <v>30</v>
      </c>
    </row>
    <row r="18" spans="1:12" s="72" customFormat="1" x14ac:dyDescent="0.2">
      <c r="A18" s="128"/>
      <c r="B18" s="83"/>
      <c r="C18" s="77"/>
      <c r="E18" s="79"/>
      <c r="G18" s="80"/>
      <c r="I18" s="85" t="s">
        <v>65</v>
      </c>
      <c r="J18" s="86" t="s">
        <v>43</v>
      </c>
      <c r="K18" s="85">
        <f>SUM(K17:K17)</f>
        <v>0</v>
      </c>
      <c r="L18" s="87" t="s">
        <v>30</v>
      </c>
    </row>
    <row r="19" spans="1:12" s="72" customFormat="1" ht="15" x14ac:dyDescent="0.2">
      <c r="A19" s="76"/>
      <c r="B19" s="90"/>
      <c r="D19" s="91"/>
      <c r="E19" s="92"/>
      <c r="F19" s="82"/>
      <c r="G19" s="92"/>
      <c r="H19" s="93"/>
      <c r="J19" s="94"/>
      <c r="K19" s="95"/>
      <c r="L19" s="96"/>
    </row>
    <row r="20" spans="1:12" s="72" customFormat="1" ht="114" x14ac:dyDescent="0.2">
      <c r="A20" s="76">
        <v>1</v>
      </c>
      <c r="B20" s="97" t="s">
        <v>80</v>
      </c>
      <c r="C20" s="79"/>
      <c r="E20" s="79"/>
      <c r="G20" s="80"/>
    </row>
    <row r="21" spans="1:12" s="72" customFormat="1" x14ac:dyDescent="0.2">
      <c r="A21" s="128"/>
      <c r="B21" s="83"/>
      <c r="C21" s="98">
        <v>1</v>
      </c>
      <c r="D21" s="98" t="s">
        <v>42</v>
      </c>
      <c r="E21" s="80">
        <f>E9</f>
        <v>20</v>
      </c>
      <c r="F21" s="98" t="s">
        <v>42</v>
      </c>
      <c r="G21" s="80">
        <f>E10</f>
        <v>30</v>
      </c>
      <c r="H21" s="99" t="s">
        <v>42</v>
      </c>
      <c r="I21" s="100">
        <v>1.2</v>
      </c>
      <c r="J21" s="101" t="s">
        <v>43</v>
      </c>
      <c r="K21" s="100">
        <f>IF(C21,C21*E21*G21*I21,"")</f>
        <v>720</v>
      </c>
      <c r="L21" s="102" t="s">
        <v>21</v>
      </c>
    </row>
    <row r="22" spans="1:12" s="72" customFormat="1" ht="15" x14ac:dyDescent="0.2">
      <c r="A22" s="128"/>
      <c r="B22" s="83"/>
      <c r="C22" s="77"/>
      <c r="E22" s="103"/>
      <c r="F22" s="104"/>
      <c r="G22" s="105" t="s">
        <v>32</v>
      </c>
      <c r="H22" s="104"/>
      <c r="I22" s="103"/>
      <c r="J22" s="104"/>
      <c r="K22" s="103">
        <f>SUM(K21:K21)</f>
        <v>720</v>
      </c>
      <c r="L22" s="106" t="s">
        <v>21</v>
      </c>
    </row>
    <row r="23" spans="1:12" s="72" customFormat="1" ht="85.5" x14ac:dyDescent="0.2">
      <c r="A23" s="76">
        <v>2</v>
      </c>
      <c r="B23" s="97" t="s">
        <v>81</v>
      </c>
      <c r="C23" s="79"/>
      <c r="E23" s="79"/>
      <c r="G23" s="80"/>
    </row>
    <row r="24" spans="1:12" s="72" customFormat="1" x14ac:dyDescent="0.2">
      <c r="A24" s="128"/>
      <c r="B24" s="83" t="s">
        <v>98</v>
      </c>
      <c r="C24" s="98"/>
      <c r="D24" s="98"/>
      <c r="E24" s="80"/>
      <c r="F24" s="98"/>
      <c r="G24" s="80"/>
      <c r="H24" s="99"/>
      <c r="I24" s="100"/>
      <c r="J24" s="101"/>
      <c r="K24" s="100"/>
      <c r="L24" s="102"/>
    </row>
    <row r="25" spans="1:12" s="72" customFormat="1" x14ac:dyDescent="0.2">
      <c r="A25" s="128"/>
      <c r="B25" s="83" t="s">
        <v>99</v>
      </c>
      <c r="C25" s="98">
        <v>1</v>
      </c>
      <c r="D25" s="98" t="s">
        <v>42</v>
      </c>
      <c r="E25" s="80">
        <f>E21</f>
        <v>20</v>
      </c>
      <c r="F25" s="98" t="s">
        <v>42</v>
      </c>
      <c r="G25" s="80">
        <f>G21</f>
        <v>30</v>
      </c>
      <c r="H25" s="99"/>
      <c r="I25" s="100"/>
      <c r="J25" s="101" t="s">
        <v>43</v>
      </c>
      <c r="K25" s="100">
        <f>IF(C25,C25*E25*G25,"")</f>
        <v>600</v>
      </c>
      <c r="L25" s="77" t="s">
        <v>23</v>
      </c>
    </row>
    <row r="26" spans="1:12" s="72" customFormat="1" ht="15" x14ac:dyDescent="0.2">
      <c r="A26" s="128"/>
      <c r="B26" s="81" t="s">
        <v>48</v>
      </c>
      <c r="C26" s="77"/>
      <c r="E26" s="79"/>
      <c r="G26" s="100"/>
      <c r="H26" s="41"/>
      <c r="I26" s="43"/>
      <c r="J26" s="102"/>
      <c r="K26" s="43"/>
      <c r="L26" s="77"/>
    </row>
    <row r="27" spans="1:12" s="72" customFormat="1" x14ac:dyDescent="0.2">
      <c r="A27" s="128"/>
      <c r="B27" s="83" t="s">
        <v>100</v>
      </c>
      <c r="C27" s="77"/>
      <c r="E27" s="79"/>
      <c r="G27" s="79"/>
      <c r="I27" s="79"/>
      <c r="J27" s="84"/>
      <c r="K27" s="79"/>
      <c r="L27" s="77"/>
    </row>
    <row r="28" spans="1:12" s="72" customFormat="1" ht="15" x14ac:dyDescent="0.2">
      <c r="A28" s="128"/>
      <c r="B28" s="107" t="s">
        <v>103</v>
      </c>
      <c r="C28" s="77">
        <f>ROUNDUP(E10/4,0)*2</f>
        <v>16</v>
      </c>
      <c r="D28" s="72" t="s">
        <v>42</v>
      </c>
      <c r="E28" s="108">
        <v>2</v>
      </c>
      <c r="F28" s="43" t="s">
        <v>42</v>
      </c>
      <c r="G28" s="108">
        <v>2.2999999999999998</v>
      </c>
      <c r="I28" s="79"/>
      <c r="J28" s="84" t="s">
        <v>43</v>
      </c>
      <c r="K28" s="79">
        <f t="shared" ref="K28" si="3">IF(C28,C28*E28*G28,"")</f>
        <v>73.599999999999994</v>
      </c>
      <c r="L28" s="77" t="s">
        <v>23</v>
      </c>
    </row>
    <row r="29" spans="1:12" s="72" customFormat="1" x14ac:dyDescent="0.2">
      <c r="A29" s="128"/>
      <c r="B29" s="83"/>
      <c r="C29" s="77"/>
      <c r="E29" s="109"/>
      <c r="F29" s="110"/>
      <c r="G29" s="111" t="s">
        <v>50</v>
      </c>
      <c r="H29" s="112"/>
      <c r="I29" s="85"/>
      <c r="J29" s="113" t="s">
        <v>45</v>
      </c>
      <c r="K29" s="85">
        <f>SUM(K28:K28)</f>
        <v>73.599999999999994</v>
      </c>
      <c r="L29" s="113" t="s">
        <v>23</v>
      </c>
    </row>
    <row r="30" spans="1:12" s="72" customFormat="1" ht="15" x14ac:dyDescent="0.2">
      <c r="A30" s="76"/>
      <c r="B30" s="81"/>
      <c r="C30" s="79"/>
      <c r="D30" s="82"/>
      <c r="E30" s="79"/>
      <c r="F30" s="82"/>
      <c r="G30" s="80"/>
    </row>
    <row r="31" spans="1:12" s="72" customFormat="1" ht="15" x14ac:dyDescent="0.2">
      <c r="A31" s="76"/>
      <c r="B31" s="90" t="s">
        <v>101</v>
      </c>
      <c r="D31" s="91"/>
      <c r="E31" s="92">
        <f>K25</f>
        <v>600</v>
      </c>
      <c r="F31" s="82" t="s">
        <v>45</v>
      </c>
      <c r="G31" s="92">
        <f>K29</f>
        <v>73.599999999999994</v>
      </c>
      <c r="H31" s="93"/>
      <c r="J31" s="94" t="s">
        <v>43</v>
      </c>
      <c r="K31" s="95">
        <f>E31-G31</f>
        <v>526.4</v>
      </c>
      <c r="L31" s="77" t="s">
        <v>23</v>
      </c>
    </row>
    <row r="32" spans="1:12" s="72" customFormat="1" ht="15" x14ac:dyDescent="0.2">
      <c r="A32" s="76"/>
      <c r="B32" s="90"/>
      <c r="D32" s="91"/>
      <c r="E32" s="92"/>
      <c r="F32" s="82"/>
      <c r="G32" s="92"/>
      <c r="H32" s="93"/>
      <c r="J32" s="94"/>
      <c r="K32" s="95"/>
      <c r="L32" s="77"/>
    </row>
    <row r="33" spans="1:12" s="72" customFormat="1" x14ac:dyDescent="0.2">
      <c r="A33" s="128"/>
      <c r="B33" s="83" t="s">
        <v>102</v>
      </c>
      <c r="C33" s="98"/>
      <c r="D33" s="98"/>
      <c r="E33" s="80">
        <f>K31</f>
        <v>526.4</v>
      </c>
      <c r="F33" s="98" t="s">
        <v>42</v>
      </c>
      <c r="G33" s="80">
        <v>1</v>
      </c>
      <c r="H33" s="99"/>
      <c r="I33" s="100"/>
      <c r="J33" s="101" t="s">
        <v>43</v>
      </c>
      <c r="K33" s="100">
        <f>E33*G33</f>
        <v>526.4</v>
      </c>
      <c r="L33" s="102" t="s">
        <v>21</v>
      </c>
    </row>
    <row r="34" spans="1:12" s="72" customFormat="1" ht="15" x14ac:dyDescent="0.2">
      <c r="A34" s="128"/>
      <c r="B34" s="83"/>
      <c r="C34" s="77"/>
      <c r="E34" s="103"/>
      <c r="F34" s="104"/>
      <c r="G34" s="105" t="s">
        <v>32</v>
      </c>
      <c r="H34" s="104"/>
      <c r="I34" s="103"/>
      <c r="J34" s="104"/>
      <c r="K34" s="103">
        <f>SUM(K33)</f>
        <v>526.4</v>
      </c>
      <c r="L34" s="106" t="s">
        <v>21</v>
      </c>
    </row>
    <row r="35" spans="1:12" s="72" customFormat="1" ht="99.75" x14ac:dyDescent="0.2">
      <c r="A35" s="76">
        <v>3</v>
      </c>
      <c r="B35" s="97" t="s">
        <v>82</v>
      </c>
      <c r="C35" s="77"/>
      <c r="D35" s="114"/>
      <c r="E35" s="79"/>
      <c r="G35" s="80"/>
    </row>
    <row r="36" spans="1:12" s="72" customFormat="1" x14ac:dyDescent="0.2">
      <c r="A36" s="76"/>
      <c r="B36" s="115" t="s">
        <v>104</v>
      </c>
      <c r="C36" s="79"/>
      <c r="E36" s="79"/>
      <c r="G36" s="80"/>
    </row>
    <row r="37" spans="1:12" s="72" customFormat="1" ht="15" x14ac:dyDescent="0.2">
      <c r="A37" s="76"/>
      <c r="B37" s="107" t="s">
        <v>108</v>
      </c>
      <c r="C37" s="77">
        <f>C28</f>
        <v>16</v>
      </c>
      <c r="D37" s="72" t="s">
        <v>42</v>
      </c>
      <c r="E37" s="108">
        <v>2</v>
      </c>
      <c r="F37" s="43" t="s">
        <v>42</v>
      </c>
      <c r="G37" s="108">
        <v>2.2999999999999998</v>
      </c>
      <c r="H37" s="99" t="s">
        <v>42</v>
      </c>
      <c r="I37" s="100">
        <v>0.3</v>
      </c>
      <c r="J37" s="101" t="s">
        <v>43</v>
      </c>
      <c r="K37" s="100">
        <f>IF(C37,C37*E37*G37*I37,"")</f>
        <v>22.08</v>
      </c>
      <c r="L37" s="102" t="s">
        <v>21</v>
      </c>
    </row>
    <row r="38" spans="1:12" s="72" customFormat="1" ht="15" x14ac:dyDescent="0.2">
      <c r="A38" s="128"/>
      <c r="B38" s="83"/>
      <c r="C38" s="77"/>
      <c r="E38" s="103"/>
      <c r="F38" s="104"/>
      <c r="G38" s="105" t="s">
        <v>105</v>
      </c>
      <c r="H38" s="104"/>
      <c r="I38" s="103"/>
      <c r="J38" s="104"/>
      <c r="K38" s="103">
        <f>SUM(K37:K37)</f>
        <v>22.08</v>
      </c>
      <c r="L38" s="106" t="s">
        <v>21</v>
      </c>
    </row>
    <row r="39" spans="1:12" s="72" customFormat="1" ht="128.25" x14ac:dyDescent="0.2">
      <c r="A39" s="76">
        <v>4</v>
      </c>
      <c r="B39" s="97" t="s">
        <v>83</v>
      </c>
      <c r="C39" s="77"/>
      <c r="D39" s="114"/>
      <c r="E39" s="79"/>
      <c r="G39" s="80"/>
    </row>
    <row r="40" spans="1:12" s="72" customFormat="1" x14ac:dyDescent="0.2">
      <c r="A40" s="76"/>
      <c r="B40" s="115" t="s">
        <v>104</v>
      </c>
      <c r="C40" s="79"/>
      <c r="E40" s="79"/>
      <c r="G40" s="80"/>
    </row>
    <row r="41" spans="1:12" s="72" customFormat="1" ht="15" x14ac:dyDescent="0.2">
      <c r="A41" s="76"/>
      <c r="B41" s="107" t="s">
        <v>108</v>
      </c>
      <c r="C41" s="77">
        <f>C37</f>
        <v>16</v>
      </c>
      <c r="D41" s="72" t="s">
        <v>42</v>
      </c>
      <c r="E41" s="116">
        <v>1.7</v>
      </c>
      <c r="F41" s="43" t="s">
        <v>42</v>
      </c>
      <c r="G41" s="116">
        <v>1.9999999999999998</v>
      </c>
      <c r="H41" s="99" t="s">
        <v>42</v>
      </c>
      <c r="I41" s="100">
        <v>0.6</v>
      </c>
      <c r="J41" s="101" t="s">
        <v>43</v>
      </c>
      <c r="K41" s="100">
        <f>IF(C41,C41*E41*G41*I41,"")</f>
        <v>32.639999999999993</v>
      </c>
      <c r="L41" s="102" t="s">
        <v>21</v>
      </c>
    </row>
    <row r="42" spans="1:12" s="72" customFormat="1" ht="15" x14ac:dyDescent="0.2">
      <c r="A42" s="128"/>
      <c r="B42" s="90" t="s">
        <v>106</v>
      </c>
      <c r="C42" s="117">
        <f>SUM(K41:K41)</f>
        <v>32.639999999999993</v>
      </c>
      <c r="D42" s="118"/>
      <c r="E42" s="117" t="s">
        <v>21</v>
      </c>
      <c r="F42" s="98"/>
      <c r="G42" s="80"/>
      <c r="H42" s="99"/>
      <c r="I42" s="100"/>
      <c r="J42" s="101"/>
      <c r="K42" s="100"/>
      <c r="L42" s="102"/>
    </row>
    <row r="43" spans="1:12" s="72" customFormat="1" ht="15" x14ac:dyDescent="0.2">
      <c r="A43" s="128"/>
      <c r="B43" s="90" t="s">
        <v>107</v>
      </c>
      <c r="C43" s="117"/>
      <c r="D43" s="118"/>
      <c r="E43" s="117"/>
      <c r="F43" s="98"/>
      <c r="G43" s="80"/>
      <c r="H43" s="99"/>
      <c r="I43" s="100"/>
      <c r="J43" s="101"/>
      <c r="K43" s="100"/>
      <c r="L43" s="102"/>
    </row>
    <row r="44" spans="1:12" s="72" customFormat="1" ht="15" x14ac:dyDescent="0.2">
      <c r="A44" s="76"/>
      <c r="B44" s="107" t="s">
        <v>103</v>
      </c>
      <c r="C44" s="77">
        <f>C37</f>
        <v>16</v>
      </c>
      <c r="D44" s="72" t="s">
        <v>42</v>
      </c>
      <c r="E44" s="116">
        <v>0.3</v>
      </c>
      <c r="F44" s="43" t="s">
        <v>42</v>
      </c>
      <c r="G44" s="116">
        <v>0.6</v>
      </c>
      <c r="H44" s="99" t="s">
        <v>42</v>
      </c>
      <c r="I44" s="100">
        <v>0.75</v>
      </c>
      <c r="J44" s="101" t="s">
        <v>43</v>
      </c>
      <c r="K44" s="100">
        <f>IF(C44,C44*E44*G44*I44,"")</f>
        <v>2.16</v>
      </c>
      <c r="L44" s="102" t="s">
        <v>21</v>
      </c>
    </row>
    <row r="45" spans="1:12" s="72" customFormat="1" ht="15" x14ac:dyDescent="0.2">
      <c r="A45" s="148"/>
      <c r="B45" s="107" t="s">
        <v>103</v>
      </c>
      <c r="C45" s="77">
        <f>C44</f>
        <v>16</v>
      </c>
      <c r="D45" s="72" t="s">
        <v>42</v>
      </c>
      <c r="E45" s="116">
        <v>0.3</v>
      </c>
      <c r="F45" s="43" t="s">
        <v>42</v>
      </c>
      <c r="G45" s="116">
        <v>0.6</v>
      </c>
      <c r="H45" s="99" t="s">
        <v>42</v>
      </c>
      <c r="I45" s="100">
        <v>4.5</v>
      </c>
      <c r="J45" s="101" t="s">
        <v>43</v>
      </c>
      <c r="K45" s="100">
        <f>IF(C45,C45*E45*G45*I45,"")</f>
        <v>12.959999999999999</v>
      </c>
      <c r="L45" s="102" t="s">
        <v>21</v>
      </c>
    </row>
    <row r="46" spans="1:12" s="72" customFormat="1" ht="15" x14ac:dyDescent="0.2">
      <c r="A46" s="148"/>
      <c r="B46" s="107" t="s">
        <v>128</v>
      </c>
      <c r="C46" s="77">
        <v>1</v>
      </c>
      <c r="D46" s="72" t="s">
        <v>42</v>
      </c>
      <c r="E46" s="116">
        <f>K11</f>
        <v>100</v>
      </c>
      <c r="F46" s="43" t="s">
        <v>42</v>
      </c>
      <c r="G46" s="116">
        <v>0.3</v>
      </c>
      <c r="H46" s="99" t="s">
        <v>42</v>
      </c>
      <c r="I46" s="100">
        <v>0.15</v>
      </c>
      <c r="J46" s="101" t="s">
        <v>43</v>
      </c>
      <c r="K46" s="100">
        <f>IF(C46,C46*E46*G46*I46,"")</f>
        <v>4.5</v>
      </c>
      <c r="L46" s="102" t="s">
        <v>21</v>
      </c>
    </row>
    <row r="47" spans="1:12" s="72" customFormat="1" ht="15" x14ac:dyDescent="0.2">
      <c r="A47" s="148"/>
      <c r="B47" s="107" t="s">
        <v>129</v>
      </c>
      <c r="C47" s="77">
        <v>1</v>
      </c>
      <c r="D47" s="72" t="s">
        <v>42</v>
      </c>
      <c r="E47" s="116">
        <f>K11</f>
        <v>100</v>
      </c>
      <c r="F47" s="43" t="s">
        <v>42</v>
      </c>
      <c r="G47" s="116">
        <v>0.23</v>
      </c>
      <c r="H47" s="99" t="s">
        <v>42</v>
      </c>
      <c r="I47" s="100">
        <v>0.25</v>
      </c>
      <c r="J47" s="101" t="s">
        <v>43</v>
      </c>
      <c r="K47" s="100">
        <f>IF(C47,C47*E47*G47*I47,"")</f>
        <v>5.75</v>
      </c>
      <c r="L47" s="102" t="s">
        <v>21</v>
      </c>
    </row>
    <row r="48" spans="1:12" s="72" customFormat="1" ht="15" x14ac:dyDescent="0.2">
      <c r="A48" s="148"/>
      <c r="B48" s="107" t="s">
        <v>127</v>
      </c>
      <c r="C48" s="77">
        <v>1</v>
      </c>
      <c r="D48" s="72" t="s">
        <v>42</v>
      </c>
      <c r="E48" s="116">
        <f>K11</f>
        <v>100</v>
      </c>
      <c r="F48" s="43" t="s">
        <v>42</v>
      </c>
      <c r="G48" s="116">
        <v>0.36</v>
      </c>
      <c r="H48" s="99" t="s">
        <v>42</v>
      </c>
      <c r="I48" s="100">
        <v>1</v>
      </c>
      <c r="J48" s="101" t="s">
        <v>43</v>
      </c>
      <c r="K48" s="100">
        <f>IF(C48,C48*E48*G48*I48,"")</f>
        <v>36</v>
      </c>
      <c r="L48" s="102" t="s">
        <v>21</v>
      </c>
    </row>
    <row r="49" spans="1:12" s="72" customFormat="1" ht="15" x14ac:dyDescent="0.2">
      <c r="A49" s="128"/>
      <c r="B49" s="83"/>
      <c r="C49" s="77"/>
      <c r="E49" s="103"/>
      <c r="F49" s="104"/>
      <c r="G49" s="105" t="s">
        <v>105</v>
      </c>
      <c r="H49" s="104"/>
      <c r="I49" s="103"/>
      <c r="J49" s="104"/>
      <c r="K49" s="103">
        <f>SUM(K41:K48)</f>
        <v>94.009999999999991</v>
      </c>
      <c r="L49" s="106" t="s">
        <v>21</v>
      </c>
    </row>
    <row r="50" spans="1:12" s="72" customFormat="1" ht="102" x14ac:dyDescent="0.2">
      <c r="A50" s="76">
        <v>5</v>
      </c>
      <c r="B50" s="83" t="s">
        <v>96</v>
      </c>
      <c r="C50" s="79"/>
      <c r="D50" s="82"/>
      <c r="E50" s="79"/>
      <c r="F50" s="82"/>
      <c r="G50" s="80"/>
    </row>
    <row r="51" spans="1:12" s="72" customFormat="1" x14ac:dyDescent="0.2">
      <c r="A51" s="76"/>
      <c r="B51" s="115" t="s">
        <v>112</v>
      </c>
      <c r="C51" s="77">
        <v>12</v>
      </c>
      <c r="D51" s="72" t="s">
        <v>42</v>
      </c>
      <c r="E51" s="79">
        <v>7.4</v>
      </c>
      <c r="F51" s="72" t="s">
        <v>42</v>
      </c>
      <c r="G51" s="79">
        <v>0.6</v>
      </c>
      <c r="J51" s="84" t="s">
        <v>43</v>
      </c>
      <c r="K51" s="79">
        <f>IF(C51,C51*E51*G51,"")</f>
        <v>53.280000000000008</v>
      </c>
      <c r="L51" s="77" t="s">
        <v>23</v>
      </c>
    </row>
    <row r="52" spans="1:12" s="72" customFormat="1" x14ac:dyDescent="0.2">
      <c r="A52" s="76"/>
      <c r="B52" s="115" t="s">
        <v>5</v>
      </c>
      <c r="C52" s="77">
        <v>12</v>
      </c>
      <c r="D52" s="72" t="s">
        <v>42</v>
      </c>
      <c r="E52" s="79">
        <v>1.8</v>
      </c>
      <c r="F52" s="72" t="s">
        <v>42</v>
      </c>
      <c r="G52" s="79">
        <v>0.75</v>
      </c>
      <c r="J52" s="84" t="s">
        <v>43</v>
      </c>
      <c r="K52" s="79">
        <f>IF(C52,C52*E52*G52,"")</f>
        <v>16.200000000000003</v>
      </c>
      <c r="L52" s="77" t="s">
        <v>23</v>
      </c>
    </row>
    <row r="53" spans="1:12" s="72" customFormat="1" x14ac:dyDescent="0.2">
      <c r="A53" s="148"/>
      <c r="B53" s="115" t="s">
        <v>5</v>
      </c>
      <c r="C53" s="77">
        <v>12</v>
      </c>
      <c r="D53" s="72" t="s">
        <v>42</v>
      </c>
      <c r="E53" s="79">
        <v>1.8</v>
      </c>
      <c r="F53" s="72" t="s">
        <v>42</v>
      </c>
      <c r="G53" s="79">
        <v>4.5</v>
      </c>
      <c r="J53" s="84" t="s">
        <v>43</v>
      </c>
      <c r="K53" s="79">
        <f>IF(C53,C53*E53*G53,"")</f>
        <v>97.2</v>
      </c>
      <c r="L53" s="77" t="s">
        <v>23</v>
      </c>
    </row>
    <row r="54" spans="1:12" s="72" customFormat="1" ht="15" x14ac:dyDescent="0.2">
      <c r="A54" s="128"/>
      <c r="B54" s="83"/>
      <c r="C54" s="77"/>
      <c r="E54" s="95"/>
      <c r="F54" s="104"/>
      <c r="G54" s="105" t="s">
        <v>32</v>
      </c>
      <c r="H54" s="104"/>
      <c r="I54" s="103"/>
      <c r="J54" s="104"/>
      <c r="K54" s="103">
        <f>SUM(K51:K52)</f>
        <v>69.480000000000018</v>
      </c>
      <c r="L54" s="119" t="s">
        <v>23</v>
      </c>
    </row>
    <row r="55" spans="1:12" s="72" customFormat="1" ht="114" x14ac:dyDescent="0.2">
      <c r="A55" s="76">
        <v>6</v>
      </c>
      <c r="B55" s="83" t="s">
        <v>73</v>
      </c>
      <c r="C55" s="120"/>
      <c r="E55" s="79"/>
      <c r="F55" s="82"/>
      <c r="G55" s="80"/>
    </row>
    <row r="56" spans="1:12" s="72" customFormat="1" x14ac:dyDescent="0.2">
      <c r="A56" s="76"/>
      <c r="B56" s="83" t="s">
        <v>109</v>
      </c>
      <c r="C56" s="92">
        <f>C42</f>
        <v>32.639999999999993</v>
      </c>
      <c r="D56" s="92"/>
      <c r="E56" s="79" t="s">
        <v>53</v>
      </c>
      <c r="F56" s="82"/>
      <c r="G56" s="121">
        <v>100</v>
      </c>
      <c r="H56" s="82" t="s">
        <v>54</v>
      </c>
      <c r="J56" s="84" t="s">
        <v>43</v>
      </c>
      <c r="K56" s="120">
        <f t="shared" ref="K56:K57" si="4">C56*G56</f>
        <v>3263.9999999999995</v>
      </c>
      <c r="L56" s="72" t="s">
        <v>25</v>
      </c>
    </row>
    <row r="57" spans="1:12" s="72" customFormat="1" x14ac:dyDescent="0.2">
      <c r="A57" s="76"/>
      <c r="B57" s="83" t="s">
        <v>6</v>
      </c>
      <c r="C57" s="159">
        <f>K44+K45</f>
        <v>15.12</v>
      </c>
      <c r="D57" s="159"/>
      <c r="E57" s="79" t="s">
        <v>53</v>
      </c>
      <c r="F57" s="82"/>
      <c r="G57" s="122">
        <v>150</v>
      </c>
      <c r="H57" s="102" t="s">
        <v>54</v>
      </c>
      <c r="I57" s="41"/>
      <c r="J57" s="88" t="s">
        <v>43</v>
      </c>
      <c r="K57" s="123">
        <f t="shared" si="4"/>
        <v>2268</v>
      </c>
      <c r="L57" s="41" t="s">
        <v>25</v>
      </c>
    </row>
    <row r="58" spans="1:12" s="72" customFormat="1" x14ac:dyDescent="0.2">
      <c r="A58" s="128"/>
      <c r="B58" s="83"/>
      <c r="C58" s="77"/>
      <c r="E58" s="79"/>
      <c r="G58" s="124" t="s">
        <v>44</v>
      </c>
      <c r="H58" s="112"/>
      <c r="I58" s="85"/>
      <c r="J58" s="112"/>
      <c r="K58" s="125">
        <f>SUM(K56:K57)</f>
        <v>5532</v>
      </c>
      <c r="L58" s="72" t="s">
        <v>25</v>
      </c>
    </row>
    <row r="59" spans="1:12" s="72" customFormat="1" x14ac:dyDescent="0.2">
      <c r="A59" s="128"/>
      <c r="B59" s="83"/>
      <c r="C59" s="126"/>
      <c r="E59" s="79"/>
      <c r="G59" s="100"/>
      <c r="H59" s="41"/>
      <c r="I59" s="43"/>
      <c r="J59" s="41"/>
      <c r="K59" s="123"/>
    </row>
    <row r="60" spans="1:12" s="72" customFormat="1" ht="42.75" x14ac:dyDescent="0.2">
      <c r="A60" s="76">
        <v>7</v>
      </c>
      <c r="B60" s="97" t="s">
        <v>3</v>
      </c>
      <c r="C60" s="79"/>
      <c r="E60" s="79"/>
      <c r="G60" s="80"/>
    </row>
    <row r="61" spans="1:12" s="72" customFormat="1" ht="15" x14ac:dyDescent="0.2">
      <c r="A61" s="128"/>
      <c r="B61" s="81" t="s">
        <v>119</v>
      </c>
      <c r="C61" s="77">
        <v>1</v>
      </c>
      <c r="D61" s="72" t="s">
        <v>42</v>
      </c>
      <c r="E61" s="79">
        <f>K11</f>
        <v>100</v>
      </c>
      <c r="F61" s="72" t="s">
        <v>42</v>
      </c>
      <c r="G61" s="80">
        <v>0.23</v>
      </c>
      <c r="H61" s="72" t="s">
        <v>42</v>
      </c>
      <c r="I61" s="43">
        <v>3</v>
      </c>
      <c r="J61" s="88" t="s">
        <v>43</v>
      </c>
      <c r="K61" s="43">
        <f>IF(C61,C61*E61*G61*I61,"")</f>
        <v>69</v>
      </c>
      <c r="L61" s="102" t="s">
        <v>21</v>
      </c>
    </row>
    <row r="62" spans="1:12" s="72" customFormat="1" x14ac:dyDescent="0.2">
      <c r="A62" s="128"/>
      <c r="B62" s="83"/>
      <c r="C62" s="77"/>
      <c r="E62" s="85"/>
      <c r="F62" s="112"/>
      <c r="G62" s="124" t="s">
        <v>46</v>
      </c>
      <c r="H62" s="112"/>
      <c r="I62" s="85"/>
      <c r="J62" s="113" t="s">
        <v>47</v>
      </c>
      <c r="K62" s="85">
        <f>SUM(K60:K61)</f>
        <v>69</v>
      </c>
      <c r="L62" s="82" t="s">
        <v>21</v>
      </c>
    </row>
    <row r="63" spans="1:12" s="72" customFormat="1" ht="15" x14ac:dyDescent="0.2">
      <c r="A63" s="128"/>
      <c r="B63" s="81" t="s">
        <v>48</v>
      </c>
      <c r="C63" s="77"/>
      <c r="E63" s="79"/>
      <c r="G63" s="100"/>
      <c r="H63" s="41"/>
      <c r="I63" s="43"/>
      <c r="J63" s="102"/>
      <c r="K63" s="43"/>
      <c r="L63" s="102"/>
    </row>
    <row r="64" spans="1:12" s="72" customFormat="1" x14ac:dyDescent="0.2">
      <c r="A64" s="128"/>
      <c r="B64" s="83" t="s">
        <v>70</v>
      </c>
      <c r="C64" s="77">
        <v>4</v>
      </c>
      <c r="D64" s="72" t="s">
        <v>42</v>
      </c>
      <c r="E64" s="79">
        <v>1.5</v>
      </c>
      <c r="F64" s="72" t="s">
        <v>42</v>
      </c>
      <c r="G64" s="80">
        <v>0.23</v>
      </c>
      <c r="H64" s="72" t="s">
        <v>42</v>
      </c>
      <c r="I64" s="79">
        <v>2.1</v>
      </c>
      <c r="J64" s="84" t="s">
        <v>43</v>
      </c>
      <c r="K64" s="79">
        <f>IF(C64,C64*E64*G64*I64,"")</f>
        <v>2.8980000000000006</v>
      </c>
      <c r="L64" s="82" t="s">
        <v>21</v>
      </c>
    </row>
    <row r="65" spans="1:12" s="72" customFormat="1" x14ac:dyDescent="0.2">
      <c r="A65" s="128"/>
      <c r="B65" s="83" t="s">
        <v>71</v>
      </c>
      <c r="C65" s="77">
        <v>8</v>
      </c>
      <c r="D65" s="72" t="s">
        <v>42</v>
      </c>
      <c r="E65" s="79">
        <v>1.8</v>
      </c>
      <c r="F65" s="72" t="s">
        <v>42</v>
      </c>
      <c r="G65" s="80">
        <v>0.23</v>
      </c>
      <c r="H65" s="72" t="s">
        <v>42</v>
      </c>
      <c r="I65" s="79">
        <v>1.2</v>
      </c>
      <c r="J65" s="84" t="s">
        <v>43</v>
      </c>
      <c r="K65" s="79">
        <f>IF(C65,C65*E65*G65*I65,"")</f>
        <v>3.9744000000000002</v>
      </c>
      <c r="L65" s="82" t="s">
        <v>21</v>
      </c>
    </row>
    <row r="66" spans="1:12" s="72" customFormat="1" x14ac:dyDescent="0.2">
      <c r="A66" s="128"/>
      <c r="B66" s="127" t="s">
        <v>49</v>
      </c>
      <c r="C66" s="77">
        <v>1</v>
      </c>
      <c r="D66" s="72" t="s">
        <v>42</v>
      </c>
      <c r="E66" s="79">
        <f>E61</f>
        <v>100</v>
      </c>
      <c r="F66" s="72" t="s">
        <v>42</v>
      </c>
      <c r="G66" s="80">
        <v>0.23</v>
      </c>
      <c r="H66" s="72" t="s">
        <v>42</v>
      </c>
      <c r="I66" s="79">
        <v>0.23</v>
      </c>
      <c r="J66" s="84" t="s">
        <v>43</v>
      </c>
      <c r="K66" s="79">
        <f t="shared" ref="K66" si="5">IF(C66,C66*E66*G66*I66,"")</f>
        <v>5.29</v>
      </c>
      <c r="L66" s="82" t="s">
        <v>21</v>
      </c>
    </row>
    <row r="67" spans="1:12" s="72" customFormat="1" x14ac:dyDescent="0.2">
      <c r="A67" s="128"/>
      <c r="B67" s="83"/>
      <c r="C67" s="77"/>
      <c r="E67" s="85"/>
      <c r="F67" s="112"/>
      <c r="G67" s="124" t="s">
        <v>50</v>
      </c>
      <c r="H67" s="112"/>
      <c r="I67" s="85"/>
      <c r="J67" s="113" t="s">
        <v>45</v>
      </c>
      <c r="K67" s="85">
        <f>SUM(K65:K66)</f>
        <v>9.2644000000000002</v>
      </c>
      <c r="L67" s="82" t="s">
        <v>21</v>
      </c>
    </row>
    <row r="68" spans="1:12" s="72" customFormat="1" ht="15" x14ac:dyDescent="0.2">
      <c r="A68" s="76"/>
      <c r="B68" s="97" t="s">
        <v>118</v>
      </c>
      <c r="D68" s="91"/>
      <c r="E68" s="92">
        <f>K62</f>
        <v>69</v>
      </c>
      <c r="F68" s="82" t="s">
        <v>45</v>
      </c>
      <c r="G68" s="92">
        <f>K67</f>
        <v>9.2644000000000002</v>
      </c>
      <c r="H68" s="93"/>
      <c r="J68" s="94" t="s">
        <v>43</v>
      </c>
      <c r="K68" s="95">
        <f>E68-G68</f>
        <v>59.735599999999998</v>
      </c>
      <c r="L68" s="82" t="s">
        <v>21</v>
      </c>
    </row>
    <row r="69" spans="1:12" s="56" customFormat="1" ht="57" x14ac:dyDescent="0.2">
      <c r="A69" s="39">
        <v>8</v>
      </c>
      <c r="B69" s="40" t="s">
        <v>86</v>
      </c>
      <c r="C69" s="41"/>
      <c r="D69" s="42"/>
      <c r="E69" s="39"/>
      <c r="F69" s="42"/>
      <c r="G69" s="43"/>
    </row>
    <row r="70" spans="1:12" s="72" customFormat="1" ht="15" x14ac:dyDescent="0.2">
      <c r="A70" s="128"/>
      <c r="B70" s="81" t="s">
        <v>119</v>
      </c>
      <c r="C70" s="77">
        <v>1</v>
      </c>
      <c r="D70" s="72" t="s">
        <v>42</v>
      </c>
      <c r="E70" s="79">
        <f>E61</f>
        <v>100</v>
      </c>
      <c r="F70" s="72" t="s">
        <v>42</v>
      </c>
      <c r="G70" s="80">
        <v>0.6</v>
      </c>
      <c r="H70" s="72" t="s">
        <v>42</v>
      </c>
      <c r="I70" s="43">
        <v>0.9</v>
      </c>
      <c r="J70" s="88" t="s">
        <v>43</v>
      </c>
      <c r="K70" s="43">
        <f>IF(C70,C70*E70*G70*I70,"")</f>
        <v>54</v>
      </c>
      <c r="L70" s="102" t="s">
        <v>21</v>
      </c>
    </row>
    <row r="71" spans="1:12" s="72" customFormat="1" x14ac:dyDescent="0.2">
      <c r="A71" s="128"/>
      <c r="B71" s="83"/>
      <c r="C71" s="77"/>
      <c r="E71" s="79"/>
      <c r="G71" s="124" t="s">
        <v>44</v>
      </c>
      <c r="H71" s="112"/>
      <c r="I71" s="85"/>
      <c r="J71" s="112"/>
      <c r="K71" s="85">
        <f>SUM(K70:K70)</f>
        <v>54</v>
      </c>
      <c r="L71" s="102" t="s">
        <v>21</v>
      </c>
    </row>
    <row r="72" spans="1:12" s="72" customFormat="1" ht="42.75" x14ac:dyDescent="0.2">
      <c r="A72" s="128">
        <v>9</v>
      </c>
      <c r="B72" s="97" t="s">
        <v>68</v>
      </c>
      <c r="C72" s="79"/>
      <c r="E72" s="79"/>
      <c r="F72" s="82"/>
      <c r="G72" s="80"/>
    </row>
    <row r="73" spans="1:12" s="72" customFormat="1" ht="15" x14ac:dyDescent="0.2">
      <c r="A73" s="128"/>
      <c r="B73" s="81" t="s">
        <v>72</v>
      </c>
      <c r="C73" s="79"/>
      <c r="E73" s="79"/>
      <c r="F73" s="82"/>
      <c r="G73" s="80"/>
    </row>
    <row r="74" spans="1:12" s="72" customFormat="1" x14ac:dyDescent="0.2">
      <c r="A74" s="128"/>
      <c r="B74" s="129" t="s">
        <v>74</v>
      </c>
      <c r="C74" s="77">
        <v>2</v>
      </c>
      <c r="D74" s="72" t="s">
        <v>42</v>
      </c>
      <c r="E74" s="79">
        <f>E9</f>
        <v>20</v>
      </c>
      <c r="F74" s="72" t="s">
        <v>42</v>
      </c>
      <c r="G74" s="79">
        <v>3.6</v>
      </c>
      <c r="I74" s="79"/>
      <c r="J74" s="84" t="s">
        <v>43</v>
      </c>
      <c r="K74" s="79">
        <f>IF(C74,C74*E74*G74,"")</f>
        <v>144</v>
      </c>
      <c r="L74" s="77" t="s">
        <v>23</v>
      </c>
    </row>
    <row r="75" spans="1:12" s="72" customFormat="1" x14ac:dyDescent="0.2">
      <c r="A75" s="128"/>
      <c r="B75" s="129" t="s">
        <v>74</v>
      </c>
      <c r="C75" s="77">
        <v>2</v>
      </c>
      <c r="D75" s="72" t="s">
        <v>42</v>
      </c>
      <c r="E75" s="79">
        <f>E10</f>
        <v>30</v>
      </c>
      <c r="F75" s="72" t="s">
        <v>42</v>
      </c>
      <c r="G75" s="79">
        <v>3.6</v>
      </c>
      <c r="I75" s="79"/>
      <c r="J75" s="84" t="s">
        <v>43</v>
      </c>
      <c r="K75" s="79">
        <f>IF(C75,C75*E75*G75,"")</f>
        <v>216</v>
      </c>
      <c r="L75" s="77" t="s">
        <v>23</v>
      </c>
    </row>
    <row r="76" spans="1:12" s="72" customFormat="1" x14ac:dyDescent="0.2">
      <c r="A76" s="128"/>
      <c r="B76" s="83"/>
      <c r="C76" s="77"/>
      <c r="E76" s="85"/>
      <c r="F76" s="112"/>
      <c r="G76" s="124" t="s">
        <v>46</v>
      </c>
      <c r="H76" s="112"/>
      <c r="I76" s="85"/>
      <c r="J76" s="113" t="s">
        <v>47</v>
      </c>
      <c r="K76" s="85">
        <f>SUM(K74:K75)</f>
        <v>360</v>
      </c>
      <c r="L76" s="87" t="s">
        <v>23</v>
      </c>
    </row>
    <row r="77" spans="1:12" s="72" customFormat="1" ht="15" x14ac:dyDescent="0.2">
      <c r="A77" s="128"/>
      <c r="B77" s="81" t="s">
        <v>48</v>
      </c>
      <c r="C77" s="77"/>
      <c r="E77" s="79"/>
      <c r="G77" s="100"/>
      <c r="H77" s="41"/>
      <c r="I77" s="43"/>
      <c r="J77" s="102"/>
      <c r="K77" s="43"/>
      <c r="L77" s="77"/>
    </row>
    <row r="78" spans="1:12" s="72" customFormat="1" x14ac:dyDescent="0.2">
      <c r="A78" s="128"/>
      <c r="B78" s="129" t="s">
        <v>70</v>
      </c>
      <c r="C78" s="77">
        <f>C64</f>
        <v>4</v>
      </c>
      <c r="D78" s="72" t="s">
        <v>42</v>
      </c>
      <c r="E78" s="79">
        <v>1.5</v>
      </c>
      <c r="F78" s="72" t="s">
        <v>42</v>
      </c>
      <c r="G78" s="79">
        <v>2.1</v>
      </c>
      <c r="I78" s="79"/>
      <c r="J78" s="84" t="s">
        <v>43</v>
      </c>
      <c r="K78" s="79">
        <f>IF(C78,C78*E78*G78,"")</f>
        <v>12.600000000000001</v>
      </c>
      <c r="L78" s="77" t="s">
        <v>23</v>
      </c>
    </row>
    <row r="79" spans="1:12" s="72" customFormat="1" x14ac:dyDescent="0.2">
      <c r="A79" s="128"/>
      <c r="B79" s="129" t="s">
        <v>71</v>
      </c>
      <c r="C79" s="77">
        <f>C65</f>
        <v>8</v>
      </c>
      <c r="D79" s="72" t="s">
        <v>42</v>
      </c>
      <c r="E79" s="79">
        <v>1.8</v>
      </c>
      <c r="F79" s="72" t="s">
        <v>42</v>
      </c>
      <c r="G79" s="79">
        <v>1.2</v>
      </c>
      <c r="I79" s="79"/>
      <c r="J79" s="84" t="s">
        <v>43</v>
      </c>
      <c r="K79" s="79">
        <f>IF(C79,C79*E79*G79,"")</f>
        <v>17.28</v>
      </c>
      <c r="L79" s="77" t="s">
        <v>23</v>
      </c>
    </row>
    <row r="80" spans="1:12" s="72" customFormat="1" x14ac:dyDescent="0.2">
      <c r="A80" s="128"/>
      <c r="B80" s="83"/>
      <c r="C80" s="77"/>
      <c r="E80" s="85"/>
      <c r="F80" s="112"/>
      <c r="G80" s="124" t="s">
        <v>50</v>
      </c>
      <c r="H80" s="112"/>
      <c r="I80" s="85"/>
      <c r="J80" s="113" t="s">
        <v>45</v>
      </c>
      <c r="K80" s="85">
        <f>SUM(K78:K79)</f>
        <v>29.880000000000003</v>
      </c>
      <c r="L80" s="87" t="s">
        <v>23</v>
      </c>
    </row>
    <row r="81" spans="1:12" s="72" customFormat="1" ht="15" x14ac:dyDescent="0.2">
      <c r="A81" s="76"/>
      <c r="B81" s="97" t="s">
        <v>113</v>
      </c>
      <c r="D81" s="91">
        <f>K76</f>
        <v>360</v>
      </c>
      <c r="E81" s="92"/>
      <c r="F81" s="82" t="s">
        <v>45</v>
      </c>
      <c r="G81" s="92">
        <f>K80</f>
        <v>29.880000000000003</v>
      </c>
      <c r="H81" s="93"/>
      <c r="J81" s="94" t="s">
        <v>43</v>
      </c>
      <c r="K81" s="95">
        <f>D81-G81</f>
        <v>330.12</v>
      </c>
      <c r="L81" s="77" t="s">
        <v>23</v>
      </c>
    </row>
    <row r="82" spans="1:12" s="72" customFormat="1" x14ac:dyDescent="0.2">
      <c r="A82" s="128"/>
      <c r="B82" s="127" t="s">
        <v>51</v>
      </c>
      <c r="C82" s="79"/>
      <c r="E82" s="79"/>
      <c r="F82" s="82"/>
      <c r="G82" s="80"/>
    </row>
    <row r="83" spans="1:12" s="72" customFormat="1" x14ac:dyDescent="0.2">
      <c r="A83" s="128"/>
      <c r="B83" s="83"/>
      <c r="C83" s="77">
        <v>2</v>
      </c>
      <c r="D83" s="72" t="s">
        <v>42</v>
      </c>
      <c r="E83" s="79">
        <f>E74</f>
        <v>20</v>
      </c>
      <c r="F83" s="72" t="s">
        <v>42</v>
      </c>
      <c r="G83" s="79">
        <v>4.3499999999999996</v>
      </c>
      <c r="I83" s="79"/>
      <c r="J83" s="84" t="s">
        <v>43</v>
      </c>
      <c r="K83" s="79">
        <f>IF(C83,C83*E83*G83,"")</f>
        <v>174</v>
      </c>
      <c r="L83" s="77" t="s">
        <v>23</v>
      </c>
    </row>
    <row r="84" spans="1:12" s="72" customFormat="1" x14ac:dyDescent="0.2">
      <c r="A84" s="128"/>
      <c r="B84" s="83"/>
      <c r="C84" s="77">
        <v>2</v>
      </c>
      <c r="D84" s="72" t="s">
        <v>42</v>
      </c>
      <c r="E84" s="79">
        <f>E75</f>
        <v>30</v>
      </c>
      <c r="F84" s="72" t="s">
        <v>42</v>
      </c>
      <c r="G84" s="79">
        <v>4.3499999999999996</v>
      </c>
      <c r="I84" s="79"/>
      <c r="J84" s="84" t="s">
        <v>43</v>
      </c>
      <c r="K84" s="79">
        <f>IF(C84,C84*E84*G84,"")</f>
        <v>261</v>
      </c>
      <c r="L84" s="77" t="s">
        <v>23</v>
      </c>
    </row>
    <row r="85" spans="1:12" s="72" customFormat="1" x14ac:dyDescent="0.2">
      <c r="A85" s="128"/>
      <c r="B85" s="83"/>
      <c r="C85" s="87"/>
      <c r="D85" s="112"/>
      <c r="E85" s="85"/>
      <c r="F85" s="130" t="s">
        <v>77</v>
      </c>
      <c r="G85" s="124"/>
      <c r="H85" s="112"/>
      <c r="I85" s="85"/>
      <c r="J85" s="113" t="s">
        <v>76</v>
      </c>
      <c r="K85" s="85">
        <f>SUM(K83:K84)</f>
        <v>435</v>
      </c>
      <c r="L85" s="87" t="s">
        <v>23</v>
      </c>
    </row>
    <row r="86" spans="1:12" s="72" customFormat="1" ht="15" x14ac:dyDescent="0.2">
      <c r="A86" s="76"/>
      <c r="B86" s="97" t="s">
        <v>75</v>
      </c>
      <c r="D86" s="91">
        <f>K85</f>
        <v>435</v>
      </c>
      <c r="E86" s="92"/>
      <c r="F86" s="82" t="s">
        <v>45</v>
      </c>
      <c r="G86" s="92">
        <v>0</v>
      </c>
      <c r="H86" s="93"/>
      <c r="J86" s="94" t="s">
        <v>43</v>
      </c>
      <c r="K86" s="95">
        <f>D86-G86</f>
        <v>435</v>
      </c>
      <c r="L86" s="77" t="s">
        <v>23</v>
      </c>
    </row>
    <row r="87" spans="1:12" s="72" customFormat="1" x14ac:dyDescent="0.2">
      <c r="A87" s="128"/>
      <c r="B87" s="83"/>
      <c r="C87" s="77"/>
      <c r="E87" s="79"/>
      <c r="F87" s="131"/>
      <c r="G87" s="100"/>
      <c r="H87" s="41"/>
      <c r="I87" s="43"/>
      <c r="J87" s="102"/>
      <c r="K87" s="43"/>
      <c r="L87" s="77"/>
    </row>
    <row r="88" spans="1:12" s="72" customFormat="1" ht="15" x14ac:dyDescent="0.2">
      <c r="A88" s="76"/>
      <c r="B88" s="97" t="s">
        <v>52</v>
      </c>
      <c r="D88" s="91"/>
      <c r="E88" s="92">
        <f>K81</f>
        <v>330.12</v>
      </c>
      <c r="F88" s="82" t="s">
        <v>47</v>
      </c>
      <c r="G88" s="92">
        <f>K86</f>
        <v>435</v>
      </c>
      <c r="H88" s="93"/>
      <c r="J88" s="94" t="s">
        <v>43</v>
      </c>
      <c r="K88" s="95">
        <f>E88+G88</f>
        <v>765.12</v>
      </c>
      <c r="L88" s="77" t="s">
        <v>23</v>
      </c>
    </row>
    <row r="89" spans="1:12" s="72" customFormat="1" ht="15" x14ac:dyDescent="0.2">
      <c r="A89" s="128"/>
      <c r="B89" s="83"/>
      <c r="C89" s="92"/>
      <c r="D89" s="93"/>
      <c r="E89" s="93"/>
      <c r="G89" s="95"/>
      <c r="H89" s="132"/>
      <c r="I89" s="95"/>
      <c r="J89" s="94"/>
      <c r="K89" s="95"/>
      <c r="L89" s="133"/>
    </row>
    <row r="90" spans="1:12" s="72" customFormat="1" ht="199.5" x14ac:dyDescent="0.2">
      <c r="A90" s="76">
        <v>10</v>
      </c>
      <c r="B90" s="83" t="s">
        <v>121</v>
      </c>
      <c r="C90" s="79"/>
      <c r="E90" s="79"/>
      <c r="F90" s="82"/>
      <c r="G90" s="80"/>
    </row>
    <row r="91" spans="1:12" s="72" customFormat="1" x14ac:dyDescent="0.2">
      <c r="A91" s="128"/>
      <c r="B91" s="83" t="s">
        <v>70</v>
      </c>
      <c r="C91" s="77">
        <f>C64</f>
        <v>4</v>
      </c>
      <c r="D91" s="82" t="s">
        <v>55</v>
      </c>
      <c r="E91" s="79">
        <v>1.8</v>
      </c>
      <c r="F91" s="82" t="s">
        <v>47</v>
      </c>
      <c r="G91" s="80">
        <v>2.15</v>
      </c>
      <c r="H91" s="82" t="s">
        <v>47</v>
      </c>
      <c r="I91" s="79">
        <v>2.15</v>
      </c>
      <c r="J91" s="82" t="s">
        <v>56</v>
      </c>
      <c r="K91" s="79">
        <f>IF(C91,C91*E91*G91*I91,"")</f>
        <v>33.281999999999996</v>
      </c>
      <c r="L91" s="77" t="s">
        <v>30</v>
      </c>
    </row>
    <row r="92" spans="1:12" s="72" customFormat="1" x14ac:dyDescent="0.2">
      <c r="A92" s="128"/>
      <c r="B92" s="83"/>
      <c r="C92" s="77"/>
      <c r="E92" s="79"/>
      <c r="G92" s="124" t="s">
        <v>44</v>
      </c>
      <c r="H92" s="112"/>
      <c r="I92" s="85"/>
      <c r="J92" s="112"/>
      <c r="K92" s="85">
        <f>SUM(K91:K91)</f>
        <v>33.281999999999996</v>
      </c>
      <c r="L92" s="87" t="s">
        <v>30</v>
      </c>
    </row>
    <row r="93" spans="1:12" s="72" customFormat="1" x14ac:dyDescent="0.2">
      <c r="A93" s="128"/>
      <c r="B93" s="83"/>
      <c r="C93" s="77"/>
      <c r="E93" s="79">
        <f>K92</f>
        <v>33.281999999999996</v>
      </c>
      <c r="F93" s="72" t="s">
        <v>30</v>
      </c>
      <c r="G93" s="100"/>
      <c r="H93" s="88" t="s">
        <v>4</v>
      </c>
      <c r="I93" s="43"/>
      <c r="J93" s="41"/>
      <c r="K93" s="43">
        <f>E93*4.15</f>
        <v>138.12029999999999</v>
      </c>
      <c r="L93" s="77" t="s">
        <v>25</v>
      </c>
    </row>
    <row r="94" spans="1:12" s="72" customFormat="1" ht="270.75" x14ac:dyDescent="0.2">
      <c r="A94" s="76">
        <f>A90+1</f>
        <v>11</v>
      </c>
      <c r="B94" s="83" t="s">
        <v>0</v>
      </c>
      <c r="C94" s="79"/>
      <c r="E94" s="79"/>
      <c r="F94" s="82"/>
      <c r="G94" s="80"/>
    </row>
    <row r="95" spans="1:12" s="72" customFormat="1" x14ac:dyDescent="0.2">
      <c r="A95" s="128"/>
      <c r="B95" s="129" t="s">
        <v>71</v>
      </c>
      <c r="C95" s="76">
        <f>C65</f>
        <v>8</v>
      </c>
      <c r="D95" s="72" t="s">
        <v>42</v>
      </c>
      <c r="E95" s="134">
        <f>E65</f>
        <v>1.8</v>
      </c>
      <c r="F95" s="72" t="s">
        <v>42</v>
      </c>
      <c r="G95" s="80">
        <v>1.2</v>
      </c>
      <c r="I95" s="79"/>
      <c r="J95" s="84" t="s">
        <v>43</v>
      </c>
      <c r="K95" s="79">
        <f>IF(C95,C95*E95*G95,"")</f>
        <v>17.28</v>
      </c>
      <c r="L95" s="77" t="s">
        <v>23</v>
      </c>
    </row>
    <row r="96" spans="1:12" s="72" customFormat="1" x14ac:dyDescent="0.2">
      <c r="A96" s="128"/>
      <c r="B96" s="83"/>
      <c r="C96" s="77"/>
      <c r="E96" s="79"/>
      <c r="G96" s="124" t="s">
        <v>44</v>
      </c>
      <c r="H96" s="112"/>
      <c r="I96" s="85"/>
      <c r="J96" s="112"/>
      <c r="K96" s="85">
        <f>SUM(K95:K95)</f>
        <v>17.28</v>
      </c>
      <c r="L96" s="87" t="s">
        <v>23</v>
      </c>
    </row>
    <row r="97" spans="1:12" s="72" customFormat="1" x14ac:dyDescent="0.2">
      <c r="A97" s="76"/>
      <c r="B97" s="97"/>
      <c r="C97" s="79"/>
      <c r="E97" s="79"/>
      <c r="F97" s="82"/>
      <c r="G97" s="80"/>
    </row>
    <row r="98" spans="1:12" s="72" customFormat="1" ht="28.5" x14ac:dyDescent="0.2">
      <c r="A98" s="76">
        <f>A94+1</f>
        <v>12</v>
      </c>
      <c r="B98" s="83" t="s">
        <v>27</v>
      </c>
      <c r="C98" s="79"/>
      <c r="E98" s="79"/>
      <c r="F98" s="82"/>
      <c r="G98" s="80"/>
    </row>
    <row r="99" spans="1:12" s="72" customFormat="1" x14ac:dyDescent="0.2">
      <c r="A99" s="128"/>
      <c r="B99" s="129" t="s">
        <v>71</v>
      </c>
      <c r="C99" s="76">
        <f>C95</f>
        <v>8</v>
      </c>
      <c r="D99" s="72" t="s">
        <v>42</v>
      </c>
      <c r="E99" s="79">
        <v>1.8</v>
      </c>
      <c r="F99" s="72" t="s">
        <v>42</v>
      </c>
      <c r="G99" s="121">
        <v>10</v>
      </c>
      <c r="H99" s="82" t="s">
        <v>57</v>
      </c>
      <c r="I99" s="79">
        <v>1.1299999999999999</v>
      </c>
      <c r="J99" s="84" t="s">
        <v>43</v>
      </c>
      <c r="K99" s="79">
        <f>C99*E99*G99*I99</f>
        <v>162.71999999999997</v>
      </c>
      <c r="L99" s="77" t="s">
        <v>25</v>
      </c>
    </row>
    <row r="100" spans="1:12" s="72" customFormat="1" ht="15" x14ac:dyDescent="0.2">
      <c r="A100" s="128"/>
      <c r="B100" s="83"/>
      <c r="C100" s="77"/>
      <c r="E100" s="79"/>
      <c r="G100" s="124" t="s">
        <v>44</v>
      </c>
      <c r="H100" s="112"/>
      <c r="I100" s="85"/>
      <c r="J100" s="112"/>
      <c r="K100" s="103">
        <f>SUM(K99:K99)</f>
        <v>162.71999999999997</v>
      </c>
      <c r="L100" s="87" t="s">
        <v>25</v>
      </c>
    </row>
    <row r="101" spans="1:12" s="72" customFormat="1" x14ac:dyDescent="0.2">
      <c r="A101" s="76"/>
      <c r="B101" s="83"/>
      <c r="C101" s="79"/>
      <c r="E101" s="79"/>
      <c r="F101" s="82"/>
      <c r="G101" s="80"/>
    </row>
    <row r="102" spans="1:12" s="72" customFormat="1" ht="71.25" x14ac:dyDescent="0.2">
      <c r="A102" s="76">
        <f>A98+1</f>
        <v>13</v>
      </c>
      <c r="B102" s="83" t="s">
        <v>28</v>
      </c>
      <c r="C102" s="79"/>
      <c r="E102" s="79"/>
      <c r="F102" s="82"/>
      <c r="G102" s="80"/>
    </row>
    <row r="103" spans="1:12" s="72" customFormat="1" ht="15" x14ac:dyDescent="0.2">
      <c r="A103" s="128"/>
      <c r="B103" s="97" t="s">
        <v>78</v>
      </c>
      <c r="C103" s="92">
        <f>K96</f>
        <v>17.28</v>
      </c>
      <c r="D103" s="93"/>
      <c r="E103" s="93"/>
      <c r="F103" s="72" t="s">
        <v>42</v>
      </c>
      <c r="G103" s="156">
        <v>0.1</v>
      </c>
      <c r="H103" s="156"/>
      <c r="I103" s="95"/>
      <c r="J103" s="133"/>
      <c r="K103" s="95">
        <f>C103*G103</f>
        <v>1.7280000000000002</v>
      </c>
      <c r="L103" s="77" t="s">
        <v>23</v>
      </c>
    </row>
    <row r="104" spans="1:12" s="72" customFormat="1" ht="99.75" x14ac:dyDescent="0.2">
      <c r="A104" s="76">
        <v>14</v>
      </c>
      <c r="B104" s="135" t="s">
        <v>90</v>
      </c>
      <c r="C104" s="79"/>
      <c r="E104" s="79"/>
      <c r="F104" s="82"/>
      <c r="G104" s="80"/>
    </row>
    <row r="105" spans="1:12" s="72" customFormat="1" x14ac:dyDescent="0.2">
      <c r="A105" s="76"/>
      <c r="B105" s="135"/>
      <c r="C105" s="79">
        <v>1</v>
      </c>
      <c r="D105" s="72" t="s">
        <v>42</v>
      </c>
      <c r="E105" s="79">
        <f>E9</f>
        <v>20</v>
      </c>
      <c r="F105" s="82" t="s">
        <v>42</v>
      </c>
      <c r="G105" s="80">
        <f>G21</f>
        <v>30</v>
      </c>
      <c r="J105" s="72" t="s">
        <v>43</v>
      </c>
      <c r="K105" s="79">
        <f>C105*E105*G105</f>
        <v>600</v>
      </c>
      <c r="L105" s="72" t="s">
        <v>23</v>
      </c>
    </row>
    <row r="106" spans="1:12" s="72" customFormat="1" ht="15" x14ac:dyDescent="0.2">
      <c r="A106" s="128"/>
      <c r="B106" s="83"/>
      <c r="C106" s="77"/>
      <c r="E106" s="79"/>
      <c r="G106" s="124" t="s">
        <v>44</v>
      </c>
      <c r="H106" s="112"/>
      <c r="I106" s="85"/>
      <c r="J106" s="112"/>
      <c r="K106" s="103">
        <f>SUM(K105)</f>
        <v>600</v>
      </c>
      <c r="L106" s="77" t="s">
        <v>23</v>
      </c>
    </row>
    <row r="107" spans="1:12" s="72" customFormat="1" x14ac:dyDescent="0.2">
      <c r="A107" s="76"/>
      <c r="B107" s="83"/>
      <c r="C107" s="79"/>
      <c r="E107" s="79"/>
      <c r="F107" s="82"/>
      <c r="G107" s="80"/>
    </row>
    <row r="108" spans="1:12" s="72" customFormat="1" ht="28.5" x14ac:dyDescent="0.2">
      <c r="A108" s="76">
        <v>15</v>
      </c>
      <c r="B108" s="97" t="str">
        <f>GF1_ABS!B20</f>
        <v>Random rubble dry stone Kharanja under floor.</v>
      </c>
      <c r="C108" s="77"/>
      <c r="D108" s="114"/>
      <c r="E108" s="79"/>
      <c r="G108" s="80"/>
    </row>
    <row r="109" spans="1:12" s="72" customFormat="1" x14ac:dyDescent="0.2">
      <c r="A109" s="76"/>
      <c r="B109" s="115"/>
      <c r="C109" s="79"/>
      <c r="E109" s="79"/>
      <c r="G109" s="80"/>
    </row>
    <row r="110" spans="1:12" s="72" customFormat="1" ht="15" x14ac:dyDescent="0.2">
      <c r="A110" s="76"/>
      <c r="B110" s="107"/>
      <c r="C110" s="77">
        <v>1</v>
      </c>
      <c r="D110" s="72" t="s">
        <v>42</v>
      </c>
      <c r="E110" s="116">
        <f>E9-1</f>
        <v>19</v>
      </c>
      <c r="F110" s="43" t="s">
        <v>42</v>
      </c>
      <c r="G110" s="116">
        <f>E10-1</f>
        <v>29</v>
      </c>
      <c r="H110" s="99" t="s">
        <v>42</v>
      </c>
      <c r="I110" s="100">
        <v>0.25</v>
      </c>
      <c r="J110" s="101" t="s">
        <v>43</v>
      </c>
      <c r="K110" s="100">
        <f>IF(C110,C110*E110*G110*I110,"")</f>
        <v>137.75</v>
      </c>
      <c r="L110" s="102" t="s">
        <v>21</v>
      </c>
    </row>
    <row r="111" spans="1:12" s="72" customFormat="1" ht="15" x14ac:dyDescent="0.2">
      <c r="A111" s="128"/>
      <c r="B111" s="83"/>
      <c r="C111" s="77"/>
      <c r="E111" s="103"/>
      <c r="F111" s="104"/>
      <c r="G111" s="105" t="s">
        <v>105</v>
      </c>
      <c r="H111" s="104"/>
      <c r="I111" s="103"/>
      <c r="J111" s="104"/>
      <c r="K111" s="103">
        <f>SUM(K110:K110)</f>
        <v>137.75</v>
      </c>
      <c r="L111" s="106" t="s">
        <v>21</v>
      </c>
    </row>
    <row r="112" spans="1:12" s="72" customFormat="1" ht="171" x14ac:dyDescent="0.2">
      <c r="A112" s="146">
        <v>16</v>
      </c>
      <c r="B112" s="83" t="s">
        <v>7</v>
      </c>
      <c r="C112" s="79"/>
      <c r="E112" s="79"/>
      <c r="F112" s="82"/>
      <c r="G112" s="80"/>
    </row>
    <row r="113" spans="1:12" s="72" customFormat="1" x14ac:dyDescent="0.2">
      <c r="A113" s="128"/>
      <c r="B113" s="83" t="s">
        <v>70</v>
      </c>
      <c r="C113" s="77">
        <f>C91</f>
        <v>4</v>
      </c>
      <c r="D113" s="82" t="s">
        <v>42</v>
      </c>
      <c r="E113" s="79">
        <f>E64</f>
        <v>1.5</v>
      </c>
      <c r="F113" s="82" t="s">
        <v>42</v>
      </c>
      <c r="G113" s="100">
        <v>2.1</v>
      </c>
      <c r="H113" s="41"/>
      <c r="I113" s="43"/>
      <c r="J113" s="88" t="s">
        <v>43</v>
      </c>
      <c r="K113" s="43">
        <f>IF(C113,C113*E113*G113,"")</f>
        <v>12.600000000000001</v>
      </c>
      <c r="L113" s="89" t="s">
        <v>23</v>
      </c>
    </row>
    <row r="114" spans="1:12" s="72" customFormat="1" ht="15" x14ac:dyDescent="0.2">
      <c r="A114" s="128"/>
      <c r="B114" s="83"/>
      <c r="C114" s="77"/>
      <c r="E114" s="79"/>
      <c r="G114" s="124" t="s">
        <v>44</v>
      </c>
      <c r="H114" s="112"/>
      <c r="I114" s="85"/>
      <c r="J114" s="112"/>
      <c r="K114" s="103">
        <f>SUM(K113:K113)</f>
        <v>12.600000000000001</v>
      </c>
      <c r="L114" s="87" t="s">
        <v>23</v>
      </c>
    </row>
    <row r="115" spans="1:12" s="72" customFormat="1" x14ac:dyDescent="0.2">
      <c r="A115" s="76"/>
      <c r="B115" s="135"/>
      <c r="C115" s="79"/>
      <c r="E115" s="79"/>
      <c r="F115" s="82"/>
      <c r="G115" s="80" t="str">
        <f>IF(C115,ROUNDUP(C115*E115,0),"")</f>
        <v/>
      </c>
    </row>
    <row r="116" spans="1:12" s="72" customFormat="1" ht="42.75" x14ac:dyDescent="0.2">
      <c r="A116" s="146">
        <v>17</v>
      </c>
      <c r="B116" s="83" t="s">
        <v>8</v>
      </c>
      <c r="C116" s="79"/>
      <c r="E116" s="79"/>
      <c r="F116" s="82"/>
      <c r="G116" s="80"/>
    </row>
    <row r="117" spans="1:12" s="72" customFormat="1" x14ac:dyDescent="0.2">
      <c r="A117" s="76"/>
      <c r="B117" s="83" t="s">
        <v>58</v>
      </c>
      <c r="C117" s="79"/>
      <c r="E117" s="79"/>
      <c r="F117" s="82"/>
      <c r="G117" s="80"/>
      <c r="J117" s="102" t="s">
        <v>43</v>
      </c>
      <c r="K117" s="79">
        <f>K81</f>
        <v>330.12</v>
      </c>
      <c r="L117" s="72" t="s">
        <v>23</v>
      </c>
    </row>
    <row r="118" spans="1:12" s="72" customFormat="1" x14ac:dyDescent="0.2">
      <c r="A118" s="128"/>
      <c r="B118" s="83"/>
      <c r="C118" s="77"/>
      <c r="E118" s="79"/>
      <c r="G118" s="124" t="s">
        <v>44</v>
      </c>
      <c r="H118" s="112"/>
      <c r="I118" s="85"/>
      <c r="J118" s="112"/>
      <c r="K118" s="85">
        <f>SUM(K117:K117)</f>
        <v>330.12</v>
      </c>
      <c r="L118" s="87" t="s">
        <v>23</v>
      </c>
    </row>
    <row r="119" spans="1:12" s="72" customFormat="1" x14ac:dyDescent="0.2">
      <c r="A119" s="128"/>
      <c r="B119" s="83"/>
      <c r="C119" s="77"/>
      <c r="E119" s="79"/>
      <c r="G119" s="100"/>
      <c r="H119" s="41"/>
      <c r="I119" s="43"/>
      <c r="J119" s="41"/>
      <c r="K119" s="43"/>
      <c r="L119" s="77"/>
    </row>
    <row r="120" spans="1:12" s="72" customFormat="1" ht="57" x14ac:dyDescent="0.2">
      <c r="A120" s="76">
        <f>A116+1</f>
        <v>18</v>
      </c>
      <c r="B120" s="97" t="s">
        <v>69</v>
      </c>
      <c r="C120" s="79"/>
      <c r="E120" s="79"/>
      <c r="F120" s="82"/>
      <c r="G120" s="80"/>
    </row>
    <row r="121" spans="1:12" s="72" customFormat="1" x14ac:dyDescent="0.2">
      <c r="A121" s="76"/>
      <c r="B121" s="97" t="s">
        <v>59</v>
      </c>
      <c r="C121" s="120">
        <v>1</v>
      </c>
      <c r="D121" s="82" t="s">
        <v>42</v>
      </c>
      <c r="E121" s="92">
        <f>K85</f>
        <v>435</v>
      </c>
      <c r="F121" s="136"/>
      <c r="G121" s="111"/>
      <c r="H121" s="110"/>
      <c r="I121" s="110"/>
      <c r="J121" s="137" t="s">
        <v>43</v>
      </c>
      <c r="K121" s="109">
        <f>K85</f>
        <v>435</v>
      </c>
      <c r="L121" s="110" t="s">
        <v>23</v>
      </c>
    </row>
    <row r="122" spans="1:12" s="72" customFormat="1" x14ac:dyDescent="0.2">
      <c r="A122" s="128"/>
      <c r="B122" s="83"/>
      <c r="C122" s="77"/>
      <c r="E122" s="79"/>
      <c r="G122" s="100" t="s">
        <v>44</v>
      </c>
      <c r="H122" s="41"/>
      <c r="I122" s="43"/>
      <c r="J122" s="41"/>
      <c r="K122" s="43">
        <f>SUM(K121:K121)</f>
        <v>435</v>
      </c>
      <c r="L122" s="77" t="s">
        <v>23</v>
      </c>
    </row>
    <row r="123" spans="1:12" s="72" customFormat="1" x14ac:dyDescent="0.2">
      <c r="A123" s="76"/>
      <c r="B123" s="97" t="s">
        <v>29</v>
      </c>
      <c r="C123" s="79"/>
      <c r="E123" s="79"/>
      <c r="F123" s="82"/>
      <c r="G123" s="80"/>
    </row>
    <row r="124" spans="1:12" s="72" customFormat="1" ht="57" x14ac:dyDescent="0.2">
      <c r="A124" s="76">
        <f>A120+1</f>
        <v>19</v>
      </c>
      <c r="B124" s="83" t="s">
        <v>66</v>
      </c>
      <c r="C124" s="79"/>
      <c r="E124" s="79"/>
      <c r="F124" s="82"/>
      <c r="G124" s="80"/>
    </row>
    <row r="125" spans="1:12" s="72" customFormat="1" x14ac:dyDescent="0.2">
      <c r="A125" s="128"/>
      <c r="B125" s="97" t="s">
        <v>61</v>
      </c>
      <c r="C125" s="91">
        <f>K114</f>
        <v>12.600000000000001</v>
      </c>
      <c r="D125" s="93"/>
      <c r="E125" s="92"/>
      <c r="F125" s="72" t="s">
        <v>23</v>
      </c>
      <c r="G125" s="80"/>
      <c r="H125" s="82" t="s">
        <v>60</v>
      </c>
      <c r="I125" s="138">
        <v>2.25</v>
      </c>
      <c r="J125" s="88" t="s">
        <v>43</v>
      </c>
      <c r="K125" s="43">
        <f>C125*I125</f>
        <v>28.35</v>
      </c>
      <c r="L125" s="102" t="s">
        <v>23</v>
      </c>
    </row>
    <row r="126" spans="1:12" s="72" customFormat="1" x14ac:dyDescent="0.2">
      <c r="A126" s="128"/>
      <c r="B126" s="97" t="s">
        <v>62</v>
      </c>
      <c r="C126" s="91">
        <f>K96</f>
        <v>17.28</v>
      </c>
      <c r="D126" s="93"/>
      <c r="E126" s="92"/>
      <c r="F126" s="72" t="s">
        <v>23</v>
      </c>
      <c r="G126" s="80"/>
      <c r="H126" s="82" t="s">
        <v>60</v>
      </c>
      <c r="I126" s="138">
        <v>2.6</v>
      </c>
      <c r="J126" s="88" t="s">
        <v>43</v>
      </c>
      <c r="K126" s="43">
        <f>C126*I126</f>
        <v>44.928000000000004</v>
      </c>
      <c r="L126" s="102" t="s">
        <v>23</v>
      </c>
    </row>
    <row r="127" spans="1:12" s="72" customFormat="1" ht="15" x14ac:dyDescent="0.2">
      <c r="A127" s="128"/>
      <c r="B127" s="97"/>
      <c r="C127" s="82"/>
      <c r="E127" s="79"/>
      <c r="I127" s="124" t="s">
        <v>44</v>
      </c>
      <c r="J127" s="86" t="s">
        <v>43</v>
      </c>
      <c r="K127" s="103">
        <f>SUM(K125:K126)</f>
        <v>73.278000000000006</v>
      </c>
      <c r="L127" s="113" t="s">
        <v>23</v>
      </c>
    </row>
    <row r="128" spans="1:12" s="72" customFormat="1" x14ac:dyDescent="0.2">
      <c r="A128" s="76"/>
      <c r="B128" s="83"/>
      <c r="C128" s="79"/>
      <c r="E128" s="79"/>
      <c r="F128" s="82"/>
      <c r="G128" s="80"/>
    </row>
    <row r="129" spans="1:12" s="72" customFormat="1" ht="42.75" x14ac:dyDescent="0.2">
      <c r="A129" s="76">
        <f>A124+1</f>
        <v>20</v>
      </c>
      <c r="B129" s="97" t="s">
        <v>31</v>
      </c>
      <c r="C129" s="79"/>
      <c r="E129" s="79"/>
      <c r="F129" s="82"/>
      <c r="G129" s="80"/>
    </row>
    <row r="130" spans="1:12" s="72" customFormat="1" ht="15" x14ac:dyDescent="0.2">
      <c r="A130" s="76"/>
      <c r="B130" s="83" t="s">
        <v>63</v>
      </c>
      <c r="C130" s="79"/>
      <c r="E130" s="79"/>
      <c r="F130" s="82"/>
      <c r="G130" s="80"/>
      <c r="K130" s="139">
        <f>K127</f>
        <v>73.278000000000006</v>
      </c>
      <c r="L130" s="102" t="s">
        <v>23</v>
      </c>
    </row>
    <row r="131" spans="1:12" s="72" customFormat="1" ht="15" x14ac:dyDescent="0.2">
      <c r="A131" s="76"/>
      <c r="B131" s="83"/>
      <c r="C131" s="79"/>
      <c r="E131" s="79"/>
      <c r="F131" s="82"/>
      <c r="G131" s="80"/>
      <c r="K131" s="139"/>
      <c r="L131" s="102"/>
    </row>
    <row r="132" spans="1:12" s="50" customFormat="1" ht="315" x14ac:dyDescent="0.2">
      <c r="A132" s="147">
        <v>21</v>
      </c>
      <c r="B132" s="52" t="s">
        <v>110</v>
      </c>
      <c r="C132" s="49"/>
      <c r="D132" s="140"/>
      <c r="E132" s="49"/>
      <c r="F132" s="141"/>
      <c r="G132" s="142"/>
    </row>
    <row r="133" spans="1:12" s="72" customFormat="1" x14ac:dyDescent="0.2">
      <c r="A133" s="76"/>
      <c r="B133" s="115" t="s">
        <v>114</v>
      </c>
      <c r="C133" s="77">
        <v>1</v>
      </c>
      <c r="D133" s="72" t="s">
        <v>42</v>
      </c>
      <c r="E133" s="79">
        <f>E9</f>
        <v>20</v>
      </c>
      <c r="F133" s="72" t="s">
        <v>42</v>
      </c>
      <c r="G133" s="79">
        <f>G21</f>
        <v>30</v>
      </c>
      <c r="J133" s="84" t="s">
        <v>43</v>
      </c>
      <c r="K133" s="79">
        <f>IF(C133,C133*E133*G133,"")</f>
        <v>600</v>
      </c>
      <c r="L133" s="77" t="s">
        <v>23</v>
      </c>
    </row>
    <row r="134" spans="1:12" s="72" customFormat="1" ht="15" x14ac:dyDescent="0.2">
      <c r="A134" s="128"/>
      <c r="B134" s="83"/>
      <c r="C134" s="77"/>
      <c r="E134" s="95"/>
      <c r="F134" s="104"/>
      <c r="G134" s="105" t="s">
        <v>32</v>
      </c>
      <c r="H134" s="104"/>
      <c r="I134" s="103"/>
      <c r="J134" s="104"/>
      <c r="K134" s="103">
        <f>SUM(K133:K133)</f>
        <v>600</v>
      </c>
      <c r="L134" s="119" t="s">
        <v>23</v>
      </c>
    </row>
    <row r="135" spans="1:12" s="72" customFormat="1" x14ac:dyDescent="0.2">
      <c r="A135" s="128"/>
      <c r="B135" s="83"/>
      <c r="C135" s="77"/>
      <c r="D135" s="82"/>
      <c r="E135" s="79"/>
      <c r="F135" s="82"/>
      <c r="G135" s="80"/>
      <c r="H135" s="41"/>
      <c r="I135" s="43"/>
      <c r="J135" s="88"/>
      <c r="K135" s="43"/>
      <c r="L135" s="89"/>
    </row>
    <row r="136" spans="1:12" s="72" customFormat="1" ht="15" x14ac:dyDescent="0.2">
      <c r="A136" s="128"/>
      <c r="B136" s="83"/>
      <c r="C136" s="77"/>
      <c r="D136" s="82"/>
      <c r="E136" s="79"/>
      <c r="F136" s="82"/>
      <c r="G136" s="96" t="s">
        <v>1</v>
      </c>
      <c r="H136" s="41"/>
      <c r="I136" s="43"/>
      <c r="J136" s="88"/>
      <c r="K136" s="43"/>
      <c r="L136" s="89"/>
    </row>
    <row r="137" spans="1:12" ht="15" x14ac:dyDescent="0.2">
      <c r="A137" s="39"/>
      <c r="C137" s="133" t="str">
        <f>GF1_ABS!D31</f>
        <v>RKS TECHNO-LEGAL CONSULTANTS, UDAIPUR</v>
      </c>
    </row>
    <row r="138" spans="1:12" x14ac:dyDescent="0.2">
      <c r="A138" s="39"/>
    </row>
  </sheetData>
  <mergeCells count="5">
    <mergeCell ref="G103:H103"/>
    <mergeCell ref="A3:L3"/>
    <mergeCell ref="A4:L4"/>
    <mergeCell ref="C57:D57"/>
    <mergeCell ref="A1:L2"/>
  </mergeCells>
  <phoneticPr fontId="0" type="noConversion"/>
  <dataValidations count="3">
    <dataValidation type="decimal" allowBlank="1" showInputMessage="1" showErrorMessage="1" errorTitle="Invalid Entry" error="Only Numeric Values are allowed." sqref="A69">
      <formula1>0</formula1>
      <formula2>999999999999999</formula2>
    </dataValidation>
    <dataValidation type="decimal" allowBlank="1" showInputMessage="1" showErrorMessage="1" errorTitle="Invalid Entry" error="Only Numeric Values are allowed. " promptTitle="Estimated Rate" prompt="Please enter the Estimated Rate for this item. " sqref="E69">
      <formula1>0</formula1>
      <formula2>999999999999999</formula2>
    </dataValidation>
    <dataValidation type="decimal" allowBlank="1" showInputMessage="1" showErrorMessage="1" errorTitle="Invalid Entry" error="Only Numeric Values are allowed. " promptTitle="Quantity" prompt="Please enter the Quantity for this item. " sqref="C69">
      <formula1>0</formula1>
      <formula2>999999999999999</formula2>
    </dataValidation>
  </dataValidations>
  <printOptions horizontalCentered="1"/>
  <pageMargins left="0.75" right="0.75" top="0.76" bottom="1" header="0.5" footer="0.5"/>
  <pageSetup paperSize="9" scale="91" fitToHeight="11" orientation="portrait" horizontalDpi="180" verticalDpi="180" r:id="rId1"/>
  <headerFooter alignWithMargins="0">
    <oddFooter>&amp;Cmeasurements&amp;R&amp;P</oddFooter>
  </headerFooter>
  <rowBreaks count="2" manualBreakCount="2">
    <brk id="89" max="17" man="1"/>
    <brk id="96"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gen-abstract</vt:lpstr>
      <vt:lpstr>GF1_ABS</vt:lpstr>
      <vt:lpstr>GF1_MES</vt:lpstr>
      <vt:lpstr>GF1_ABS!Print_Titles</vt:lpstr>
      <vt:lpstr>GF1_MES!Print_Titles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dc:creator>
  <cp:lastModifiedBy>Rajkumar</cp:lastModifiedBy>
  <cp:lastPrinted>2025-10-26T04:16:09Z</cp:lastPrinted>
  <dcterms:created xsi:type="dcterms:W3CDTF">1999-05-10T10:55:35Z</dcterms:created>
  <dcterms:modified xsi:type="dcterms:W3CDTF">2025-10-29T06:59:31Z</dcterms:modified>
</cp:coreProperties>
</file>