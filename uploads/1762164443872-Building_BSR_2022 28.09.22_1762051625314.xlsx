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F:\PWD_PWD\BSR COLLECTION\"/>
    </mc:Choice>
  </mc:AlternateContent>
  <bookViews>
    <workbookView xWindow="0" yWindow="0" windowWidth="20730" windowHeight="9600" tabRatio="950" firstSheet="1" activeTab="9"/>
  </bookViews>
  <sheets>
    <sheet name="input (Machinery)" sheetId="2" r:id="rId1"/>
    <sheet name="input (Labour)" sheetId="86" r:id="rId2"/>
    <sheet name="input (Material)" sheetId="87" r:id="rId3"/>
    <sheet name="G-4-1" sheetId="82" r:id="rId4"/>
    <sheet name="G-4-2" sheetId="60" r:id="rId5"/>
    <sheet name="G-5" sheetId="61" r:id="rId6"/>
    <sheet name="BSR_B1" sheetId="85" r:id="rId7"/>
    <sheet name="BSR_B2" sheetId="29" r:id="rId8"/>
    <sheet name="BSR_B3" sheetId="30" r:id="rId9"/>
    <sheet name="BSR_B4" sheetId="31" r:id="rId10"/>
    <sheet name="BSR_B5" sheetId="32" r:id="rId11"/>
    <sheet name="BSR_B6" sheetId="33" r:id="rId12"/>
    <sheet name="BSR_B7" sheetId="34" r:id="rId13"/>
    <sheet name="BSR_B8" sheetId="35" r:id="rId14"/>
    <sheet name="BSR_B9" sheetId="27" r:id="rId15"/>
    <sheet name="BSR_B10" sheetId="26" r:id="rId16"/>
    <sheet name="BSR_B11" sheetId="24" r:id="rId17"/>
    <sheet name="BSR_B12" sheetId="36" r:id="rId18"/>
    <sheet name="BSR_B13" sheetId="23" r:id="rId19"/>
    <sheet name="BSR_B14" sheetId="22" r:id="rId20"/>
    <sheet name="BSR_B15" sheetId="21" r:id="rId21"/>
    <sheet name="BSR_B16" sheetId="20" r:id="rId22"/>
    <sheet name="BSR_17" sheetId="76" r:id="rId23"/>
    <sheet name="BSR_S1" sheetId="40" r:id="rId24"/>
    <sheet name="BSR_S2" sheetId="38" r:id="rId25"/>
    <sheet name="BSR_S3" sheetId="44" r:id="rId26"/>
    <sheet name="BSR_S4" sheetId="43" r:id="rId27"/>
    <sheet name="H-1" sheetId="71" r:id="rId28"/>
    <sheet name="H-2" sheetId="72" r:id="rId29"/>
    <sheet name="H-3" sheetId="73" r:id="rId30"/>
    <sheet name="H-4" sheetId="68" r:id="rId31"/>
    <sheet name="H-5" sheetId="74" r:id="rId32"/>
  </sheets>
  <definedNames>
    <definedName name="_9999">#REF!</definedName>
    <definedName name="_xlnm._FilterDatabase" localSheetId="6" hidden="1">BSR_B1!$A$6:$D$6</definedName>
    <definedName name="_xlnm._FilterDatabase" localSheetId="7" hidden="1">BSR_B2!$A$9:$C$9</definedName>
    <definedName name="_xlnm._FilterDatabase" localSheetId="8" hidden="1">BSR_B3!$A$10:$C$10</definedName>
    <definedName name="_xlnm._FilterDatabase" localSheetId="9" hidden="1">BSR_B4!$A$25:$C$25</definedName>
    <definedName name="_xlnm._FilterDatabase" localSheetId="23" hidden="1">BSR_S1!$A$5:$C$353</definedName>
    <definedName name="_xlnm._FilterDatabase" localSheetId="24" hidden="1">BSR_S2!$A$5:$C$437</definedName>
    <definedName name="_xlnm._FilterDatabase" localSheetId="25" hidden="1">BSR_S3!$A$9:$D$9</definedName>
    <definedName name="_xlnm._FilterDatabase" localSheetId="1" hidden="1">'input (Labour)'!#REF!</definedName>
    <definedName name="_xlnm._FilterDatabase" localSheetId="0" hidden="1">'input (Machinery)'!#REF!</definedName>
    <definedName name="_xlnm._FilterDatabase" localSheetId="2" hidden="1">'input (Material)'!#REF!</definedName>
    <definedName name="_GoBack" localSheetId="27">'H-1'!#REF!</definedName>
    <definedName name="_xlnm.Print_Area" localSheetId="22">BSR_17!$A$1:$D$238</definedName>
    <definedName name="_xlnm.Print_Area" localSheetId="6">BSR_B1!$A$1:$D$172</definedName>
    <definedName name="_xlnm.Print_Area" localSheetId="15">BSR_B10!$A$1:$D$197</definedName>
    <definedName name="_xlnm.Print_Area" localSheetId="16">BSR_B11!$A$1:$D$217</definedName>
    <definedName name="_xlnm.Print_Area" localSheetId="17">BSR_B12!$A$1:$D$274</definedName>
    <definedName name="_xlnm.Print_Area" localSheetId="18">BSR_B13!$A$1:$D$145</definedName>
    <definedName name="_xlnm.Print_Area" localSheetId="19">BSR_B14!$A$1:$D$199</definedName>
    <definedName name="_xlnm.Print_Area" localSheetId="20">BSR_B15!$A$1:$D$153</definedName>
    <definedName name="_xlnm.Print_Area" localSheetId="21">BSR_B16!$A$1:$D$220</definedName>
    <definedName name="_xlnm.Print_Area" localSheetId="7">BSR_B2!$A$1:$D$32</definedName>
    <definedName name="_xlnm.Print_Area" localSheetId="8">BSR_B3!$A$1:$D$62</definedName>
    <definedName name="_xlnm.Print_Area" localSheetId="9">BSR_B4!$A$1:$D$132</definedName>
    <definedName name="_xlnm.Print_Area" localSheetId="10">BSR_B5!$A$1:$D$99</definedName>
    <definedName name="_xlnm.Print_Area" localSheetId="11">BSR_B6!$A$1:$D$379</definedName>
    <definedName name="_xlnm.Print_Area" localSheetId="12">BSR_B7!$A$1:$D$149</definedName>
    <definedName name="_xlnm.Print_Area" localSheetId="13">BSR_B8!$A$1:$D$225</definedName>
    <definedName name="_xlnm.Print_Area" localSheetId="14">BSR_B9!$A$1:$D$126</definedName>
    <definedName name="_xlnm.Print_Area" localSheetId="23">BSR_S1!$A$1:$D$354</definedName>
    <definedName name="_xlnm.Print_Area" localSheetId="24">BSR_S2!$A$1:$D$450</definedName>
    <definedName name="_xlnm.Print_Area" localSheetId="25">BSR_S3!$A$1:$D$684</definedName>
    <definedName name="_xlnm.Print_Area" localSheetId="26">BSR_S4!$A$1:$D$110</definedName>
    <definedName name="_xlnm.Print_Area" localSheetId="4">'G-4-2'!$A$1:$D$18</definedName>
    <definedName name="_xlnm.Print_Area" localSheetId="5">'G-5'!$A$1:$F$95</definedName>
    <definedName name="_xlnm.Print_Area" localSheetId="27">'H-1'!$A$1:$D$250</definedName>
    <definedName name="_xlnm.Print_Area" localSheetId="28">'H-2'!$A$1:$D$35</definedName>
    <definedName name="_xlnm.Print_Area" localSheetId="29">'H-3'!$A$1:$D$21</definedName>
    <definedName name="_xlnm.Print_Area" localSheetId="30">'H-4'!$A$1:$D$19</definedName>
    <definedName name="_xlnm.Print_Area" localSheetId="31">'H-5'!$A$1:$D$38</definedName>
    <definedName name="_xlnm.Print_Area" localSheetId="1">'input (Labour)'!$A$1:$D$39</definedName>
    <definedName name="_xlnm.Print_Area" localSheetId="0">'input (Machinery)'!$A$1:$D$46</definedName>
    <definedName name="_xlnm.Print_Area" localSheetId="2">'input (Material)'!$A$1:$D$1870</definedName>
    <definedName name="_xlnm.Print_Titles" localSheetId="22">BSR_17!$4:$5</definedName>
    <definedName name="_xlnm.Print_Titles" localSheetId="6">BSR_B1!$6:$7</definedName>
    <definedName name="_xlnm.Print_Titles" localSheetId="15">BSR_B10!$8:$9</definedName>
    <definedName name="_xlnm.Print_Titles" localSheetId="16">BSR_B11!$4:$5</definedName>
    <definedName name="_xlnm.Print_Titles" localSheetId="17">BSR_B12!$10:$11</definedName>
    <definedName name="_xlnm.Print_Titles" localSheetId="18">BSR_B13!$4:$5</definedName>
    <definedName name="_xlnm.Print_Titles" localSheetId="19">BSR_B14!$6:$7</definedName>
    <definedName name="_xlnm.Print_Titles" localSheetId="20">BSR_B15!$4:$5</definedName>
    <definedName name="_xlnm.Print_Titles" localSheetId="21">BSR_B16!$4:$5</definedName>
    <definedName name="_xlnm.Print_Titles" localSheetId="7">BSR_B2!$8:$8</definedName>
    <definedName name="_xlnm.Print_Titles" localSheetId="8">BSR_B3!$9:$10</definedName>
    <definedName name="_xlnm.Print_Titles" localSheetId="9">BSR_B4!$25:$27</definedName>
    <definedName name="_xlnm.Print_Titles" localSheetId="10">BSR_B5!$5:$6</definedName>
    <definedName name="_xlnm.Print_Titles" localSheetId="11">BSR_B6!$8:$9</definedName>
    <definedName name="_xlnm.Print_Titles" localSheetId="12">BSR_B7!$4:$5</definedName>
    <definedName name="_xlnm.Print_Titles" localSheetId="13">BSR_B8!$4:$5</definedName>
    <definedName name="_xlnm.Print_Titles" localSheetId="14">BSR_B9!$4:$5</definedName>
    <definedName name="_xlnm.Print_Titles" localSheetId="23">BSR_S1!$4:$5</definedName>
    <definedName name="_xlnm.Print_Titles" localSheetId="24">BSR_S2!$4:$5</definedName>
    <definedName name="_xlnm.Print_Titles" localSheetId="25">BSR_S3!$9:$10</definedName>
    <definedName name="_xlnm.Print_Titles" localSheetId="26">BSR_S4!$4:$5</definedName>
    <definedName name="_xlnm.Print_Titles" localSheetId="4">'G-4-2'!$4:$5</definedName>
    <definedName name="_xlnm.Print_Titles" localSheetId="5">'G-5'!$6:$9</definedName>
    <definedName name="_xlnm.Print_Titles" localSheetId="27">'H-1'!$6:$7</definedName>
    <definedName name="_xlnm.Print_Titles" localSheetId="28">'H-2'!$6:$7</definedName>
    <definedName name="_xlnm.Print_Titles" localSheetId="29">'H-3'!$6:$7</definedName>
    <definedName name="_xlnm.Print_Titles" localSheetId="31">'H-5'!$5:$6</definedName>
    <definedName name="_xlnm.Print_Titles" localSheetId="1">'input (Labour)'!$2:$2</definedName>
    <definedName name="_xlnm.Print_Titles" localSheetId="0">'input (Machinery)'!$2:$3</definedName>
    <definedName name="_xlnm.Print_Titles" localSheetId="2">'input (Material)'!$3:$3</definedName>
  </definedNames>
  <calcPr calcId="152511"/>
</workbook>
</file>

<file path=xl/calcChain.xml><?xml version="1.0" encoding="utf-8"?>
<calcChain xmlns="http://schemas.openxmlformats.org/spreadsheetml/2006/main">
  <c r="D237" i="76" l="1"/>
  <c r="D219" i="20"/>
  <c r="D153" i="21"/>
  <c r="D199" i="22"/>
  <c r="D145" i="23"/>
  <c r="D274" i="36"/>
  <c r="D217" i="24"/>
  <c r="D197" i="26"/>
  <c r="D126" i="27"/>
  <c r="D225" i="35"/>
  <c r="D149" i="34"/>
  <c r="D379" i="33"/>
  <c r="D98" i="32"/>
  <c r="D132" i="31"/>
  <c r="D62" i="30"/>
  <c r="D32" i="29"/>
  <c r="D172" i="85"/>
  <c r="D1800" i="87"/>
  <c r="D1799" i="87"/>
  <c r="D1798" i="87"/>
  <c r="D1797" i="87"/>
  <c r="D1796" i="87"/>
  <c r="D1795" i="87"/>
  <c r="D1794" i="87"/>
  <c r="D1791" i="87"/>
  <c r="D1790" i="87"/>
  <c r="D1789" i="87"/>
  <c r="D1788" i="87"/>
  <c r="D1787" i="87"/>
  <c r="D1786" i="87"/>
  <c r="D1785" i="87"/>
  <c r="D1784" i="87"/>
  <c r="D1783" i="87"/>
  <c r="D1782" i="87"/>
  <c r="D1781" i="87"/>
  <c r="D1780" i="87"/>
  <c r="D1779" i="87"/>
  <c r="D1778" i="87"/>
  <c r="D1777" i="87"/>
  <c r="D1776" i="87"/>
  <c r="D1773" i="87"/>
  <c r="D1772" i="87"/>
  <c r="F12" i="82"/>
  <c r="G12" i="82"/>
  <c r="I12" i="82" s="1"/>
  <c r="K12" i="82" s="1"/>
  <c r="G13" i="82"/>
  <c r="I13" i="82" s="1"/>
  <c r="K13" i="82" s="1"/>
</calcChain>
</file>

<file path=xl/sharedStrings.xml><?xml version="1.0" encoding="utf-8"?>
<sst xmlns="http://schemas.openxmlformats.org/spreadsheetml/2006/main" count="12089" uniqueCount="6509">
  <si>
    <t>Providing and fixing of double leaf steel shutter  for cupboard, the frame is made of pressed steel  ISI section 80x25 mmx  1.25 mm thick  with 1.00 mm MS sheet to spot welded including holdfasts of 15x3mm, MS oxidized fittings such as butt hinges, sliding doors bolts, handles, tower bolts and twin peg etc complete  including applying priming coat of approved steel primer of red oxide zinc chromate and  spray painting in approved shade with deco  paint of approved quality complete as per direction of Engineer In Charge</t>
  </si>
  <si>
    <t>Providing &amp; lowering of G.I. Pipes, flange pipe including rubber washer and nuts of  8 mm dia complete in all respect I.S.1239 Marked.</t>
  </si>
  <si>
    <t xml:space="preserve">Half Brick work with mechanised autoclaved flyash lime bricks conforming to IS: 12894 :2002 of class designation 100 in superstructure above plinth level upto floor V level in.  </t>
  </si>
  <si>
    <t xml:space="preserve">Half Brick work with mechanised autoclaved flyash lime bricks conforming to IS: 12894 :2002 of class designation 75 in superstructure above plinth level upto floor V level in.  </t>
  </si>
  <si>
    <t>5.20.1</t>
  </si>
  <si>
    <t>5.20.2</t>
  </si>
  <si>
    <t>5.21.1</t>
  </si>
  <si>
    <t>5.21.2</t>
  </si>
  <si>
    <t>Providing and applying  Melamine polish on teak wood work of approved brand and manufacture to give an   even shade with two  or more coats by compressor including sand papering,  wood filler coat etc complete in all respect:</t>
  </si>
  <si>
    <t>Mechanised Autoclaved flyash lime bricks 75</t>
  </si>
  <si>
    <t xml:space="preserve">Painting with synthetic enamel paint of approved brand and manufacture to  give an even shade : 
</t>
  </si>
  <si>
    <t xml:space="preserve">Two or more coats on new work  </t>
  </si>
  <si>
    <t>12.48.1</t>
  </si>
  <si>
    <t>12.48.2</t>
  </si>
  <si>
    <t>Cement Concrete Jali 30 mm thick</t>
  </si>
  <si>
    <t xml:space="preserve">Royalty for sludge </t>
  </si>
  <si>
    <t>Kotastone slab 40mm thick (rough chisled)</t>
  </si>
  <si>
    <t>Modular bricks of class designation 100</t>
  </si>
  <si>
    <t>Rate (Rs.)</t>
  </si>
  <si>
    <t>CHAPTER H-1</t>
  </si>
  <si>
    <t>SUPPLY OF MANURE, INSCTICIDES, PLANTS, POTS, T &amp; P ETC.</t>
  </si>
  <si>
    <t>The rates are inclusive of all taxes etc. and for estimation purpose only.</t>
  </si>
  <si>
    <t>Compost</t>
  </si>
  <si>
    <t>Goat dungmanure.</t>
  </si>
  <si>
    <t>Urea</t>
  </si>
  <si>
    <t>1.2.3</t>
  </si>
  <si>
    <t>1.2.4</t>
  </si>
  <si>
    <t>1.2.5</t>
  </si>
  <si>
    <t>1.4.1</t>
  </si>
  <si>
    <t>1.4.2</t>
  </si>
  <si>
    <t>1.4.3</t>
  </si>
  <si>
    <t>1.4.4</t>
  </si>
  <si>
    <t>1.4.5</t>
  </si>
  <si>
    <t>Cholorophyriphos 20 Ec.</t>
  </si>
  <si>
    <t>1.4.6</t>
  </si>
  <si>
    <t>1.5.1</t>
  </si>
  <si>
    <t>1.5.2</t>
  </si>
  <si>
    <t>1.5.3</t>
  </si>
  <si>
    <t>1.5.4</t>
  </si>
  <si>
    <t>1.5.5</t>
  </si>
  <si>
    <t>Secaetur</t>
  </si>
  <si>
    <t>1.5.6</t>
  </si>
  <si>
    <t>1.5.7</t>
  </si>
  <si>
    <t>1.6.1</t>
  </si>
  <si>
    <t>1.6.2</t>
  </si>
  <si>
    <t>Cement pot 350 mm size</t>
  </si>
  <si>
    <t>1.6.3</t>
  </si>
  <si>
    <t>Asbestos pot 350 mm size</t>
  </si>
  <si>
    <t>Add extra if R.C.C slab of designed thickness &amp; reinforcement is provided on manhole in place of stone slab( Actual area of R.C.C slab to be measured).</t>
  </si>
  <si>
    <t>P &amp; F M.S. Foot Rests in with C.M.,1:3, standard design in 20mm square M.S. bar 50 mm embedded in wall &amp; 10 cms. projected out complete.</t>
  </si>
  <si>
    <t>Supplying and fixing C.I. Cover with frame, C.I. gratings for chambers &amp; man holes.</t>
  </si>
  <si>
    <t>Supplying  and  fixing  Ferro- cement  cover  with  C.I.  frame  for  chambers  &amp;  man  holes of size.</t>
  </si>
  <si>
    <t>3.34.1</t>
  </si>
  <si>
    <t>450mm dia, 5Kg. C.I. frame  to with stand 3 MT center point load &amp; minimum unfractured  load of 1 MT. (Light duty).</t>
  </si>
  <si>
    <t>3.34.2</t>
  </si>
  <si>
    <t>500mm dia 12 Kg.-do-15 MT centre point load (medium duty).</t>
  </si>
  <si>
    <t>3.34.3</t>
  </si>
  <si>
    <t>500mm dia 22 Kg.-do-22 MT centre point load (Heavy duty).</t>
  </si>
  <si>
    <t>500mm dia 25 Kg.-do-70 MT centre point load  seal type (Heavy duty.)</t>
  </si>
  <si>
    <t>Rectangular shape 600 x 450 mm,  to withstand         3 MT center point load &amp; minimum unfractured  load of 1 MT. (Light duty).</t>
  </si>
  <si>
    <t>Supplying &amp; Fixing R.C.C. Manholes covers with frame of approved make (Light duty).</t>
  </si>
  <si>
    <t>3.35.1</t>
  </si>
  <si>
    <t>Size 500mm dia (Double seal)</t>
  </si>
  <si>
    <t>3.35.2</t>
  </si>
  <si>
    <t>Size 450mm dia</t>
  </si>
  <si>
    <t>3.35.3</t>
  </si>
  <si>
    <t>Size 400mm dia</t>
  </si>
  <si>
    <t>Size 600 X 600mm (Double seal)</t>
  </si>
  <si>
    <t>Size 600 X 450mm</t>
  </si>
  <si>
    <t>Size 450 X 450mm</t>
  </si>
  <si>
    <t>Size 300 X 300mm</t>
  </si>
  <si>
    <t>Size 250 X 250mm</t>
  </si>
  <si>
    <t>Size 180 X 180mm</t>
  </si>
  <si>
    <t>Construction of Open Surface  Drain with 112mm thick brick masonry in CM 1:4,110mm thick base concrete 1:5:10, 37mm thick M-15 grade C.C. flooring ,12mm 1:4 cement plaster on all exposed faces of walls including top surface excavation &amp; disposal of earth complete as per approved design/drawing:</t>
  </si>
  <si>
    <t>112mm drain,225mm Av. depth</t>
  </si>
  <si>
    <t>150mm drain,225mm Av. depth</t>
  </si>
  <si>
    <t>250mm drain,300mm Av. depth</t>
  </si>
  <si>
    <t>Construction of open Drain with 112mm thick brick masonry in CM 1:4 Semi circular S.W. glazed channel (confirming to IS Standards) fixed with cement mortar 1:1 over a bed of 100mm thick C.C. 1:5:10, filling of edged with M-15 grade C.C. flooring, 12mm cement plaster 1:4, over all exposed faces, excavation &amp; disposal of earth with in a lead of 50 mtr complete as per approved drawings :</t>
  </si>
  <si>
    <t>112 mm drain,225mm Av. depth width 10 Cm S.W. glazed channel.</t>
  </si>
  <si>
    <t>150 mm drain,225mm Av. depth width  15 Cm S.W. glazed channel.</t>
  </si>
  <si>
    <t>Extra For additional 5 Cm. Average depth of drain of all sizes.</t>
  </si>
  <si>
    <t>3.39.1</t>
  </si>
  <si>
    <t>40mm thick</t>
  </si>
  <si>
    <t>3.39.2</t>
  </si>
  <si>
    <t>Upto 60mm thick</t>
  </si>
  <si>
    <t>Upto 80mm thick</t>
  </si>
  <si>
    <t>Construction of Cement Concrete Chamber           125mm dia.</t>
  </si>
  <si>
    <t>3.40.1</t>
  </si>
  <si>
    <t>C.P. Brass grating</t>
  </si>
  <si>
    <t>3.40.2</t>
  </si>
  <si>
    <t>C.P. Brass doom grating</t>
  </si>
  <si>
    <t>3.40.3</t>
  </si>
  <si>
    <t>C.I. Grating</t>
  </si>
  <si>
    <t>Stainless Steel Sheet Grating</t>
  </si>
  <si>
    <t>Construction of Cement Concrete Chamber 125mm dia on depressed floor upto 45cm height from floor with :</t>
  </si>
  <si>
    <t>C.P. doom grating</t>
  </si>
  <si>
    <t>SPUN-CENTRIFUGALLY CAST IRON SOIL WATER  PIPES:-</t>
  </si>
  <si>
    <t>Providing &amp; fixing Spun –Centrifugally cast Iron Pipes (IS : 3989 Mark ) of Approved make in wall or in floor with M.S. Holder bat clamps in 10 X 10 X10 Cm. M-15 Grade concrete blocks, joints filled with CM 1:4 with spun yarn including cutting holes and making good the wall:-</t>
  </si>
  <si>
    <t>3.41.1</t>
  </si>
  <si>
    <t>3.41.2</t>
  </si>
  <si>
    <t>100 mm dia</t>
  </si>
  <si>
    <t>3.41.3</t>
  </si>
  <si>
    <t>150 mm dia</t>
  </si>
  <si>
    <t>Providing  &amp; fixing Spun –Centrifugally cast Iron Pipes fitting (IS : 3989 Mark ) in CM 1:4 with spun Yarn.</t>
  </si>
  <si>
    <t>3.42.1</t>
  </si>
  <si>
    <t>75mm w/o door</t>
  </si>
  <si>
    <t>D/Door Y-Tee</t>
  </si>
  <si>
    <t>3.42.2</t>
  </si>
  <si>
    <t>100 mm –do-</t>
  </si>
  <si>
    <t>150 mm –do-</t>
  </si>
  <si>
    <t>75mm with door</t>
  </si>
  <si>
    <t>100mm with door</t>
  </si>
  <si>
    <t>150mm with door</t>
  </si>
  <si>
    <t>Providing and Fixing Spun –Cast Iron floor trap (Nahani) of (IS :3989 Mark ) approved quality / make with socket down or hinged grating including cutting and making good the floor :-</t>
  </si>
  <si>
    <t>Size 100 x 100 mm</t>
  </si>
  <si>
    <t>Size 100 x 75 mm</t>
  </si>
  <si>
    <t>Add 10% extra Over Item No. 3.41 if the pipes are laid under suspended condition under the roof.</t>
  </si>
  <si>
    <t>UPVC SOIL WASTE &amp; RAIN WATER (SWR ) PIPES</t>
  </si>
  <si>
    <t>Providing and Fixing Unplasticized Poly Vinyl Chloride (UPVC) SWR Pipes Type B for sciland waste discharge system (IS:13592 : 1992 Marked) of approved quality /make</t>
  </si>
  <si>
    <t>3.45.1</t>
  </si>
  <si>
    <t>3.45.2</t>
  </si>
  <si>
    <t>Providing and Fixing Unplasticized Poly Vinyl Chloride (UPVC) SWR Pipes fittings type B for sciland waste discharge system (IS:13592 : 1992 Marked) of approved quality /make</t>
  </si>
  <si>
    <t>Coupler</t>
  </si>
  <si>
    <t>Repair Coupler</t>
  </si>
  <si>
    <t>Single Push Fit Coupler</t>
  </si>
  <si>
    <t>Bend 87.5 Dg.</t>
  </si>
  <si>
    <t>Bend 45 Dg.</t>
  </si>
  <si>
    <t>Door Bend 87.5 Dg.</t>
  </si>
  <si>
    <t>Single 'Y'</t>
  </si>
  <si>
    <t>Single 'Y' with Door</t>
  </si>
  <si>
    <t>Double 'Y' with Door</t>
  </si>
  <si>
    <t>Socket Plug</t>
  </si>
  <si>
    <t>Double tee with Door</t>
  </si>
  <si>
    <t>W.C. Connector</t>
  </si>
  <si>
    <t>W.C. Connector (Bend) with ring</t>
  </si>
  <si>
    <t>Single Tee</t>
  </si>
  <si>
    <t>Single Tee with Door</t>
  </si>
  <si>
    <t>Double Tee (4 Ways)</t>
  </si>
  <si>
    <t>Extra Square Jali</t>
  </si>
  <si>
    <t>Extra Round Jali</t>
  </si>
  <si>
    <t>Extra 4 SWR Ring</t>
  </si>
  <si>
    <t>Nahni Trap with Jali 4”</t>
  </si>
  <si>
    <t>Nahni Trap without Jali 4”</t>
  </si>
  <si>
    <t>CHAPTER H-5</t>
  </si>
  <si>
    <t>Extra for sorting the steel size-wise inside the store yard and stacking the same for measurement within the lead of 100 meters as directed by the Engineer-in-charge</t>
  </si>
  <si>
    <t>Hire charges includes transporatation at site within Muncipal Limits, Loading, Unloading, Placing and removing complete.</t>
  </si>
  <si>
    <t>Cost (Rs.)</t>
  </si>
  <si>
    <t>1st Day</t>
  </si>
  <si>
    <t>Chairs :</t>
  </si>
  <si>
    <t xml:space="preserve">PVC chair </t>
  </si>
  <si>
    <t>Plastic cane chair of Aluminium pipe with arms.</t>
  </si>
  <si>
    <t>Steel pipe pedded chair</t>
  </si>
  <si>
    <t>Tables :</t>
  </si>
  <si>
    <t>Wooden Table 6' x 3' (Babool).</t>
  </si>
  <si>
    <t>Centre Table sunmica Top 2'x4'</t>
  </si>
  <si>
    <t>Peg Table Sunmica Top 1'x1'</t>
  </si>
  <si>
    <t>Floor Covering :</t>
  </si>
  <si>
    <t>Cotton Durry (Old).</t>
  </si>
  <si>
    <t>Cotton Durry (New).</t>
  </si>
  <si>
    <t>5.10.1</t>
  </si>
  <si>
    <t>Non woven synthtic carpet (Red/Green) (New)</t>
  </si>
  <si>
    <t>5.10.2</t>
  </si>
  <si>
    <t>Non woven synthtic carpet (Red/Green) (old)</t>
  </si>
  <si>
    <t xml:space="preserve">White Cotton chader (Sheet) (Washed) </t>
  </si>
  <si>
    <t>5mm Galvanised Iron (G.I) pipe 6 mtr. long with new silk flag.</t>
  </si>
  <si>
    <t>Water Proof Tripal.</t>
  </si>
  <si>
    <t>Wooden stage height 60cm.with steps complete</t>
  </si>
  <si>
    <t>Cotton mattress with white sheet (chader).</t>
  </si>
  <si>
    <t>Dunlop mattress with white chadar size 6'x3'.</t>
  </si>
  <si>
    <t>Massand with white cover.</t>
  </si>
  <si>
    <t>Speech Stand having Sunmica top.</t>
  </si>
  <si>
    <t xml:space="preserve">white cotton cloth cover for padded chair inculding ribbon </t>
  </si>
  <si>
    <t>50 mm dia</t>
  </si>
  <si>
    <t>3.18.1</t>
  </si>
  <si>
    <t>3.18.2</t>
  </si>
  <si>
    <t>3.22.3</t>
  </si>
  <si>
    <t>3.22.4</t>
  </si>
  <si>
    <t>3.33.1</t>
  </si>
  <si>
    <t>3.33.2</t>
  </si>
  <si>
    <t>3.33.3</t>
  </si>
  <si>
    <t>3.33.4</t>
  </si>
  <si>
    <t>3.33.5</t>
  </si>
  <si>
    <t>3.39.3</t>
  </si>
  <si>
    <t>3.38.1</t>
  </si>
  <si>
    <t>3.38.2</t>
  </si>
  <si>
    <t>3.38.3</t>
  </si>
  <si>
    <t>3.39.4</t>
  </si>
  <si>
    <t>2.29.2</t>
  </si>
  <si>
    <t>2.29.3</t>
  </si>
  <si>
    <t>2.29.4</t>
  </si>
  <si>
    <t>2.29.5</t>
  </si>
  <si>
    <t>2.30.2</t>
  </si>
  <si>
    <t>2.30.3</t>
  </si>
  <si>
    <t>2.30.4</t>
  </si>
  <si>
    <t>2.30.5</t>
  </si>
  <si>
    <t>Sand zone V ()</t>
  </si>
  <si>
    <t>C.P. brass of Heavy &amp; superior quality 150mm.</t>
  </si>
  <si>
    <t>C.P. brass of Heavy &amp; superior quality, revolving with adjustable key 150mm.</t>
  </si>
  <si>
    <t>P &amp; F Extension Pipe for bib cocks of approved quality/make.</t>
  </si>
  <si>
    <t>1.58.1</t>
  </si>
  <si>
    <t>C.P. brass of Heavy &amp; Superior quality 50x15mm</t>
  </si>
  <si>
    <t>1.58.2</t>
  </si>
  <si>
    <t>(-do-) 100 X 15mm.</t>
  </si>
  <si>
    <t>1.58.3</t>
  </si>
  <si>
    <t>(-do-) 150 X 15mm.</t>
  </si>
  <si>
    <t>Labour Charges for removing WVC   pan:</t>
  </si>
  <si>
    <t>Indian/Orissa pan</t>
  </si>
  <si>
    <t>European W.C.</t>
  </si>
  <si>
    <t>Flushing cistern</t>
  </si>
  <si>
    <t>Providing &amp; fixing C.P.flange for 15mm dia taps.</t>
  </si>
  <si>
    <t>SANITARY INSTALLATION WORK</t>
  </si>
  <si>
    <t>NOTE:</t>
  </si>
  <si>
    <t>All items which are manufactured ISI marked,  shall only be used. this condition shall  be always incorporated in special condition of contract.</t>
  </si>
  <si>
    <t>GI (Sheet) hot galvanized exposed (10 litres).</t>
  </si>
  <si>
    <t>CHAPTER  : S-2</t>
  </si>
  <si>
    <t>WATER SUPPLY INSTALLATION</t>
  </si>
  <si>
    <t>GALVANISED IRON PIPES</t>
  </si>
  <si>
    <t>Exposed on wall</t>
  </si>
  <si>
    <t>2.1.1</t>
  </si>
  <si>
    <t xml:space="preserve">15 mm dia nominal bore  </t>
  </si>
  <si>
    <t>'A' Class</t>
  </si>
  <si>
    <t>'B' Class</t>
  </si>
  <si>
    <t>2.1.2</t>
  </si>
  <si>
    <t xml:space="preserve">20mm dia nominal bore  </t>
  </si>
  <si>
    <t>2.1.3</t>
  </si>
  <si>
    <t xml:space="preserve">25mm dia nominal bore  </t>
  </si>
  <si>
    <t>2.1.4</t>
  </si>
  <si>
    <t xml:space="preserve">32mm dia nominal bore  </t>
  </si>
  <si>
    <t>2.1.5</t>
  </si>
  <si>
    <t xml:space="preserve">40mm dia nominal bore  </t>
  </si>
  <si>
    <t>2.1.6</t>
  </si>
  <si>
    <t xml:space="preserve">50mm dia nominal bore  </t>
  </si>
  <si>
    <t>2.1.7</t>
  </si>
  <si>
    <t xml:space="preserve">65mm dia nominal bore  </t>
  </si>
  <si>
    <t>2.1.8</t>
  </si>
  <si>
    <t xml:space="preserve">80mm dia nominal bore  </t>
  </si>
  <si>
    <t>Concealed pipe in wall including painting with anticorrosive bitumen paint</t>
  </si>
  <si>
    <t>2.1.9</t>
  </si>
  <si>
    <t>2.1.10</t>
  </si>
  <si>
    <t>2.2.1</t>
  </si>
  <si>
    <t>15mm dia nominal bore</t>
  </si>
  <si>
    <t>2.2.2</t>
  </si>
  <si>
    <t>2.2.3</t>
  </si>
  <si>
    <t>2.2.4</t>
  </si>
  <si>
    <t>2.2.5</t>
  </si>
  <si>
    <t>2.2.6</t>
  </si>
  <si>
    <t>2.2.7</t>
  </si>
  <si>
    <t>2.2.8</t>
  </si>
  <si>
    <t>2.2.9</t>
  </si>
  <si>
    <t xml:space="preserve">100mm dia nominal bore  </t>
  </si>
  <si>
    <t>2.2.10</t>
  </si>
  <si>
    <t xml:space="preserve">125mm dia nominal bore  </t>
  </si>
  <si>
    <t>Making connection of G.I. distribution branch with G.I. main including all fitting.</t>
  </si>
  <si>
    <t>2.3.1</t>
  </si>
  <si>
    <t xml:space="preserve">Upto 25mm dia </t>
  </si>
  <si>
    <t>2.3.2</t>
  </si>
  <si>
    <t>Beyond 25mm &amp; upto 100mm dia</t>
  </si>
  <si>
    <t xml:space="preserve">Fixing water meter (IS: 779 mark) and stop cock in G.I. pipe line including making chamber of approved size excluding cost of water meter &amp; stop cock. </t>
  </si>
  <si>
    <t xml:space="preserve">P &amp; F water meter (IS : 779 mark) of approved make. </t>
  </si>
  <si>
    <t>2.5.1</t>
  </si>
  <si>
    <t xml:space="preserve">15mm dia </t>
  </si>
  <si>
    <t>2.5.2</t>
  </si>
  <si>
    <t xml:space="preserve">20mm dia </t>
  </si>
  <si>
    <t>2.5.3</t>
  </si>
  <si>
    <t xml:space="preserve">25 mm dia </t>
  </si>
  <si>
    <t>COCKS,  MIXERS,  DIVERTORS &amp;  VALVES</t>
  </si>
  <si>
    <t>The rates are for ISI marked item.</t>
  </si>
  <si>
    <t>If the items are Non- ISI marked, reduce the rate by 25%.</t>
  </si>
  <si>
    <t>2.6.1</t>
  </si>
  <si>
    <t>C.P. Pillar cock, 15 mm dia nominal bore</t>
  </si>
  <si>
    <t>2.6.2</t>
  </si>
  <si>
    <t>C.P. Pillar cock Elbow action, 15 mm 
nominal bore.</t>
  </si>
  <si>
    <t>2.6.3</t>
  </si>
  <si>
    <t>C.P. Pillar  cock  fancy  type ,15mm 
nominal bore.</t>
  </si>
  <si>
    <t>2.6.4</t>
  </si>
  <si>
    <t>C.P. Pillar cock, Swan-neck with casted spout, 15mm nominal bore.</t>
  </si>
  <si>
    <t>2.6.5</t>
  </si>
  <si>
    <t>C.P. Pillar cock, high-neck, 15 mm nominal bore.</t>
  </si>
  <si>
    <t>2.6.6</t>
  </si>
  <si>
    <t>Synthetic Material (PTMT) Pillar cock of approved  quality / make  15mm  nominal bore.</t>
  </si>
  <si>
    <t>P &amp; F Bib Cock (IS : 8931 Mark), Superior quality of approved make:</t>
  </si>
  <si>
    <t>2.7.1</t>
  </si>
  <si>
    <t>2.7.2</t>
  </si>
  <si>
    <t>P.V.C.heavy duty, 15mm nominal bore.</t>
  </si>
  <si>
    <t>2.7.3</t>
  </si>
  <si>
    <t>C.P. Brass bib cock,15mm nominal bore.</t>
  </si>
  <si>
    <t>2.7.4</t>
  </si>
  <si>
    <t>2.7.5</t>
  </si>
  <si>
    <t>(-do-) Long body, 15mm nominal bore weight not less than 690 gm</t>
  </si>
  <si>
    <t>2.7.6</t>
  </si>
  <si>
    <t>(-do-) Long nose, 15mm nominal bore weight not less than 810 gm</t>
  </si>
  <si>
    <t>2.7.7</t>
  </si>
  <si>
    <t>(-do-) Elbow-action, 15mm nominal bore.</t>
  </si>
  <si>
    <t>2.7.8</t>
  </si>
  <si>
    <t>Synthetic Material(PTMT) bib cock of approved quality/ make, nominal bore,      15mm, 86 mm long.</t>
  </si>
  <si>
    <t>2.7.9</t>
  </si>
  <si>
    <t>(-do-) Fancy Type, 122 mm long.</t>
  </si>
  <si>
    <t xml:space="preserve">(-do-) Long Body, 175 mm long </t>
  </si>
  <si>
    <t>2.8.1</t>
  </si>
  <si>
    <t>Brass 400 gm. 15mm nominal bore.</t>
  </si>
  <si>
    <t>2.8.2</t>
  </si>
  <si>
    <t>(-do-) 750 gm. 20 mm nominal bore.</t>
  </si>
  <si>
    <t>2.8.3</t>
  </si>
  <si>
    <t>(-do-) 1350gm. 25 mm nominal bore.</t>
  </si>
  <si>
    <t>2.8.4</t>
  </si>
  <si>
    <t>C.P. Brass 15mm nominal bore.</t>
  </si>
  <si>
    <t>2.8.5</t>
  </si>
  <si>
    <t>(-do-) Concealed Stop Cock 15mm.</t>
  </si>
  <si>
    <t>2.8.6</t>
  </si>
  <si>
    <t>Synthetic material (PTMT) stop cock of approved quality/make 15mm.</t>
  </si>
  <si>
    <t>2.8.7</t>
  </si>
  <si>
    <t>(-do-) Concealed stop cock 15mm</t>
  </si>
  <si>
    <t>P &amp; F Sink Cocks of superior quality &amp; approved made :</t>
  </si>
  <si>
    <t>2.9.1</t>
  </si>
  <si>
    <t>C.P. Sink cock swinging spout 15mm.</t>
  </si>
  <si>
    <t>2.9.2</t>
  </si>
  <si>
    <t xml:space="preserve">(-do-) Casted Spout 15 mm. </t>
  </si>
  <si>
    <t>2..10.1</t>
  </si>
  <si>
    <t>C.P. Brass 15 mm.</t>
  </si>
  <si>
    <t>2.10.2</t>
  </si>
  <si>
    <t xml:space="preserve">Synthetic Material (PTMT) push cock of approved quality/make 15mm. </t>
  </si>
  <si>
    <t>2.11.1</t>
  </si>
  <si>
    <t>2.11.2</t>
  </si>
  <si>
    <t>2.11.3</t>
  </si>
  <si>
    <t>2.11.4</t>
  </si>
  <si>
    <t>2.11.5</t>
  </si>
  <si>
    <t>2.11.6</t>
  </si>
  <si>
    <t>2.11.7</t>
  </si>
  <si>
    <t>Synthetic material (PTMT)  of approved make 15mm nominal size.</t>
  </si>
  <si>
    <t>2.11.8</t>
  </si>
  <si>
    <t>(-do-) 20 mm nominal size.</t>
  </si>
  <si>
    <t>2.11.9</t>
  </si>
  <si>
    <t>(-do-) 25 mm nominal size.</t>
  </si>
  <si>
    <t>2.11.10</t>
  </si>
  <si>
    <t>(-do-) 50 mm nominal size.</t>
  </si>
  <si>
    <t>2.12.1</t>
  </si>
  <si>
    <t>C.P. Inlet connection 15mm.Brass (IS : 8931 marked)</t>
  </si>
  <si>
    <t>2.12.2</t>
  </si>
  <si>
    <t>---do--- with 37 cm long pipe and nut.</t>
  </si>
  <si>
    <t>2.12.3</t>
  </si>
  <si>
    <t>2.12.4</t>
  </si>
  <si>
    <t>Synthetic Material (PTMT)  Inlet connection of approved quality/make 15 mm nominal size.</t>
  </si>
  <si>
    <t>2.13.1</t>
  </si>
  <si>
    <t>PVC pipe with  C.P. Brass nuts upto length, 300mm</t>
  </si>
  <si>
    <t>2.13.2</t>
  </si>
  <si>
    <t>(-do-) upto length 370mm</t>
  </si>
  <si>
    <t>2.13.3</t>
  </si>
  <si>
    <t>(-do-) 450mm.</t>
  </si>
  <si>
    <t>2.13.4</t>
  </si>
  <si>
    <t>(-do-) 600mm.</t>
  </si>
  <si>
    <t>2.13.5</t>
  </si>
  <si>
    <t>CP Brass Pipe with CP Brass nuts upto length 300mm.</t>
  </si>
  <si>
    <t>2.13.6</t>
  </si>
  <si>
    <t>(-do-) 370mm.</t>
  </si>
  <si>
    <t>2.13.7</t>
  </si>
  <si>
    <t>2.13.8</t>
  </si>
  <si>
    <t>2.14.1</t>
  </si>
  <si>
    <t>CP brass push type 15mm nominal bore.</t>
  </si>
  <si>
    <t>2.14.2</t>
  </si>
  <si>
    <t>(-do-) 20mm nominal bore.</t>
  </si>
  <si>
    <t>2.14.3</t>
  </si>
  <si>
    <t>(-do-)exposed 25mm nominal bore.</t>
  </si>
  <si>
    <t>2.14.4</t>
  </si>
  <si>
    <t>(-do-) 32mm nominal bore.</t>
  </si>
  <si>
    <t>2.14.5</t>
  </si>
  <si>
    <t>(-do-) concealed 25mm nominal bore.</t>
  </si>
  <si>
    <t>2.14.6</t>
  </si>
  <si>
    <t>(-do-) concealed 32mm nominal bore.</t>
  </si>
  <si>
    <t>2.14.7</t>
  </si>
  <si>
    <t>(-do-) Half-turn exposed 25mm nominal bore.</t>
  </si>
  <si>
    <t>2.14.8</t>
  </si>
  <si>
    <t>(-do-) Concealed 25mm nominal bore.</t>
  </si>
  <si>
    <t>2.14.9</t>
  </si>
  <si>
    <t>Brass / Gun  metal  Half-turn  wt. 1 Kg.  of  approved  quality / make,  25mm  nominal  bore.</t>
  </si>
  <si>
    <t>2.14.10</t>
  </si>
  <si>
    <t>CP Brass flush valve 32mm nominal bore</t>
  </si>
  <si>
    <t>2.15.1</t>
  </si>
  <si>
    <t>Gun-metal 15mm nominal bore.</t>
  </si>
  <si>
    <t>2.15.2</t>
  </si>
  <si>
    <t>2.15.3</t>
  </si>
  <si>
    <t>(-do-) 25mm nominal bore.</t>
  </si>
  <si>
    <t>2.15.4</t>
  </si>
  <si>
    <t>2.15.5</t>
  </si>
  <si>
    <t>(-do-) 40mm nominal bore.</t>
  </si>
  <si>
    <t>2.15.6</t>
  </si>
  <si>
    <t>(-do-) 50mm nominal bore.</t>
  </si>
  <si>
    <t>2.16.1</t>
  </si>
  <si>
    <t>15mm nominal bore.</t>
  </si>
  <si>
    <t>Horizontal</t>
  </si>
  <si>
    <t>2.16.2</t>
  </si>
  <si>
    <t>20mm nominal bore.</t>
  </si>
  <si>
    <t>2.16.3</t>
  </si>
  <si>
    <t>25mm nominal bore.</t>
  </si>
  <si>
    <t>2.16.4</t>
  </si>
  <si>
    <t>32mm nominal bore.</t>
  </si>
  <si>
    <t>2.16.5</t>
  </si>
  <si>
    <t>Making of holes in cement concrete/ Bitumenous road by power driven hammer for barricating work as per direction of Engineer in charge</t>
  </si>
  <si>
    <t>Hire charges for folded type two seater sofa set (cum bed) with good quality white cloth cover</t>
  </si>
  <si>
    <t>Flats exceeding 10 mm in thickness</t>
  </si>
  <si>
    <t xml:space="preserve"> WATER PROOFING AND EXPANSION JOINT TREATMENT  </t>
  </si>
  <si>
    <t>(iv)</t>
  </si>
  <si>
    <t>(v)</t>
  </si>
  <si>
    <t>(vi)</t>
  </si>
  <si>
    <t>(vii)</t>
  </si>
  <si>
    <t>Prunning &amp; trumming and cutting of old big trees on the road side The contractor will deposit the cut wood in the Deptt.</t>
  </si>
  <si>
    <t>meter</t>
  </si>
  <si>
    <t>S&amp;S Centrifugally (Spun) C.I. Pipe class 75mm dia (300 cm long)</t>
  </si>
  <si>
    <t>S&amp;S Centrifugally (Spun) C.I. Pipe class  100mm dia (300 cm long)</t>
  </si>
  <si>
    <t>S&amp;S Centrifugally (Spun) C.I. Pipe class  150mm dia (300 cm long)</t>
  </si>
  <si>
    <t>G.I. pipes 15 mm dia (B Class)</t>
  </si>
  <si>
    <t>G.I. pipes 20 mm dia (B Class)</t>
  </si>
  <si>
    <t>G.I. pipes 25 mm dia (B Class)</t>
  </si>
  <si>
    <t>G.I. pipes 32 mm dia (B Class)</t>
  </si>
  <si>
    <t>G.I. pipes 40 mm dia (B Class)</t>
  </si>
  <si>
    <t>G.I. pipes 50 mm dia (B Class)</t>
  </si>
  <si>
    <t>G.I. pipes 65 mm dia (B Class)</t>
  </si>
  <si>
    <t>G.I. pipes 80 mm dia (B Class)</t>
  </si>
  <si>
    <t xml:space="preserve">Stone chajja patti </t>
  </si>
  <si>
    <t>Repair to damaged cement plaster of stone chajja with CM 1 : 3 of required thickness on top &amp;  bottom as per existing pattern and making patta etc complete up to three floor level as per direction of Engineer in charge including all necessary scoffolding etc</t>
  </si>
  <si>
    <t>Bectokill chemical</t>
  </si>
  <si>
    <t>UV tube</t>
  </si>
  <si>
    <t>Ltr</t>
  </si>
  <si>
    <t xml:space="preserve"> Each</t>
  </si>
  <si>
    <t>SS 125 mm</t>
  </si>
  <si>
    <t>C.P. Brass 50 mm dia</t>
  </si>
  <si>
    <t>STEEL &amp; FENCING WORKS</t>
  </si>
  <si>
    <t>Providing &amp; mixing admixture in Cement Mass Concrete flooring CC Road, RCC work, Canal Lining and Shotcrete Non Circular with ribbed surface Structural Synthetic Macro Fiber 42-50mm length, specific gravity of &gt; 1.30 and diameter 0.8 - 1.20mm and melting poing &gt; 220 degree centigrade @ 0.75% -100% by cement weight in mix as per direction of Engineer-in-charge.</t>
  </si>
  <si>
    <t xml:space="preserve"> IS 710- 1976 marked 9 mm thick commerical ply </t>
  </si>
  <si>
    <t xml:space="preserve">  IS 710- 1976 marked 9 mm thick Teak ply BWR one side </t>
  </si>
  <si>
    <t xml:space="preserve">  IS 710- 1976 marked 12 mm thick commerical ply </t>
  </si>
  <si>
    <t xml:space="preserve"> IS 710- 1976 marked 12 mm thick Teak ply BWR one side </t>
  </si>
  <si>
    <t>Wire gauge 24 gauge 14 mesh of IS 1568-1970 marked 85 gauge of dia 0.56 mm</t>
  </si>
  <si>
    <t xml:space="preserve">Extra for providing IS 1341-1992  marked Stainless Steel butt hinges instead of black enamelled M.S. butt hinges with necessary screws. (Shutter area to be measured).  </t>
  </si>
  <si>
    <t>Supplying and fixing rolling shutters of approved make, made of 80 x 1.25mm. M.S. laths interlocked together through their entire length and jointed together at the end by end locks mounted on specially designed pipe shaft with brackets, side guides and arrangements for inside and outside locking with push and pull operation complete including cost of spring hooks, providing and fixing necessary 25.3cm. long wire springs grade No. 2 and M.S. top cover 1.25mm thick for rolling shutters as per design &amp; IS 6248- 1979. (Clear openable area to be measured for payment).</t>
  </si>
  <si>
    <t>Providing and fixing steel glazed doors windows and ventilator shutters of standard rolled steel section (IS 1038-1983) joints mitred and welded with steel lugs 13x3mm, 10cm. long embedded in cement concrete block 15x10x10cm. of 1:3:6 (1cement : 3 coarse sand : 6 graded stone aggregate 20mm nominal size) or with wooden plugs and screws or rawl plugs and screws with fixing clips or with bolts and nuts as required including providing and fixing of plain glass panes 4mm thick with cooper glazing clips and special metal sash putty of approved make or metal beading with screws complete including priming coat of approval steel primer, excluding the cost of metal beading and other fitting except necessary hinges of pivots steel handles peg stay etc. as required :</t>
  </si>
  <si>
    <t xml:space="preserve">Solid PVC (IS 2548 marked) grade-I Black for EWC. </t>
  </si>
  <si>
    <t xml:space="preserve">Fire clay glazed kitchen sink (I.S 771-1985  Marked) size 600 x 450 x 250mm. </t>
  </si>
  <si>
    <t xml:space="preserve">Fire clay glazed kitchen sink (I.S 771-1985  Marked) size 600 x 450 x 200 mm. </t>
  </si>
  <si>
    <t>Labour charges for Removing S.W. pipes including breaking of joints &amp; bed concrete, stacking of useful material at site within 50 mtr. Lead and disposal of unserviceable material within 0.5 Km. lead:</t>
  </si>
  <si>
    <t>100 &amp; 150mm dia pipe</t>
  </si>
  <si>
    <t>200, 230 &amp; 250mm dia pipe</t>
  </si>
  <si>
    <t>3.7.3</t>
  </si>
  <si>
    <t>300mm dia pipe</t>
  </si>
  <si>
    <t>3.7.4</t>
  </si>
  <si>
    <t>350mm dia pipe</t>
  </si>
  <si>
    <t>3.7.5</t>
  </si>
  <si>
    <t>400mm dia pipe</t>
  </si>
  <si>
    <t>R.C.C. NON PRESSURE PIPES</t>
  </si>
  <si>
    <t>Providing, Laying &amp; Jointing R.C.C. class NP-2 Non-Pressure pipes (IS : 458mark) of approved make with collars, jointed with C.M. 1:2 or having Spigot and socket ends with flexible rubber rings joint including testing of joints etc. complete :</t>
  </si>
  <si>
    <t>3.8.1</t>
  </si>
  <si>
    <t>100mm dia Internal</t>
  </si>
  <si>
    <t>3.8.2</t>
  </si>
  <si>
    <t>150mm dia Internal</t>
  </si>
  <si>
    <t>3.8.3</t>
  </si>
  <si>
    <t>200mm dia Internal</t>
  </si>
  <si>
    <t>3.8.4</t>
  </si>
  <si>
    <t>250mm dia Internal</t>
  </si>
  <si>
    <t>3.8.5</t>
  </si>
  <si>
    <t>300mm dia Internal</t>
  </si>
  <si>
    <t>3.8.6</t>
  </si>
  <si>
    <t>450mm dia Internal</t>
  </si>
  <si>
    <t>3.8.7</t>
  </si>
  <si>
    <t>500mm dia Internal</t>
  </si>
  <si>
    <t>3.8.8</t>
  </si>
  <si>
    <t>600mm dia Internal</t>
  </si>
  <si>
    <t>3.8.9</t>
  </si>
  <si>
    <t>700 mm dia Internal</t>
  </si>
  <si>
    <t>3.8.10</t>
  </si>
  <si>
    <t>800 mm dia Internal</t>
  </si>
  <si>
    <t>3.8.11</t>
  </si>
  <si>
    <t>900 mm dia Internal</t>
  </si>
  <si>
    <t>Deduct 20 % for Non ISI marked pipes of all size</t>
  </si>
  <si>
    <t>SAND-CAST IRON SOIL, WATER &amp; RAIN WATER PIPES.</t>
  </si>
  <si>
    <t>.</t>
  </si>
  <si>
    <t>3.9.1</t>
  </si>
  <si>
    <t>50mm dia</t>
  </si>
  <si>
    <t>3.9.2</t>
  </si>
  <si>
    <t>75mm dia</t>
  </si>
  <si>
    <t>3.9.3</t>
  </si>
  <si>
    <t>3.9.4</t>
  </si>
  <si>
    <t>3.10.1</t>
  </si>
  <si>
    <t>75mm dia, 0.88 Kg. Pig lead</t>
  </si>
  <si>
    <t>3.10.2</t>
  </si>
  <si>
    <t>100mm dia, 0.98 Kg. Pig lead</t>
  </si>
  <si>
    <t>3.10.3</t>
  </si>
  <si>
    <t>150mm dia, 1.48 Kg. Pig lead</t>
  </si>
  <si>
    <t>3.11.1</t>
  </si>
  <si>
    <t>50mm w/o door</t>
  </si>
  <si>
    <t>Socket</t>
  </si>
  <si>
    <t>Cowel</t>
  </si>
  <si>
    <t>Tee</t>
  </si>
  <si>
    <t>Bend</t>
  </si>
  <si>
    <t>3.11.2</t>
  </si>
  <si>
    <t>75 mm w/o door</t>
  </si>
  <si>
    <t>Offset</t>
  </si>
  <si>
    <t>D/door Y-Tee</t>
  </si>
  <si>
    <t>Door Cross</t>
  </si>
  <si>
    <t>3.11.3</t>
  </si>
  <si>
    <t>100mm-do-</t>
  </si>
  <si>
    <t>3.11.4</t>
  </si>
  <si>
    <t>150mm w/o door</t>
  </si>
  <si>
    <t>3.11.5</t>
  </si>
  <si>
    <t>50mm with door</t>
  </si>
  <si>
    <t>3.11.6</t>
  </si>
  <si>
    <t>75mm-do-</t>
  </si>
  <si>
    <t>3.11.7</t>
  </si>
  <si>
    <t>3.11.8</t>
  </si>
  <si>
    <t>3.12.1</t>
  </si>
  <si>
    <t>Size 100 x 100mm</t>
  </si>
  <si>
    <t>3.12.2</t>
  </si>
  <si>
    <t>3.12.3</t>
  </si>
  <si>
    <t>Size 100 x 50mm</t>
  </si>
  <si>
    <t>Labour charges for making connection of sewer line through main hole.</t>
  </si>
  <si>
    <t>3.17.1</t>
  </si>
  <si>
    <t>3.17.2</t>
  </si>
  <si>
    <t>3.17.3</t>
  </si>
  <si>
    <t>3.17.4</t>
  </si>
  <si>
    <t>63 mm dia</t>
  </si>
  <si>
    <t>75 mm dia</t>
  </si>
  <si>
    <t>110 mm dia</t>
  </si>
  <si>
    <t>160 mm dia</t>
  </si>
  <si>
    <t>3.19.1</t>
  </si>
  <si>
    <t>Coupler (socket)</t>
  </si>
  <si>
    <t>110mm dia</t>
  </si>
  <si>
    <t>3.19.2</t>
  </si>
  <si>
    <t>Reducer 110 X 75 mm</t>
  </si>
  <si>
    <t>Plain Tee</t>
  </si>
  <si>
    <t>Door Tee</t>
  </si>
  <si>
    <t>Door 'Y'</t>
  </si>
  <si>
    <t>Double 'Y'</t>
  </si>
  <si>
    <t>Double Door 'Y'</t>
  </si>
  <si>
    <t>Bend 45</t>
  </si>
  <si>
    <t>Bend 87 .5</t>
  </si>
  <si>
    <t>Door Bend (Top Side)</t>
  </si>
  <si>
    <t>Door Bend (Left &amp; Right)</t>
  </si>
  <si>
    <t>Vent Cowel</t>
  </si>
  <si>
    <t>Socket plug</t>
  </si>
  <si>
    <t>Door Cap</t>
  </si>
  <si>
    <t>Pipe Clip</t>
  </si>
  <si>
    <t>W.C. connector with lipring</t>
  </si>
  <si>
    <t>W.C. connector bent type</t>
  </si>
  <si>
    <t>Plain floor trap</t>
  </si>
  <si>
    <t>Multi floor trap</t>
  </si>
  <si>
    <t>height Raiser</t>
  </si>
  <si>
    <t>Top Tile&amp; straine</t>
  </si>
  <si>
    <t>Top Tile only</t>
  </si>
  <si>
    <t xml:space="preserve"> P- Trap</t>
  </si>
  <si>
    <t>Q- Trap</t>
  </si>
  <si>
    <t>S- trap</t>
  </si>
  <si>
    <t>Ring fitting</t>
  </si>
  <si>
    <t>Gully trap</t>
  </si>
  <si>
    <t>Raising manhole cover and frames slab to required level including dismantling existing slab and making good the damage as required (raising depth of manhole masonry to be paid separately).</t>
  </si>
  <si>
    <t>3.20.1</t>
  </si>
  <si>
    <t>Rectangular manhole 90x60 cm</t>
  </si>
  <si>
    <t>3.20.2</t>
  </si>
  <si>
    <t>Rectangular manhole 150x120 cm</t>
  </si>
  <si>
    <t>3.21.1</t>
  </si>
  <si>
    <t>Depth up to 0.5 M</t>
  </si>
  <si>
    <t>3.21.2</t>
  </si>
  <si>
    <t>Construction of Man hole, in all types of soil, inner size 1.5 x 1.2 M, with 450mm thick masonry in CM 1:6, 10 Cm. thick cement concrete 1:5:10 in foundation, 20mm thick inside plaster in CM 1:6, finished with floating neat cement, 50 mm thick M-15 grade C.C. flooring making channels, 80 mm thick stone slab covering with 40 mm thick M-15 grade C.C.  flooring, Ferro Cement cover with frame of 450mm dia, earthwork etc. complete including disposal of surplus earth within 50 mtr. lead as per design :</t>
  </si>
  <si>
    <t>3.22.1</t>
  </si>
  <si>
    <t>Depth up to 1.5 M</t>
  </si>
  <si>
    <t>3.22.2</t>
  </si>
  <si>
    <t>3.23.1</t>
  </si>
  <si>
    <t>Inside size 300 X 300 mm depth upto 0.5 M  Cement cover with frame.</t>
  </si>
  <si>
    <t>3.23.2</t>
  </si>
  <si>
    <t>-do- size 450 x 450mm   depth upto  0.5 M Cement cover with frame</t>
  </si>
  <si>
    <t>-do- size 600 x 450mm depth upto 0.5 M Cement cover with frame.</t>
  </si>
  <si>
    <t>-do- depth upto 0.5 M to 1.0 M –do-</t>
  </si>
  <si>
    <t>Construction of soakage well in all type of soil with 300 mm thick dry masonry, top and bottom 300 mm course in CM 1:6, 80mm thick stone slab, jointing of slab in CM 1 : 3, Ralthal, Kharanja, 40 mm thick M-15 grade C.C flooring , earthwork complete as per approved drawing including disposal of earth within a lead of 50 mtr.:</t>
  </si>
  <si>
    <t>3.24.1</t>
  </si>
  <si>
    <t>Size 300 Cm. dia outside &amp; 300 Cm. depth .</t>
  </si>
  <si>
    <t>3.24.2</t>
  </si>
  <si>
    <t>-do- &amp; 240 Cm. Depth.</t>
  </si>
  <si>
    <t>Size 240 Cm. dia outside &amp; 240 Cm. depth.</t>
  </si>
  <si>
    <t>Construction of soakage Trench in  all types of soil  with 300 mm thick dry stone masonry, 80 mm thick  stone slab covering, jointing of slab in CM 1:3 Ralthal, Kharanja, 40 mm thick M-15grade C.C. flooring earthwork etc. complete as per approved drawing including disposal  of earth within a lead of 50 Mtr.:</t>
  </si>
  <si>
    <t>Top width 180Cm., bottom width 90Cm. &amp; depth 240Cm.</t>
  </si>
  <si>
    <t>-do- 240 Cm., -do- 150Cm. &amp; depth 300 Cm</t>
  </si>
  <si>
    <t xml:space="preserve">Construction of Soakage well in all types of soil of approved drawing, top 90 Cm .Portion in 450mm thick masonry with CM 1:6, 80 mm thick stone slab covering,      jointing of slab in CM 1:3 ,Ralthal, kharanja 40mm thick M-15 grade C.C flooring, earth work  etc . complete including disposal of surplus earth within a lead of 50 mtr . </t>
  </si>
  <si>
    <t xml:space="preserve">Inner dia  90 Cm &amp; 10 to 12 Mtr deep. </t>
  </si>
  <si>
    <t>Inner dia  60 Cm &amp; 10 to 12 Mtr deep.</t>
  </si>
  <si>
    <t>Labour charges for construction of Soakage well of 90 Cm. dia (Earth –work &amp; its disposal ,with in a lead of 0.5 Km .only ).</t>
  </si>
  <si>
    <t>Add extra if Soakage Well is filled with dry stones.</t>
  </si>
  <si>
    <t>Add or subtract proportionately for every 0.5 M increase or decrease in Length -12.5%  Breadth &amp; Depth -18 % each</t>
  </si>
  <si>
    <t xml:space="preserve">Emptying of Septic tank ,Soakage well etc. by disposing or sludge upto 5 Km. lead &amp; taking out sewage including cleaning of site. </t>
  </si>
  <si>
    <t>SS wire gauge 14 mesh x 24 gauge</t>
  </si>
  <si>
    <t xml:space="preserve"> Sqm</t>
  </si>
  <si>
    <t>Providing and fixing 1st quality standard white, grey, ivory, fume red brown, light green, light blue and other light shades glazed tiles confirming to IS : 13753 &amp; IS :15622 of size 200mm x 300mm in walls, floors, steps, pillars etc. laid on a bed of neat cement slurry finished with flush pointing in the white cement mixed with pigment to match the shade of the tile complete (excluding the cost of cement plaster on walls and pillar).</t>
  </si>
  <si>
    <t>Providing and fixing 1st quality MAT finished ceremic tile size 300x300mm confirming  to IS : 13755 and IS : 15622 colour such as white, grey, ivory, fume red brown, light green, light blue and other light shades in floors, steps, pillars etc. laid on a bed of neat cement slurry finished with flush pointing in the white cement mixed with pigment to match the shade of the tile complete (including the cost of cement mortar bed 1:4).</t>
  </si>
  <si>
    <t>Extra  for  using  Marble  printed  /  Granite  shade  or  dark  shade  tiles  instead  of  white,  grey,  ivory,  fume  red  brown,  light  green,  light  blue  and  other  light  shades  in  glazed  tiles  and  MAT  finished  tiles.</t>
  </si>
  <si>
    <t>Extra  for  using  size above 200x300mm in glazed tiles and for using 400mm x 400mm MAT finished  tiles in place of 300mm x 300mm size.</t>
  </si>
  <si>
    <t>Ceramic Glazed Tiles Ist quality size 200 mm x 300 mm  in white, gray, ivory, fume red brown, light green, light blue and other light shades</t>
  </si>
  <si>
    <t>Ceramic Mat finished  Tiles Ist quality size 300 mm x 300 mm  in white, gray, ivory, fume red brown, light green, light blue and other light shades</t>
  </si>
  <si>
    <t>CHAPTER  : S-1</t>
  </si>
  <si>
    <t>1.1.1</t>
  </si>
  <si>
    <t>1.1.2</t>
  </si>
  <si>
    <t>1.1.3</t>
  </si>
  <si>
    <t>1.2.1</t>
  </si>
  <si>
    <t>Size 530x410mm.</t>
  </si>
  <si>
    <t>1.2.2</t>
  </si>
  <si>
    <t>Wall Mounting (syphonic)</t>
  </si>
  <si>
    <t>P &amp; F water closet Seat Covers with brass hinges complete :</t>
  </si>
  <si>
    <t>1.8.1</t>
  </si>
  <si>
    <t>1.8.2</t>
  </si>
  <si>
    <t>1.8.3</t>
  </si>
  <si>
    <t>1.8.4</t>
  </si>
  <si>
    <t>1.8.5</t>
  </si>
  <si>
    <t>1.8.6</t>
  </si>
  <si>
    <t>Flat Back (small) size 440x265x315 mm.</t>
  </si>
  <si>
    <t>1.15.2</t>
  </si>
  <si>
    <t>Flat Back (large) or half stall size 590x375x390 mm.</t>
  </si>
  <si>
    <t>1.15.3</t>
  </si>
  <si>
    <t>Nahni Trap with Jali 3”</t>
  </si>
  <si>
    <t>Nahni Trap without Jali 3”</t>
  </si>
  <si>
    <t>DRAINAGE / DISPOSAL WORK</t>
  </si>
  <si>
    <t>For laying of S.W. pipes beyond 1.2m depth, earthwork &amp; close timbering or open timbering (as per site conditions) is to be paid extra.</t>
  </si>
  <si>
    <t>The rates for S.W. pipes are applicable to work executed in soils above sub-soil water level. Extra allowance is to be made for working under sub-soil water level.</t>
  </si>
  <si>
    <t>Rock cutting wherever required will be paid extra.</t>
  </si>
  <si>
    <t>4.21.1</t>
  </si>
  <si>
    <t>4.21.2</t>
  </si>
  <si>
    <t>4.21.3</t>
  </si>
  <si>
    <t>for Item of panel board refer to Electrical BSR</t>
  </si>
  <si>
    <t>Each.</t>
  </si>
  <si>
    <t>1.11.1</t>
  </si>
  <si>
    <t>1.12.1</t>
  </si>
  <si>
    <t>1.12.2</t>
  </si>
  <si>
    <t>1.14.1</t>
  </si>
  <si>
    <t>1.14.2</t>
  </si>
  <si>
    <t>1.16.4</t>
  </si>
  <si>
    <t>1.16.6</t>
  </si>
  <si>
    <t>1.16.7</t>
  </si>
  <si>
    <t>CHAPTER H-2</t>
  </si>
  <si>
    <t>MAINTENANCE OF GRADENS</t>
  </si>
  <si>
    <t>CHAPTER H-4</t>
  </si>
  <si>
    <t>MAINTENANCE OF RODS SIDE PLANTATION</t>
  </si>
  <si>
    <t>Preparation of Thavala sizing 60 cms. Diametre &amp; 10 cms. Deep once in a month.</t>
  </si>
  <si>
    <t>Inter cultural operations hoeing &amp; weeding etc. in 90 cms. Dia &amp; 15 cms. Deep.</t>
  </si>
  <si>
    <t>Per Tree Guard</t>
  </si>
  <si>
    <t>Security of plants &amp; fencing etc.</t>
  </si>
  <si>
    <t>Modular bricks class designation 75</t>
  </si>
  <si>
    <t>Extruded section profile size 48x40 mm</t>
  </si>
  <si>
    <t>NOTE</t>
  </si>
  <si>
    <t>Rates are for net quantities after deduction of voids</t>
  </si>
  <si>
    <t>Part of Km beyond 1 Km. will be treated as under :</t>
  </si>
  <si>
    <t>1.499 = 1.00 Km. ;  1.500 Km. = 2.00 Km</t>
  </si>
  <si>
    <t>The rates are inclusive of loading and unloading</t>
  </si>
  <si>
    <t>Ch Code No.</t>
  </si>
  <si>
    <t xml:space="preserve">Description </t>
  </si>
  <si>
    <t>Rates</t>
  </si>
  <si>
    <t>Up to 50 M</t>
  </si>
  <si>
    <t>Add for each 50 M (upto 500 M)</t>
  </si>
  <si>
    <t>For 500 M (0.5 Km.)</t>
  </si>
  <si>
    <t>For 1 Km.</t>
  </si>
  <si>
    <t>Add for each 1 Km beyond Ist Km (upto 5 Km.)</t>
  </si>
  <si>
    <t>For 5 Km.</t>
  </si>
  <si>
    <t>Add for each 1 Km beyond 5 Km (upto 10 Km.)</t>
  </si>
  <si>
    <t>For 10 Km.</t>
  </si>
  <si>
    <t>Add for each 1 Km beyond 10 Km (upto 20 Km.)</t>
  </si>
  <si>
    <t>For 20 Km.</t>
  </si>
  <si>
    <t xml:space="preserve">Add for each 1 Km beyond 20 Km </t>
  </si>
  <si>
    <t>9</t>
  </si>
  <si>
    <t>Earth, Sand, Lime, Morrum manure or sludge</t>
  </si>
  <si>
    <t>Building Rubbish Stone metal (Grit and ballast etc.)</t>
  </si>
  <si>
    <t>Stone for Masonry work &amp; soling</t>
  </si>
  <si>
    <t>Excavated rock</t>
  </si>
  <si>
    <t>Bricks</t>
  </si>
  <si>
    <t>Brick Tiles</t>
  </si>
  <si>
    <t>Cement, Stone blocks pipes and other heavy materials</t>
  </si>
  <si>
    <t>MT</t>
  </si>
  <si>
    <t>Steel, Tar bitumen , Timber and steam coal</t>
  </si>
  <si>
    <t>Empty bitumen drums</t>
  </si>
  <si>
    <t>4.10</t>
  </si>
  <si>
    <t>Carriage with care Precast cement concrete blocks like Dand &amp; kerbs etc weighing</t>
  </si>
  <si>
    <t>Upto 50 Kg.</t>
  </si>
  <si>
    <t>--</t>
  </si>
  <si>
    <t>51 to 70 Kg.</t>
  </si>
  <si>
    <t>71 to 100 Kg.</t>
  </si>
  <si>
    <t>R.C.C. Hume Pipe with collar</t>
  </si>
  <si>
    <t>4.11.1</t>
  </si>
  <si>
    <t>Dia 300 mm</t>
  </si>
  <si>
    <t>4.11.2</t>
  </si>
  <si>
    <t>Dia 600 mm</t>
  </si>
  <si>
    <t>4.11.3</t>
  </si>
  <si>
    <t>Dia 900 mm</t>
  </si>
  <si>
    <t>4.11.4</t>
  </si>
  <si>
    <t>Dia 1200mm</t>
  </si>
  <si>
    <t>Loading in or unloading cement of the Railway wagons at siding and carrying the same from or into godowns adjacent to the siding, including stacking the same properly in rows upto any height as per direction of Engineer-in Charge, sweeping the wagons and screening the swept cement and filling in bags complete.</t>
  </si>
  <si>
    <t>Loading in or unloading from the Railway wagons and stacking as per the direction of Engineer-in-Charge</t>
  </si>
  <si>
    <t>M.T</t>
  </si>
  <si>
    <t>G.I., C.I. R.C.C. or C.C. pipes upto 500mm dia and similar heavy materials.</t>
  </si>
  <si>
    <t>Full bitumen drums</t>
  </si>
  <si>
    <t>4.13.4</t>
  </si>
  <si>
    <t>Heavy materials where each piece or bundle, crate or case weight more than one tonne and R.C.C. C.I. and concrete pipes above 500 mm dia</t>
  </si>
  <si>
    <t>The rates will be applicable in all cases whether material are unloaded on or loaded from railway siding or directly unloaded on or loaded from transport</t>
  </si>
  <si>
    <t>No deduction shall be made from carriage rates for such direct unloading or loading</t>
  </si>
  <si>
    <t xml:space="preserve"> Providing and fixing bright finished Mortice lock of approved make Godrej or equivalent with  pair of  CP handles for doors with necessary screws etc complete (Best make of approved quality) as per direction of Engineer-in-charge.  </t>
  </si>
  <si>
    <t>Extra for providing Brass handle instead of CP handle</t>
  </si>
  <si>
    <t xml:space="preserve">Mortice lock of approved make Godrej or equivalent with  pair of  CP handles </t>
  </si>
  <si>
    <t xml:space="preserve">Almirah lock of approved make Godrej or equivalent  </t>
  </si>
  <si>
    <t>Stone slab roofing on ground floor with fine grained stone slab from approved quarry including filling of joints of parapet and slab on both sides in cement sand mortar 1:4,  with ceiling pointing in cement sand mortar 1 : 3 complete as per specification and instruction of Engineer In Charge</t>
  </si>
  <si>
    <t>Stone slab</t>
  </si>
  <si>
    <t>10.16.1</t>
  </si>
  <si>
    <t>Add extra for subsequent story</t>
  </si>
  <si>
    <t>11.16.5</t>
  </si>
  <si>
    <t>Add extra for non slipping 9-12 mm ironite topping tiles</t>
  </si>
  <si>
    <t>50 mm depth</t>
  </si>
  <si>
    <t>75 mm depth</t>
  </si>
  <si>
    <t>100 mm depth</t>
  </si>
  <si>
    <t>P Mtr.</t>
  </si>
  <si>
    <t>25 mm depth</t>
  </si>
  <si>
    <t>Coloured Araish work 1 : 2  (1-lime putty : 2-Zikki ) over lime plaster or plain back ground including preparation of lime for 6 months by slaking of lime with curd and changing the water every week. The kara plaster of not more than 6 mm thick is to be left for maximum of 3 months to appear the shrinkage &amp; temperature cracks over the kara plaster 2 mm layer of grinded lime putty is to be done and is to be rubbed gently by Akik stone then inserting the design of colour border/ flowers/pictures etc including desired colour stone pigment to match the existing design/pattern after this, applying Khopra paste &amp; rubbing with cloth to give a uniform picture. The work to be executed strict as per direction of Engineer Incharge</t>
  </si>
  <si>
    <t>On New Surface ( 3 coats)</t>
  </si>
  <si>
    <t>On old Surface ( 3 coats)</t>
  </si>
  <si>
    <t>Yellow/pink colour wash with Khameera  mixed with pigment including making gola garden, Kangoora and ornamental lining work as per aprroved Jaipur style and pattern complete in all respest as per direction of Engineer in Charge</t>
  </si>
  <si>
    <t>12.28.1</t>
  </si>
  <si>
    <t>12.28.2</t>
  </si>
  <si>
    <t>Khameera</t>
  </si>
  <si>
    <t>Synthetic colour</t>
  </si>
  <si>
    <t xml:space="preserve">Refebrication work with existing  steel work including cutting, welding &amp; refebrication as per requirement with fixing at site complete as per direction of Engineer In charge </t>
  </si>
  <si>
    <t>Expoxy primer for steel</t>
  </si>
  <si>
    <t xml:space="preserve">Expoxy harder and resin </t>
  </si>
  <si>
    <t>lt</t>
  </si>
  <si>
    <t>WATER CLOSETS</t>
  </si>
  <si>
    <t xml:space="preserve">P. &amp; F Squatting Pan (Indian type) white glazed vitreous china 1st quality W.C. Pan (IS : 2556 Mark) with 100 mm vitreous china P or S trap including cutting and making good the wall and floor (excluding the pair of foot rest.) </t>
  </si>
  <si>
    <t>Size 450mm.</t>
  </si>
  <si>
    <t>Size 510 mm</t>
  </si>
  <si>
    <t>Size 580mm</t>
  </si>
  <si>
    <t xml:space="preserve">Size 580x440mm. </t>
  </si>
  <si>
    <t>Pair</t>
  </si>
  <si>
    <t xml:space="preserve">P &amp; F European type white glazed vitreous china 1st quality Double syphonic W.C   (IS :2556 Mark) with P or S trap including cutting and making good the wall and floor </t>
  </si>
  <si>
    <t xml:space="preserve">Wall Mounting </t>
  </si>
  <si>
    <t xml:space="preserve">Wall Mounting (extended) </t>
  </si>
  <si>
    <t xml:space="preserve">Each          </t>
  </si>
  <si>
    <t>50%</t>
  </si>
  <si>
    <t>65%</t>
  </si>
  <si>
    <t xml:space="preserve">-do- White. </t>
  </si>
  <si>
    <t>-do- Coloured.</t>
  </si>
  <si>
    <t>-do- White.</t>
  </si>
  <si>
    <t>P &amp; F C.P. lugs for toilet seat cover.</t>
  </si>
  <si>
    <t>Labour charges for removing W.C. pan (any type) of all sizes with care including all necessary fittings P or S trap.</t>
  </si>
  <si>
    <t xml:space="preserve">P &amp; F White glazed Conversion Bend for W.C. from P trap to S trap. .  </t>
  </si>
  <si>
    <t xml:space="preserve">P &amp; F vitreous china P trap of approved quality </t>
  </si>
  <si>
    <t>Add extra if C.I.P trap is used in place of Vitreous china P trap for W.C.</t>
  </si>
  <si>
    <t>URINALS:</t>
  </si>
  <si>
    <t xml:space="preserve">Flat Back (small) size 456x355x265mm. </t>
  </si>
  <si>
    <t>Flat Back (large) or half stall size 610x400x80mm.</t>
  </si>
  <si>
    <t xml:space="preserve">Mini stall size 455x385x350mm.  </t>
  </si>
  <si>
    <t>Makrana II quality marble having light spots</t>
  </si>
  <si>
    <t>Makrana `Albeta` Marble having light streaks.</t>
  </si>
  <si>
    <t>Size 100mm dia.</t>
  </si>
  <si>
    <t>Size 150mm dia.</t>
  </si>
  <si>
    <t>Size 450x350mm</t>
  </si>
  <si>
    <t>Labour  charges  for  removing  and  refixing  of  urinals  (all  type  &amp;  sizes)  including  all     necessary fittings.</t>
  </si>
  <si>
    <t xml:space="preserve">WVC with C.P. brass bend. </t>
  </si>
  <si>
    <t>PVC with PVC  bend as per IS : 7231 .</t>
  </si>
  <si>
    <t xml:space="preserve">WVC (as per IS : 2556) 10 litres. </t>
  </si>
  <si>
    <t xml:space="preserve">Deduct if plastic syphon is used. </t>
  </si>
  <si>
    <t>G.I. `B` class (Concealed) 25mm.</t>
  </si>
  <si>
    <t>G.I. `B` class (Concealed) 32 mm.</t>
  </si>
  <si>
    <t xml:space="preserve">PVC exposed (heavy) 32mm. </t>
  </si>
  <si>
    <t xml:space="preserve">P &amp; F WVC (10 litres) low-level flushing cistern with cover. </t>
  </si>
  <si>
    <t xml:space="preserve">P &amp; F WVC (10 litres) low-level flushing cistern cover only </t>
  </si>
  <si>
    <t>P &amp; F WVC syphon with plunger plate only.</t>
  </si>
  <si>
    <t>P &amp; F WVC Auto cistern  cover only.</t>
  </si>
  <si>
    <t>For 4 Urinals</t>
  </si>
  <si>
    <t xml:space="preserve">For 3 Urinals </t>
  </si>
  <si>
    <t xml:space="preserve">For 2 Urinals </t>
  </si>
  <si>
    <t>For 1 Urinal</t>
  </si>
  <si>
    <t>P &amp; F  Synthetic (PTMT) Urinal Spreader for stall urinal of approved make.</t>
  </si>
  <si>
    <t xml:space="preserve">    Each</t>
  </si>
  <si>
    <t>Removing and re-fixing of wash hand basin including all necessary fittings.</t>
  </si>
  <si>
    <t>Lever type with Elbow 32 mm dia</t>
  </si>
  <si>
    <t>Push type with Elbow 32 mm dia</t>
  </si>
  <si>
    <t>Concealed type for 115 mm thick wall</t>
  </si>
  <si>
    <t>Concealed type for 230 mm thick wall</t>
  </si>
  <si>
    <t>Economy model 25 mm dia.</t>
  </si>
  <si>
    <t>Economy model 32 mm dia.</t>
  </si>
  <si>
    <t>WASH BASINS:</t>
  </si>
  <si>
    <t>1.38.1</t>
  </si>
  <si>
    <t>Size 450 mm x 300 mm</t>
  </si>
  <si>
    <t>1.38.2</t>
  </si>
  <si>
    <t>Size 510 mm x 400 mm</t>
  </si>
  <si>
    <t>1.38.3</t>
  </si>
  <si>
    <t>1.38.4</t>
  </si>
  <si>
    <t>Size 580 mm x 450 mm</t>
  </si>
  <si>
    <t>1.38.5</t>
  </si>
  <si>
    <t>1.38.6</t>
  </si>
  <si>
    <t>Size 400 mm x 400 mm or 450 mm x 390 mm Corner</t>
  </si>
  <si>
    <t>1.38.7</t>
  </si>
  <si>
    <t>40mm nominal bore.</t>
  </si>
  <si>
    <t>2.16.6</t>
  </si>
  <si>
    <t>50mm nominal bore.</t>
  </si>
  <si>
    <t>2.17.1</t>
  </si>
  <si>
    <t>P &amp; F Oxidised Gas Taps, Bench-type of superior quality and approved make:</t>
  </si>
  <si>
    <t>2.18.1</t>
  </si>
  <si>
    <t xml:space="preserve">One way </t>
  </si>
  <si>
    <t>2.18.2</t>
  </si>
  <si>
    <t>Two way</t>
  </si>
  <si>
    <t>2.18.3</t>
  </si>
  <si>
    <t>Three way</t>
  </si>
  <si>
    <t>2.18.4</t>
  </si>
  <si>
    <t>Four way</t>
  </si>
  <si>
    <t>2.19.1</t>
  </si>
  <si>
    <t>2.19.2</t>
  </si>
  <si>
    <t>2.19.3</t>
  </si>
  <si>
    <t>2.19.4</t>
  </si>
  <si>
    <t>2.20.1</t>
  </si>
  <si>
    <t>C.P. brass spout</t>
  </si>
  <si>
    <t>2.20.2</t>
  </si>
  <si>
    <t>(-do-) Extra heavy with flange.</t>
  </si>
  <si>
    <t>2.21.1</t>
  </si>
  <si>
    <t>C.P. One hole/close hole basin mixer with casted spout.</t>
  </si>
  <si>
    <t>2.21.2</t>
  </si>
  <si>
    <t>(-do-) with swinging spout casted.</t>
  </si>
  <si>
    <t>2.21.3</t>
  </si>
  <si>
    <t>C.P. sink mixer with swinging spout J-pipe.</t>
  </si>
  <si>
    <t>2.21.4</t>
  </si>
  <si>
    <t>(-do-) With casted spout.</t>
  </si>
  <si>
    <t>2.21.5</t>
  </si>
  <si>
    <t>C.P. valve mixer non-telephonic type.</t>
  </si>
  <si>
    <t>2.21.6</t>
  </si>
  <si>
    <t>C.P. wall mixer telephonic type crutch &amp; telephonic shower.</t>
  </si>
  <si>
    <t>2.21.7</t>
  </si>
  <si>
    <t>(-do-) without crutch &amp; telephonic      shower.</t>
  </si>
  <si>
    <t>2.21.8</t>
  </si>
  <si>
    <t>C.P. Bath-tub mixer without telephonic shower but with crutch.</t>
  </si>
  <si>
    <t>2.21.9</t>
  </si>
  <si>
    <t xml:space="preserve">C.P. Surgical basin mixer elbow action. </t>
  </si>
  <si>
    <t>2.21.10</t>
  </si>
  <si>
    <t>(-do-) with shower (wall type)</t>
  </si>
  <si>
    <t>2.22.1</t>
  </si>
  <si>
    <t xml:space="preserve">C.P. brass Tip-tone divertor bath spout with mixing valve. </t>
  </si>
  <si>
    <t>2.22.2</t>
  </si>
  <si>
    <t>2.22.3</t>
  </si>
  <si>
    <t>(-do-) Three way (-do-)</t>
  </si>
  <si>
    <t xml:space="preserve"> (-do-) Two way with 22Cm. Pipe flange </t>
  </si>
  <si>
    <t>2.23.1</t>
  </si>
  <si>
    <t>2.23.2</t>
  </si>
  <si>
    <t>2.24.1</t>
  </si>
  <si>
    <t>340 litres  water  capacity  size  90  x 75 x 60 Cm.</t>
  </si>
  <si>
    <t>2.24.2</t>
  </si>
  <si>
    <t>270 litres  water  capacity  size  90  x 60 x 60 Cm.</t>
  </si>
  <si>
    <t>Hoisting Charges of precast R.C.C. water storage tank on each floor :</t>
  </si>
  <si>
    <t>2.25.1</t>
  </si>
  <si>
    <t>340 litres water capacity.</t>
  </si>
  <si>
    <t>2.25.2</t>
  </si>
  <si>
    <t xml:space="preserve">270 litres water capacity. </t>
  </si>
  <si>
    <t>2.26.1</t>
  </si>
  <si>
    <t>200 litres capacity.</t>
  </si>
  <si>
    <t>2.26.2</t>
  </si>
  <si>
    <t xml:space="preserve">300 (-do-) </t>
  </si>
  <si>
    <t>2.26.3</t>
  </si>
  <si>
    <t>500 (-do-)</t>
  </si>
  <si>
    <t>2.26.4</t>
  </si>
  <si>
    <t>750 (-do-)</t>
  </si>
  <si>
    <t>2.26.5</t>
  </si>
  <si>
    <t>1000 (-do-)</t>
  </si>
  <si>
    <t>2.26.6</t>
  </si>
  <si>
    <t>2000 (-do-)</t>
  </si>
  <si>
    <t>2.26.7</t>
  </si>
  <si>
    <t>3000(-do-)</t>
  </si>
  <si>
    <t>2.26.8</t>
  </si>
  <si>
    <t>5000(-do-)</t>
  </si>
  <si>
    <t>Hoisting Charges for each floor :</t>
  </si>
  <si>
    <t>2.27.1</t>
  </si>
  <si>
    <t>For items 2.26.1 to 2.26.4</t>
  </si>
  <si>
    <t>2.27.2</t>
  </si>
  <si>
    <t>For items 2.26.5 to 2.26.8</t>
  </si>
  <si>
    <t>Providing and fixing Bitumen Paint Coating over G.I. Pipes Complete as per Specifications. –</t>
  </si>
  <si>
    <t>2.28.1</t>
  </si>
  <si>
    <t>15 mm dia</t>
  </si>
  <si>
    <t>2.28.2</t>
  </si>
  <si>
    <t>2.28.3</t>
  </si>
  <si>
    <t>25 mm dia</t>
  </si>
  <si>
    <t>2.28.4</t>
  </si>
  <si>
    <t>40 mm dia</t>
  </si>
  <si>
    <t>2.29.1</t>
  </si>
  <si>
    <t>1216 (16mm OD) pipe</t>
  </si>
  <si>
    <t>1620 (20mm OD) pipe</t>
  </si>
  <si>
    <t>2025 (25mm OD) pipe</t>
  </si>
  <si>
    <t>2532 (32mm OD) pipe</t>
  </si>
  <si>
    <t>3240 (40mm OD) pipe</t>
  </si>
  <si>
    <t>2.30.1</t>
  </si>
  <si>
    <t>2.31.1</t>
  </si>
  <si>
    <t>2.31..2</t>
  </si>
  <si>
    <t>2.31.3</t>
  </si>
  <si>
    <t>2.31..4</t>
  </si>
  <si>
    <t>2.31.5</t>
  </si>
  <si>
    <t>Supply &amp; fixing G.I. Union ISI marked in G.I. pipe line as required complete in all respect of size :</t>
  </si>
  <si>
    <t>2.32.1</t>
  </si>
  <si>
    <t>2.32.2</t>
  </si>
  <si>
    <t>20mm dia nominal bore</t>
  </si>
  <si>
    <t>2.32.3</t>
  </si>
  <si>
    <t>25mm dia nominal bore</t>
  </si>
  <si>
    <t>2.32.4</t>
  </si>
  <si>
    <t>32mm dia nominal bore</t>
  </si>
  <si>
    <t>2.32.5</t>
  </si>
  <si>
    <t>40mm dia nominal bore</t>
  </si>
  <si>
    <t>2.32.6</t>
  </si>
  <si>
    <t>50mm dia nominal bore</t>
  </si>
  <si>
    <t>2.32.7</t>
  </si>
  <si>
    <t>65mm dia nominal bore</t>
  </si>
  <si>
    <t>2.32.8</t>
  </si>
  <si>
    <t>80mm dia nominal bore</t>
  </si>
  <si>
    <t>2.33.1</t>
  </si>
  <si>
    <t>Pillar Cock 15 mm nominal size</t>
  </si>
  <si>
    <t>2.33.2</t>
  </si>
  <si>
    <t>Swan neck pillar cock 15 mm nominal size</t>
  </si>
  <si>
    <t>2.33.3</t>
  </si>
  <si>
    <t>Bib Cock with long thread 15 mm nominal size</t>
  </si>
  <si>
    <t>2.33.4</t>
  </si>
  <si>
    <t>Long body Bib Cock 15 mm nominal size</t>
  </si>
  <si>
    <t>2.33.5</t>
  </si>
  <si>
    <t>Two way Bib Cock 15 mm nominal size</t>
  </si>
  <si>
    <t>2.33.6</t>
  </si>
  <si>
    <t>Angular stop cock with long thread 15 mm nominal size</t>
  </si>
  <si>
    <t>2.33.7</t>
  </si>
  <si>
    <t>Stop cock long thread</t>
  </si>
  <si>
    <t>2.33.8</t>
  </si>
  <si>
    <t>Stop cock with reduced body</t>
  </si>
  <si>
    <t>2.33.9</t>
  </si>
  <si>
    <t>Concealed stop cock 15 mm nominal size</t>
  </si>
  <si>
    <t>2.33.10</t>
  </si>
  <si>
    <t>Sink cock with swinging casted spout (table mounted ) 15 mm nominal size</t>
  </si>
  <si>
    <t>2.33.11</t>
  </si>
  <si>
    <t>Single lever wash basin mixer with 450 mm long copper  connection pipe</t>
  </si>
  <si>
    <t>2.33.12</t>
  </si>
  <si>
    <t>Central hole basin mixer</t>
  </si>
  <si>
    <t>2.33.13</t>
  </si>
  <si>
    <t>Wall mixer 3 in 1 system with provision of tetephonic bath shower with bend pipe</t>
  </si>
  <si>
    <t>2.33.14</t>
  </si>
  <si>
    <t>600 mm long towel rail</t>
  </si>
  <si>
    <t>2.33.15</t>
  </si>
  <si>
    <t>Revolving type towel ring</t>
  </si>
  <si>
    <t>2.33.16</t>
  </si>
  <si>
    <t>Soap dish</t>
  </si>
  <si>
    <t>2.33.17</t>
  </si>
  <si>
    <t>Double coat hook</t>
  </si>
  <si>
    <t>2.33.18</t>
  </si>
  <si>
    <t>190 mm rain shower</t>
  </si>
  <si>
    <t>2.33.19</t>
  </si>
  <si>
    <t>Shower arm</t>
  </si>
  <si>
    <t>2.33.20</t>
  </si>
  <si>
    <t>Paper holder</t>
  </si>
  <si>
    <t>2.33.21</t>
  </si>
  <si>
    <t>Hand shower with 8 mm dia 1 mt long PVC tube &amp; wall hook complete</t>
  </si>
  <si>
    <t>2.34.1</t>
  </si>
  <si>
    <t>PN-16  Pipe, 16 mm OD</t>
  </si>
  <si>
    <t>2.34.2</t>
  </si>
  <si>
    <t>PN-16  Pipe, 20 mm OD</t>
  </si>
  <si>
    <t>2.34.3</t>
  </si>
  <si>
    <t>PN-16  Pipe, 25 mm OD</t>
  </si>
  <si>
    <t>2.34.4</t>
  </si>
  <si>
    <t>PN-16  Pipe, 32 mm OD</t>
  </si>
  <si>
    <t>2.34.5</t>
  </si>
  <si>
    <t>PN-16  Pipe, 40 mm OD</t>
  </si>
  <si>
    <t>2.34.6</t>
  </si>
  <si>
    <t>PN-16  Pipe, 50 mm OD</t>
  </si>
  <si>
    <t>2.35.1</t>
  </si>
  <si>
    <t>2.35.2</t>
  </si>
  <si>
    <t>2.35.3</t>
  </si>
  <si>
    <t>2.35.4</t>
  </si>
  <si>
    <t>2.36.1</t>
  </si>
  <si>
    <t>2.36.2</t>
  </si>
  <si>
    <t>2.36.3</t>
  </si>
  <si>
    <t>2.36.4</t>
  </si>
  <si>
    <t>2.36.5</t>
  </si>
  <si>
    <t>2.36.6</t>
  </si>
  <si>
    <t>2.36.7</t>
  </si>
  <si>
    <t>PN-16  Pipe, 63 mm OD</t>
  </si>
  <si>
    <t>2.37.1</t>
  </si>
  <si>
    <t>2.37.2</t>
  </si>
  <si>
    <t>2.37.3</t>
  </si>
  <si>
    <t>2.37.4</t>
  </si>
  <si>
    <t>2.37.5</t>
  </si>
  <si>
    <t>2.37.6</t>
  </si>
  <si>
    <t>2.38.1</t>
  </si>
  <si>
    <t>2.38.2</t>
  </si>
  <si>
    <t>2.38.3</t>
  </si>
  <si>
    <t>2.38.4</t>
  </si>
  <si>
    <t>2.39.1</t>
  </si>
  <si>
    <t>2.39.2</t>
  </si>
  <si>
    <t>2.39.3</t>
  </si>
  <si>
    <t>2.39.4</t>
  </si>
  <si>
    <t>2.39.5</t>
  </si>
  <si>
    <t>2.39.6</t>
  </si>
  <si>
    <t>B Class 80 mm dia</t>
  </si>
  <si>
    <t>Stoneware pipes grade A (60 cm long) 400 mm dia</t>
  </si>
  <si>
    <t>Trap size 225 X 150 mm, ferrow cement cover with frame Internal Chamber size 450 X 450mm.</t>
  </si>
  <si>
    <t>Trap size 150 X 100mm, ferrow cement cover with frame, Internal Chamber size 300 X 300mm.</t>
  </si>
  <si>
    <t>R.C.C. collarsNP2 class 200 mm dia</t>
  </si>
  <si>
    <t>R.C.C. pipes NP2 class 200 mm dia</t>
  </si>
  <si>
    <t xml:space="preserve">Vent Cowel </t>
  </si>
  <si>
    <t>75 mm</t>
  </si>
  <si>
    <t xml:space="preserve">Gully Trap </t>
  </si>
  <si>
    <t xml:space="preserve">       Mtr.</t>
  </si>
  <si>
    <t xml:space="preserve">P &amp; F metal brackets duly painted including cutting &amp; making good the wall. </t>
  </si>
  <si>
    <t>2.15.7</t>
  </si>
  <si>
    <t>2.15.8</t>
  </si>
  <si>
    <t>(-do-) 65mm nominal bore.</t>
  </si>
  <si>
    <t>(-do-) 80mm nominal bore.</t>
  </si>
  <si>
    <t>Brass 25 mm.</t>
  </si>
  <si>
    <t>CI 50 mm</t>
  </si>
  <si>
    <t>2.23.3</t>
  </si>
  <si>
    <t>2.23.4</t>
  </si>
  <si>
    <t>CI 65 mm</t>
  </si>
  <si>
    <t>CI 80 mm</t>
  </si>
  <si>
    <t>460 dia for counter top</t>
  </si>
  <si>
    <t>1.38.8</t>
  </si>
  <si>
    <t xml:space="preserve">Size 550 mm x 400 mm dia for counter top </t>
  </si>
  <si>
    <t>1.38.9</t>
  </si>
  <si>
    <t xml:space="preserve">Size 630 mm x 500 mm dia for counter top </t>
  </si>
  <si>
    <t xml:space="preserve">P &amp; F Terrazzo (Mosaic) wash hand basin with supporting brackets waste coupling and PVC waste pipe complete, including painting of brackets making good the walls:  </t>
  </si>
  <si>
    <t>450 mm x 280 mm</t>
  </si>
  <si>
    <t xml:space="preserve">550 mm x 400 mm </t>
  </si>
  <si>
    <t>KITCHEN &amp; LAB. SINKS:</t>
  </si>
  <si>
    <t xml:space="preserve">WVC Lab sink (IS:2556 mark) size 530 x 430 x 180 mm </t>
  </si>
  <si>
    <t xml:space="preserve">WVC Lab sink (IS:2556 mark) size 500 x 350 x 150 mm </t>
  </si>
  <si>
    <t xml:space="preserve">WVC Lab sink (IS:2556 mark) size 450 x 300 x 150 mm </t>
  </si>
  <si>
    <t>Mosaic fine polished kitchen sink size 600 x 450 x 200mm.</t>
  </si>
  <si>
    <t>Mosaic fine polished kitchen sink size 450 x 450 x 200mm.</t>
  </si>
  <si>
    <t xml:space="preserve">Mosaic fine polished kitchen sink  size 600 x 450 x 200 mm with 600 x 450mm drain board </t>
  </si>
  <si>
    <t>(inches)               (inches)</t>
  </si>
  <si>
    <t>18 x 16 x 6         16x14x6</t>
  </si>
  <si>
    <t>22 x 18 x 7          20x16x7</t>
  </si>
  <si>
    <t>24 x 18 x 8          20x16x8</t>
  </si>
  <si>
    <t>37 x 18 x 7           17x15x7 (with drain board)</t>
  </si>
  <si>
    <t>45 x 20 x 8           20x16x8 (with drain board)</t>
  </si>
  <si>
    <t>WVC (I.S.: 2556 Mark) size 530 x 450mm</t>
  </si>
  <si>
    <t>Mosaic fine polished size 600 x 450</t>
  </si>
  <si>
    <t xml:space="preserve">MISCELLANEOUS </t>
  </si>
  <si>
    <t>P &amp; F Bottle Trap of approved make :</t>
  </si>
  <si>
    <t>1.43.1</t>
  </si>
  <si>
    <t>C.P Brass 32 mm</t>
  </si>
  <si>
    <t>1.43.2</t>
  </si>
  <si>
    <t>C.P Brass 40 mm</t>
  </si>
  <si>
    <t>1.43.3</t>
  </si>
  <si>
    <t xml:space="preserve">Synthetic Material (PTMT)32 mm </t>
  </si>
  <si>
    <t>1.43.4</t>
  </si>
  <si>
    <t>Synthetic Material (PTMT)42 mm</t>
  </si>
  <si>
    <t>1.43.5</t>
  </si>
  <si>
    <t>P.V.C</t>
  </si>
  <si>
    <t>P&amp; F waste Coulping with fittings of approved quality /make:</t>
  </si>
  <si>
    <t xml:space="preserve">C.P Brass 32 mm dia </t>
  </si>
  <si>
    <t xml:space="preserve">C.P Brass 40 mm dia </t>
  </si>
  <si>
    <t xml:space="preserve">P&amp; F waste Pipe with all fitting </t>
  </si>
  <si>
    <t>1.45.1</t>
  </si>
  <si>
    <t>P.V.C with C.P  nut 32 mm</t>
  </si>
  <si>
    <t>1.45.2</t>
  </si>
  <si>
    <t>P.V.C with PVC nut 32 mm</t>
  </si>
  <si>
    <t>1.45.3</t>
  </si>
  <si>
    <t>P.V.C. with C.P. nut 40 mm dia</t>
  </si>
  <si>
    <t>G.I(B class) 32mm</t>
  </si>
  <si>
    <t>G.I(B class) 40 mm</t>
  </si>
  <si>
    <t>1.46.1</t>
  </si>
  <si>
    <t xml:space="preserve">Size 600 x 450mm x 4 mm thick </t>
  </si>
  <si>
    <t>1.46.2</t>
  </si>
  <si>
    <t>Other sizes</t>
  </si>
  <si>
    <t>1.47.1</t>
  </si>
  <si>
    <t>Size 500x400mm</t>
  </si>
  <si>
    <t>1.47.2</t>
  </si>
  <si>
    <t xml:space="preserve">Oval shape 450x350 mm </t>
  </si>
  <si>
    <t>1.47.3</t>
  </si>
  <si>
    <t xml:space="preserve">Round 500mm dia </t>
  </si>
  <si>
    <t>P &amp; F Toilet Shelf of approved quality/make:</t>
  </si>
  <si>
    <t>1.48.1</t>
  </si>
  <si>
    <t>W.V.C. (I.S.: 2556 Mark) Size 300mm</t>
  </si>
  <si>
    <t>1.48.2</t>
  </si>
  <si>
    <t>W.V.C. (I.S.: 2556 Mark) Size 550 mm</t>
  </si>
  <si>
    <t>1.48.3</t>
  </si>
  <si>
    <t>Synthetic Material with tumbler of approved quality/make size 470 x 114 x 36mm</t>
  </si>
  <si>
    <t>1.48.4</t>
  </si>
  <si>
    <t>1.48.5</t>
  </si>
  <si>
    <t>1.48.6</t>
  </si>
  <si>
    <t>Glass Shelf with edges rounded off Anodised Aluminium angle frame &amp; C.P. brass brackets &amp; guard rail size 600x120mm</t>
  </si>
  <si>
    <t xml:space="preserve">       Each</t>
  </si>
  <si>
    <t>1.49.1</t>
  </si>
  <si>
    <t>C.P. brass Towel Rail elbow type with concealed screws size 450mm (Heavy duty).</t>
  </si>
  <si>
    <t>1.49.2</t>
  </si>
  <si>
    <t>C.P. brass Towel Rail elbow type with concealed screws size 600 mm (Heavy duty).</t>
  </si>
  <si>
    <t xml:space="preserve">C.P. brass towel rail with  brackets 450 x 20mm. </t>
  </si>
  <si>
    <t xml:space="preserve">C.P. brass towel rail with  brackets 600 x 20mm. </t>
  </si>
  <si>
    <t>Synthetic Material(PTMT) of approved quality/make size 525 x90 x 75mm</t>
  </si>
  <si>
    <t>Synthetic Material(PTMT) of approved quality/make size 675 x90 x 75mm</t>
  </si>
  <si>
    <t xml:space="preserve">C.P. Brass Towel Ring revolving type </t>
  </si>
  <si>
    <t>Synthetic Material (PTMT) Towel Ring of approved quality/make.</t>
  </si>
  <si>
    <t>P &amp; F Grating of approved quality/make:</t>
  </si>
  <si>
    <t>1.50.1</t>
  </si>
  <si>
    <t>Stainless Steel Sheet size 125mm dia.</t>
  </si>
  <si>
    <t>1.50.2</t>
  </si>
  <si>
    <t xml:space="preserve">Stainless Steel Sheet size 125mm dia. Heavy Quality of approved make </t>
  </si>
  <si>
    <t>1.50.3</t>
  </si>
  <si>
    <t xml:space="preserve">Synthetic Material(PTMT)  of approved quality/make size 125mm dia. </t>
  </si>
  <si>
    <t>(-do-) 150mm dia.</t>
  </si>
  <si>
    <t>(-do-) Square 150 x 150 x 8mm. (Anti Cockroach)</t>
  </si>
  <si>
    <t>C.P. brass with frame (Heavy) &amp; superior quality size 125mm dia.</t>
  </si>
  <si>
    <t>(-do-) Light &amp; superior quality size 125mm dia</t>
  </si>
  <si>
    <t>Cast Iron.</t>
  </si>
  <si>
    <t>1.51.1</t>
  </si>
  <si>
    <t>C.P. brass</t>
  </si>
  <si>
    <t>1.51.2</t>
  </si>
  <si>
    <t>Synthetic Material of approved quality/make:</t>
  </si>
  <si>
    <t>1.52.1</t>
  </si>
  <si>
    <t xml:space="preserve">C.P. brass </t>
  </si>
  <si>
    <t>1.52.2</t>
  </si>
  <si>
    <t>1.52.3</t>
  </si>
  <si>
    <t>Stainless Steel</t>
  </si>
  <si>
    <t>1.53.1</t>
  </si>
  <si>
    <t>1.53.2</t>
  </si>
  <si>
    <t>C.P. brass heavy &amp; Superior quality.</t>
  </si>
  <si>
    <t>1.53.3</t>
  </si>
  <si>
    <t>(-do-) exposed (-do-)</t>
  </si>
  <si>
    <t>1.54.1</t>
  </si>
  <si>
    <t>1.54.2</t>
  </si>
  <si>
    <t>C.P. brass heavy and superior quality.</t>
  </si>
  <si>
    <t>1.54.3</t>
  </si>
  <si>
    <t>1.54.4</t>
  </si>
  <si>
    <t>(-do-) 200 x100mm.</t>
  </si>
  <si>
    <t>(-do-) Soap tray 170mm.</t>
  </si>
  <si>
    <t>(-do-) Soap Dish 380mm.</t>
  </si>
  <si>
    <t xml:space="preserve">P &amp; F Twin- peg of approved quality / make </t>
  </si>
  <si>
    <t>1.55.1</t>
  </si>
  <si>
    <t>1.55.2</t>
  </si>
  <si>
    <t>C.P. brass (heavy)Superior quality</t>
  </si>
  <si>
    <t>1.55.3</t>
  </si>
  <si>
    <t>Acrylic</t>
  </si>
  <si>
    <t xml:space="preserve">P &amp; F Shower arm 15mm dia of approved quality/make. </t>
  </si>
  <si>
    <t>1.56.1</t>
  </si>
  <si>
    <t>C.P.brass heavy &amp; superior quality 150mm 
Projection.</t>
  </si>
  <si>
    <t>1.56.2</t>
  </si>
  <si>
    <t>(-do-) size 220mm(-do-)</t>
  </si>
  <si>
    <t>(-do-) size 300mm.(-do-)</t>
  </si>
  <si>
    <t>(-do-) size 370mm.(-do-)</t>
  </si>
  <si>
    <t>P &amp; F Bath Shower of approved quality/make.</t>
  </si>
  <si>
    <t>C.P. brass fixed.</t>
  </si>
  <si>
    <t>CHAPTER  : S-4</t>
  </si>
  <si>
    <t>Construction of tube-well from ground level and upto 100 Meter depth and above sizes in all types of soils in alluvium strata by “bailing” method and without gravel packing as per IS: 2800 (Part - I&amp; II) 1979 specifications (The work includes formation of cavity well at bottom by development with appropriate air compressor or bailer pumping and also lowering of casing pipe but excluding cost of the casing pipe. The tube-well should have a throughout bore as per nominal bore of casing pipe. The work would be completed after obtaining sand free water.)</t>
  </si>
  <si>
    <t>4.1.1</t>
  </si>
  <si>
    <t>100 mm dia Nominal bore.</t>
  </si>
  <si>
    <t>R Mtr.</t>
  </si>
  <si>
    <t>4.1.2</t>
  </si>
  <si>
    <t>125mm-do-.</t>
  </si>
  <si>
    <t>4.1.3</t>
  </si>
  <si>
    <t>150mm-do-</t>
  </si>
  <si>
    <t>Construction of Tube-well upto 100 Meter depth and above in all type of rocks by DTH system and over burden, to accommodate casing pipe of following sizes in all types of soils and over burden including lowering of casing pipes, but excluding cost of casing  pipes as per IS : 2800 (Part I &amp; II) 1979 specifications. The work would be completed after obtaining sand free water. The tube well should have a throughout bore as per nominal dia of casing pipe:</t>
  </si>
  <si>
    <t>4.2.1</t>
  </si>
  <si>
    <t>4.2.2</t>
  </si>
  <si>
    <t>4.2.4</t>
  </si>
  <si>
    <t>200 mm –do-</t>
  </si>
  <si>
    <t>150 mm Nominal  bore.</t>
  </si>
  <si>
    <t>200mm –do-.</t>
  </si>
  <si>
    <t>250mm –do-.</t>
  </si>
  <si>
    <t>Development of tube well as per IS specification using suitable compressor to give sand free water for required yield of the gravel packed tube well.</t>
  </si>
  <si>
    <t>Hr.</t>
  </si>
  <si>
    <t>4.5.1</t>
  </si>
  <si>
    <t>4.5.2</t>
  </si>
  <si>
    <t>4.5.3</t>
  </si>
  <si>
    <t>4.5.4</t>
  </si>
  <si>
    <t>4.5.5</t>
  </si>
  <si>
    <t>150 mm Nominal Bore.</t>
  </si>
  <si>
    <t>200mm-do-.</t>
  </si>
  <si>
    <t>250mm-do-.</t>
  </si>
  <si>
    <t>Testing verticality of tube-well by plumbing system and yield test and draw down test by pumping system as per IS: 2800 (Part II) 1979.</t>
  </si>
  <si>
    <t>4.8.1</t>
  </si>
  <si>
    <t>100mm dia</t>
  </si>
  <si>
    <t>4.8.2</t>
  </si>
  <si>
    <t>125mm dia</t>
  </si>
  <si>
    <t>4.8.3</t>
  </si>
  <si>
    <t>150mm dia</t>
  </si>
  <si>
    <t>4.8.4</t>
  </si>
  <si>
    <t>200mm dia</t>
  </si>
  <si>
    <t>4.8.5</t>
  </si>
  <si>
    <t>250mm dia</t>
  </si>
  <si>
    <t>Supply of 50mm dia G.I. medium class pipe(each length 5.8 m to 6.0m) tripod as per drawing and design with chain pulley of. 3MT capacity</t>
  </si>
  <si>
    <t>Installation of submersible motor pump set in Tube-well/open well complete ( labour charges only) including transportation of tripod, chain pulley block &amp; any other material required for lowering purpose.</t>
  </si>
  <si>
    <t xml:space="preserve">          Each</t>
  </si>
  <si>
    <t xml:space="preserve">           Mtr.</t>
  </si>
  <si>
    <t xml:space="preserve">Construction  of   185 cm. dia   platform as per approved design and drawing of UNICEF. </t>
  </si>
  <si>
    <t>For item of earthing refer to Electrical BSR .</t>
  </si>
  <si>
    <t>For item of submersible cable refer to Electrical BSR.</t>
  </si>
  <si>
    <t>B Class 50 mm dia</t>
  </si>
  <si>
    <t>R. Mtr.</t>
  </si>
  <si>
    <t>B Class 100 mm dia</t>
  </si>
  <si>
    <t xml:space="preserve">Un-lowering of submersible pump set with all piping from a tube-well/ open-well complete (labour charge only ) including transportation of tripod, chain, pulley-block  and other materials required and lowering of repaired/ new pump in the tube-well / open-well complete in all respect.   </t>
  </si>
  <si>
    <t>Each   Job</t>
  </si>
  <si>
    <t xml:space="preserve">RAIN WATER HARVESTING </t>
  </si>
  <si>
    <t xml:space="preserve">Construction of  tubewell up to 100m depth and above to accomodate housing and assembly pipe in all types of alluvium strata by rotay drilling method with "code of practice for construction and testing of tubewells (IS:2800 (Part-II) : 1991 and IS:2800 (Part-II) :1979 both amended up to date) with supply of bail plug if necessary.The work will not include cost of housing pipe and strainer pipe assembly cost, gravel and development work. Work would be deemed  completed only after obtaining sound free water during pumping.                                                      </t>
  </si>
  <si>
    <t>150 mm nominal bore</t>
  </si>
  <si>
    <t>200 mm nominal bore</t>
  </si>
  <si>
    <t>250 mm nominal bore</t>
  </si>
  <si>
    <t>Construction of Recharge Shaft   in filter pit including Earth work Excavation , lifting excavted earth with all lift and 50 m lead and centering &amp; shuttering evenever required.</t>
  </si>
  <si>
    <t>Diameter 900 mm</t>
  </si>
  <si>
    <t>Diameter 750 mm</t>
  </si>
  <si>
    <t>Supply &amp; fixing Pre-cast RCC Rinngs at the mouth of recharge shaft of M20 mix with  40 mm thickness</t>
  </si>
  <si>
    <t>4.24.1</t>
  </si>
  <si>
    <t>4.24.2</t>
  </si>
  <si>
    <t>Supply &amp; lowering air line of 25mm dia, G.I. pipe 'B' class having perforation 3 to 5mm size all arrow of G.I. pipe in Zig-Zag fashion &amp; making air vent at top including the cost of Tee-Nipples, Elbow, Socket etc.</t>
  </si>
  <si>
    <t xml:space="preserve">Supply and lowering vent air pipe 63mm dia rigid PVC pipe(IS 4985) mark class II (4kg per cm2 ) with required all necessary fittings including perforation of 3 to 5 mm size all around the pipe at a distance of 180 to 220mm in zig zag fashion and making air vent at top complete as per direction of Engineer incharge. </t>
  </si>
  <si>
    <t xml:space="preserve">Supply &amp; lying River-gravels of following sizes in recharge shaft, filter pit after screening &amp; washing from kachha shift without deduction of voids </t>
  </si>
  <si>
    <t>Size 9 to 12 mm</t>
  </si>
  <si>
    <t>Size 3 to 5 mm</t>
  </si>
  <si>
    <t xml:space="preserve">Supply &amp; laying of clean, clear sharp river sand of size 1 to 2mm coarse, without deduction of voids. </t>
  </si>
  <si>
    <t>TUBE WELL</t>
  </si>
  <si>
    <t>CHAPTER  : S-3</t>
  </si>
  <si>
    <t>STONEWARE PIPES &amp; FITTING</t>
  </si>
  <si>
    <t>Providing Laying &amp; jointing glazed S.W. pipes grade `A` (IS;651 marked) of approved make with spun yarn &amp; stiff mixture of cement mortar 1:1, excavation &amp; refilling of earth in all types of soil upto 1.2m depth, S.W. fittings, including testing of joints etc, complete.</t>
  </si>
  <si>
    <t>230mm dia</t>
  </si>
  <si>
    <t>300mm dia</t>
  </si>
  <si>
    <t>400mm dia</t>
  </si>
  <si>
    <t>Note:-</t>
  </si>
  <si>
    <t>If grade `AA S.W. pipes (IS:651 mark) are used then add 5%</t>
  </si>
  <si>
    <t>Deduct 5% if jointing is done in CM 1:3.</t>
  </si>
  <si>
    <t>Providing &amp; Laying C.C. 1:5:10 (Stone aggregate 40mm nominal size) all around S.W. pipe including 15 Cm. thick bed concrete (Width W= Diameter of pipe in Cm+30 Cm.)( Excluding cost of pipe)</t>
  </si>
  <si>
    <t>100mm dia S.W. pipe</t>
  </si>
  <si>
    <t>150mm dia S.W. pipe</t>
  </si>
  <si>
    <t>200mm dia S.W. pipe</t>
  </si>
  <si>
    <t>230mm dia S.W. pipe</t>
  </si>
  <si>
    <t>250mm dia S.W. pipe</t>
  </si>
  <si>
    <t>3.2.6</t>
  </si>
  <si>
    <t>300mm dia S.W. pipe</t>
  </si>
  <si>
    <t>3.2.7</t>
  </si>
  <si>
    <t>350mm dia S.W. pipe</t>
  </si>
  <si>
    <t>3.2.8</t>
  </si>
  <si>
    <t>400mm dia S.W. pipe</t>
  </si>
  <si>
    <t>Providing &amp; Laying C.C. 1:5:10 (Stone aggregate 40mm nominal size) upto haunches of S.W. pipes including 150 mm thick bed concrete (Width W= Dia of pipe in Cm+ 30Cm.) concrete width to be reduced from width W at center of pipe to `0` at top of pipe.  (Excluding cost of pipe)</t>
  </si>
  <si>
    <t>3.3.3</t>
  </si>
  <si>
    <t>3.3.4</t>
  </si>
  <si>
    <t>3.3.5</t>
  </si>
  <si>
    <t>3.3.6</t>
  </si>
  <si>
    <t>3.3.7</t>
  </si>
  <si>
    <t>3.3.8</t>
  </si>
  <si>
    <t>3.4.1</t>
  </si>
  <si>
    <t>Size 100 X 100mm</t>
  </si>
  <si>
    <t>3.4.2</t>
  </si>
  <si>
    <t>Size 150 X 100mm</t>
  </si>
  <si>
    <t>3.4.3</t>
  </si>
  <si>
    <t>Size 225 X 150mm</t>
  </si>
  <si>
    <t>3.5.1</t>
  </si>
  <si>
    <t>3.5.2</t>
  </si>
  <si>
    <t>3.6.1</t>
  </si>
  <si>
    <t>3.6.2</t>
  </si>
  <si>
    <t>WVC for symphonic EWC.</t>
  </si>
  <si>
    <t>1.22.4</t>
  </si>
  <si>
    <t>P &amp; F WVC Auto cistern with cover only.</t>
  </si>
  <si>
    <t>P &amp; F Copper tube Syphon for auto flush tank.</t>
  </si>
  <si>
    <t>1.39.1</t>
  </si>
  <si>
    <t>1.39.2</t>
  </si>
  <si>
    <t>Size 550 mm x 400 mm</t>
  </si>
  <si>
    <t>Size 610 mm x 510 mm</t>
  </si>
  <si>
    <t>Size 550 mm x 400 mm dia for counter top.</t>
  </si>
  <si>
    <t>1.41.1</t>
  </si>
  <si>
    <t>1.41.2</t>
  </si>
  <si>
    <t>Mosaic fine polished kitchen sink size 600x450x200 mm.</t>
  </si>
  <si>
    <t>Mosaic fine polished kitchen sink size 450x450x200 mm.</t>
  </si>
  <si>
    <t>1.44.1</t>
  </si>
  <si>
    <t>1.44.2</t>
  </si>
  <si>
    <t xml:space="preserve">25x12 mm </t>
  </si>
  <si>
    <t xml:space="preserve">25x20 mm </t>
  </si>
  <si>
    <t xml:space="preserve">Providing and fixing pressed steel door frames confirming to IS 4351 manufactured from commercial mild steel sheet of 1.25 mm thickness including hinges jamb, lock jamb, bead and if required angle threshold of mild steel angle of section 50x25mm, or base ties of 1.25mm pressed mild steel welded or rigidly fixed together by mechanical means, adjustable lugs with split end tail to each jamb including steel butt hinges 2.5mm thick with mortar guards, lock strike-plate and shock absorbers as specified and applying  a coat of approved steel primer after pre-treatment of the surface including filling with CC 1:2:4(M15 grade) complete as directed by Engineer-in-charge :                                              </t>
  </si>
  <si>
    <t>9.6.1</t>
  </si>
  <si>
    <t>9.6.2</t>
  </si>
  <si>
    <t>9.6.3</t>
  </si>
  <si>
    <t xml:space="preserve">Extra  for providing D type pipe head as top of hand railing </t>
  </si>
  <si>
    <t>9.7.1</t>
  </si>
  <si>
    <t>9.8.1</t>
  </si>
  <si>
    <t xml:space="preserve">Extra if square,rectangular hollow tubelar  sections are used or grill made by flats only  </t>
  </si>
  <si>
    <t>9.12.1</t>
  </si>
  <si>
    <t>9.12.2</t>
  </si>
  <si>
    <t>Extra  for providing mechanical device chain and crank operation for operating rolling shutters.</t>
  </si>
  <si>
    <t>9.15.1</t>
  </si>
  <si>
    <t>9.15.2</t>
  </si>
  <si>
    <t>9.17.1</t>
  </si>
  <si>
    <t>Windows side hung /Ventilators top or centre hung (openable)</t>
  </si>
  <si>
    <t>Extra for additional shutter in pipe section windows with wire gauge 14 mesh x 24 gauge</t>
  </si>
  <si>
    <t>9.36.1</t>
  </si>
  <si>
    <t>9.36.2</t>
  </si>
  <si>
    <t>9.36.3</t>
  </si>
  <si>
    <t>9.36.4</t>
  </si>
  <si>
    <t>9.38.1</t>
  </si>
  <si>
    <t>9.38.2</t>
  </si>
  <si>
    <t>9.38.3</t>
  </si>
  <si>
    <t>9.38.4</t>
  </si>
  <si>
    <t xml:space="preserve"> Providing flashing of 40 cm over all width in plain, G.S. sheet fixed with polymer coated J, or L hooks, bolts and nuts, G.I. limpet and bitumen washer complete, bent to shape and fixed in wall with cement mortar 1:3 (1cement : 3 coarse sand)
1.00mm thick sheet</t>
  </si>
  <si>
    <t xml:space="preserve">Extra for straight cutting in non- asbestos polypropylene reinforced cement corrugated, semi-corrugated 6 mm thick sheet roofing for making openings of area exceeding 40 square decimetre for chimney stacks, skylights etc.  </t>
  </si>
  <si>
    <t xml:space="preserve">Extra for circular cutting in non-asbestos polypropylene reinforced cement corrugated/ semi-corrugated 6 mm thick sheet roofing for making openings of area exceeding 40 square decimetre.  </t>
  </si>
  <si>
    <t xml:space="preserve">Extra for providing and fixing wind ties of 40x 6mm flat iron section.  </t>
  </si>
  <si>
    <t xml:space="preserve">Providing and fixing ridges and hips in non-asbestos fibre cement high impact polypropylene reinforced roofing with suitable fixing accessories or self drilling fastener and EPDM washer etc. complete.                                         </t>
  </si>
  <si>
    <t>10.12.4</t>
  </si>
  <si>
    <t>Providing and fixing non-asbestos fibre cement high impact polypropylene reinforced roofing accessories in all colours with polymer coated J or L hooks, bolts and nuts and or G.I. seam bolts and nuts, G.I. plain and bitumen washers or with self drilling fastener and EPDM washer etc. complete :</t>
  </si>
  <si>
    <t>Eaves filler pieces</t>
  </si>
  <si>
    <t>Corrugated appron  pieces</t>
  </si>
  <si>
    <t>North light curve</t>
  </si>
  <si>
    <t>Ventilator curve</t>
  </si>
  <si>
    <t>Barge boards</t>
  </si>
  <si>
    <t>10.13.5</t>
  </si>
  <si>
    <t>10.13.6</t>
  </si>
  <si>
    <t>Ridge final</t>
  </si>
  <si>
    <t>10.13.7</t>
  </si>
  <si>
    <t xml:space="preserve"> Special north light ventilator curve</t>
  </si>
  <si>
    <t>10.13.8</t>
  </si>
  <si>
    <t>S type louvers</t>
  </si>
  <si>
    <t xml:space="preserve">Providing flat iron brackets 50x3mm size  with necessary bolts, nuts and washers etc. for fixing asbestos cement/G.S. sheets gutters with purlins.  </t>
  </si>
  <si>
    <t xml:space="preserve">Providing gola 75x75 mm in cement concrete 1:2:4 (1 cement : 2  coarse sand : 4 stone aggregate 10mm and down gauge) including  finishing with cement mortar 1:3 (1 cement : 3 fine sand) as per standard design :  </t>
  </si>
  <si>
    <t>Providing and laying brick kharanja  on roofs with cement mortar 1:4 (1 cement : 4 coarse sand) mixed with 2% integral water proofing compound in square pattern</t>
  </si>
  <si>
    <t xml:space="preserve">Cement concrete 1:2:4 (1 cement : 2 coarse sand : 4 graded stone aggregate 20 mm nominal size)          </t>
  </si>
  <si>
    <t xml:space="preserve">Grading roof for water proofing treatment with  water proffing compound  </t>
  </si>
  <si>
    <t>Precast terrazo tiles 20 mm thick for roof</t>
  </si>
  <si>
    <t>Providing and fixing 20 mm thick precast terrazo tiles of approved make, with marble chips of size upto 6mm laid over roof with neat cement slurry mixed with pigment to match the shade of the tiles, including cutting ,grinding rubbing with machine  complete on 20 mm thick bed of cement sand mortar 1 : 4.</t>
  </si>
  <si>
    <t>Providing and laying brick tiles of class designation 100 over  roofs grouted with cement mortar 1:3 (1 cement : 3 fine sand) mixed with 2% of integral water proofing compound by weight of cement, over a 12 mm layer of cement mortar 1:3 ( 1 cement : 3 fine sand ) and finished neat .</t>
  </si>
  <si>
    <t>Providing &amp; laying broken glazed titles on roof ( broken glazed tiles  not less than 9 Kg/Sqm) on top of hot bitumen @ 1.7 Kg/Sqm. (1.40 Kg of  VG-40 (30/40 )grade and 0.30 Kg/Sqm. Of  VG-10 (80/100) grade) and joints filled with cement mortar 1 :2 (1 cement:2 marble dust mixed with water proofing compund all complete as per direction of Engineer-in-charge.</t>
  </si>
  <si>
    <t>Broken ceramic tiles</t>
  </si>
  <si>
    <t>UV stabilised 5 mm thick plain FRP sheet .</t>
  </si>
  <si>
    <t>UV stabilised 3 mm thick plain FRP sheet .</t>
  </si>
  <si>
    <t>Extra for corrugated  Fiberglass  Reinforced Plastic (FRP) (2.5" /4.2"/6") or step down  (2.5" /4.2"/6") as specified.</t>
  </si>
  <si>
    <t>Acoustical  fine fissured tiles/ Mineral fibre high density tiles</t>
  </si>
  <si>
    <t>Providing and fixing factory made P.V.C. door frame of size 50x47mm with a wall thickness of  5mm, made out of extruded 5mm rigid PVC foam sheet mitred at corners and joined with 2 Nos. of 150mm long brackets of 15x15mm M.S. square tube, the vertical door profiles to be reinforced with 19x19mm M.S. square tube of 19 gauge, EPDM rubber gasket weather seal to be provided through out the frame. The door frame to be fixed to the wall using M.S. screws of 65/100mm size complete as per manufacturers specification and direction of Engineer-in-Charge.</t>
  </si>
  <si>
    <t xml:space="preserve">Providing and fixing to existing door frames.  </t>
  </si>
  <si>
    <t>16.20.1</t>
  </si>
  <si>
    <t>16.20.2</t>
  </si>
  <si>
    <t>30mm thick factory made solid panel PVC door shutter consisting of frame made out of M.S. tubes of 19 gauge thickness and size of 19mm x 19mm for stiles and 15 mm x15mm ,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 mm shall be flat and 20mm shall be tapered in 45 degree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 and joined together with solvent cement adhesive. An additional 5mm thick PVC strip of 20mm width is to be stuck on the interior side of the ‘C Channel using PVC solvent adhesive etc. complete as per direction of Engineer-in-charge, manufacture’s specification &amp; drawing.(For W.C.and bathroom door shutter).</t>
  </si>
  <si>
    <t>30mm thick factory made solid both side Pre laminated panel PVC door shutter consisting of frame made out of M.S. tubes of 19 gauge thickness and size of 19mm x 19mm for stiles and 15x15mm  top &amp; bottom rails. M.S .frame shall have a coat of steel primers of approved make and manufacture M.S. frame covered with 5mm thick heat moulded PVC ‘C channel of size 30mm thickness, 70mm width out of which 50mm shall be flat and 20mm shall be tapered in 45 degree angle on either side forming stiles; and 5mm thick, 95mm wide PVC sheet out of which 75mm shall be flat and 20mm shall be tapered on the inner side to form top and bottom rail and 115mm wide PVC sheet out of which 75 mm shall be flat and 20mm shall be tapered on both sides to form lock rail. Top bottom and lock rails shall be provided either side of the panel. 10mm (5mm x 2) thick, 20mm wide cross PVC sheet shall be provided as gap insert for top rail &amp; bottom rail. Panelling of 5mm thick PVC sheet to be fitted in the M.S. frame welded/ sealed to the stiles &amp; rails with 7mm (5mm +2mm) thick x 15mm wide PVC sheet bending on inner side, and joined together with solvent cement adhesive. An additional 5mm thick PVC strip of 20mm width is to be stuck on the interior side of the ‘C Channel using PVC solvent adhesive etc. complete as per direction of Engineer-in-charge, manufacture’s specification &amp; drawing.(For W.C.and bathroom door shutter).</t>
  </si>
  <si>
    <t>EXPANSION JOINT  TREATMENT:</t>
  </si>
  <si>
    <t>15.18.1</t>
  </si>
  <si>
    <t>15.18.2</t>
  </si>
  <si>
    <t>Polysulphide</t>
  </si>
  <si>
    <t>Backup rod</t>
  </si>
  <si>
    <t xml:space="preserve">Masking tape, thiner </t>
  </si>
  <si>
    <t>DAMP- PROOF COURSE AND PRECASTCOPING</t>
  </si>
  <si>
    <t>Providing and laying damp-proof course with cement concrete grade M-150 (1 : 2 : 4) mortar prepared with 1% solution of water-proof compound complete as per specification .</t>
  </si>
  <si>
    <t>15.24.1</t>
  </si>
  <si>
    <t>15.24.2</t>
  </si>
  <si>
    <t>15.24.3</t>
  </si>
  <si>
    <t>15.24.4</t>
  </si>
  <si>
    <t>Qtl</t>
  </si>
  <si>
    <t>Black steel barbed wire</t>
  </si>
  <si>
    <t xml:space="preserve">Add or deduct for each wire line over basic item </t>
  </si>
  <si>
    <t xml:space="preserve">Add or deduct for additional or less higher per 10 Cm. over basic item </t>
  </si>
  <si>
    <t>Extra for using galvanized barbed wire instead of black barbed wire.</t>
  </si>
  <si>
    <t>Chain link fabric fancing mesh of size 50x50mm made of G.I. wire of dia. 3.15mm.</t>
  </si>
  <si>
    <t>Chain link fabric fancing mesh of size 100x100mm made of G.I. wire of dia. 3.15mm.</t>
  </si>
  <si>
    <t>Chain link fabric fancing mesh of size 75x75mm made of G.I. wire of dia. 3.15mm.</t>
  </si>
  <si>
    <t>Chain link fabric fancing mesh of size 150x150mm made of G.I. wire of dia. 3.15mm.</t>
  </si>
  <si>
    <t>Providing and fixing welded mesh/expanded metal mesh in frame work, flat iron beading 20x3mm including top cross laps inside and out sides welding, iron bolts, crews, clips etc. complete (excluding frame work) of size.</t>
  </si>
  <si>
    <t>Welded mesh 50 mmx 50 mm x 2.1 mm</t>
  </si>
  <si>
    <t>Welded mesh 50x50x2.1 mm</t>
  </si>
  <si>
    <t>Welded mesh 50x25x2.1 mm</t>
  </si>
  <si>
    <t>Welded mesh 25x25x2.1 mm</t>
  </si>
  <si>
    <t>Expended metal size 20 - 25 mm size 18swg</t>
  </si>
  <si>
    <t>Welded mesh 50 mmx 25 mm x 2.1 mm</t>
  </si>
  <si>
    <t>Welded mesh 25 mmx 25 mm x 2.1 mm</t>
  </si>
  <si>
    <t>Expended metal size 20-25 mm size 18SWG</t>
  </si>
  <si>
    <t>Steel pipe 80x40 16 gauge</t>
  </si>
  <si>
    <t>Steel pipe 50x25 18 gauge</t>
  </si>
  <si>
    <t>Providing and fixing Hollow core partition wall using 50x30 mm Chir wood frame 600 mm c/c on both directions,door opening as per drawing with steel fittings antitermite treatment complete as per specifications using :</t>
  </si>
  <si>
    <t>Providing and fixing wall panelling using soft wood frame of size 50x25mm @600 mm c/c in both directions duly treated with anti-termite treatment making grooves painting of grooves specification and drawing using :</t>
  </si>
  <si>
    <t>12 mm thick one side laminated board Practical board (Phenol bonded)</t>
  </si>
  <si>
    <t xml:space="preserve">50x12 mm </t>
  </si>
  <si>
    <t xml:space="preserve">50x20 mm </t>
  </si>
  <si>
    <t>Providing and fixing expandable fastners of specified size with necessary plastic sleeves and galvanised M.S. screws including drilling holes in masonry work /CC/R.C.C. and making good etc. complete</t>
  </si>
  <si>
    <t>25 mm long</t>
  </si>
  <si>
    <t>32 mm long</t>
  </si>
  <si>
    <t>40 mm long</t>
  </si>
  <si>
    <t>50 mm long</t>
  </si>
  <si>
    <t>Providing and fixing curtain rods of 1.25 mm thick chromium plated brass plate, with two chromium plated brass brackets fixed with C.P. brass screws and wooden plugs, etc., wherever necessary complete:</t>
  </si>
  <si>
    <t xml:space="preserve">12 mm </t>
  </si>
  <si>
    <t>Mtr..</t>
  </si>
  <si>
    <t xml:space="preserve">20 mm </t>
  </si>
  <si>
    <t>Providing  &amp; fixing door, window, chowkhats and other frames, including antitermite treatment, M.S. flat, hold fasts of size 250 x 40 x 3mm fixed with M.S. bolt 5mm dia 50mm long duly embedded in cement concrete M-15 grade :</t>
  </si>
  <si>
    <t>MS hold fast</t>
  </si>
  <si>
    <t>Kiln seasoned and chemically treated Hollock wood.  Grade I</t>
  </si>
  <si>
    <t>Chir wood</t>
  </si>
  <si>
    <t>Shesham wood</t>
  </si>
  <si>
    <t>Nigeria wood</t>
  </si>
  <si>
    <t>Ghana wood</t>
  </si>
  <si>
    <t>Ivory coast</t>
  </si>
  <si>
    <t>8.4.1</t>
  </si>
  <si>
    <t>8.4.2</t>
  </si>
  <si>
    <t>8.6.1</t>
  </si>
  <si>
    <t>8.5.1</t>
  </si>
  <si>
    <t>8.5.2</t>
  </si>
  <si>
    <t>8.5.3</t>
  </si>
  <si>
    <t>Nigeria wood Grade I</t>
  </si>
  <si>
    <t>8.6.2</t>
  </si>
  <si>
    <t>8.6.3</t>
  </si>
  <si>
    <t>8.6.4</t>
  </si>
  <si>
    <t>8.6.5</t>
  </si>
  <si>
    <t>8.6.6</t>
  </si>
  <si>
    <t>8.6.7</t>
  </si>
  <si>
    <t>8.6.8</t>
  </si>
  <si>
    <t>8.6.9</t>
  </si>
  <si>
    <t>8 mm thick glass</t>
  </si>
  <si>
    <t>4 mm plain float glass</t>
  </si>
  <si>
    <t xml:space="preserve">5 mm float glass </t>
  </si>
  <si>
    <t>8.6.10</t>
  </si>
  <si>
    <t xml:space="preserve">Deduct for providing pin headed glass panes instead of ordinary float glass panes weighing 4 mm thick in doors, windows and clerestory windows, shutters (Area of opening for glass panes excluding portion inside rebate shall be measured).  </t>
  </si>
  <si>
    <t xml:space="preserve">Brass fittings </t>
  </si>
  <si>
    <t>Stainless steel fittings</t>
  </si>
  <si>
    <t>Extra for providing movable/ fixed  Nigeria / Ghana /Ivory Teak wood grade - I louvers instead of wooden panels in column No.4 for Nigeria / Ghana/Ivory Teak wood door shutters.</t>
  </si>
  <si>
    <t>10 %</t>
  </si>
  <si>
    <t>9 mm teak ply BWR one side</t>
  </si>
  <si>
    <t>9 mm teak ply BWR both side</t>
  </si>
  <si>
    <t>9 mm thick  commercial ply</t>
  </si>
  <si>
    <t>12 mm thick  commercial ply</t>
  </si>
  <si>
    <t>12 mm teak ply BWR one side</t>
  </si>
  <si>
    <t>12mm teak ply BWR both side</t>
  </si>
  <si>
    <t>6 mm thick  commercial ply</t>
  </si>
  <si>
    <t>0.6 mm mica</t>
  </si>
  <si>
    <t>0.8 mm mica</t>
  </si>
  <si>
    <t>1 mm mica</t>
  </si>
  <si>
    <t>8.6.11</t>
  </si>
  <si>
    <t>8.6.12</t>
  </si>
  <si>
    <t>8.6.1.1</t>
  </si>
  <si>
    <t>8.6.1.2</t>
  </si>
  <si>
    <t>8.6.1.3</t>
  </si>
  <si>
    <t>8.6.1.4</t>
  </si>
  <si>
    <t>8.5.1.1</t>
  </si>
  <si>
    <t xml:space="preserve">35 mm thick </t>
  </si>
  <si>
    <t>8.5.1.2</t>
  </si>
  <si>
    <t>Ghana wood grade I</t>
  </si>
  <si>
    <t>8.5.1.3</t>
  </si>
  <si>
    <t>8.5.1.4</t>
  </si>
  <si>
    <t>8.5.2.1</t>
  </si>
  <si>
    <t>8.5.2.2</t>
  </si>
  <si>
    <t>8.5.2.3</t>
  </si>
  <si>
    <t>8.5.2.4</t>
  </si>
  <si>
    <t>8.5.3.1</t>
  </si>
  <si>
    <t>Nigeria wood grade I</t>
  </si>
  <si>
    <t>8.5.3.2</t>
  </si>
  <si>
    <t>8.5.3.3</t>
  </si>
  <si>
    <t>8.5.3.4</t>
  </si>
  <si>
    <t>8.4.1.1</t>
  </si>
  <si>
    <t>8.4.1.2</t>
  </si>
  <si>
    <t>8.4.1.3</t>
  </si>
  <si>
    <t>8.4.1.4</t>
  </si>
  <si>
    <t>Ivory coast  wood grade I</t>
  </si>
  <si>
    <t xml:space="preserve">30 mm thick </t>
  </si>
  <si>
    <t>8.4.2.1</t>
  </si>
  <si>
    <t>8.4.2.2</t>
  </si>
  <si>
    <t>8.4.2.3</t>
  </si>
  <si>
    <t>8.4.2.4</t>
  </si>
  <si>
    <t>Shesham wood grade I</t>
  </si>
  <si>
    <t>Providing and fixing fully panelled /partly panelled  double leaf shutters frame for windows and ventilators as per approved design and drawings with approved steel fittings as per Annexure ‘A’ and width of styles, bottom and top rails 75mm including intermediate rails 50mm wide, beading of 25mm x 15mm size on both faces :</t>
  </si>
  <si>
    <t xml:space="preserve">25 mm thick </t>
  </si>
  <si>
    <t>Wood panel grade I</t>
  </si>
  <si>
    <t>8.13.1</t>
  </si>
  <si>
    <t>8.13.1.1</t>
  </si>
  <si>
    <t>8.13.1.2</t>
  </si>
  <si>
    <t>8.13.1.3</t>
  </si>
  <si>
    <t>8.13.2</t>
  </si>
  <si>
    <t>8.13.2.1</t>
  </si>
  <si>
    <t>8.13.2.2</t>
  </si>
  <si>
    <t>8.13.2.3</t>
  </si>
  <si>
    <t>8.13.3</t>
  </si>
  <si>
    <t>8.13.3.1</t>
  </si>
  <si>
    <t>8.13.3.2</t>
  </si>
  <si>
    <t>8.13.3.3</t>
  </si>
  <si>
    <t>Block board construction flush door with teak wood ply on one faces 35 mm thick</t>
  </si>
  <si>
    <t>Block board construction flush door with teak wood ply onone faces 30 mm thick</t>
  </si>
  <si>
    <t>Block board construction flush door with teak wood ply on one faces 25 mm thick</t>
  </si>
  <si>
    <t>Extra for providing vision panel not exceeding 0.1 Sqm in all type of flush doors (cost of glass excluded) (overall area of  door shutter to be measured) :</t>
  </si>
  <si>
    <t>ISI 4 mm thick commercial ply with 0.80 mm mica with adhesive on  both sides.</t>
  </si>
  <si>
    <t>4.10.11</t>
  </si>
  <si>
    <t>Deduct for using wooden vertical member  instead of steel props
Note : The uses of wooden member is allowed  in works which A &amp; F sanction up to 25 lacs only.</t>
  </si>
  <si>
    <t>4 mm thick  commercial ply</t>
  </si>
  <si>
    <t>4 mm teak ply BWR one side</t>
  </si>
  <si>
    <t>ISI 4 mm teak ply one side BWR</t>
  </si>
  <si>
    <t>ISI 6 mm teak ply one side BWR</t>
  </si>
  <si>
    <t>6 mm teak ply BWR one side</t>
  </si>
  <si>
    <t>ISI 9 mm teak ply one side BWR</t>
  </si>
  <si>
    <t>8.20.3</t>
  </si>
  <si>
    <t xml:space="preserve">12 mm thick Acoustical Board </t>
  </si>
  <si>
    <t>8.20.4</t>
  </si>
  <si>
    <t>50 mm glass whool</t>
  </si>
  <si>
    <t>Hassian cloth with fibre glass</t>
  </si>
  <si>
    <t>8.22.1</t>
  </si>
  <si>
    <t>8.22.2</t>
  </si>
  <si>
    <t>8.22.3</t>
  </si>
  <si>
    <t>8.22.4</t>
  </si>
  <si>
    <t xml:space="preserve">Providing and fixing IS : 3564 marked Aluminium die cast body tubular type universal hydraulic door closer with necessary accessories and screws etc. complete.  </t>
  </si>
  <si>
    <t xml:space="preserve">Providing and fixing IS : 3564 marked aluminium extruded section body tubular type universal hydraulic door closer with double speed adjustment with necessary accessories and screws etc. complete.  </t>
  </si>
  <si>
    <t xml:space="preserve"> Providing and fixing Bamboo jaffery/ fencing consisting of superior quality 25mm dia (Average) half cut bamboo placed vertically and fixed together with three numbers horizontal running members of  wood in scantling of section 50X25mm fixed with nails and GI wire to existing surface complete as per direction of EI</t>
  </si>
  <si>
    <t>PAINTING</t>
  </si>
  <si>
    <t xml:space="preserve">With ready mixed red oxide zinc chromate primer of approved brand and manufacture on steel galvanised iron/steel works  </t>
  </si>
  <si>
    <t xml:space="preserve">With ready mixed red oxide zinc chromate primer of approved brand and manufacture on steel work (second coat)  </t>
  </si>
  <si>
    <t>12.49.1</t>
  </si>
  <si>
    <t>12.49.2</t>
  </si>
  <si>
    <t xml:space="preserve"> Two or more coats glue sizing with spar varnish or an under coat of flatting varnish.            </t>
  </si>
  <si>
    <t>12.55.3</t>
  </si>
  <si>
    <t xml:space="preserve">Painting (two or more coats) on rain water, soil, waste and vent pipes and fittings with synthetic enamel paint of approved brand and manufacture and required colour over a priming coat of approved steel primer on new work.  </t>
  </si>
  <si>
    <t xml:space="preserve">The rates are for all lead of cement,  ballast, sand,  and grit etc. at site of work and are inclusive of laying and mixing, all T &amp; P, mixer, vibrator with P.O.L, scaffolding etc. including cost of curing. </t>
  </si>
  <si>
    <t>TMT bar</t>
  </si>
  <si>
    <t>Cum/ 
P Mt depth</t>
  </si>
  <si>
    <t xml:space="preserve">Extra for Mirror polishing on marble work where ever required to give high gloss finish complete.            </t>
  </si>
  <si>
    <t xml:space="preserve">Extra for pre finished nosing in treads of steps of Kota stone/ sand stone slab.  </t>
  </si>
  <si>
    <t>Rough Chisel dressed Sand  stone 35 mm thick flooring of approved shade set  over 20mm thick base of cement mortar 1:6 (1 cement : 6 coarse sand) and pointing  with cement sand mortar 1:3 with pigment to match the shade of stone with joint thickness up to 15 mm complete in all respects :</t>
  </si>
  <si>
    <t>Rough Chisel dressed Kota stone 35 mm thick flooring of approved shade set in pattern over 20mm thick base of cement mortar 1:6 (1 cement : 6 coarse sand) and pointing  with cement sand mortar 1:3 with pigment to match the shade of stone with joint thickness up to 15 mm complete in all respects :</t>
  </si>
  <si>
    <t>11.21.3</t>
  </si>
  <si>
    <t>Fine grinded Gangsaw cut 30-35 mm thick  stone flooring over 20 mm (average) thick base of cement mortar 1:4 (1 cement :4 coarse sand) jointed grey cement slurry mixed with pigment to match the shade of stone complete as per design drawing and instruction of EI.</t>
  </si>
  <si>
    <t>Fine dressed &amp; machine cut edges 30-35 mm thicksand stone flooring over 20 mm (average) thick base of cement mortar  1:4 (1 cement  : 4 coarse sand) jointed grey cement slurry mixed with pigment to match the shade of stone complete as per design drawing and instruction of EI.</t>
  </si>
  <si>
    <t>One piece corrugated serrated adjustable ridges</t>
  </si>
  <si>
    <t>Plain wing adjustable ridges</t>
  </si>
  <si>
    <t>Close fitting adjustable ridges</t>
  </si>
  <si>
    <t>Unserrated adjustable hips</t>
  </si>
  <si>
    <t>Providing and fixing wooden moulded corner beading of triangular shape to the junction of panelling etc. with iron screws, plugs and priming coat on unexposed surface etc. complete 2nd class teak wood.  
50x50mm (base and height)</t>
  </si>
  <si>
    <t xml:space="preserve">Extra for cutting rebate in flush door shutters for making double leaf shutter(Total area of  the shutter to be measured).  </t>
  </si>
  <si>
    <t>Extra for providing other type of fittings as mention in annexure A ( as approved by EI) :</t>
  </si>
  <si>
    <t xml:space="preserve">12mm  thick  Acoustical  Board  </t>
  </si>
  <si>
    <t>8.21.1</t>
  </si>
  <si>
    <t>8.21.2</t>
  </si>
  <si>
    <t>8.23.1</t>
  </si>
  <si>
    <t>12.37.3</t>
  </si>
  <si>
    <t>Colour Change</t>
  </si>
  <si>
    <t>Same colour</t>
  </si>
  <si>
    <t>12.43.2</t>
  </si>
  <si>
    <t>12.46.1</t>
  </si>
  <si>
    <t>12.46.2</t>
  </si>
  <si>
    <t>12.45.1</t>
  </si>
  <si>
    <t>12.45.2</t>
  </si>
  <si>
    <t>Old Work</t>
  </si>
  <si>
    <t>Providing and fixing of false ceiling with grid of M.S.tube section of size 19mm X 19mm and with a wall thickness of 1mm+/- 0.2mm.The side pipe and the intermediate pipes is fixed to the roof from the top with the help of ceiling angles/wire grid shall be covered by the uPVC profile section of size 6mm X 250mm with wall thickness of 0.80mm +/- 0.2mm,with the help of self tapping screw of 6mm X 13mm, 6mm X 19mm.Necessary cutouts for electric connections, lighting, air conditioning etc, shall be provided at required place. The perimeter edge shall be covered by extruded PVC corner beading section of size 9mm X 28mm or 25mm X30mm with a wall thickness of 1mm+/-0.2mm fixed by applying cynoacrylic adhesive complete as per manufacturer’s specification and direction of Engineer-in-charge.</t>
  </si>
  <si>
    <t>Providing and fixing of wall paneling on grid made out of PVC profile section of size 21x17mm with a wall thickness of 1.5mm+/-0.2mm,fixed on the existing wall with wood screw of size 50mm X 8mm with rowel plug at a spacing of 900mm center.uPVC profile section of size 150mm X 10mm with a wall thickness of 1.0mm+/-0.2mm to be fixed on the grid by self tapping screw of size 19mm X 6mm.Necessary cutouts for electrical connection to be provided at required places. The edge and periphery, finally to be covered by extruded PVC beading section of size 28mm X 12mm with a wall thickness of 1.0mm+/-0.2mm complete as per manufacture’s specification and direction of Engineer-in-charge.</t>
  </si>
  <si>
    <t>PW 6250 (PANEL)</t>
  </si>
  <si>
    <t>PW 928 (PERIMETER SECTION)</t>
  </si>
  <si>
    <t>R.Mtr.</t>
  </si>
  <si>
    <t>M.S. PIPE(20x20MM)WITH PRIMER COATING</t>
  </si>
  <si>
    <t>PW 10150 (PANEL)</t>
  </si>
  <si>
    <t>PW 1228 (PERIMETER SECTION)</t>
  </si>
  <si>
    <t xml:space="preserve">uPVC Casement Window Frame 60x60mm with EPDM &amp; 1.2mm thk G.I Reinforcement (BR60DA) </t>
  </si>
  <si>
    <t>Meter</t>
  </si>
  <si>
    <t>uPVC Outward Open Sash 78x60mm with EPDM &amp; 1.2mm thk G.I Reinforcement (SF78CDA)</t>
  </si>
  <si>
    <t>uPVC Inward Open Sash 73x60mm with EPDM &amp; 1.2mm thk G.I Reinforcement (FR73NDA)</t>
  </si>
  <si>
    <t>uPVC Casement Window Fix Mullion 76x60mm with EPDM &amp; 1.2mm thk G.I Reinforcement (SE76NDA)</t>
  </si>
  <si>
    <t>uPVC Single Glazing Bead 34x20 with EPDM (GB34DA)</t>
  </si>
  <si>
    <t>uPVC Three Track 80x52mm Sliding Window Frame (2+1 mesh shutter track) with 1.2mm thick steel reinforcement (HF80DA)</t>
  </si>
  <si>
    <t>uPVC Three Track 80x52mm Sliding Window Frame (2+1 mesh shutter track) with aluminium rail &amp; 1.2mm thick steel reinforcement (HF80DA)</t>
  </si>
  <si>
    <t>uPVC Sliding Window Sash 54x38mm with EPDM, wool pie &amp; 1.2mm thick steel reinforcement (SF54DA)</t>
  </si>
  <si>
    <t>uPVC Sliding Window Mash shutter Sash 52x21.5mm with 1.2mm thick steel reinforcement (MF52DA)</t>
  </si>
  <si>
    <t>uPVC Single Glazing Bead 20.5x16 with EPDM (GB21DA)</t>
  </si>
  <si>
    <t>uPVC Fix Window Frame 60x48mm with EPDM &amp; 1.2mm thk G.I Reinforcement (BR48DA)</t>
  </si>
  <si>
    <t>uPVC Openable Door Frame 70x60mm with EPDM &amp; 1.2mm thk G.I Reinforcement (MK60DA)</t>
  </si>
  <si>
    <t>uPVC Door Sash 106x60mm with EPDM &amp; 1.2mm thk G.I Reinforcement (SF106DA)</t>
  </si>
  <si>
    <t>uPVC Two Track 62x60mm Sliding Door Frame with 1.2mm thick steel reinforcement (HF62DA)</t>
  </si>
  <si>
    <t>uPVC Two Track 62x60mm Sliding Door Frame with aluminium rail &amp; 1.2mm thick steel reinforcement (HF62DA)</t>
  </si>
  <si>
    <t>uPVC Sliding Door Sash 66x42mm with EPDM, wool pie &amp; 1.2mm thick steel reinforcement (SF66DA)</t>
  </si>
  <si>
    <t>uPVC Sliding Door Mash shutter Sash 50x26.5mm with 1.2mm thick steel reinforcement (MF50DA)</t>
  </si>
  <si>
    <t>uPVC Single Glazing Bead 24.5x16 with EPDM (GB25DA)</t>
  </si>
  <si>
    <t>uPVC Three Track Sliding Door Frame 95.5x60mm with 1.2mm thick steel reinforcement (HF95NDA)</t>
  </si>
  <si>
    <t>uPVC Three Track Sliding Door Frame 95.5x60mm with aluminium rail &amp; 1.2mm thick steel reinforcement (HF95NDA)</t>
  </si>
  <si>
    <t>12" Friction Hinge 2.5mm thick SS301 Grade (Set of 2 Pcs.)</t>
  </si>
  <si>
    <t>Per Set</t>
  </si>
  <si>
    <t>Multipoint Transmission Gear (ESPAG) with white finish powder coated handle</t>
  </si>
  <si>
    <t>Per. Pc.</t>
  </si>
  <si>
    <t>5mm Thick Float Glass (ISI make)</t>
  </si>
  <si>
    <t>Sq. Mtr.</t>
  </si>
  <si>
    <t>Single Wheel Pully (Sliding Roller)</t>
  </si>
  <si>
    <t>Per Pc.</t>
  </si>
  <si>
    <t>Touch Lock System with Keep for Sliding Window</t>
  </si>
  <si>
    <t>Fiber/Nylon Mesh for M.Mesh Shutter</t>
  </si>
  <si>
    <t>Door Butt Hinge (Load Bearing white powder coated)</t>
  </si>
  <si>
    <t>Multipoint Door Transmission Gear (ESPAG) with white finish powder coated lockable handle</t>
  </si>
  <si>
    <t>Double Wheel Pully (Sliding Door Roller)</t>
  </si>
  <si>
    <t>Multipoint Sliding Door Transmission Gear (ESPAG) with white finish powder coated POP-UP handle</t>
  </si>
  <si>
    <t>Labour &amp; Manufacturing Charges (Cutting, Drilling, Welding, Trimming, Cleaning, Glass &amp; Hardware Fixing &amp; Packing)</t>
  </si>
  <si>
    <t>uPVC Window &amp; Door Site Installation Labour (Unloading, assembling &amp; fixing, silicon applicaton &amp; cleaning)</t>
  </si>
  <si>
    <t>Set</t>
  </si>
  <si>
    <t xml:space="preserve">Structural steel work in single section fixed with or without connecting plate including cutting, hoisting ( height upto 10 m), fixing in position and applying a priming coat of approved steel primer all complete.  </t>
  </si>
  <si>
    <t xml:space="preserve">Steel work in built up tubular trusses including cutting, hoisting   ( height upto 10 m)fixing in position and applying a priming coat of approved steel primer, welded and bolted including special shaped washers etc. complete.  </t>
  </si>
  <si>
    <t xml:space="preserve">Structural steel work riveted,  bolted or welded in built up sections, trusses and framed work, including cutting, hoisting   (height upto 10 m) , fixing in position and applying a priming coat of approved steel primer all complete:  </t>
  </si>
  <si>
    <t xml:space="preserve">Extra for hoisting and fixing for every additional one metre or part thereof beyond 10 mtr height. </t>
  </si>
  <si>
    <t xml:space="preserve">Extra for Mirror polishing on terrazzo/Kota stone work where ever required to give high gloss finish complete.            </t>
  </si>
  <si>
    <t>Filling of sunk portion of roof with earthen pots of required height including filling voids with 1:3:6 light concrete, using brick bats  complete levelling and dressing the surface by 50mm thick cement concrete 1:2:4 as per specification.</t>
  </si>
  <si>
    <t>Earthen pots</t>
  </si>
  <si>
    <t>Water tanker  6 kl capacity</t>
  </si>
  <si>
    <t xml:space="preserve">Details of cost for 225 Sqm </t>
  </si>
  <si>
    <t xml:space="preserve">Edge blocks </t>
  </si>
  <si>
    <t>m</t>
  </si>
  <si>
    <t>Water</t>
  </si>
  <si>
    <t>kl</t>
  </si>
  <si>
    <t xml:space="preserve">Inter-locking blocks </t>
  </si>
  <si>
    <t xml:space="preserve">Sand </t>
  </si>
  <si>
    <t>Cost for 225 sqm.</t>
  </si>
  <si>
    <t>Extra  for vacuum processed concrete including cost of equipments labour etc.</t>
  </si>
  <si>
    <t xml:space="preserve">Disc  for floater </t>
  </si>
  <si>
    <t xml:space="preserve">Trowel blades </t>
  </si>
  <si>
    <t xml:space="preserve">Filter mats </t>
  </si>
  <si>
    <t xml:space="preserve">Top mat </t>
  </si>
  <si>
    <t>Lt</t>
  </si>
  <si>
    <t>Cutting of construction joint/ longitudinal joint 4 to 6 mm. wide  using mechanical concrete cutter including cost of diamond bit cutting wheel and filling of bitumen sealing  compound in groove including cost of sealing compound.</t>
  </si>
  <si>
    <t>Designer polished CC tiles</t>
  </si>
  <si>
    <t>Providing and laying at or near ground level factory made kerb stone of M-25 grade cement in position to the required line, level and curvature jointed with cement mortar 1:3 (1 cement : 3 coarse sand ) including making joints with without grooves (thickness of joints except at sharp curve shall not to more than 5mm) including making drainage opening wherever required complete including painting etc. as per direction of Engineer-in-charge (length of finished kerb edging shall be measured for payment). (Precast C.C. kerb stone shall be approved by Engineerin- charge).</t>
  </si>
  <si>
    <t>Providing and laying wooden flooring with a direct laminated surface treated with aluminum oxide on top of  a high-density fiber board with a density of 850 Kg./per Mtr. having a click system tongue and groove joint to secure a long lasting joint. The planks are or termite resistant and water protected with both side lamination Wooden flooring Planks of size 1208 x 194 x 8 mm / 1215x294x8 mm (8mm thick laminated floor class of use 23/31 having a wear resistance level of AC-3 , impact resistance &gt; 9mm, moisture resistance 3-10% as per (EN-424, EN – 438 EN – 425 EN – 417 – 2)or PREN 3329 complete in all respect as per direction of EI</t>
  </si>
  <si>
    <t>25mm thick wooden planking, tongued and grooved in flooring including fixing with iron screws complete (Lower frame to be paid extra) with :First class Teak wood.</t>
  </si>
  <si>
    <t xml:space="preserve">8mm thick laminated floor </t>
  </si>
  <si>
    <t xml:space="preserve">89 mm wide having both side laminations </t>
  </si>
  <si>
    <t>transaction/adaptation profile</t>
  </si>
  <si>
    <t>With float glass panes of 5.0 mm thickness ( weight not less than 13.50 kg/sqm)</t>
  </si>
  <si>
    <t>16.9.1</t>
  </si>
  <si>
    <t>16.9.2</t>
  </si>
  <si>
    <t>16.9.3</t>
  </si>
  <si>
    <t>Float glass sheet of nominal thickness 8 mm</t>
  </si>
  <si>
    <t>Float glass sheet of nominal thickness 5 mm.(weight not less than 13.50 kg/sqm).</t>
  </si>
  <si>
    <t>16.10.1</t>
  </si>
  <si>
    <t>16.10.2</t>
  </si>
  <si>
    <t>16.10.3</t>
  </si>
  <si>
    <t>Y &amp; H section</t>
  </si>
  <si>
    <t>Anodising 15 microns on aluminium sections for grill</t>
  </si>
  <si>
    <t>Powder coating aluminum for grill</t>
  </si>
  <si>
    <t>Polyester Powder coating for grill</t>
  </si>
  <si>
    <t>SS wire gauge</t>
  </si>
  <si>
    <t>Vertical blinds</t>
  </si>
  <si>
    <t xml:space="preserve">Horizontal blinds /Venation blind </t>
  </si>
  <si>
    <t>Sun control film</t>
  </si>
  <si>
    <t>16.16.1</t>
  </si>
  <si>
    <t xml:space="preserve">Extruded section profile size 42x50 mm  </t>
  </si>
  <si>
    <t>16.16.2</t>
  </si>
  <si>
    <t>9.3.3</t>
  </si>
  <si>
    <t>Providing and fixing T-iron frames for doors, windows and ventilators of mild steel Tee-sections, joints mitred and welded with 15x3 mm lugs 10cm long embedded in cement concrete blocks 15x10x10 cm of 1:3:6 (1 cement : 3 coarse sand : 6 graded stone aggregate 20 mm nominal size) or with wooden plugs and screws or rawl plugs and screws or with fixing clips or with bolts and nuts as require including fixing of necessary butt hinges and screws and applying a priming coat of approved steel primer.</t>
  </si>
  <si>
    <t xml:space="preserve">Providing and fixing steel gate, grating , and grills made of angles, tees, square bars, flats,or black pipe with holdfast and fittings complete as per design and drawing including cutting welding and fabrication with priming coat of red oxide </t>
  </si>
  <si>
    <t xml:space="preserve">Extra for providing grilled rolling shutters manufactured out of 8 mm dia. M.S. bar instead of laths as per design approved by Engineer-in-charge. (area of grill to be measured).  </t>
  </si>
  <si>
    <t>9.19.3</t>
  </si>
  <si>
    <t>9.19.4</t>
  </si>
  <si>
    <t>Helper</t>
  </si>
  <si>
    <t>Deduct for Not providing glass panels</t>
  </si>
  <si>
    <t>Deduct for Pin headed 4mm thick glass panels is used instead of 4mm thick plain glass</t>
  </si>
  <si>
    <t>Deduct for Not provided oxidised fittings.</t>
  </si>
  <si>
    <t>Providing and fixing concertina coil fencing with required dia 610 mm (having 15 nos. round per 6 metre length) up to 3m height of wall with existing angle iron 'Y' shaped placed 2.4 m or 3.00 m apart and with 9 horizontal R.B.T. stud tied with GI staples and GI clips to retain horizontal including necessary bolts or GI barbed wire tied to angle iron all complete as per direction of Engineer In Charge with reinforced barbed tape (R.B.T.)/Spring core(2.5 mm thick) wire of high tensile strength of 165 kg/sq.mm with tape (0.52 mm thick) and weight 43.478 gm/metre (Cost of MS angle, CC block shall be paid extra)</t>
  </si>
  <si>
    <t xml:space="preserve">Cement mortar 1:3 (1 cement : 3 coarse sand)  </t>
  </si>
  <si>
    <t xml:space="preserve">Cement mortar 1:4 (1cement : 4 coarse sand)  </t>
  </si>
  <si>
    <t xml:space="preserve">Extra for covering top of membrane with Geotextile, 120gsm non woven, 100% polyester of thickness 1 to 1.25mm bonded to the membrane with intermittent touch by heating the membrane by Butane Torch as per manufactures recommendation. </t>
  </si>
  <si>
    <t>Extra over items of Cement Plaster / Cement Concrete flooring / Plain or RCC work Providing and mixing admixture of synthetic Fiber 6mm / 12mm.  @ rate of 125gm. pack per 50 Kg. of Cement or in the ratio of as specified by manufacture specification and direction of Engineer In-charges with all leads and lifts.</t>
  </si>
  <si>
    <t>synthetic Fiber 6mm / 12mm</t>
  </si>
  <si>
    <t>P Pack 125 gm</t>
  </si>
  <si>
    <t>15.21.1</t>
  </si>
  <si>
    <t>15.21.2</t>
  </si>
  <si>
    <t>15.21.3</t>
  </si>
  <si>
    <t xml:space="preserve">Non-asbestos fibre cement board 6 mm thick as per IS:14862. 1    </t>
  </si>
  <si>
    <t xml:space="preserve">Acrylic sheet 5 mm thick </t>
  </si>
  <si>
    <t xml:space="preserve">Aluminum fluted strips 2 mm thick        </t>
  </si>
  <si>
    <t>SILFIL (Armour Bound) 20 mm thick</t>
  </si>
  <si>
    <t>Double side tape for fixing SILFIL (Density not less 30 kg./cum.)</t>
  </si>
  <si>
    <t>SILFIL (Armour Bound) 25 mm thick</t>
  </si>
  <si>
    <t>SILFIL (Armour Bound) 30 mm thick</t>
  </si>
  <si>
    <t>SILFIL (Armour Bound) 40 mm thick</t>
  </si>
  <si>
    <t>CHAPTER  : B-13</t>
  </si>
  <si>
    <t>REPAIRS TO BUILDING</t>
  </si>
  <si>
    <t>13.2.1</t>
  </si>
  <si>
    <t>13.2.2</t>
  </si>
  <si>
    <t>Patch repair to cement concrete floor including digging out old floor in regular shape and removal of rubbish curing etc. complete in all respects.</t>
  </si>
  <si>
    <t>Washing floor with soda, soap or other cleaning material.</t>
  </si>
  <si>
    <t>4mm thick plain glass panes.</t>
  </si>
  <si>
    <t>Renewing glass panes with wooden fillets wherever necessary :</t>
  </si>
  <si>
    <t>Renewing glass panes and refixing existing wooden fillets :</t>
  </si>
  <si>
    <t>Fixing old glass panes with wooden fillets (Excluding cost of fillets)</t>
  </si>
  <si>
    <t>Replacing broken roofing slab in patches including lime terrace, ceiling plaster etc. including removal of broken slabs.</t>
  </si>
  <si>
    <t>Making holes in stone masonry wall upto 450 mm x  450 mm size and making good in CM 1:6.</t>
  </si>
  <si>
    <t xml:space="preserve">Grinding of existing floor with </t>
  </si>
  <si>
    <t xml:space="preserve"> 60, 80, 120 and  360 No. Carborundum stone  including cost of wax polishing complete :</t>
  </si>
  <si>
    <t xml:space="preserve">  120 and  360 No. Carborundum stone  including cost of wax polishing complete :</t>
  </si>
  <si>
    <t xml:space="preserve">Add extra for mirror polishing on existing marble work/ Kota stone flooring work where ever required to give high gloss finish complete. </t>
  </si>
  <si>
    <t>Repair  of  door,  window  shutters  including  cost  of  material  and  labour  for  change  of  damaged :</t>
  </si>
  <si>
    <t>(a)</t>
  </si>
  <si>
    <t>Style / rail of teak wood 30mm thick/ Aluminium Section</t>
  </si>
  <si>
    <t>(i)</t>
  </si>
  <si>
    <t>4"wide</t>
  </si>
  <si>
    <t>(ii)</t>
  </si>
  <si>
    <t>6" wide</t>
  </si>
  <si>
    <t>(b)</t>
  </si>
  <si>
    <t>Panel by</t>
  </si>
  <si>
    <t>Shuttering Ply - 9mm thick (Commercial)</t>
  </si>
  <si>
    <t>Wire Gauge 14 mesh x 24 gauge</t>
  </si>
  <si>
    <t>(iii)</t>
  </si>
  <si>
    <t>Plain Glass Panes 4mm thick</t>
  </si>
  <si>
    <t>(c)</t>
  </si>
  <si>
    <t>Aldrop of mild Steel</t>
  </si>
  <si>
    <t>Primer</t>
  </si>
  <si>
    <t>CHAPTER  : B-12</t>
  </si>
  <si>
    <t>FINISHING WORK</t>
  </si>
  <si>
    <t>12.1.1</t>
  </si>
  <si>
    <t>12.1.2</t>
  </si>
  <si>
    <t>12.1.3</t>
  </si>
  <si>
    <t>12.2.1</t>
  </si>
  <si>
    <t>12.2.2</t>
  </si>
  <si>
    <t>12.2.3</t>
  </si>
  <si>
    <t>12.3.1</t>
  </si>
  <si>
    <t>12.3.2</t>
  </si>
  <si>
    <t>12.3.3</t>
  </si>
  <si>
    <t>12.4.1</t>
  </si>
  <si>
    <t>Providing &amp; Laying POP moulding &amp; beading in ceiling including nailing &amp; scafollding etc. complete of size :</t>
  </si>
  <si>
    <t>25mm x 12mm</t>
  </si>
  <si>
    <t>25mm x 25 mm</t>
  </si>
  <si>
    <t>Providing  &amp;  Laying  POP  Cornice  of  required  design  &amp;  pattern  in  ceiling  including  nailing  &amp;  scafollding  etc.  complete  with  fine  finishing of size:</t>
  </si>
  <si>
    <t>50mm x 50mm</t>
  </si>
  <si>
    <t>65mm x 65mm</t>
  </si>
  <si>
    <t>CEMENT PLASTER</t>
  </si>
  <si>
    <t>Plaster on new surface on wall in cement sand mortar 1:3 including racking of joints etc. complete fine finish :</t>
  </si>
  <si>
    <t>25 mm thick</t>
  </si>
  <si>
    <t>20mm thick</t>
  </si>
  <si>
    <t>12mm thick</t>
  </si>
  <si>
    <t>Plaster on new surface on walls in cement sand mortar 1:4 including   racking  of  joints  etc. complete fine finish :</t>
  </si>
  <si>
    <t>25 mm thick.</t>
  </si>
  <si>
    <t>20mm thick .</t>
  </si>
  <si>
    <t>12mm thick .</t>
  </si>
  <si>
    <t>Plaster on new surface on walls in cement sand mortar 1:6 including racking of joint etc. complete fine finish :</t>
  </si>
  <si>
    <t>12mm thick.</t>
  </si>
  <si>
    <t>Plaster on new surface on walls in cement sand mortar 1:8 including racking of joint etc. complete fine finish :</t>
  </si>
  <si>
    <t>25mm thick.</t>
  </si>
  <si>
    <t>Finishing with neat cement (punning).</t>
  </si>
  <si>
    <t>Making grooves as per design in plaster 10mm to 20mm wide.</t>
  </si>
  <si>
    <t>Making of drip course (Tapka) in cement sand mortar 1:6 width upto 40 mm  and 10 mm thick as per approved design</t>
  </si>
  <si>
    <t>6 mm thick cement plaster to ceiling of mix  1:3 (1cement : 3-fine sand)</t>
  </si>
  <si>
    <t xml:space="preserve">Extra for RC frames (Chowkhats) Curved in plan </t>
  </si>
  <si>
    <t>Extra  for RCC frame finishing the exposed face with terrazo (Mosaic) finish.</t>
  </si>
  <si>
    <t>13.6.2</t>
  </si>
  <si>
    <t>5mm thick plain glass panes.</t>
  </si>
  <si>
    <t>13.14.1</t>
  </si>
  <si>
    <t>13.14.2</t>
  </si>
  <si>
    <t>13.20.1</t>
  </si>
  <si>
    <t>13.20.2</t>
  </si>
  <si>
    <t>PVC FLOORING</t>
  </si>
  <si>
    <t>Providing and Fixing Cushion Vinyl/Fully flexible Vinyl Flooring confirming to I.S.-3462 Flooring of approved make with fibre base using rubber base adhesives including rolling with light wooden roller complete :</t>
  </si>
  <si>
    <t>1.0 mm thick.</t>
  </si>
  <si>
    <t>1.5 mm thick.</t>
  </si>
  <si>
    <t>2.0 mm thick.</t>
  </si>
  <si>
    <t>11.38.1</t>
  </si>
  <si>
    <t>11.38.2</t>
  </si>
  <si>
    <t>11.38.3</t>
  </si>
  <si>
    <t>PVC sheet 1 mm</t>
  </si>
  <si>
    <t>PVC sheet 1.5 mm</t>
  </si>
  <si>
    <t>PVC sheet 2 mm</t>
  </si>
  <si>
    <t xml:space="preserve">Raised Band  </t>
  </si>
  <si>
    <t>Cm P Rm</t>
  </si>
  <si>
    <t xml:space="preserve">Providing and applying white cement based putty  over plastered surface to prepare the surface even and smooth complete  </t>
  </si>
  <si>
    <t>Jhingra</t>
  </si>
  <si>
    <t xml:space="preserve">Extra for making Ornamental  design like Kangooras  Gola etc.  as  per  Jaipur practice in   cement  plaster  </t>
  </si>
  <si>
    <t xml:space="preserve">White washing with lime to give an even shade including all scaffolding:
</t>
  </si>
  <si>
    <t xml:space="preserve"> New work (Two or more coats applied @ 3.84 kg/10 sqm).  </t>
  </si>
  <si>
    <t>12.43.1</t>
  </si>
  <si>
    <t xml:space="preserve">Polishing on wood work with ready mixed wax polish of approved brand and manufacture : </t>
  </si>
  <si>
    <t>12.52.2</t>
  </si>
  <si>
    <t>12.54.1</t>
  </si>
  <si>
    <t>12.54.2</t>
  </si>
  <si>
    <t>CHAPTER  : B-8</t>
  </si>
  <si>
    <t>WOOD WORK</t>
  </si>
  <si>
    <t>8.1.1</t>
  </si>
  <si>
    <t>Nigeria teak  wood Grade - I.</t>
  </si>
  <si>
    <t>8.1.2</t>
  </si>
  <si>
    <t>Ghana teak wood Grade - I.</t>
  </si>
  <si>
    <t>8.1.3</t>
  </si>
  <si>
    <t>Sal wood Grade - I.</t>
  </si>
  <si>
    <t>8.1.4</t>
  </si>
  <si>
    <t>Sheesham wood Grade - I.</t>
  </si>
  <si>
    <t>8.1.5</t>
  </si>
  <si>
    <t>Chir wood Grade - I.</t>
  </si>
  <si>
    <t>8.1.6</t>
  </si>
  <si>
    <t>Hollock wood Grade - I.</t>
  </si>
  <si>
    <t>Ivory coast wood Grade I</t>
  </si>
  <si>
    <t>Supplying and fixing wood work in frames of wall panelling, false ceiling partition wall etc. as per approved design and drawing including antitermite treatment.</t>
  </si>
  <si>
    <t>8.2.1</t>
  </si>
  <si>
    <t>8.2.2</t>
  </si>
  <si>
    <t>Add extra in frames for circular members such as in fan lights, staircase railing etc.</t>
  </si>
  <si>
    <t>Add extra for etching work in glass work as per direction of engineer incharge (Area of opening for glass panes excluding portion inside rebate shall be measured)</t>
  </si>
  <si>
    <t>20 %</t>
  </si>
  <si>
    <t>30 mm thick .</t>
  </si>
  <si>
    <t>35 mm thick .</t>
  </si>
  <si>
    <t>Providing and fixing external grade board solid core single leaf flush door shutters ISI 2202-67 marked using Phenol formal dehyderesin  in glue both sides with approved steel fittings complete as per annexure 'A'  :</t>
  </si>
  <si>
    <t>8.18.1</t>
  </si>
  <si>
    <t>25 mm thick .</t>
  </si>
  <si>
    <t>Commercial Veneer both side</t>
  </si>
  <si>
    <t xml:space="preserve">Decorative teak  veneer One side </t>
  </si>
  <si>
    <t xml:space="preserve">Decorative teak veneer both side </t>
  </si>
  <si>
    <t>8.18.2</t>
  </si>
  <si>
    <t>8.19.1</t>
  </si>
  <si>
    <t>8.19.2</t>
  </si>
  <si>
    <t>8.20.1</t>
  </si>
  <si>
    <t>8.20.2</t>
  </si>
  <si>
    <t>8.25.1</t>
  </si>
  <si>
    <t>8.25.2</t>
  </si>
  <si>
    <t>20 mm dia</t>
  </si>
  <si>
    <t>Painting   (one   or   more   coats)   on   rain   water soil,   waste   and   vent   pipes   and   fitting   with   black   anticorrosive   bitumastic   paint   of   approved   brand   and   manufacture   on old work :</t>
  </si>
  <si>
    <t>Painting with oil type wood preservative of approved brand and manufacture :</t>
  </si>
  <si>
    <t>Coal-tarring coats on new work using 0.16 and 0.12 litre  of coal tar per Sqm in the first and second coat respectively.</t>
  </si>
  <si>
    <t>One or more coats on old work.</t>
  </si>
  <si>
    <t>Two or more coats on new work.</t>
  </si>
  <si>
    <t>Painting with Aluminium paint of approved brand and manufacture to give an even shade :</t>
  </si>
  <si>
    <t>Painting  with  acid  proof  paint  of  approved  brand  and  manufacture  of  required  colour   to  give  an  even  shade :</t>
  </si>
  <si>
    <t>Two or more coats on new work .</t>
  </si>
  <si>
    <t>One or more coat on old work .</t>
  </si>
  <si>
    <t>Painting  with  black  anti-corrosive  bitumastic  paint  of  approved  brand  and  manufacture  to  give  an  even  shade :</t>
  </si>
  <si>
    <t>One or more coat on old work.</t>
  </si>
  <si>
    <t>Varnishing with varnish of approved brand and manufacture :</t>
  </si>
  <si>
    <t>Two or more coats glue  sizing with copal varnish over an under coat of flatting varnish.</t>
  </si>
  <si>
    <t>French sprit polishing :</t>
  </si>
  <si>
    <t>Two or more coats on new work including a coat of wood filler.</t>
  </si>
  <si>
    <t>New Work</t>
  </si>
  <si>
    <t>Old Work.</t>
  </si>
  <si>
    <t>Lettering with black Japan paint of approved brand and manufacture.</t>
  </si>
  <si>
    <t>P. Letter
Per cm. height</t>
  </si>
  <si>
    <t>Re-lettering with black Japan paint of approved brand and manufacture.</t>
  </si>
  <si>
    <t>New Surface</t>
  </si>
  <si>
    <t>Old Surface</t>
  </si>
  <si>
    <t>12 mm thick</t>
  </si>
  <si>
    <t>The rates cover protection of all places and things, requiring protection and cleaning such places and thing of all droppings and splashes of mortar etc.</t>
  </si>
  <si>
    <t>Cement mortar is to be made by mechnical mixer only.</t>
  </si>
  <si>
    <t xml:space="preserve">The rates are for complete work including racking of joints, curing, grinding, mixing and finishing T &amp; P and scaffolding material and cost of material with all lead and lift </t>
  </si>
  <si>
    <t>The Rate for external plaster are for height up to 10 m from ground level unless otherwise stated.</t>
  </si>
  <si>
    <t>12.4.2</t>
  </si>
  <si>
    <t>12.4.3</t>
  </si>
  <si>
    <t xml:space="preserve">Extra for providing and mixing water proofing material in cement plaster work in proportion recommended by the manufacturers.  </t>
  </si>
  <si>
    <t xml:space="preserve">Extra for plastering exterior walls of height more than 10 m from ground level for every additional height of 3 m or part thereof.  </t>
  </si>
  <si>
    <t xml:space="preserve">Extra for plastering on circular work not exceeding 6 m in radius:  </t>
  </si>
  <si>
    <t xml:space="preserve">Extra for plastering done on moulding cornices or architraves including neat finish to line and level:   </t>
  </si>
  <si>
    <t xml:space="preserve">In one coat  </t>
  </si>
  <si>
    <t xml:space="preserve"> In two coats  </t>
  </si>
  <si>
    <t xml:space="preserve">Spherical ceiling  </t>
  </si>
  <si>
    <t xml:space="preserve">Extra for plastering :     </t>
  </si>
  <si>
    <t xml:space="preserve">Flewing soffits  </t>
  </si>
  <si>
    <t xml:space="preserve">Groined ceiling  </t>
  </si>
  <si>
    <t xml:space="preserve">Extra for lining out plaster to imitate stone or concrete blocks walling            </t>
  </si>
  <si>
    <t>12.16.1</t>
  </si>
  <si>
    <t xml:space="preserve">12 mm thick plain cement mortar bands in cement mortar 1:4 (1 cement : 4 fine sand) :  </t>
  </si>
  <si>
    <t>12.16.2</t>
  </si>
  <si>
    <t>Pebble dash plaster upto 10m height above ground level with a mixture of washed pebble or crushed stone 6mm to 12.5mm nominal size dashed over and including fresh plaster in two layers under layer 12mm cement plaster 1:4 (1 cement : 4 coarse sand) and top layer 10mm cement plaster with cement mortar 1:3 (1 cement : 3 fine sand) with 10% finely grounded hydrated lime by volume of cement</t>
  </si>
  <si>
    <t xml:space="preserve">Rough cast plaster upto 10m height above ground level with a mixture of sand  and gravel or crushed stone from 6mm to 10mm nominal size dashed over and including the fresh plaster in two layers, under layer 12mm cement plaster 1:4 (1 cement : 4 coarse sand) and top layer 10mm cement plaster 1:3 (1 cement : 3 fine sand) mixed with 10% finely grounded hydrated lime by volume of cement.     
Ordinary cement finish using ordinary cement                                </t>
  </si>
  <si>
    <t>White cement based putty</t>
  </si>
  <si>
    <t>12.21.1</t>
  </si>
  <si>
    <t>12.21.2</t>
  </si>
  <si>
    <t xml:space="preserve">Pointing on brick work or brick flooring with cement mortar 1:3 (1 cement : 3 fine  sand) :  
</t>
  </si>
  <si>
    <t xml:space="preserve"> Flush / Ruled/ Struck or weathered pointing.  </t>
  </si>
  <si>
    <t xml:space="preserve"> Raised and cut pointing  </t>
  </si>
  <si>
    <t xml:space="preserve"> Pointing on stone slab ceiling with cement mortar 1:2 (1 cement : 2 fine sand):  
 Flush/ Ruled pointing            </t>
  </si>
  <si>
    <t xml:space="preserve"> Extra for pointing on walls on the outside at height more than 10 m from ground level for every additional height of 3 m or part there of.  </t>
  </si>
  <si>
    <t>Forming groove of uniform size 15x15mm and upto 25x15mm in the top layer of washed stone grit plaster as per approved pattern using wooden battens, nailed to the under layer including removal of wooden battens, repair to the edges of panels and finishing the groove complete as per specification and direction of Engineer in charge</t>
  </si>
  <si>
    <t xml:space="preserve">Extra for using white cement in place of ordinary cement in the top layer of the item of washed stone grit plaster.  </t>
  </si>
  <si>
    <t>Washed stone grit plaster on exterior  walls of height upto 10 M. above level in two layers, under layer 12mm cement plaster 1:4 (1 cement : 4 coarse sand ) furrowing the under layer with scratching tool, applying cement slurry on the under layer @ 2kg of cement per sqm, top layer 15 mm cement plaster 1:1/2:2 ( 1 cement : 1/2 coarse sand : 2 stone chipping size 10 mm nominal size) in panel with groove all around as per approved pattern including scrubbing and washing, the top layer with brushes and water to expose the stone chipping, complete as per specification and direction of Engineer in charge. (Payment for providing grooves shall be made separately)</t>
  </si>
  <si>
    <t>12.17.1</t>
  </si>
  <si>
    <t>12.17.2</t>
  </si>
  <si>
    <t>12.17.3</t>
  </si>
  <si>
    <t>12.21.3</t>
  </si>
  <si>
    <t>12.21.4</t>
  </si>
  <si>
    <t>12.24.1</t>
  </si>
  <si>
    <t>12.24.2</t>
  </si>
  <si>
    <t>12.25.1</t>
  </si>
  <si>
    <t>12.25.2</t>
  </si>
  <si>
    <t>12.25.3</t>
  </si>
  <si>
    <t>12.30.1</t>
  </si>
  <si>
    <t>12.30.2</t>
  </si>
  <si>
    <t>Applying one coat of Cement primer of approved brand and manufacture on wall surface including all scaffolding:</t>
  </si>
  <si>
    <t xml:space="preserve">Distempering with 1st quality acrylic washable distemper (ready mixed) of approved manufacturer and of required shade and colour completeincluding all scaffolding as per manufacturer's specification. 
Two or more coats on new work  including prepartion of base with primer, putty, lippy etc complete in all respect.  </t>
  </si>
  <si>
    <t xml:space="preserve">INTERIOR FINISHING </t>
  </si>
  <si>
    <t xml:space="preserve">EXTERIOR FINISHING </t>
  </si>
  <si>
    <t xml:space="preserve">Finishing walls with Acrylic Smooth exterior paint of required shade including all scaffolding.
 New work (Two or more coat applied @ 1.67 ltr/10 sqm over and including base coat of water proofing cement paint applied @ 2.20 kg/ 10 sqm ).  </t>
  </si>
  <si>
    <t>40mm thick marble chips flooring rubbed and polished to granolithic finish under layer 28mm thick cement concrete 1:2:4 (1 cement : 2 course sand : 4 graded stone aggregate 12.5mm nominal size) including fixing of dividing strip (excluding the cost of strips) and top layer 12mm thick with marble chips of approved colour  7mm to 10mm nominal size laid in cement marble chips mix  by weight in proportion of 2 : 3 (2 cement  : 3 marble chips) by volume including cement slurry etc. complete :</t>
  </si>
  <si>
    <t>11.16.1</t>
  </si>
  <si>
    <t>40mm wide and 4mm thick</t>
  </si>
  <si>
    <t>11.16.2</t>
  </si>
  <si>
    <t>11.16.3</t>
  </si>
  <si>
    <t>20mm wide and 3mm thick for skirting.</t>
  </si>
  <si>
    <t>11.23.1</t>
  </si>
  <si>
    <t>11.23.2</t>
  </si>
  <si>
    <t>11.23.3</t>
  </si>
  <si>
    <t>TILE FLOORING</t>
  </si>
  <si>
    <t>Dark shade using ordinary cement.</t>
  </si>
  <si>
    <t>Medium shade using approximately 50% white cement and 50% ordinary cement.</t>
  </si>
  <si>
    <t>Light shade using white cement.</t>
  </si>
  <si>
    <t>Precast terrazzo tiles of approved make 20mm thick with marble chips of size upto 6mm in skirting &amp; risers, treads of steps and dados 12mm thick cement plaster 1:3 (1 cement : 3 coarse sand) jointed with neat cement slurry mixed with pigment to match the shade of the tiles, including rubbing and polishing complete with tiles of :</t>
  </si>
  <si>
    <t>Light shade using white  cement.</t>
  </si>
  <si>
    <t>Providing &amp; laying Chequered terrazzo tiles of approved make 22mm thick with marble chips of size upto 6mm, in floors, jointed with neat cement slurry mixed wit pigment to match the shade of tiles including rubbing and polishing complete in all respect as per specification, on 28mm thick bed of C.M. 1:4 :</t>
  </si>
  <si>
    <t>Light shade using shade cement.</t>
  </si>
  <si>
    <t>KOTA STONE FLOORING</t>
  </si>
  <si>
    <t>For area of each slab from 901 to 2000 Sq.Cm :</t>
  </si>
  <si>
    <t>For area of each slab from 2001 to 5000 Sq.Cm</t>
  </si>
  <si>
    <t>Random rubble dry stone Kharanja under floor.</t>
  </si>
  <si>
    <t>SAND STONE FLOORING</t>
  </si>
  <si>
    <t>WOODEN FLOORING</t>
  </si>
  <si>
    <t>Providing and laying transaction/adaptation profile with fixing of nails, screws &amp; fevicol complete in all respect as per direction of EI.</t>
  </si>
  <si>
    <t>11.6.3</t>
  </si>
  <si>
    <t>11.6.4</t>
  </si>
  <si>
    <t>11.6.5</t>
  </si>
  <si>
    <t>11.6.6</t>
  </si>
  <si>
    <t>11.7.6</t>
  </si>
  <si>
    <t>11.7.2</t>
  </si>
  <si>
    <t>11.7.3</t>
  </si>
  <si>
    <t>11.7.1</t>
  </si>
  <si>
    <t>11.7.5</t>
  </si>
  <si>
    <t>11.7.4</t>
  </si>
  <si>
    <t>11.8.1</t>
  </si>
  <si>
    <t>11.8.2</t>
  </si>
  <si>
    <t>11.8.3</t>
  </si>
  <si>
    <t>11.8.4</t>
  </si>
  <si>
    <t>11.8.5</t>
  </si>
  <si>
    <t>11.8.6</t>
  </si>
  <si>
    <t>Glass strip 3 mm thick 20 mm deep</t>
  </si>
  <si>
    <r>
      <t xml:space="preserve">Providing and fixing glass strips in joints of terrazo/ cement concrete floors.  
</t>
    </r>
    <r>
      <rPr>
        <b/>
        <sz val="10"/>
        <rFont val="Times New Roman"/>
        <family val="1"/>
      </rPr>
      <t/>
    </r>
  </si>
  <si>
    <t xml:space="preserve">Extra for laying terrazo flooring on staircase treads not exceeding 30 cm in width including cost of forming, nosing etc.  </t>
  </si>
  <si>
    <t>Extra  for terrazzo flooring in narrow band  bands  not  exceeding 7.5cm in width.</t>
  </si>
  <si>
    <t>11.13.1</t>
  </si>
  <si>
    <t>11.13.2</t>
  </si>
  <si>
    <t>11.13.3</t>
  </si>
  <si>
    <t>11.13.4</t>
  </si>
  <si>
    <t xml:space="preserve">Extra if terrazo tiles are laid in treads of steps not exceeding 30 cm in width.  </t>
  </si>
  <si>
    <t>11.15.1</t>
  </si>
  <si>
    <t>11.15.2</t>
  </si>
  <si>
    <t>11.15.3</t>
  </si>
  <si>
    <t>11.15.4</t>
  </si>
  <si>
    <t>11.16.4</t>
  </si>
  <si>
    <t>11.17.1</t>
  </si>
  <si>
    <t>Chequerred precast cement concrete tiles 22 mm thick in footpath &amp; courtyard jointed with neat cement slurry mixed with pigment to match the shade of tiles including  rubbing and cleaning etc. complete on 20 mm thick bed of cement mortar 1:4 (1 cement : 4 coarse sand)</t>
  </si>
  <si>
    <t>11.17.4</t>
  </si>
  <si>
    <t>11.17.3</t>
  </si>
  <si>
    <t>11.17.2</t>
  </si>
  <si>
    <t xml:space="preserve"> Kota stone slabs 25 mm thick in risers of steps, skirting, dado and pillars laid on 12 mm (average) thick cement mortar 1:3 (1 cement 3 coarse sand) and jointed with grey cement slurry mixed with pigment to match the shade of the slabs, including rubbing and polishing complete</t>
  </si>
  <si>
    <t>Kota stone slab flooring 25 mm thick over 20 mm (average) thick  base laid over and jointed with grey cement slurry mixed with pigment to match the shade of the slab including rubbing and polishing complete  with base of cement mortar 1 : 4 (1 cement : 4 coarse sand)</t>
  </si>
  <si>
    <t>11.18.1</t>
  </si>
  <si>
    <t>11.18.2</t>
  </si>
  <si>
    <t>For area of each slab from 2001  to 5000 Sqcm</t>
  </si>
  <si>
    <t>For area of each slab upto 2001  Sqcm</t>
  </si>
  <si>
    <t>11.19.2</t>
  </si>
  <si>
    <t>11.19.1</t>
  </si>
  <si>
    <t>11.21.1</t>
  </si>
  <si>
    <t>11.21.2</t>
  </si>
  <si>
    <t>11.22.1</t>
  </si>
  <si>
    <t>11.22.2</t>
  </si>
  <si>
    <t>Red sand stone (Karauli stone)</t>
  </si>
  <si>
    <t>Pink  sand stone (Bansi Paharpur stone)</t>
  </si>
  <si>
    <t>11.22.3</t>
  </si>
  <si>
    <t xml:space="preserve">Mandana stone </t>
  </si>
  <si>
    <t xml:space="preserve">Demolishing lime concrete manually/ by mechanical means and disposal of material within 50 metres lead as per direction of Engineer-in-charge.  </t>
  </si>
  <si>
    <t xml:space="preserve">Demolishing R.C.C. work manually/ by mechanical means including stacking of steel bars and disposal of unserviceable material within 50 metres lead as per direction of Engineer-in-charge.  </t>
  </si>
  <si>
    <t xml:space="preserve">Demolishing R.B. work manually/ by mechanical means including stacking of steel bars and disposal of unserviceable material within 50 metres lead   as per direction of Engineer-in-charge.  </t>
  </si>
  <si>
    <t xml:space="preserve">Demolishing cement concrete manually/ by mechanical means including disposal of material within 50 metres lead as per direction of Engineer-in-charge.  </t>
  </si>
  <si>
    <t xml:space="preserve">Extra for cutting reinforcement bars manually/ by mechanical means in R.C.C. or R.B. work (Payment shall be made on the cross sectional area of R.C.C. or R.B. work) as per direction of Engineer-in-charge  </t>
  </si>
  <si>
    <t xml:space="preserve">Extra for scrapping, cleaning and straightening reinforcement from R.C.C. or R.B. work            </t>
  </si>
  <si>
    <t xml:space="preserve">Demolishing stone rubble masonry manually/ by mechanical means including stacking of serviceable material and disposal of unserviceable material within 50 metres lead as per direction of Engineer-in-charge:  </t>
  </si>
  <si>
    <t>Dismantling dressed stone work ashlar face stone work, marble work or precast concrete work manually/ by mechanical means including stacking of serviceable and disposal of unserviceable material within 50 metres lead as per direction of Engineer in charge :</t>
  </si>
  <si>
    <t>Glass Fibre Reinforced Gypsum False ceiling tiles</t>
  </si>
  <si>
    <t>10.17.1</t>
  </si>
  <si>
    <t>10.17.2</t>
  </si>
  <si>
    <t>10.17.3</t>
  </si>
  <si>
    <t>10.18.1</t>
  </si>
  <si>
    <t>10.18.2</t>
  </si>
  <si>
    <t>Providing &amp; fixing UV stabilised fiberglass reinforced plastic sheet roofing upto any pitch including fixing with polymer coated ‘J’ or ‘L’ hooks, bolts &amp; nuts 8mm dia. G.I plain/bitumen washers complete but excluding the cost of purlins, rafters, trusses etc. The sheets shall be manufactured out of 2400 TEX panel rovigs incorporating minimum 0.3% Ultra-voilet stabiliser in resin system under approximately 2400 psi and hot cured. They shall be of uniform pigmentation and thickness without air pockets and shall confoim to IS 10192 and IS 12866.The sheets shall be opaque or translucent, clear or pigmented, textured or smooth as specified.</t>
  </si>
  <si>
    <t>10.25.3</t>
  </si>
  <si>
    <t xml:space="preserve">10.7.2 </t>
  </si>
  <si>
    <t>Providing non-asbestos high impact Polypropylene reinforced cement 6 mm thick corrugated sheets (As per IS: 14871) roofing upto any pitch and fixing with polymer coated J, or L hooks, bolts and nuts 8mm dia. G.I. plain and bitumen washers or with self drilling fastener and EPDM washers etc. complete excluding the cost of purlins, rafters and trusses corrugated sheets and including cutting to size and shape wherever required</t>
  </si>
  <si>
    <t>Precast terrazo tiles of approved make, 20mm thick with marble chips of size upto 6mm laid in floors, and landing, jointed with neat cement slurry mixed with pigment to match the shade of the tiles, including rubbing and polishing complete on 20mm thick bed of cement sand mortar 1 : 4.</t>
  </si>
  <si>
    <t xml:space="preserve">Profile B </t>
  </si>
  <si>
    <t xml:space="preserve">Profile C </t>
  </si>
  <si>
    <t xml:space="preserve">Profile E </t>
  </si>
  <si>
    <t>Supply and fixing in cement mortar welded hand railing made out of MS round or square bars, flats etc. for staircase or verandah as per design complete in all respect (wooden or PVC hand railing to be paid extra) with priming coat of red oxide.</t>
  </si>
  <si>
    <t>Providing and fixing cow catcher made of R.S. joist angles channels MS rounds including cutting welding and fabrication with priming coat of red oxide (as per design).</t>
  </si>
  <si>
    <t>9.19.1</t>
  </si>
  <si>
    <t>9.19.2</t>
  </si>
  <si>
    <t>Providing and fixing in position collapsible steel shutters with vertical M.S. Channels 20 x 10 x 2mm and bracket with flat iron diagonals 20 x 5mm. size with top and bottom rail of T-iron 40 x 40 x 6mm. with 40mm dia steel pulleys/ball bearing complete with bolts, nuts locking arrangements inside and outside stoppers, handles etc. as per specification including applying a priming coat of approved steel primer. (To be measured and paid as per outer dimension).</t>
  </si>
  <si>
    <t>Providing and fixing 1mm thick M.S. sheet sliding-shutters with frame &amp; diagonals braces of 40 x 40 x 6mm. angle iron 3mm M.S. gusset plates at the junction and corners, 25mm dia pulley 40x40x6mm angle and T-iron guide at the top and bottom respectively including applying a priming coat of approved steel primer.</t>
  </si>
  <si>
    <t>Providing and fixing 1mm thick M.S. sheet garrage door shutters with frame of 40 x 40 x 6mm. angle iron 3mm M.S. gusset plates at the junction and corners including all fittings and applying a coat of approved steel primer : (Excluding cost of frames)</t>
  </si>
  <si>
    <t>Using M.S. angles 40 x 40 x 6mm for diagonal braces.</t>
  </si>
  <si>
    <t>Using flats 30 x 6mm for diagonal braces and central cross piece.</t>
  </si>
  <si>
    <t>Providing  &amp; fixing ball bearing for rolling shutters</t>
  </si>
  <si>
    <t>Exceeding 10.00 Sqm and upto 16.80 Sqm in the area.</t>
  </si>
  <si>
    <t>Exceeding 16.80 Sqm in the area.</t>
  </si>
  <si>
    <t>9.28.1</t>
  </si>
  <si>
    <t>Doors</t>
  </si>
  <si>
    <t>9.28.2</t>
  </si>
  <si>
    <t>Windows fixed</t>
  </si>
  <si>
    <t>9.28.3</t>
  </si>
  <si>
    <t>Partly fixed and partly openable [ fixed area not to exceed 33%]</t>
  </si>
  <si>
    <t>Providing brass handles/peg stays and fittings in place of oxidized fitting</t>
  </si>
  <si>
    <t>Aluminium handles/peg stays fitting instead of oxidized fitting.</t>
  </si>
  <si>
    <t>5mm thick plain glass instead of 4mm thick plain glass</t>
  </si>
  <si>
    <t>Supplying and fixing fixed wire gauge of 14 mesh x 24 gauge to the metal frame of rolled section by metal beading 20x3mm with suitable screw at not exceeding 150mm distance.</t>
  </si>
  <si>
    <t>Providing and fixing Square bars or other flat welded to window, ventilatiors etc.</t>
  </si>
  <si>
    <t xml:space="preserve">Providing and fixing steel glazed window frame made out of 80x40 mm hollow sheet section of 16 gauge thickness, joint mitred welded  and grinded including hold fast of steel lugs 13mm x 3mm and 15 Cm long embedded in C C  block 15 x 10 x 10 Cm of 1:3:6 nominal concrete and including fixing of pivoted hinges of superior quality, window shutters made out of 50 x 25.0 mm hollow steel section 15 mm paitam of 18 gauge thickness, joint mitred and grinded including 10mm x 10mm square bars welded to frame  for paitam fixing float glass 4mm thick  panes with glazing clips and metal sash putty and  fixing of   shutters frames peg stay, U shape handle 100 mm long, tower bolts 100 mm long of steel powder coated superior quality including fixing and jointing with frame hinges priming coat with steel primer complete in all respect as per direction of Engineer-in –charge       </t>
  </si>
  <si>
    <t>Window fixed.</t>
  </si>
  <si>
    <t xml:space="preserve">Window openable. </t>
  </si>
  <si>
    <t>FENCING WORK</t>
  </si>
  <si>
    <t>Supplying and fixing of chain link fencing with angle iron posts 50x50x6mm placed at every 3 Mtr. apart 30cm in ground embedded in cement concrete 1:3:6 (30x30x45cm) corner and every tenth post to be strutted with (50 x 50 x 6cm) angle iron provided and fixed and fitted with posts including earth work in excavation etc. complete with chain link size.</t>
  </si>
  <si>
    <t>50mm x 50mm x 3.15mm</t>
  </si>
  <si>
    <t>75mm x 15mm x 3.15mm</t>
  </si>
  <si>
    <t>100mm x 100mm x 3.15mm</t>
  </si>
  <si>
    <t>150mm x 150mm x 3.15mm</t>
  </si>
  <si>
    <t xml:space="preserve">Providing and Placing in position suitable PVC water stops conforming to IS:12200  for construction/ expansion joints between two RCC members and fixed to the reinforcement with binding wire before pouring concrete etc. complete :  </t>
  </si>
  <si>
    <t>Serrated with central bulb (225 mm wide, 8-11 mm wide)</t>
  </si>
  <si>
    <t>Dumb bell  with central bulb (180 mm wide, 8 mm wide)</t>
  </si>
  <si>
    <t xml:space="preserve"> Providing and laying six courses water proofing treatment with bitumen felt over roofs consisting of first, third and fifth course of blown bitumen 85/25 or 90/15 conforming to IS : 702 applied hot @ @ 1.45 ,1.20 and 1.45  Kg per sqm. of area respectively second and fourth courses of roofing felt type 3 grade-I conforming  to IS  1322 (Hessian based  self finished bitumen felt) conforming to IS 1322 and sixth and final course of stone grit 6mm and down size of pea sized gravel spread at 6 cubic dm.  per square metre including preparation of surface but excluding grading complete .</t>
  </si>
  <si>
    <t>Makrana Adanga 15-18mm upto 1500 cm2</t>
  </si>
  <si>
    <t>Makrana Adanga 15-18mm above 1500 and upto 3600 cm2</t>
  </si>
  <si>
    <t>Makrana Adanga 15-18mm above 3600 cm2</t>
  </si>
  <si>
    <t>Keseriaji/ Abu Ambaji (Green Marble)</t>
  </si>
  <si>
    <t>7.4.1</t>
  </si>
  <si>
    <t>7.4.2</t>
  </si>
  <si>
    <t>7.4.3</t>
  </si>
  <si>
    <t>Bhaislana,Abu,Kishangarh Zebra  (Black Marble)</t>
  </si>
  <si>
    <t xml:space="preserve"> Keseriaji/ Abu Ambaji (Green Marble)15-18mm upto 1500 cm2</t>
  </si>
  <si>
    <t xml:space="preserve"> Keseriaji/ Abu Ambaji (Green Marble)
15-18mm above 3600 cm2</t>
  </si>
  <si>
    <t xml:space="preserve"> Keseriaji/ Abu Ambaji (Green Marble)15-18mm 
above 1500 and upto 3600 cm2</t>
  </si>
  <si>
    <t xml:space="preserve"> Bhaislana,Abu,Kishangarh Zebra  (Black Marble)
15-18mm above 3600 cm2</t>
  </si>
  <si>
    <t>Bhaislana,Abu,Kishangarh Zebra  (Black Marble) 
15-18mm above 1500 and upto 3600 cm2</t>
  </si>
  <si>
    <t xml:space="preserve"> Bhaislana,Abu,Kishangarh Zebra  (Black Marble)
5-18mm upto 1500 cm2</t>
  </si>
  <si>
    <t>7.5.3</t>
  </si>
  <si>
    <t>Granite South Red  18 mm thick slab, upto 1500 cm2</t>
  </si>
  <si>
    <t>Granite South Red  18 mm thick slab, above 1500 upto 3600 cm2</t>
  </si>
  <si>
    <t>Granite South Red  18 mm thick slab, above 3600 cm2</t>
  </si>
  <si>
    <t>Extra for fixing marble /granite stone over and above corresponding basic item, in facia and drops of width upto 150 mm with epoxy resin based adhesive including cleaning etc. complete</t>
  </si>
  <si>
    <t>Extra for providing opening of required size &amp; shape for wash basins/ kitchen sink in kitchen platform, vanity counters and similar location in marble/Granite/stone work  including necessary  holes  for pillar taps etc. including rubbing and polishing of cut edges etc. complete</t>
  </si>
  <si>
    <t>Stainless steel cramps</t>
  </si>
  <si>
    <t>Providing and fixing cramps of required size &amp; shape in RCC/ CC backing with cement mortar 1:2 ( 1 cement :2 coarse sand) including drilling necessary hole in stones and embedding the cramp in the hole .</t>
  </si>
  <si>
    <t>75 mm wide decorative border</t>
  </si>
  <si>
    <t>Motive 200x200 mm</t>
  </si>
  <si>
    <t>Motive 200x300 mm</t>
  </si>
  <si>
    <t>Providing  and  fixing  75 mm wide Decorative  Border  in  different  shades  and  in all  coloures  in  glazed  tiles laid over 12 mm thick bed of cement mortar 1:3 (1 cement : 3 coarse sand) and jointing with grey cement slurry @ 3.3 kg per sqm including pointing in white mixed with pigment of matching shade complete.</t>
  </si>
  <si>
    <t>7.18.1</t>
  </si>
  <si>
    <t>7.18.2</t>
  </si>
  <si>
    <t>size  600 mm X 600 mm</t>
  </si>
  <si>
    <t>12" long x12mm dia</t>
  </si>
  <si>
    <t>8" long x 10mm dia</t>
  </si>
  <si>
    <t>(d)</t>
  </si>
  <si>
    <t>Stopper of Aluminium with</t>
  </si>
  <si>
    <t>Single Rubber Gutka</t>
  </si>
  <si>
    <t>Double Rubber Gutka</t>
  </si>
  <si>
    <t>(e)</t>
  </si>
  <si>
    <t>Door Springs of mild Steel</t>
  </si>
  <si>
    <t>(f)</t>
  </si>
  <si>
    <t>Steel Hinges</t>
  </si>
  <si>
    <t>For Wooden Chowkhat 3" size.</t>
  </si>
  <si>
    <t>For Wooden Chowkhat 4" size</t>
  </si>
  <si>
    <t>For Stone Chowkhat ,4"size</t>
  </si>
  <si>
    <t>(g)</t>
  </si>
  <si>
    <t>Mild Steel Tower Bolt 6" long</t>
  </si>
  <si>
    <t>(h)</t>
  </si>
  <si>
    <t>Steel Locking Bolt</t>
  </si>
  <si>
    <t>Steel Handle 6" size</t>
  </si>
  <si>
    <t>Labour charges for repair to door / window without using any material such as applying randha (finishing) tightening of bolts &amp; screw etc.</t>
  </si>
  <si>
    <t>L/C for fixing of GI/AC sheet include. Cutting jhiri and repair , cutting of sheet , fixing of sheet with J or L hook and bitumen washer as per direction of EI</t>
  </si>
  <si>
    <t>Repair of rolling shutter with replacement of shutter spring incl. removal of old spring in the existing rolling shutter incld. Cost of new spring</t>
  </si>
  <si>
    <t>Repair of existing steel glazed doors, windows and ventilator, MS sheet door, garge doors, compound wall gates etc. by welding drilling complete include. Cost of welding rods and hire charge of welding meachine and TP etc complete</t>
  </si>
  <si>
    <t>12.31.1</t>
  </si>
  <si>
    <t>Flush band.</t>
  </si>
  <si>
    <t>12.31.2</t>
  </si>
  <si>
    <t>Sunk band.</t>
  </si>
  <si>
    <t>Moulded band.</t>
  </si>
  <si>
    <t>ROUGH CAST PLASTER</t>
  </si>
  <si>
    <t>12.35.1</t>
  </si>
  <si>
    <t>12.35.2</t>
  </si>
  <si>
    <t>Roller Finish av. thickness 400 to 500 microns.</t>
  </si>
  <si>
    <t>12.35.3</t>
  </si>
  <si>
    <t>Trowel Finish av. thickness 1000 to 1200 microns.</t>
  </si>
  <si>
    <t>Trowel Finish av. thickness 1500 to 2000 microns.</t>
  </si>
  <si>
    <t>Trowel Finish  av. thickness 2000 to 2500 microns.</t>
  </si>
  <si>
    <t>POINTING</t>
  </si>
  <si>
    <t>Raised and cut pointing.</t>
  </si>
  <si>
    <t>Pointing  on  stone  masonry  in  cement  sand  mortar 1:3 (1 cement : 3 sand) :</t>
  </si>
  <si>
    <t>12.37.1</t>
  </si>
  <si>
    <t>12.37.2</t>
  </si>
  <si>
    <t>New work (three or more coats).</t>
  </si>
  <si>
    <t>Old work (two or more coats) including scrapping old surface and repairing with whiting where ever necessary.</t>
  </si>
  <si>
    <t>Old work (one or more coats) including scrapping old surface and repairing with putty where ever necessary.</t>
  </si>
  <si>
    <t>Colour washing of all shades to give an even shade including all scaffolding :</t>
  </si>
  <si>
    <t>12.47.1</t>
  </si>
  <si>
    <t>New work (two or more coats) with a base coat of white washing with lime.</t>
  </si>
  <si>
    <t>12.47.2</t>
  </si>
  <si>
    <t>New work (two or more coats) with a base coat of whiting.</t>
  </si>
  <si>
    <t>Old work (one or more coats) with whiting with a base coat of white washing including scrapping old surface.</t>
  </si>
  <si>
    <t>Old work (two or more coats) with whiting with a base coat of white washing including scrapping surface.</t>
  </si>
  <si>
    <t>Old work (one or more coats) with lime including scrapping surface.</t>
  </si>
  <si>
    <t>Old work (one or more coats) with whiting including scrapping surface.</t>
  </si>
  <si>
    <t>Removing white or colour wash by scrapping and sand papering and preparing the surface smooth including necessary repairs to scratches by sandla/loi. (only for colour changing ).</t>
  </si>
  <si>
    <t>Distempering with dry distemper of approved brand and shade (two or more coats) and of required shade on new work, over and including, priming coat of whiting to give an even shade including all scaffolding.</t>
  </si>
  <si>
    <t>12.50.1</t>
  </si>
  <si>
    <t>12.50.2</t>
  </si>
  <si>
    <t>Distempering with oil bound washable distemper of approved brand and manufacture to give an even shade including all scaffolding:</t>
  </si>
  <si>
    <t>New  work  (two  or  more  coats)  over  and  including  scrapping  and  priming  coat  with    cement primer.</t>
  </si>
  <si>
    <t>Old   work   (one   or   more   coats)   including   scrapping   surface   and  necessary  repairs.</t>
  </si>
  <si>
    <t>12.52.1</t>
  </si>
  <si>
    <t>Finishing wall with water proofing cement paint of approved brand and manufacture and or required shade  to  give an even shade including all scaffolding:</t>
  </si>
  <si>
    <t>Old work (One or more coats).</t>
  </si>
  <si>
    <t>Removing dry or oil bound distemper by scrapping sand papering and preparing surface smooth including necessary repairs to scratches by sandla/loi and all scaffolding (for colour changing only)</t>
  </si>
  <si>
    <t>Applying priming coat :</t>
  </si>
  <si>
    <t>12.55.1</t>
  </si>
  <si>
    <t>With ready mix pink or gray primer of approved brand and manufacture on wood work hard and soft wood.</t>
  </si>
  <si>
    <t>12.55.2</t>
  </si>
  <si>
    <t>With ready mix Aluminium primer of approved brand and manufacture on resinous wood and plywood.</t>
  </si>
  <si>
    <t>12.56.1</t>
  </si>
  <si>
    <t>12.56.2</t>
  </si>
  <si>
    <t>Painting one thin coat with white lead of approved brand and manufacture on wet or patchy portion of plastered surfaces.</t>
  </si>
  <si>
    <t>New work (Two or more coats).</t>
  </si>
  <si>
    <t>Painting (two or more coats) on rain water soil, waste and vent pipes and fitting with black anticorrosive bitumastic paint of approved brand and manufacture over and including a priming coat of ready mixed zinc chromate yellow primer on new work :</t>
  </si>
  <si>
    <t>50mm dia. Pipes.</t>
  </si>
  <si>
    <t>75mm dia. Pipes.</t>
  </si>
  <si>
    <t>100mm dia. Pipes</t>
  </si>
  <si>
    <t>150mm dia. Pipes.</t>
  </si>
  <si>
    <t xml:space="preserve">Float glass panes of thickness 4 mm  </t>
  </si>
  <si>
    <t>13.4.2</t>
  </si>
  <si>
    <t>13.5.1</t>
  </si>
  <si>
    <t>13.5.2</t>
  </si>
  <si>
    <t>13.6.1</t>
  </si>
  <si>
    <t xml:space="preserve">Supplying and fixing new wooden fillets wherever necessary:  
 2nd class teak wood fillets  </t>
  </si>
  <si>
    <t xml:space="preserve">Renewal of old putty of glass panes (length)  </t>
  </si>
  <si>
    <t xml:space="preserve">Refixing old glass panes with putty and nails  </t>
  </si>
  <si>
    <t xml:space="preserve">Providing and fixing 16 mm M.S. Fan clamps of standard shape and size in existing R.C.C. slab including cutting chase and making good and painting exposed portion of the clamps complete.  </t>
  </si>
  <si>
    <t>Repair to stone masonary in cement sand mortar 1:6 with old and new stone.</t>
  </si>
  <si>
    <t>Repair to brick masonary in cement sand mortar 1:6 with  new brick.</t>
  </si>
  <si>
    <t>Proofing upto 25 mm thickness.</t>
  </si>
  <si>
    <t>Cement plaster 1:3 under old stone slabs with admixture (gur,nails,binding wire to mesh and scraping scales &amp; dressing joints of slabs complete.</t>
  </si>
  <si>
    <t>Proofing above 25 mm thickness&amp; upto 60 mm thickness</t>
  </si>
  <si>
    <t>Removal and refixing stone chhajja 50 to 75 mm thick including finishing, complete in all respects.</t>
  </si>
  <si>
    <t>Gur</t>
  </si>
  <si>
    <t>Methi</t>
  </si>
  <si>
    <t>Hemp</t>
  </si>
  <si>
    <t>CHAPTER  : B-11</t>
  </si>
  <si>
    <t>FLOORING WORKS</t>
  </si>
  <si>
    <t>11.1.1</t>
  </si>
  <si>
    <t>1000 Nos</t>
  </si>
  <si>
    <t>11.1.2</t>
  </si>
  <si>
    <t xml:space="preserve">Brick on edge flooring with bricks of class designation 75 including cement slurry  &amp; pointing in CM (1 : 3) etc. complete laid on  20 mm thick bed of :  </t>
  </si>
  <si>
    <t xml:space="preserve">Dry brick on edge flooring in required pattern with bricks of class designation 75 on a bed of 12 mm mud mortar including filling joints with River sand  complete.  </t>
  </si>
  <si>
    <t>11.3.1</t>
  </si>
  <si>
    <t xml:space="preserve">Cement concrete flooring 1:2:4 (1 cement : 2 coarse sand : 4 graded stone aggregate) finished with a floating coat of neat cement including cement slurry, making of lines or groove etc complete but excluding the cost of nosing of steps etc. complete.  </t>
  </si>
  <si>
    <t>11.3.2</t>
  </si>
  <si>
    <t>BRICK FLOORING</t>
  </si>
  <si>
    <t>Cement Sand Mortar 1 : 6</t>
  </si>
  <si>
    <t>Cement Sand Mortar 1 : 4</t>
  </si>
  <si>
    <t>CEMENT CONCRETE FLOORING</t>
  </si>
  <si>
    <t>40mm  thick  with  20mm  thick  nominal  size  aggregate.</t>
  </si>
  <si>
    <t>75mm  thick  with  20mm  thick  nominal  size  aggregate.</t>
  </si>
  <si>
    <t>Providing and fixing 50mm thick cement concrete  flooring with Metallic concrete hardener topping, under layer of 38mm thick cement concrete 1:2:4 (1-cement : 2-coarse sand : 4-graded stone aggregate 20mm thick nominal size) and top layer of 12mm thick metallic concrete hardener consisting of mix 1:2 (1 cement : 2 stone aggregate, 6mm nominal size) by volume &amp; mixed with metallic hardening compound of approved quality @ 2Kg./Sqm including cement slurry, rounding off edges etc. but excluding the cost of nosing of step etc. complete.</t>
  </si>
  <si>
    <t>11.6.1</t>
  </si>
  <si>
    <t>11.6.2</t>
  </si>
  <si>
    <t>20mm thick.</t>
  </si>
  <si>
    <t>11.9.1</t>
  </si>
  <si>
    <t>11.9.2</t>
  </si>
  <si>
    <t>TERRAZZO FLOORING</t>
  </si>
  <si>
    <t>40mm thick marble chips flooring rubbed and polished to granolithic finish under layer 31mm thick cement concrete 1:2:4 (1 cement : 2 course sand : 4 graded stone aggregate 12.5mm nominal size) including fixing of dividing strip (excluding the cost of strips) and top layer 9mm thick with marble chips of approved colour &amp; 4mm to 7mm nominal size laid in cement marble chips  2 : 3 (2 cement  : 3 marble chips) by volume including cement slurry etc. complete</t>
  </si>
  <si>
    <t>Ordinary cement without any pigment.</t>
  </si>
  <si>
    <t>Light shade pigment with ordinary cement.</t>
  </si>
  <si>
    <t>Medium shade pigment with approximately 50% white cement and 50% ordinary cement.</t>
  </si>
  <si>
    <t>White cement without any pigment.</t>
  </si>
  <si>
    <t>Light shade pigment with white cement.</t>
  </si>
  <si>
    <t>Dark shade pigment with ordinary cement.</t>
  </si>
  <si>
    <t>Dismantling  steel  work  in  single  sections  including  dismembering  and  stacking  within        50 meters lead in:</t>
  </si>
  <si>
    <t>14.17.1</t>
  </si>
  <si>
    <t>R.S. joists.</t>
  </si>
  <si>
    <t>14.17.2</t>
  </si>
  <si>
    <t>Channels, angles, tees &amp; flats.</t>
  </si>
  <si>
    <t>Extra for making of structural steel work required to be re-erected.</t>
  </si>
  <si>
    <t>Dismantling tile work in floors and roofs laid in cement mortar including stacking of serviceable material and disposal of unserviceable material within 50 meter lead:</t>
  </si>
  <si>
    <t>14.23.1</t>
  </si>
  <si>
    <t>For thickness of tiles 10mm to 25mm.</t>
  </si>
  <si>
    <t>14.23.2</t>
  </si>
  <si>
    <t>For thickness of tiles 25mm to 40mm.</t>
  </si>
  <si>
    <t>Dismantling dry brick pitching in floors drains etc. including stacking of serviceable material and disposal of unserviceable material within 50 meters lead.</t>
  </si>
  <si>
    <t>Dismantling brick tiles covering in terracing including stacking of serviceable material and disposal of unserviceable material within 50 meters lead.</t>
  </si>
  <si>
    <t>Dismantling stone slab/ terrazo chip flooring laid in cement mortar including stacking of serviceable material and disposal of unserviceable material within 50 meters lead.</t>
  </si>
  <si>
    <t>14.28.1</t>
  </si>
  <si>
    <t>G.I. Sheet.</t>
  </si>
  <si>
    <t>14.28.2</t>
  </si>
  <si>
    <t>Asbestos Sheet.</t>
  </si>
  <si>
    <t>Dismantling stone slab roofing over wooden karries and battens (dismantling karries and battens to be paid for separately) including stacking of serviceable material and disposal of unserviceable material within 50 meter lead:</t>
  </si>
  <si>
    <t>Dismantling Jack arch roofing and floors including stacking of serviceable material and disposal of unserviceable material within 50-meter lead.</t>
  </si>
  <si>
    <t>Dismantling tiled roofing with battens boarding etc. complete including stacking of serviceable material and disposal of unserviceable material within 50-meter lead.</t>
  </si>
  <si>
    <t>Dismantling tar felt over roofing complete including stacking of serviceable material and disposal of unserviceable material within 50-meter lead.</t>
  </si>
  <si>
    <t>Dismantling thatch roofing including mats bamboos, jafries etc. complete including stacking of serviceable material and disposal of unserviceable material within 50 meter lead</t>
  </si>
  <si>
    <t>Dismantling wooden ballies in posts and struts including stacking within 50 meters lead.</t>
  </si>
  <si>
    <t>Dismantling and stacking within 50 meters lead fencing post, struts, including earth work dismantling of concrete etc. in the case of:</t>
  </si>
  <si>
    <t>14.34.1</t>
  </si>
  <si>
    <t>T or Angle Iron posts</t>
  </si>
  <si>
    <t>14.34.2</t>
  </si>
  <si>
    <t>R.C.C. posts.</t>
  </si>
  <si>
    <t>Cutting ballies or wooden posts of fencing at the point of projection above the concrete at ground and stacking the same within 50 meter lead</t>
  </si>
  <si>
    <t>Dismantling barbed wire or chain link fencing including bending making rolls and stacking within 50-meter lead.</t>
  </si>
  <si>
    <t>Dismantling wooden trellis work excluding frames but including bending, making rolls and stacking within 50 meter lead.</t>
  </si>
  <si>
    <t>Dismantling expanded metal or I.R.C. fabric with necessary battens and beading including stacking the serviceable material within 50-meter lead.</t>
  </si>
  <si>
    <t>Dismantling wooden boards in lining of walls and partition excluding supporting members but including stacking within 50 meter lead:</t>
  </si>
  <si>
    <t>14.39.1</t>
  </si>
  <si>
    <t>Up to 10mm thick</t>
  </si>
  <si>
    <t>14.39.2</t>
  </si>
  <si>
    <t>Thickness above 10mm up to 25mm</t>
  </si>
  <si>
    <t>14.39.3</t>
  </si>
  <si>
    <t>Above 25mm thick.</t>
  </si>
  <si>
    <t>14.40.1</t>
  </si>
  <si>
    <t>Thickness up to 40mm.</t>
  </si>
  <si>
    <t>14.40.2</t>
  </si>
  <si>
    <t>Thickness 40mm up to 75mm</t>
  </si>
  <si>
    <t>Up to 80mm dia pipe.</t>
  </si>
  <si>
    <t>100mm dia pipe.</t>
  </si>
  <si>
    <t>150mm dia pipe.</t>
  </si>
  <si>
    <t>Dismantling GI pipes (external work) including excavation and refilling trenches after taking out the pipes and including stacking of pipes within 50 meter lead:</t>
  </si>
  <si>
    <t>15mm to 40mm nominal bore.</t>
  </si>
  <si>
    <t>Above 40mm nominal bore.</t>
  </si>
  <si>
    <t>Dismantling CI pipes including excavation and refilling trenches after taking out the pipes, breaking lead caulked joints, melting of lead and making into block, including stacking of pipes lead at site within 50 meter, of dia:</t>
  </si>
  <si>
    <t>14.44.1</t>
  </si>
  <si>
    <t>Up to 150mm dia.</t>
  </si>
  <si>
    <t>14.44.2</t>
  </si>
  <si>
    <t>Above 150mm dia. up to 300mm dia.</t>
  </si>
  <si>
    <t>Above 300mm dia.</t>
  </si>
  <si>
    <t>Dismantling steel cylinder, R.C. pipes etc. including excavation and refilling trenches after taking out the pipes, breaking lead caulked joints, melting of lead and making into blocks including stacking of pipes, within a lead of 50 meter, of dia:</t>
  </si>
  <si>
    <t>14.45.1</t>
  </si>
  <si>
    <t>Up to 600mm dia.</t>
  </si>
  <si>
    <t>14.45.2</t>
  </si>
  <si>
    <t>Above 600 mm dia.</t>
  </si>
  <si>
    <t>Dismantling asbestos cement pressure pipes including excavation and refilling trenches after taking out the pipes, and stacking the same within a lead of 50 meter, of dia:</t>
  </si>
  <si>
    <t>14.46.1</t>
  </si>
  <si>
    <t>Up to 150mm.</t>
  </si>
  <si>
    <t>14.46.2</t>
  </si>
  <si>
    <t>Above 150mm.</t>
  </si>
  <si>
    <t>Taking out CI cover with frame from stone slab / RCC slab of inspection chambers of various sizes including dismantling of stone slab / RCC slab roofing   and stacking of useful materials near the site and disposal of unserviceable materials within 50-meter lead.</t>
  </si>
  <si>
    <t>Taking out C.I. cover with frame from stone slab / RCC slab of manholes of various sizes including dismantling of stone slab / RCC slab roofing and stacking of useful materials near the site and disposal of unserviceable materials within 50-meter lead.</t>
  </si>
  <si>
    <t>Dismantling of RCC spun vent shaft including excavating the cement concrete pit completely, taking out the shaft, refilling the excavated gap stacking the useful material near the site and disposal of unserviceable materials within 50 meter lead.</t>
  </si>
  <si>
    <t>Dismantling of gully chamber of various sizes including CI grating with frame including stacking of useful materials near the site and disposal of unserviceable material within 50 meter lead including refilling the gap.</t>
  </si>
  <si>
    <t>Dismantling of flushing cistern of any size including stacking of useful materials near the site and disposal of unserviceable material within 50 meter lead.</t>
  </si>
  <si>
    <t>Dismantling of CI sluice valve including stacking of useful materials within a lead of 50 meter:</t>
  </si>
  <si>
    <t>Above 150mm dia.</t>
  </si>
  <si>
    <t>Dismantling of spindle fire hydrant including stacking of useful material within 50 meter lead.</t>
  </si>
  <si>
    <t>Dismantling old plaster or skirting, raking out joints and cleaning the surface for plaster including disposal of rubbish to the dumping ground within 50 meter lead.</t>
  </si>
  <si>
    <t>Making of hole (width up to 150 mm) in R.C.C. slab/wall/beams by power driven drilling machine complete as per direction of EI</t>
  </si>
  <si>
    <t xml:space="preserve">upto 150mm thick </t>
  </si>
  <si>
    <t>above 150 mm thick</t>
  </si>
  <si>
    <t>To joints in flooring, as per drawing with first layer of poly sulphide sealant in size 20 mm width and 10 mm depth over PE Foam and then providing polyethylene foam back up rod 25 mm dia size and finally providing another layer of poly sulphide sealant in size 20 mm width and 10 mm depth over P.E. back up rod as per application procedure and direction of Engineer-in-charge.</t>
  </si>
  <si>
    <t xml:space="preserve">Each </t>
  </si>
  <si>
    <t>Sqm..</t>
  </si>
  <si>
    <t>Add extra for providing richer mixes respectively at all floor levels</t>
  </si>
  <si>
    <t>4.6.1</t>
  </si>
  <si>
    <t>4.6.2</t>
  </si>
  <si>
    <t>4.6.3</t>
  </si>
  <si>
    <t>Add extra for RCC work in superstructure above floor five level for each four floor  or part thereof .</t>
  </si>
  <si>
    <t>4.6.4</t>
  </si>
  <si>
    <t xml:space="preserve">Suspended floors, roofs, landings, staircases, balconies, girders, cantilevers, bands, coping bed plates,  anchor  blocks,  sills,  chhajjas,  lintel,  beam, plinth beam etc.  </t>
  </si>
  <si>
    <t>4.10.3</t>
  </si>
  <si>
    <t>4.10.4</t>
  </si>
  <si>
    <t>4.10.5</t>
  </si>
  <si>
    <t>4.10.6</t>
  </si>
  <si>
    <t>4.10.7</t>
  </si>
  <si>
    <t xml:space="preserve">Vertical and horizontal fins individually or forming box louvers band, facias and eaves boards.  </t>
  </si>
  <si>
    <t>4.10.8</t>
  </si>
  <si>
    <t>Add extra for shuttering in circular work (in respective centering and shuttering items)</t>
  </si>
  <si>
    <t xml:space="preserve">Cornices and mouldings  </t>
  </si>
  <si>
    <t>4.10.9</t>
  </si>
  <si>
    <t>Add extra for additional height in centring, shuttering  where ever required with adequate bracing, propping etc. including cost of de-shuttering and decentring at all  levels, over a height of 3.5 m, for every additional height of 1 metre or part thereof (Plan are is to be measured)</t>
  </si>
  <si>
    <t xml:space="preserve">Add extra for  centering and shuttering work  in superstructure above floor five level for each four floor  or part thereof . </t>
  </si>
  <si>
    <t>Vertical</t>
  </si>
  <si>
    <t>4.10.10</t>
  </si>
  <si>
    <t>Grid roofing with panel area less than 2.25 Sqm. (contact area to be measured).</t>
  </si>
  <si>
    <t>4.13.1</t>
  </si>
  <si>
    <t>4.13.2</t>
  </si>
  <si>
    <t>4.13.3</t>
  </si>
  <si>
    <t xml:space="preserve">Extra for dismantling trusses, rafters, purlins etc. of wood work for every additional span of one metre or part thereof beyond 10 metres :   </t>
  </si>
  <si>
    <t xml:space="preserve">Extra for dismantling trusses, rafters, purlins etc. of wood work for every additional height of one metre or part thereof beyond 5 metres :   </t>
  </si>
  <si>
    <t xml:space="preserve">Dismantling steel work in built up sections in angles, tees, flats and channels including all gusset plates, bolts, nuts, cutting rivets, welding etc. including dismembering and stacking within 50metres lead.  </t>
  </si>
  <si>
    <t xml:space="preserve">Dismantling steel work manually/ by mechanical means in built up sections without dismembering and stacking within 50 metres lead  as per direction of Engineer-in-charge.  </t>
  </si>
  <si>
    <t xml:space="preserve">Extra for dismantling trusses, rafters, purlins etc. of steel work for every additional span of one metre or part thereof beyond 10 metres           </t>
  </si>
  <si>
    <t xml:space="preserve">Extra for dismantling trusses, rafters, purlins etc. of steel work for every additional height of one metre or part thereof  beyond 5 metres.  </t>
  </si>
  <si>
    <t>Providing corrugated G.S. sheet roofing including vertical / curved surface fixed with polymer coated J or L hooks, bolts and nuts 8 mm diameter with bitumen and G.I. limpet washers or with G.I. limpet washers filled with white lead and including a coat of approved steel primer and two coats of approved paint on overlapping of sheets complete (upto any pitch in horizontal/ vertical or curved surfaces)  excluding the cost of purlins, rafters and trusses and including cutting to size and shape whenever required.</t>
  </si>
  <si>
    <t>10.1.2</t>
  </si>
  <si>
    <t>10.1.1</t>
  </si>
  <si>
    <t>10.1.3</t>
  </si>
  <si>
    <t xml:space="preserve">Extra for straight cutting in C.G.S. sheet roofing for making opening of area exceeding 40 sq. decimetre for chimney stacks, sky light etc. :  </t>
  </si>
  <si>
    <t>10.4.1</t>
  </si>
  <si>
    <t xml:space="preserve"> Providing ridges or hips of width 60 cm over all width plain G.S. sheet fixed with polymer coated J or L hooks, bolts and nuts 8 mm dia. G.I. limpet and bitumen washers complete.  </t>
  </si>
  <si>
    <t>0.80mm thick with zinc coating not less than 275</t>
  </si>
  <si>
    <t>0.63mm thick with zinc coating not less than 275</t>
  </si>
  <si>
    <t>10.4.2</t>
  </si>
  <si>
    <t>10.7.1</t>
  </si>
  <si>
    <t xml:space="preserve"> Providing and fixing 15 cm wide 45 cm over all semi circular plain G.S. sheet  gutter with iron brackets 40x3mm size, bolts, nuts and washers etc. including making necessary connections with rain water pipes complete.  </t>
  </si>
  <si>
    <t>CHAPTER  : B-10</t>
  </si>
  <si>
    <t xml:space="preserve">ROOFING </t>
  </si>
  <si>
    <t>Rates are for complete item of work and are inclusive of all centering, shuttering, curing and finishing including all leads and delivery of material at site of work with all lead and lift.</t>
  </si>
  <si>
    <t>The rates for G.I. sheet roofing are inclusive of all necessary, overlaps and wastage in cutting and all standard screws nuts washers bolts and nuts ‘J’ or ‘L’ hooks etc. required as per specifications.</t>
  </si>
  <si>
    <t>All precautions shall be taken to ensure that the finished roof is water tight and without any leakage under all weather conditions. Particular care shall be taken in providing good workmanship specially at vulnerable points.</t>
  </si>
  <si>
    <t>75mm x 75mm</t>
  </si>
  <si>
    <t>75mm to 100mm thick average</t>
  </si>
  <si>
    <t>55mm to 60mm thick average</t>
  </si>
  <si>
    <t>10.12.1</t>
  </si>
  <si>
    <t>10.12.2</t>
  </si>
  <si>
    <t>10.12.3</t>
  </si>
  <si>
    <t>10.13.1</t>
  </si>
  <si>
    <t>10.13.2</t>
  </si>
  <si>
    <t>10.13.3</t>
  </si>
  <si>
    <t>10.13.4</t>
  </si>
  <si>
    <t>Making khurras 450 x 450mm with average minimum thickness 50mm  cement concrete 1 : 2:4 over P.V.C. Sheet 1 Mtr. x 1 Mtr. x 40micron finished with 12mm cement plaster 1 : 3 and one  coat of neat cement, rounding edges and making and finishing the out let complete.</t>
  </si>
  <si>
    <t>GALVANISED IRON SHEET ROOFING</t>
  </si>
  <si>
    <t>0.80mm thick</t>
  </si>
  <si>
    <t>0.63mm thick</t>
  </si>
  <si>
    <t>P.Mtr. Peri-meter</t>
  </si>
  <si>
    <t xml:space="preserve"> </t>
  </si>
  <si>
    <t>10.25.1</t>
  </si>
  <si>
    <t>10.25.2</t>
  </si>
  <si>
    <t>FALSE CEILING</t>
  </si>
  <si>
    <t>2.0mm thick (Wt. 3.3 Kg./Mtr. Sq.)</t>
  </si>
  <si>
    <t>3.0mm thick (Wt. 5.0 Kg./Mtr. Sq.)</t>
  </si>
  <si>
    <t>5.0mm thick (Wt. 8.4 Kg./Mtr. Sq.)</t>
  </si>
  <si>
    <t xml:space="preserve"> Providing valleys of 90cm wide overall in plain G.S. sheet fixed with polymer coated J or L hooks, bolts and nuts 8mm dia. G.I. limpet and bitumen washers complete :  
1.60mm thick with zinc coating not less than 350gm/m² </t>
  </si>
  <si>
    <t>CHAPTER  : B-9</t>
  </si>
  <si>
    <t>9.3.1</t>
  </si>
  <si>
    <t>9.3.2</t>
  </si>
  <si>
    <t>Hot finished welded type tubes.</t>
  </si>
  <si>
    <t>Hot finished seamless type tubes.</t>
  </si>
  <si>
    <t>Electric resistance or induction butt welded tubes.</t>
  </si>
  <si>
    <t xml:space="preserve">Demolishing brick work manually/ by mechanical means including stacking of serviceable material and disposal of unserviceable material within 50 metres lead as per direction of Engineer-in-charge.  </t>
  </si>
  <si>
    <t>14.9.3</t>
  </si>
  <si>
    <t>14.9.4</t>
  </si>
  <si>
    <t>In mud mortar</t>
  </si>
  <si>
    <t>dry masonry</t>
  </si>
  <si>
    <t xml:space="preserve">Kg per Mtr. </t>
  </si>
  <si>
    <t>Demolishing mud phuska/ Lime dhar/ Kharanja  in terracing and disposal of unserviceable material within 50 meters lead.</t>
  </si>
  <si>
    <t>Dismantling  roofing  including  ridges,  hips,  valleys  and  rafters  etc.  and  stacking  the  within 50 meter lead of:</t>
  </si>
  <si>
    <t>Dismantling  precast  concrete  or  stone  slabs  in  wall  partitions  etc.  including  stacking  within  50 meter lead:</t>
  </si>
  <si>
    <t>Dismantling  CI  or  asbestos  rain  water  pipe  with  fitting  and  clamps including  stacking  within  50 meter lead:</t>
  </si>
  <si>
    <t>Dismantling CC jali including cost of making grooves in plaster and making good and including disposal of unserviceable surplus material and stacking of serviceable material with in 50 meters lead as directed by Engineer-in-charge.  .</t>
  </si>
  <si>
    <t>Water bound macadam road  (average thickness 250 mm)</t>
  </si>
  <si>
    <t>bituminous road   (average thickness 300 mm)</t>
  </si>
  <si>
    <t>Providing and fixing horizontal chajja of Red/ White sand stone 40 mm thick and upto 80 cm projection in cement mortar 1:4 (1 cement : 4 coarse sand) including pointing in white cement mortar 1:2 (1 white cement : 2 stone dust) with an admixture of pigment matching the stone shade.</t>
  </si>
  <si>
    <t>50 mm thick</t>
  </si>
  <si>
    <t>75 mm thick</t>
  </si>
  <si>
    <t>Nos.</t>
  </si>
  <si>
    <t>Katla stone pati 80 mm thick</t>
  </si>
  <si>
    <t>Katla stone pati 50 mm thick</t>
  </si>
  <si>
    <t>White/Pink sand stone block</t>
  </si>
  <si>
    <t xml:space="preserve">Exposed face rough dressed </t>
  </si>
  <si>
    <t xml:space="preserve">Extra for stone masory work,above floor V level for every four floors or part thereof.  </t>
  </si>
  <si>
    <t xml:space="preserve">Extra for laying stone work in or under water and/or liquid mud including cost of pumping or bailing out water and removing slush etc. complete.  </t>
  </si>
  <si>
    <t xml:space="preserve">Extra for laying stone work in or under foul position.  </t>
  </si>
  <si>
    <t>6.8.1</t>
  </si>
  <si>
    <t xml:space="preserve">Exposed face machine cut  </t>
  </si>
  <si>
    <t>6.8.2</t>
  </si>
  <si>
    <t>6.9.1</t>
  </si>
  <si>
    <t>6.9.2</t>
  </si>
  <si>
    <t xml:space="preserve">Exposed face Machine cut   </t>
  </si>
  <si>
    <t>6.10.1</t>
  </si>
  <si>
    <t>6.10.2</t>
  </si>
  <si>
    <t>Exposed face machine cut</t>
  </si>
  <si>
    <t xml:space="preserve">Extra for stone work for wall lining on exterior walls of height more than 10 m from ground level for every additional height of 3 m or part there of.  </t>
  </si>
  <si>
    <t>25  mm thick</t>
  </si>
  <si>
    <t>Supplying and fixing in walls machine cut and polished stone shelves, tands and  in CM 1:3 with machine cut edges :</t>
  </si>
  <si>
    <t>6.17.1</t>
  </si>
  <si>
    <t>6.17.2</t>
  </si>
  <si>
    <t>6.17.3</t>
  </si>
  <si>
    <t>6.19.1</t>
  </si>
  <si>
    <t>6.19.2</t>
  </si>
  <si>
    <t>6.19.3</t>
  </si>
  <si>
    <t>CHAPTER : B - 7</t>
  </si>
  <si>
    <t>MARBLE, GRANITE AND TILE WORKS</t>
  </si>
  <si>
    <t>Providing and fixing Marble stone flooring table rubbed, 15-18 mm thick over 20mm (Av.) thick base of CM 1:4 (1 cement : 4 coarse sand) jointing with white cement mortar 1:2 (1 white cement : 2 marble dust) with pigment to match the shade of the marble slab including grinding, rubbing and polishing complete.</t>
  </si>
  <si>
    <t>OR</t>
  </si>
  <si>
    <t>Providing and fixing stone slabs table rubbed, 15-18 mm thick in Walls, Steps, Pillars, Counters, Jambs, Shelves, Sills etc. laid on 12mm (Av.) thick base of CM 1:3 (1 cement : 3 coarse sand) jointing with white cement mortar 1:2 (1white cement : 2 marble dust) with pigment to match the shade of the marble slab including grinding, rubbing and polishing complete.</t>
  </si>
  <si>
    <t>7.1.1</t>
  </si>
  <si>
    <t>7.1.2</t>
  </si>
  <si>
    <t>7.1.3</t>
  </si>
  <si>
    <t>Makrana 'Adanga'.</t>
  </si>
  <si>
    <t>Rajnagar 1st quality/Ageria with light spots.</t>
  </si>
  <si>
    <t>Providing and fixing Granite stone slab mirror polished and machine edge cut in walls, pillars, steps, Shelves, Sills Counters, Floors etc. laid on 12mm (Av.) thick base of cement mortar 1:3 (1 cement : 3 coarse sand) jointing with white cement mortar 1:2 (1white cement : 2 marble dust) with pigment to match the shade of the marble slab including grinding, rubbing and polishing complete.</t>
  </si>
  <si>
    <t>7.2.1</t>
  </si>
  <si>
    <t>7.2.2</t>
  </si>
  <si>
    <t>7.2.3</t>
  </si>
  <si>
    <t>South (Red)</t>
  </si>
  <si>
    <t>7.3.1</t>
  </si>
  <si>
    <t>7.3.2</t>
  </si>
  <si>
    <t>7.3.3</t>
  </si>
  <si>
    <t>Rmt.</t>
  </si>
  <si>
    <t>7.5.1</t>
  </si>
  <si>
    <t>Size 200 x 200mm</t>
  </si>
  <si>
    <t>7.5.2</t>
  </si>
  <si>
    <t>Size 200 x 300mm</t>
  </si>
  <si>
    <t>7.6.1</t>
  </si>
  <si>
    <t>7.6.2</t>
  </si>
  <si>
    <t>P &amp; F 1st qualityVitrified Porcelain Polished tiles on floor, skirting and steps etc.in different sizes (thickness to be specified by manufactuer) with water absortion less than 0.08% and conforming to IS 15622 of approved make in all colour and shade,  laid with 20 mm thick CM 1 : 4 including grounting the joints with white cement and matching pigment etc complete.</t>
  </si>
  <si>
    <t>size  450 mm X 450 mm</t>
  </si>
  <si>
    <t>size   600 mm X 600 mm</t>
  </si>
  <si>
    <t>Marble work</t>
  </si>
  <si>
    <t>Each Opening</t>
  </si>
  <si>
    <t>Raj nagar I quality plain white marble (table rubbed and polished) 18 mm thick upto 1500 cm2</t>
  </si>
  <si>
    <t>Raj nagar plain I quality white marble (table rubbed and polished) 18 mm thick above 1500 and upto 3600 cm2</t>
  </si>
  <si>
    <t>Raj nagar plain I quality white marble (table rubbed and polished) 18 mm thick above  3600 cm2</t>
  </si>
  <si>
    <t>Poly propylene - Random - Co - polymer (PPR) pipes SDR 7.4 - 40mm Outer dia.</t>
  </si>
  <si>
    <t>Poly propylene - Random - Co - polymer (PPR) pipes SDR 7.4 - 50mm Outer dia.</t>
  </si>
  <si>
    <t>Poly propylene - Random - Co - polymer (PPR) pipes SDR 7.4 - 63mm Outer dia.</t>
  </si>
  <si>
    <t>Poly propylene - Random - Co - polymer (PPR) pipes SDR 7.4 - 75mm Outer dia.</t>
  </si>
  <si>
    <t>Poly propylene - Random - Co - polymer (PPR) pipes SDR 7.4 - 90mm Outer dia.</t>
  </si>
  <si>
    <t>Poly propylene - Random - Co - polymer (PPR) pipes SDR - 11 - 110mm Outer dia.</t>
  </si>
  <si>
    <t>Poly propylene - Random - Co - polymer (PPR) pipes SDR - 11- 160mm Outer dia.</t>
  </si>
  <si>
    <t>Chlorinated Polyvinyl - chloride (CPVC) pipe 15 mm outer dia.</t>
  </si>
  <si>
    <t>Chlorinated Polyvinyl - chloride (CPVC) pipe 40 mm outer dia.</t>
  </si>
  <si>
    <t>Chlorinated Polyvinyl - chloride (CPVC) pipe 50 mm outer dia.</t>
  </si>
  <si>
    <t>Chlorinated Polyvinyl - chloride (CPVC) pipe 62.5mm inner dia.</t>
  </si>
  <si>
    <t>Chlorinated Polyvinyl - chloride (CPVC) pipe 75 mm inner dia.</t>
  </si>
  <si>
    <t>Chlorinated Polyvinyl - chloride (CPVC) pipe 100 mm inner dia.</t>
  </si>
  <si>
    <t>Chlorinated Polyvinyl - chloride (CPVC) pipe 150 mm inner dia.</t>
  </si>
  <si>
    <t>Silicon sealant.</t>
  </si>
  <si>
    <t>cartridge</t>
  </si>
  <si>
    <t xml:space="preserve">Stainless steel (SS 304 grade) adjustable friction window stay  255 x 19mm   </t>
  </si>
  <si>
    <t xml:space="preserve">Stainless steel (SS 304 grade) adjustable friction window stay.  355 x 19mm   </t>
  </si>
  <si>
    <t xml:space="preserve">Stainless steel (SS 304 grade) adjustable friction window stay.  510 x 19mm   </t>
  </si>
  <si>
    <t xml:space="preserve">Stainless steel (SS 304 grade) adjustable friction window stay. 710 x 19mm   </t>
  </si>
  <si>
    <t>Masking tape.</t>
  </si>
  <si>
    <t>Aluminium casement window fastner (Anodised AC 15 )</t>
  </si>
  <si>
    <t>Aluminium casement window fastner (powder coated ).</t>
  </si>
  <si>
    <t xml:space="preserve">Aluminium casement window fastner (polyester powder coated).  </t>
  </si>
  <si>
    <t xml:space="preserve">Aluminium round shape handle (anodised AC 15)  </t>
  </si>
  <si>
    <t>Aluminium round shape handle (powder coated)</t>
  </si>
  <si>
    <t>Aluminium round shape handle (polyester powder coated).</t>
  </si>
  <si>
    <t xml:space="preserve">Stainless steel screws 25mm x4mm </t>
  </si>
  <si>
    <t>UV stabilised 2 mm thick plain FRP sheet .</t>
  </si>
  <si>
    <t>Manglore tiles .........x.......mm 20mm thick.</t>
  </si>
  <si>
    <t>Precoated galvanised iron profile sheet 0.50 mm TCT</t>
  </si>
  <si>
    <t>Precoated galvanised steel plain ridges.</t>
  </si>
  <si>
    <t>Precoated galvanised steel flashings/aprons.</t>
  </si>
  <si>
    <t>Precoated galvanised steel gutter</t>
  </si>
  <si>
    <t>Precoated galvanised steel north light curves.</t>
  </si>
  <si>
    <t>Precoated galvanised steel barge board.</t>
  </si>
  <si>
    <t>Precoated galvanised steel crimp curve</t>
  </si>
  <si>
    <t>Delinator</t>
  </si>
  <si>
    <t>Precast C.C. Kerb stone M - 25</t>
  </si>
  <si>
    <t>Thermoplastic paint</t>
  </si>
  <si>
    <t xml:space="preserve">Glass beads  </t>
  </si>
  <si>
    <t>Interlocking C.C. paver block ( 60 mm thick, M-30 )</t>
  </si>
  <si>
    <t>High intensity retro - reflective sheet.</t>
  </si>
  <si>
    <t>Punched tape concertina coil 600 m dia. 10m openable length (Total length 90m)</t>
  </si>
  <si>
    <t>bundle</t>
  </si>
  <si>
    <t>RBT reinforced barbed wire.</t>
  </si>
  <si>
    <t>Turn buckle and strengthening bolt.</t>
  </si>
  <si>
    <t xml:space="preserve">Precast pavement  slab 450 x 450 x 50mm (M - 30).  </t>
  </si>
  <si>
    <t>8 mm thick tapered edge calcium silicate board .</t>
  </si>
  <si>
    <t>50mmX42mmX2mm thick Factory made door frame of PVC extruded sections in white, grey or wooden finish</t>
  </si>
  <si>
    <t xml:space="preserve">25mm thick factory made PVC flash foor shutter i/c carriage.  </t>
  </si>
  <si>
    <t>Fiber glass reinforced plastic chajja.</t>
  </si>
  <si>
    <t xml:space="preserve">2nd class teak wood lipping/ moulded beadibg or Taj beading of size 18X5mm </t>
  </si>
  <si>
    <t xml:space="preserve">Ceiling sections 0.55 mm thick having a knurled web of 51.55mm and two flanges of 26mm each with lips of 10.55mm.  </t>
  </si>
  <si>
    <t xml:space="preserve">Perimeter channel having one flange of 20mm and another flange of 30mm with thickness of 0.55mm and web of length 27mm.  </t>
  </si>
  <si>
    <t xml:space="preserve">1.0mm thick decorative laminated sheet </t>
  </si>
  <si>
    <t>High polymer modified quickset tile adhesive.</t>
  </si>
  <si>
    <t>per kg</t>
  </si>
  <si>
    <t>Contractor profit &amp; overhead</t>
  </si>
  <si>
    <t>Water charge</t>
  </si>
  <si>
    <t>EARTH WORK</t>
  </si>
  <si>
    <t>Note :</t>
  </si>
  <si>
    <t>The   items   in   this   Chapter   will   cover   Earth   Work   for   Building   and   Sanitary   Work.</t>
  </si>
  <si>
    <t>Description</t>
  </si>
  <si>
    <t>Unit</t>
  </si>
  <si>
    <t>All kinds of soil</t>
  </si>
  <si>
    <t>Sqm</t>
  </si>
  <si>
    <t xml:space="preserve">Cum </t>
  </si>
  <si>
    <t>Cum</t>
  </si>
  <si>
    <t>1.7.1</t>
  </si>
  <si>
    <t>Ordinary rock</t>
  </si>
  <si>
    <t>1.7.2</t>
  </si>
  <si>
    <t>Hard rock (requiring blasting) useful material 30%</t>
  </si>
  <si>
    <t>1.7.3</t>
  </si>
  <si>
    <t>Hard rock(blasting prohibited) useful material 30%</t>
  </si>
  <si>
    <t>1.9.1</t>
  </si>
  <si>
    <t>1.9.2</t>
  </si>
  <si>
    <t>1.9.3</t>
  </si>
  <si>
    <t>1.10.1</t>
  </si>
  <si>
    <t>1.10.2</t>
  </si>
  <si>
    <t>1.13.1.1</t>
  </si>
  <si>
    <t>Pipes cables etc. not exceeding 80mm dia</t>
  </si>
  <si>
    <t>Mtr.</t>
  </si>
  <si>
    <t>1.13.1.2</t>
  </si>
  <si>
    <t>Pipes cables, etc. exceeding 80mm dia but not exceeding 300mm dia.</t>
  </si>
  <si>
    <t>1.13.1.3</t>
  </si>
  <si>
    <t>Pipes, cables etc. exceeding 300mm dia but not exceeding 600mm dia.</t>
  </si>
  <si>
    <t>Excavating trenches of required width for pipes cables etc. including excavation for sockets, depth up to 1.5 Mtr. including taking out the excavated materials, refilling the soil as required in layers not exceeding 20cm in depth including consolidating each deposited layers by ramming, watering etc., stacking serviceable material for measurements and disposal of unserviceable material as directed, with in a lead of 50 Mtr.</t>
  </si>
  <si>
    <t>1.16.1</t>
  </si>
  <si>
    <t>1.16.2</t>
  </si>
  <si>
    <t>CHAPTER  : B-16</t>
  </si>
  <si>
    <t>16.1.1</t>
  </si>
  <si>
    <t>For fixed portion</t>
  </si>
  <si>
    <t>Anodised aluminum (anodised transparent 81 dyed to required shade according to IS : 1868. (Minimum anodic coating of grade AC 15, Anodizing to be got done from approved Anodizer)</t>
  </si>
  <si>
    <t>16.1.2</t>
  </si>
  <si>
    <t>For shutters builtup standard tubular sections of openable doors ,windows &amp; ventilators including providing &amp; fixing hinges / rollers etc. and making provision for fixing of fittings wherever required (lockes shall be paid for separately).</t>
  </si>
  <si>
    <t>Providing and fixing 12 mm thick prelaminated three layer medium density (exterior grade ) particle board Grade I, Type II conforming to IS : 12823 bonded formaldehyde synthetic resin ,of approved brand and manufacture in paneling fixed in aluminium doors ,windows shutters and partition frames with C.P. brass / stainless steel screws etc. complete as per architectural drawings and direction of engineer-in-charge.</t>
  </si>
  <si>
    <t>Pre-laminated  particle  board  with  decorative  lamination  on  one  side  and  balancing  lamination  on  other  side.</t>
  </si>
  <si>
    <t>Prelaminated particle board with decorative lamination on both sides.</t>
  </si>
  <si>
    <t>Providing and fixing glazing in aluminium door, window ,ventilator shutters and partitions etc. with PVS / neoprene gasket etc. complete as per the architectural drawings and the directions of engineer-in-charge.(Cost of aluminium snap beading shall be paid in basic  item.)</t>
  </si>
  <si>
    <t>With glass panes of 4.0 mm thickness ( weight not less than 10.0 kg/sqm) as per IS : 2835.</t>
  </si>
  <si>
    <t>16.4.1</t>
  </si>
  <si>
    <t>16.4.2</t>
  </si>
  <si>
    <t>Providing and fixing sun control film, thickness of film 1 Mil Visible Light Transmittance 4-24% &amp; Solar Energy Transmittance 42-51% &amp; Total solar Energy rejection 37-43%of approved colour and shade , complete in all respect , at all level , as directed by engineer- in -charge.</t>
  </si>
  <si>
    <t>PVC ITEMS</t>
  </si>
  <si>
    <t xml:space="preserve">Door chowkhats          </t>
  </si>
  <si>
    <t xml:space="preserve">Window chowkhats                                                  </t>
  </si>
  <si>
    <t xml:space="preserve">Clerestory window chowkhats                                       </t>
  </si>
  <si>
    <t>13.2.3</t>
  </si>
  <si>
    <t>13.4.1</t>
  </si>
  <si>
    <t>Providing and fixing  aluminum work  for doors ,windows, ventilators and partition with extruded built up standard tubular / appropriate Z sections and other sections of approved make conforming to IS :733 and IS :1285,  fixed with rawl plugs and screws or with fixing clips ,or with expansion hold fasteners including necessary filling up of gap. at junctions , at top ,bottom and sides with required PVC/neoprene felt etc. Aluminium section shall be smooth ,rust free, straight ,mitered and jointed mechanically wherever required including cleat angle Aluminium snap beading for glazing /paneling , C.P. brass/ stainless steel screws Al. Tower bolt &amp; Al. handle &amp; Al. Aldrop etc.,all complete as per architectural drawings and the  directions of Engineer- in – charge .(Glazing and paneling to be paid for separately).</t>
  </si>
  <si>
    <t>16.1.1.1</t>
  </si>
  <si>
    <t>16.1.1.2</t>
  </si>
  <si>
    <t xml:space="preserve"> Powder coating aluminum  ( minimum thickness of powder coating 50 micron)   </t>
  </si>
  <si>
    <t>16.1.1.3</t>
  </si>
  <si>
    <t xml:space="preserve"> Polyester Powder coating aluminum  ( minimum thickness of powder coating 50 micron)   </t>
  </si>
  <si>
    <t>16.1.2.1</t>
  </si>
  <si>
    <t>16.1.2.3</t>
  </si>
  <si>
    <t>16.1.2.2</t>
  </si>
  <si>
    <t xml:space="preserve">Extra for shutters of sliding  aluminum windows </t>
  </si>
  <si>
    <t>Extra  for work done in curved / circular shape.</t>
  </si>
  <si>
    <t>16.5.1</t>
  </si>
  <si>
    <t>16.5.2</t>
  </si>
  <si>
    <t>16.5.3</t>
  </si>
  <si>
    <t xml:space="preserve">With float glass panes of 8 mm thickness </t>
  </si>
  <si>
    <t xml:space="preserve">Providing and fixing double action hydraulic floor spring of approved brand and manufacture IS : 6315 marked, for doors including cost of cutting floors as required, embedding in floors and cover plates with brass pivot and single piece M.S. </t>
  </si>
  <si>
    <t>16.6.1</t>
  </si>
  <si>
    <t>With stainless steel cover plate</t>
  </si>
  <si>
    <t>16.6.2</t>
  </si>
  <si>
    <t>With brass cover plate</t>
  </si>
  <si>
    <t xml:space="preserve">Filling the gap upto 5 mm depth and 5 mm width in between aluminium frame &amp; adjacent RCC/ Brick/ Stone work by providing weather silicon sealant over backer rod of approved quality as per architectural drawings and direction of Engineer-in-charge complete.         </t>
  </si>
  <si>
    <t xml:space="preserve">Providing and fixing 100mm brass locks (best make of approved quality) for aluminium doors including necessary cutting and making good etc. complete.  </t>
  </si>
  <si>
    <t xml:space="preserve">Anodized (AC 15 ) aluminium </t>
  </si>
  <si>
    <t xml:space="preserve">Powder coated minimum thickness 50 micron aluminium  </t>
  </si>
  <si>
    <t xml:space="preserve">Polyester powder coated minimum thickness 50 micron aluminium .  </t>
  </si>
  <si>
    <t>CHAPTER  : B-15</t>
  </si>
  <si>
    <t>75mm thick.</t>
  </si>
  <si>
    <t>Providing  &amp;  fixing  precast  cement  concrete  coping  1  :  2  :  4  mix  50mm  thick  complete  as per specification :</t>
  </si>
  <si>
    <t>WATER PROOFING TREATMENT</t>
  </si>
  <si>
    <t>Providing and laying six courses water proofing treatment with bitumen felt over roofs consisting of first, third and fifth courses of blown or/and residual bitumen applied hot at 1.45, 1.20 and 1.70 Kg. per Sqm. of area respectively second and fourth courses of roofing felt type 2 grade-I (fiber base self finished bitumen felt) and sixth and final course of stone grit 6mm and down size or pea sized gravel spread at  8cu.dm per sqm   including preparation of surface excluding grading complete confirming to IS : 1322 and 1346.</t>
  </si>
  <si>
    <t>Providing and laying six courses water proofing treatment with bitumen felt over roofs consisting of first, third and fifth courses of blown or/and residual bitumen applied hot at 1.45, 1.20 and 1.70Kg. per Sqm of area respectively second and fourth courses of roofing felt type 2 grade 2 (fiber base self finished bitumen felt) and sixth and final course of stone grit 6mm and down size of pea sized gravel spread at 8cu.dm per sqm   including preparation of surface excluding grading complete confirming to IS : 1322 and 1346.</t>
  </si>
  <si>
    <t>Deduct for omitting in water proofing treatment final course of spreading stone grit 6mm. and down size of pea sized gravel :</t>
  </si>
  <si>
    <t>R.C.C. FRAMES</t>
  </si>
  <si>
    <t>Providing and fixing in cement sand mortar 1 : 3 single/double rebated R..C. Door Window and ventilator frames (Chowkhats) including 1% reinforcement as per design and concrete mix 1 : 2 : 4 cutting etc. complete incl. horns. and hold fasts :</t>
  </si>
  <si>
    <t>15.28.1</t>
  </si>
  <si>
    <t>Size 75 x 50mm</t>
  </si>
  <si>
    <t>15.28.2</t>
  </si>
  <si>
    <t>Size 75 x 75mm</t>
  </si>
  <si>
    <t>15.28.3</t>
  </si>
  <si>
    <t>Size 100 x 75mm</t>
  </si>
  <si>
    <t>Size 125 x 75mm</t>
  </si>
  <si>
    <t>10%</t>
  </si>
  <si>
    <t>CUT STONE DOOR AND WINDOW FRAMES</t>
  </si>
  <si>
    <t>Providing and fixing in cement sand mortar 1 : 4 single paitam (rebated) stone doors windows and ventilator frames of approved quarry :</t>
  </si>
  <si>
    <t>Size 75 x 60mm</t>
  </si>
  <si>
    <t>Size 100 x 60mm</t>
  </si>
  <si>
    <t>Size 100x 75mm</t>
  </si>
  <si>
    <t>Size 125 x 100mm</t>
  </si>
  <si>
    <t>Size 100 x 75mm.</t>
  </si>
  <si>
    <t>CHAPTER  : B-14</t>
  </si>
  <si>
    <t>14.2.1</t>
  </si>
  <si>
    <t>1: 3: 6 or richer mix.</t>
  </si>
  <si>
    <t>14.2.2</t>
  </si>
  <si>
    <t>1: 4: 8 or leaner mix.</t>
  </si>
  <si>
    <t>14.7.1</t>
  </si>
  <si>
    <t>In mud mortar.</t>
  </si>
  <si>
    <t>14.7.2</t>
  </si>
  <si>
    <t>In lime mortar.</t>
  </si>
  <si>
    <t>14.7.3</t>
  </si>
  <si>
    <t>In cement mortar.</t>
  </si>
  <si>
    <t>Removing mortar from bricks and cleaning bricks including stacking within a lead of 50 meters (stacks of cleaned bricks shall be measured):</t>
  </si>
  <si>
    <t>14.8.1</t>
  </si>
  <si>
    <t>From bricks work in mud mortar.</t>
  </si>
  <si>
    <t>1000 Nos.</t>
  </si>
  <si>
    <t>14.8.2</t>
  </si>
  <si>
    <t>From brick work in lime mortar</t>
  </si>
  <si>
    <t>14.8.3</t>
  </si>
  <si>
    <t>From brick work in cement mortar.</t>
  </si>
  <si>
    <t>14.9.1</t>
  </si>
  <si>
    <t>14.9.2</t>
  </si>
  <si>
    <t>14.10.1</t>
  </si>
  <si>
    <t>14.10.2</t>
  </si>
  <si>
    <t>Removing mortar from stones and cleaning stones and concrete articles including stacking (net quantity of stacks of cleaned materials will be measured):</t>
  </si>
  <si>
    <t>14.11.1</t>
  </si>
  <si>
    <t>Lime mortar.</t>
  </si>
  <si>
    <t>14.11.2</t>
  </si>
  <si>
    <t>Cement mortar.</t>
  </si>
  <si>
    <t>Dismantling doors, windows and clearstory windows steel or wood shutter including chowkhats and holdfasts etc. complete and stacking within 50 meters lead:</t>
  </si>
  <si>
    <t>14.12.1</t>
  </si>
  <si>
    <t>Of area 3 square meter and below.</t>
  </si>
  <si>
    <t>14.12.2</t>
  </si>
  <si>
    <t>Of area exceeding 3 square meter.</t>
  </si>
  <si>
    <t>Taking out doors, windows and clearstory windows shutters (steel or wood) including stacking within 50 meters lead:</t>
  </si>
  <si>
    <t>14.13.1</t>
  </si>
  <si>
    <t>14.13.2</t>
  </si>
  <si>
    <t>Dismantling wood work in frames, trusses, purlins and  rafters  up  to  10  meter  span  and  5m  height including,  levelling  stacking  the  material within 50m lead:</t>
  </si>
  <si>
    <t>14.14.1</t>
  </si>
  <si>
    <t>Of sectional area 40 Sq.cm and above</t>
  </si>
  <si>
    <t>14.14.2</t>
  </si>
  <si>
    <t>Of sectional area below 40 Sq.cm.</t>
  </si>
  <si>
    <t>14.15.1</t>
  </si>
  <si>
    <t>of sectional area 40 Sq.cm and above</t>
  </si>
  <si>
    <t>Cum per Meter span</t>
  </si>
  <si>
    <t>14.15.2</t>
  </si>
  <si>
    <t>of sectional area below 40 Sq.cm.</t>
  </si>
  <si>
    <t>Mtr. .Per meter span</t>
  </si>
  <si>
    <t>14.16.1</t>
  </si>
  <si>
    <t>14.16.2</t>
  </si>
  <si>
    <t>Mtr. per Meter span</t>
  </si>
  <si>
    <t>CONCRETE WORK</t>
  </si>
  <si>
    <t>Shree binder</t>
  </si>
  <si>
    <t>Carriage of Shree binder</t>
  </si>
  <si>
    <t>For all concrete work only coarse sand shall be used.</t>
  </si>
  <si>
    <t xml:space="preserve">Concrete mix prepared by power-driven mechanical mixer shall be used. </t>
  </si>
  <si>
    <t>Under exceptional conditions, where mechanical mixer and vibrator are not used (with the approval of Engineer-in-Charge) rates to be reduce by 15%, for mechanical mixer and 10 % for vibrator.</t>
  </si>
  <si>
    <t>CEMENT CONCRETE (CAST-IN-SITU):</t>
  </si>
  <si>
    <t>3.1.1</t>
  </si>
  <si>
    <t>3.1.2</t>
  </si>
  <si>
    <t>3.1.3</t>
  </si>
  <si>
    <t>3.1.4</t>
  </si>
  <si>
    <t>3.1.5</t>
  </si>
  <si>
    <t>3.1.6</t>
  </si>
  <si>
    <t>1:4:8 (1 cement : 4 coarse sand : 8 graded stone aggregate 40 mm nominal size).</t>
  </si>
  <si>
    <t>3.1.7</t>
  </si>
  <si>
    <t>1:5:10 (1 cement : 5 coarse sand : 10 graded stone aggregate 40mm nominal size).</t>
  </si>
  <si>
    <t>3.2.2</t>
  </si>
  <si>
    <t>3.2.3</t>
  </si>
  <si>
    <t>3.2.4</t>
  </si>
  <si>
    <t>3.2.5</t>
  </si>
  <si>
    <t xml:space="preserve">Per Cum per Mtr. depth </t>
  </si>
  <si>
    <t>The quantity will be calculated by multiplying the depth measured from the sub-soil water level up to centre of gravity of concrete under sub-soil water level with quantity of concrete in cum executed under sub-soil water.  The depth of centre of gravity shall be reckoned correct to 0.1 m; 0.05 m or more shall be taken as 0.1 m and less than 0.05 m ignored.</t>
  </si>
  <si>
    <t xml:space="preserve">     Cum</t>
  </si>
  <si>
    <t>Providing and fixing up to floor five level pre cast cement concrete string or lacing courses, copings, bed plates, anchor blocks, windows sills, shelves, louvers steps, staircases, etc. including carriage, hoisting and setting in position with cement mortar 1:3 (1 cement : 3 coarse sand) cost of required centering, shuttering and finishing smooth with 6 mm thick cement plaster 1:3 (1 cement : 3 fine sand) on exposed surface, including all T &amp; P, curing etc. complete:</t>
  </si>
  <si>
    <t>3.7.1</t>
  </si>
  <si>
    <t>3.7.2</t>
  </si>
  <si>
    <t>Sqm.</t>
  </si>
  <si>
    <t>M20 grade Nominal Mix  
1: 1.5: 3 (1 cement : 1.5 coarse sand : 3 graded stone  aggregate 20mm nominal size).</t>
  </si>
  <si>
    <t>M15 grade Nominal Mix 
1: 2: 4 (1 cement : 2 coarse sand : 4 graded stone  aggregate 40mm nominal size).</t>
  </si>
  <si>
    <t>M15 grade Nominal Mix 
1: 2: 4 (1 cement : 2 coarse sand : 4 graded stone  aggregate 20mm nominal size).</t>
  </si>
  <si>
    <t>M10 grade Nominal Mix 
1: 3: 6 (1 cement : 3 coarse sand : 6 graded stone  aggregate 20mm nominal size).</t>
  </si>
  <si>
    <t>M10 grade Nominal Mix
1: 3: 6 (1 cement : 3 coarse sand : 6 graded stone  aggregate 40mm nominal size).</t>
  </si>
  <si>
    <t>3.2.1</t>
  </si>
  <si>
    <t>3.3.1</t>
  </si>
  <si>
    <t>3.3.2</t>
  </si>
  <si>
    <t>CEMENT CONCRETE (PRE-CAST):</t>
  </si>
  <si>
    <t xml:space="preserve">Add Extra for concrete work in superstructure above floor V level for each four floors or part thereof.  </t>
  </si>
  <si>
    <t xml:space="preserve">Add Extra for laying concrete in or under foul positions.  </t>
  </si>
  <si>
    <t>CHAPTER B-4</t>
  </si>
  <si>
    <t>REINFORCED CONCRETE WORK</t>
  </si>
  <si>
    <t>Note:</t>
  </si>
  <si>
    <t xml:space="preserve">Rates for complete work  laying, compaction, vibration, curing and all types of T &amp; P, including P.O.L. etc and grinding and mixing of mortar. </t>
  </si>
  <si>
    <t>The rates for centering and shuttering are for steel plates shuttering for complete work including centering, shuttering nails and other such items required.  The shuttering shall be removed after required time as per  instruction  by  Engineer-in-charge  &amp; IS 456:2000.</t>
  </si>
  <si>
    <t xml:space="preserve">If any machinery like mechanical mixture machine, vibrator or mechanical mortar miller etc. is supplied by the Department, the hire charges as per department rate will be charged and transportation cost will be borne by the contractor. </t>
  </si>
  <si>
    <t xml:space="preserve">No R.C.C. work shall be permitted without the use of mechanical mixer by hopper and vibrator. </t>
  </si>
  <si>
    <t xml:space="preserve">Contractor at site shall arrange a stand by mechanical mixer and extra vibrator if more than 20 cum of RCC is to be done in a single day. </t>
  </si>
  <si>
    <t>The rate for R.C.C. work is inclusive of cost of providing  cement mortar covers Blocks. The rates for centering includes placement of cover blocks.</t>
  </si>
  <si>
    <t>If any change required in the approved Job Mix design ingredient, Fresh Job Mix design shall be  obtain by the contractor from approved lab and shall be got approved from Engineer-in-charge</t>
  </si>
  <si>
    <t>CAST-IN-SITU CONCRETE:</t>
  </si>
  <si>
    <t>4.2.3</t>
  </si>
  <si>
    <t>4.3.1</t>
  </si>
  <si>
    <t>4.3.2</t>
  </si>
  <si>
    <t>4.3.3</t>
  </si>
  <si>
    <t>Deduct for using less cement quantity than the quantity as provided in the item of design  mix concrete/RMC as arrived as per mix design.(on cement quantity)</t>
  </si>
  <si>
    <t>Kg</t>
  </si>
  <si>
    <t>Centering &amp; shuttering with plywood or steel sheets including strutting, propping bracing both ways with steel props  and removal of formwork for upto floor five level for :</t>
  </si>
  <si>
    <t>Walls   (any   thickness)   including   attached   pilasters,    buttresses    plinth    and    string       course.</t>
  </si>
  <si>
    <t xml:space="preserve">Sqm </t>
  </si>
  <si>
    <t xml:space="preserve">Columns, pillars, posts and struts etc. </t>
  </si>
  <si>
    <t xml:space="preserve">Spiral staircases, chimneys shafts etc. </t>
  </si>
  <si>
    <t xml:space="preserve">Arches, domes, vaults etc. up to 6 Mtr span. </t>
  </si>
  <si>
    <t xml:space="preserve">Arches,  domes,  vaults  etc  exceeding  6 Mtr  span </t>
  </si>
  <si>
    <t xml:space="preserve">Sqm. </t>
  </si>
  <si>
    <t>4.10.1</t>
  </si>
  <si>
    <t>4.10.2</t>
  </si>
  <si>
    <t>STEEL REINFORCEMENT:</t>
  </si>
  <si>
    <t>Cold twisted deformed bars (IS : 1786).</t>
  </si>
  <si>
    <t xml:space="preserve">Kg. </t>
  </si>
  <si>
    <t>Hot rolled deformed bars (IS : 1139).</t>
  </si>
  <si>
    <t>Thermo-mechanically Treated bars (Conforming of relevent IS code)</t>
  </si>
  <si>
    <t>Kg.</t>
  </si>
  <si>
    <t xml:space="preserve">Kg </t>
  </si>
  <si>
    <t>PRECAST CEMENT CONCRETE</t>
  </si>
  <si>
    <t xml:space="preserve">Providing, hoisting and fixing up to floor five level precast reinforced concrete work in Nominal M20 grade mix including cost of required centering, shuttering, finishing, smooth with 6 mm thick cement plaster 1:3 (1 cement: 3 fine sand) on exposed surface complete excluding cost of reinforcement </t>
  </si>
  <si>
    <t>String courses, copings, bed plates, anchor blocks, plain window sills etc</t>
  </si>
  <si>
    <t xml:space="preserve">Mouldings as in cornices, windows sills etc. </t>
  </si>
  <si>
    <t xml:space="preserve">Small lintels not exceeding 1.5 m clear span </t>
  </si>
  <si>
    <t>Lintels beams and bressumers including setting in cement mortar 1:3 (1 cement: 3 coarse sand) aggregate 20mm nominal size).</t>
  </si>
  <si>
    <t xml:space="preserve">50mm thick </t>
  </si>
  <si>
    <t xml:space="preserve">40 mm thick </t>
  </si>
  <si>
    <t xml:space="preserve">30mm thick </t>
  </si>
  <si>
    <t xml:space="preserve">Encasing rolled steel section in beams and columns, with M20 Nominal Mix cement concrete  including centering and shuttering complete but excluding cost of reinforcement. </t>
  </si>
  <si>
    <t xml:space="preserve">Encasing rolled steel section in grillages with M20 Nominal Mix including centering and shuttering complete but excluding cost of expanded metal and hangers.  </t>
  </si>
  <si>
    <t>Providing   and   filling   in   position   bitumen sealing compound grade A (IS 1834 )  in  expansion  joints.</t>
  </si>
  <si>
    <t>P.Cm. depth P. Cm. Width for 100mtr. length</t>
  </si>
  <si>
    <t xml:space="preserve">Providing and filling in position bitumen mix filler of proportion 80 Kg. of hot bitumen, 1 Kg. of cement and 0.25 cubic meter of coarse sand for expansion joints. </t>
  </si>
  <si>
    <t>Per cm width per cm depth per 100 mtr. length</t>
  </si>
  <si>
    <t>4.23.1</t>
  </si>
  <si>
    <t xml:space="preserve">12 mm. thick </t>
  </si>
  <si>
    <t>4.23.2</t>
  </si>
  <si>
    <t xml:space="preserve">18 mm. thick </t>
  </si>
  <si>
    <t>4.23.3</t>
  </si>
  <si>
    <t xml:space="preserve"> 25 mm. thick </t>
  </si>
  <si>
    <t>Rm.</t>
  </si>
  <si>
    <t>4.28.1</t>
  </si>
  <si>
    <t>4.28.2</t>
  </si>
  <si>
    <t>20mm Thick</t>
  </si>
  <si>
    <t>25 mm Thick</t>
  </si>
  <si>
    <t>30 mm Thick</t>
  </si>
  <si>
    <t xml:space="preserve">40 mm Thick </t>
  </si>
  <si>
    <t>Mtr</t>
  </si>
  <si>
    <t>Kickers (320 mm wide, 5 mm thick)</t>
  </si>
  <si>
    <t xml:space="preserve">Supplying and providing of two components poly sulphide sealant containing solid contents, confirming to standard specification and approved compatible primer, for priming vertical faces prior to application of poly sulphide sealant including all labour charges for sealing of expansion joints after drill mixing of two components sealing compound. Cleaning and preparation of expansion joint using wire brush sand papering with emery paper and filing with suitable mechanical means. The work includes racking and cleaning of joints, sticking, debonding tape on bottom of joint, applying primer on edges, using masking tape on edges, providing of sealant and removal of masking tape immediately after providing sealant in joint.  </t>
  </si>
  <si>
    <t>F.P.S. bricks class designation 50</t>
  </si>
  <si>
    <t>Aluminium Strip 40 mm wide and 2 mm thick</t>
  </si>
  <si>
    <t>White marble makranasecondquality plain veined stone pieces for crazy flooring</t>
  </si>
  <si>
    <t>8 mm thick marble tiles (polished) Raj Nagar</t>
  </si>
  <si>
    <t>Stone Aggregate (Single size) : 100 mm nominal size</t>
  </si>
  <si>
    <t>Stone Aggregate (Single size) : 80 mm nominal size</t>
  </si>
  <si>
    <t>Stone chippings/ screenings 4.75 mm nominal size</t>
  </si>
  <si>
    <t>Stone chippings/ screenings 150 micron nominal size</t>
  </si>
  <si>
    <t>Over burnt (Jhama) Brick Aggregate: 120 mm to 40 mm size</t>
  </si>
  <si>
    <t>Over burnt (Jhama) Brick Aggregate: 90 mm to 40 mm size</t>
  </si>
  <si>
    <t>Stone chippings/ screenings 12.5/ 13.2 mm nominal size</t>
  </si>
  <si>
    <t>Stone chippings/ screenings 10/ 11.2 mm nominal size</t>
  </si>
  <si>
    <t>Solvent</t>
  </si>
  <si>
    <t>Paving Asphalt 80/100 penetration</t>
  </si>
  <si>
    <t>Polyvinyle chloride sheet 400 micron thick</t>
  </si>
  <si>
    <t>Stone ware spouts 100 mm dia 60 cm long</t>
  </si>
  <si>
    <t>Galvanised steel corrugated sheets</t>
  </si>
  <si>
    <t>Vitreous china Surgeon type wash basin of size 660x460 mm</t>
  </si>
  <si>
    <t>600x120 mm glass shelf with anodised aluminium angle frame, C.P. brass brackets and guard rail of standard size</t>
  </si>
  <si>
    <t>Vitreous china flat back wash basin 550x400 mm</t>
  </si>
  <si>
    <t>C.I.sluice valve (with caps) class II : 100 mm dia</t>
  </si>
  <si>
    <t>C.I.sluice valve (with caps) class II : 125 mm dia</t>
  </si>
  <si>
    <t>C.I.sluice valve (with caps) class II : 150 mm dia</t>
  </si>
  <si>
    <t>C.I.sluice valve (with caps) class II : 200 mm dia</t>
  </si>
  <si>
    <t>C.I.sluice valve (with caps) class II : 250 mm dia</t>
  </si>
  <si>
    <t>C.I.sluice valve (with caps) class II : 300 mm dia</t>
  </si>
  <si>
    <t>C.P.brass union 40 mm dia</t>
  </si>
  <si>
    <t>C.C.I.(spun) socketed soil, waste and vent pipe 1.80 metres long:100mm dia</t>
  </si>
  <si>
    <t>C.C.I.(spun) socketed soil, waste and vent pipe 1.80 metres long:75mm dia</t>
  </si>
  <si>
    <t>S.C.I. S&amp;S bends with access door100mm dia</t>
  </si>
  <si>
    <t>S.C.I. S&amp;S bends with access door75mm dia</t>
  </si>
  <si>
    <t>S.C.I. S&amp;S bend100mm dia</t>
  </si>
  <si>
    <t>S.C.I. S&amp;S bend75mm dia</t>
  </si>
  <si>
    <t>S.C.I. S&amp;S heel rest sanitary bend 100mm dia</t>
  </si>
  <si>
    <t>S.C.I. S&amp;S heel rest sanitary bend 75mm dia</t>
  </si>
  <si>
    <t>S.C.I. S&amp;S single equal junctions100x100x100 mm</t>
  </si>
  <si>
    <t>S.C.I.  S&amp;S single equal junctions75x75x75 mm</t>
  </si>
  <si>
    <t>S.C.I.  S&amp;S  single equal junctions with access door 100x100x100 mm</t>
  </si>
  <si>
    <t>S.C.I. S&amp;S single equal junctions with access door 75x75x75 mm</t>
  </si>
  <si>
    <t>S.C.I. S&amp;S double equal junctions100x100x100x100 mm</t>
  </si>
  <si>
    <t>S.C.I. S&amp;S  double equal junctions75x75x75x75 mm</t>
  </si>
  <si>
    <t>S.C.I. S&amp;S double equal junctions with access door 100x100x100x100 mm.</t>
  </si>
  <si>
    <t>S.C.I. S&amp;S double equal junctions with access door 75x75x75x75 mm.</t>
  </si>
  <si>
    <t>S.C.I. S&amp;S single unequal junctions100x100x75 mm</t>
  </si>
  <si>
    <t>S.C.I.  S&amp;S single unequal junctions with access door  100x100x75 mm</t>
  </si>
  <si>
    <t>S.C.I. S&amp;S double unequal junctions100x100x75x75 mm</t>
  </si>
  <si>
    <t>S.C.I. S&amp;S double unequal junctions with access door 100x100x75x75 mm</t>
  </si>
  <si>
    <t>S.C.I. S&amp;S single equal invert branch of required degree 100x100x100 mm dia</t>
  </si>
  <si>
    <t>S.C.I. S&amp;S single equal invert branch of required degree 75x75x75 mm dia</t>
  </si>
  <si>
    <t>S.C.I. S&amp;S double equal invert branch of required degree100x100x100x100 mm dia</t>
  </si>
  <si>
    <t>S.C.I. S&amp;S double equal invert branch of required degree 75x75x75x75 mm dia</t>
  </si>
  <si>
    <t>S.C.I.  S&amp;S single unequal invert branch of required degree100x100x75 mm dia</t>
  </si>
  <si>
    <t>S.C.I. S&amp;S double unequal invert branch of required degree100x100x75x75 mm dia</t>
  </si>
  <si>
    <t>S.C.I. S&amp;S, 75 mm offset for75 mm dia pipe</t>
  </si>
  <si>
    <t>S.C.I. S&amp;S, 150 mm offset for75 mm dia pipe</t>
  </si>
  <si>
    <t>S.C.I. S&amp;S, 150 mm offset for100 mm dia pipe</t>
  </si>
  <si>
    <t>S.C.I. S&amp;S, 114 mm offset for75 mm dia pipe</t>
  </si>
  <si>
    <t>S.C.I. S&amp;S, 114 mm offset for100 mm dia pipe</t>
  </si>
  <si>
    <t>S.C.I. S&amp;S, 152 mm offset for75 mm dia pipe</t>
  </si>
  <si>
    <t>S.C.I. S&amp;S, 152 mm offset for100 mm dia pipe</t>
  </si>
  <si>
    <t>S.C.I. S&amp;S door pieces 100 mm dia</t>
  </si>
  <si>
    <t>S.C.I. S&amp;S door pieces 75 mm dia</t>
  </si>
  <si>
    <t>S.C.I. S&amp;S, Slotted Cowl (Terminal Guard) 100 mm</t>
  </si>
  <si>
    <t>S.C.I. S&amp;S, Slotted Cowl (Terminal Guard) 75 mm</t>
  </si>
  <si>
    <t>S.C.I. S&amp;S, collars 100 mm</t>
  </si>
  <si>
    <t>S.C.I. S&amp;S, collars 75 mm</t>
  </si>
  <si>
    <t>S.C.I. S&amp;S, 76 mm offset for75 mm dia pipe</t>
  </si>
  <si>
    <t>S.C.I. S&amp;S, 76 mm offset for100 mm dia pipe</t>
  </si>
  <si>
    <t>Vitreous china toilet paper holder of standard size</t>
  </si>
  <si>
    <t>560 mm dia cover with frame (Heavy duty)</t>
  </si>
  <si>
    <t>560 mm dia cover without frame (Heavy duty)</t>
  </si>
  <si>
    <t>Pressed steel door frames (mild steel sheet 1.25mm) Profile "A"</t>
  </si>
  <si>
    <t>Pressed steel door frames (mild steel sheet 1.25mm) Profile "B"</t>
  </si>
  <si>
    <t>Pressed steel door frames (mild steel sheet 1.25mm) Profile "C"</t>
  </si>
  <si>
    <t>Mild steel tubes hot finished welded type</t>
  </si>
  <si>
    <t>Mild steel tubes hot finished seamless type</t>
  </si>
  <si>
    <t>Mild steel tubes electric resistant or inductionbutt welded</t>
  </si>
  <si>
    <t>Circular C.I. Box for ceiling fan</t>
  </si>
  <si>
    <t>Pully 40 mm dia</t>
  </si>
  <si>
    <t>Ready made steel door with necessary hinges, lugs and glazing clips excluding other fittings &amp; their fixing</t>
  </si>
  <si>
    <t>Aluminium primer</t>
  </si>
  <si>
    <t>Red oxide Zinc chromate primer</t>
  </si>
  <si>
    <t>Copper acetate</t>
  </si>
  <si>
    <t>Hydrochloric acid</t>
  </si>
  <si>
    <t>Copper chloride</t>
  </si>
  <si>
    <t>Copper nitrate</t>
  </si>
  <si>
    <t>Ammonium chloride</t>
  </si>
  <si>
    <t>Mobil oil</t>
  </si>
  <si>
    <t>White marble slab Makrana second quality plain veined 18 mm thick</t>
  </si>
  <si>
    <t>Pink marble slab plain  18mm thick</t>
  </si>
  <si>
    <t>Udaypur green marble slab plain  18mm thick</t>
  </si>
  <si>
    <t>Black Zebra marble slab plain  18mm thick</t>
  </si>
  <si>
    <t>Brass 100mm mortice latch and lock with6 levers without pair of handles</t>
  </si>
  <si>
    <t>Labour charges for cutting, bending for fabrication and binding reinforcement (plain or tor/ribbed/TMT steel) as per drawing and design for R.C.C. and R.B. work including cost of binding wire with all lead and lift up to floor five level complete.</t>
  </si>
  <si>
    <t xml:space="preserve">Add extra for reinforcement  in superstructure above floor five level for each four floor  or part thereof . </t>
  </si>
  <si>
    <t>Add extra over  for  both side jali</t>
  </si>
  <si>
    <t xml:space="preserve">Providing, hoisting and fixing up to floor five level precast cement concrete Jali 1:2:4 (1 cement : 2 coarse sand : 4 graded stone aggregate 6mm  nominal size) reinforced with 1.6 mm dia Mild steel wire including centring and shuttering, roughening cleaning, fixing and finishing in cement mortar 1 : 3 (1 cement : 3 fine sand ) etc complete as per approved design excluding plastering of jambs, sills and soffits </t>
  </si>
  <si>
    <t>4.25.1</t>
  </si>
  <si>
    <t>4.25.2</t>
  </si>
  <si>
    <t xml:space="preserve">Providing and fixing in position  bitumen impregnated fiberboard confirming to IS: 1838 in expansion joints including the cost of primer sealing compound. </t>
  </si>
  <si>
    <t>Flame retardent face insulating, Impregnated fibre board 18 mm thick</t>
  </si>
  <si>
    <t>Flame retardent face insulating, Impregnated fibre board 25 mm thick</t>
  </si>
  <si>
    <t>Rm</t>
  </si>
  <si>
    <t>5.1.1</t>
  </si>
  <si>
    <t>Cum.</t>
  </si>
  <si>
    <t>5.1.2</t>
  </si>
  <si>
    <t>Cement mortar 1 : 4 (1 cement : 4 coarse sand)</t>
  </si>
  <si>
    <t>5.1.3</t>
  </si>
  <si>
    <t>Cement mortar 1 : 6 (1 cement : 6 coarse sand)</t>
  </si>
  <si>
    <t>Mud mortar</t>
  </si>
  <si>
    <t>5.3.1</t>
  </si>
  <si>
    <t>Upto 45 cm length and all sides are free</t>
  </si>
  <si>
    <t>Upto 45 cm length and two corners are free</t>
  </si>
  <si>
    <t>Upto 90 cm length and all sides are free</t>
  </si>
  <si>
    <t>5.3.2</t>
  </si>
  <si>
    <t>Brick work in plain arches in super structure upto five storey in cement mortar 1 : 3 including centering and shuttering complete span upto 6 Mtr. with Brick of class designation 75.</t>
  </si>
  <si>
    <t>Brick work in gauged arches in super structure upto five storey in cement mortar 1 : 3 including centering  and shuttering complete span upto 6 meter with Brick of class designation 75.</t>
  </si>
  <si>
    <t xml:space="preserve">Half brick masonry in foundation &amp; plinth using bricks of designation 75 </t>
  </si>
  <si>
    <t>Cement mortar 1 : 3 (1 cement : 3 coarse sand)</t>
  </si>
  <si>
    <t>Brick work in partition in super structure upto five storey 7cm. thick (brick on edges) using bricks of class designation 75 in :</t>
  </si>
  <si>
    <t>Cement mortar1 : 6(1 cement : 6 coarse sand</t>
  </si>
  <si>
    <t>Brick work in super structure upto five storey with selected bricks of class designation 75 in exposed brick work including making horizontal and vertical grooves 10mm. wide 12mm. deep complete in cement mortar 1:6.</t>
  </si>
  <si>
    <t>5.16.1</t>
  </si>
  <si>
    <t>5.16.2</t>
  </si>
  <si>
    <t>5.17.1</t>
  </si>
  <si>
    <t>Quantity in Cum.</t>
  </si>
  <si>
    <t>5.17.2</t>
  </si>
  <si>
    <t>Quantity in Sqm.</t>
  </si>
  <si>
    <t>5.18.1</t>
  </si>
  <si>
    <t>Add extra over item of brick work  with class designation 100 in substitution  of class designation 75 :</t>
  </si>
  <si>
    <t>5.19.1</t>
  </si>
  <si>
    <t>5.19.2</t>
  </si>
  <si>
    <t>CHAPTER B-5</t>
  </si>
  <si>
    <t>BRICK WORK</t>
  </si>
  <si>
    <t xml:space="preserve">Brick masonry with F.P.S. bricks of class designation 75 in  foundation and plinth with bricks </t>
  </si>
  <si>
    <t xml:space="preserve">Brick work with F.P.S. bricks of class designation 75 in superstructure above plinth level upto floor V level in all shapes and sizes in :  </t>
  </si>
  <si>
    <t>5.2.1</t>
  </si>
  <si>
    <t>5.2.2</t>
  </si>
  <si>
    <t>5.2.3</t>
  </si>
  <si>
    <t>5.2.4</t>
  </si>
  <si>
    <t xml:space="preserve">Add extra for Square or Rectangular Pillars in Superstructre brick work up to five storey </t>
  </si>
  <si>
    <t>Add extra  for additional cost of centering for arches exceeding 6m span including all shuttering , bolting wedging and removal.(Area of the soffit to be measured)</t>
  </si>
  <si>
    <t xml:space="preserve"> Circular Pillars </t>
  </si>
  <si>
    <t xml:space="preserve"> Dismantling of cement concrete platform along with curtain walls and base concrete etc. including stacking of useful materials near the site and disposal of unserviceable materials within 50 metres  lead :  </t>
  </si>
  <si>
    <t xml:space="preserve">Dismantling manually/ by mechanical means including stacking of serviceable material and disposal of unserviceable material within 50metres lead as per direction of Engineer-in-charge :  </t>
  </si>
  <si>
    <t>Add extra  for laying bricks work in or under foul condition.</t>
  </si>
  <si>
    <t>Add extra over for laying brick work in or under water and or liquid mud including cost of pumping of or bailing out water and removal of slush etc. complete.</t>
  </si>
  <si>
    <t xml:space="preserve">Add extra for  brick work in superstructure above floor five level, for each four floors or part thereof.  </t>
  </si>
  <si>
    <t>5.18.2</t>
  </si>
  <si>
    <t xml:space="preserve">Brick work with mechanised autoclaved flyash lime bricks conforming to IS: 12894 :2002 of class designation 100 in superstructure above plinth level upto floor V level in.  </t>
  </si>
  <si>
    <t>CHAPTER B-6</t>
  </si>
  <si>
    <t>STONE MASONRY</t>
  </si>
  <si>
    <t xml:space="preserve">Rates provided are for the complete finished items inclusive of cost of water and materials with all leads labour, all type of taxes, royalty, scaffolding, curing, laying, fixing finishing etc., hire charges for tools and plants, templates and other appliances, required for the purpose of execution of the items work as per specification. </t>
  </si>
  <si>
    <t>In case of non-availability of stone header of proper size cement concrete header of mix 1:3 : 6 (M-100) with 25mm graded stone aggregate with smooth finish may be provided by the contractor at no extra cost.</t>
  </si>
  <si>
    <t>6.1.1</t>
  </si>
  <si>
    <t>Mud Mortar.</t>
  </si>
  <si>
    <t>6.1.2</t>
  </si>
  <si>
    <t>Dry Masonry.</t>
  </si>
  <si>
    <t>6.1.3</t>
  </si>
  <si>
    <t>Cement Mortar 1:3 ( 1-Cement : 3-Sand).</t>
  </si>
  <si>
    <t>6.1.4</t>
  </si>
  <si>
    <t>Cement Mortar 1:4 ( 1-Cement : 4-Sand).</t>
  </si>
  <si>
    <t>6.1.5</t>
  </si>
  <si>
    <t>Cement Mortar 1:5 ( 1-Cement : 5-Sand).</t>
  </si>
  <si>
    <t>6.1.6</t>
  </si>
  <si>
    <t>Cement Mortar 1:6 ( 1-Cement : 6-Sand).</t>
  </si>
  <si>
    <t>6.2.1</t>
  </si>
  <si>
    <t>6.2.2</t>
  </si>
  <si>
    <t>6.2.3</t>
  </si>
  <si>
    <t>6.2.4</t>
  </si>
  <si>
    <t>6.2.5</t>
  </si>
  <si>
    <t>6.2.6</t>
  </si>
  <si>
    <t>6.3.1</t>
  </si>
  <si>
    <t>Wall curved in plan to mean radius not exceeding 6 Mtr.</t>
  </si>
  <si>
    <t>6.3.2</t>
  </si>
  <si>
    <t>Wall upto 30cm. and less thickness.</t>
  </si>
  <si>
    <t>6.3.3</t>
  </si>
  <si>
    <t>6.4.1</t>
  </si>
  <si>
    <t>Course rubble facing First sort.</t>
  </si>
  <si>
    <t>6.4.2</t>
  </si>
  <si>
    <t>Course rubble facing Second sort.</t>
  </si>
  <si>
    <t>6.4.3</t>
  </si>
  <si>
    <t>Ashlar fine tooled facing.</t>
  </si>
  <si>
    <t>6.4.4</t>
  </si>
  <si>
    <t>Ashlar rough tooled facing.</t>
  </si>
  <si>
    <t>6.4.5</t>
  </si>
  <si>
    <t>Ashlar pitched facing.</t>
  </si>
  <si>
    <t>50mm thick.</t>
  </si>
  <si>
    <t>Sand or other approved stone 25mm thick.</t>
  </si>
  <si>
    <t>Sand or other approved stone 50mm thick.</t>
  </si>
  <si>
    <t>Supplying and fixing stone lintels/bed plates of approved  quarry  rough  dressed  in  cement mortar 1:4 :</t>
  </si>
  <si>
    <t>Upto 15 cm. thick.</t>
  </si>
  <si>
    <t>Above 15 cm. thick.</t>
  </si>
  <si>
    <t>6.16.1</t>
  </si>
  <si>
    <t>6.16.2</t>
  </si>
  <si>
    <t>Providing dab stone over Chajjas duly fixed in cement sand mortar 1:6 complete :</t>
  </si>
  <si>
    <t>6.18.1</t>
  </si>
  <si>
    <t>80mm thick.</t>
  </si>
  <si>
    <t>6.18.2</t>
  </si>
  <si>
    <t>Note :-</t>
  </si>
  <si>
    <t>Surkhi</t>
  </si>
  <si>
    <t>Random Rubble stone masonry for with hard stone in foundation and plinth in Cement Sand mortar above 30 CM thick wall in:</t>
  </si>
  <si>
    <t>Random Rubble stone masonry with hard stone in superstructure above  plinth level and upto five level  above 30cm. thick walls in :</t>
  </si>
  <si>
    <t>Add extra for Random Rubble stone masonry with hard stone in</t>
  </si>
  <si>
    <t>Square or Rectangular pillars</t>
  </si>
  <si>
    <t>Circular pillars</t>
  </si>
  <si>
    <t>6.3.4</t>
  </si>
  <si>
    <t xml:space="preserve">Add extra for facing as per design and detailed specifications including additional cost of stones </t>
  </si>
  <si>
    <t xml:space="preserve">Providing and fixing stone dowels 10x5x2.50 cm cut to double wedge shape as per design in cement mortar 1:2 (1 cement : 2 coarse sand) including making the necessary chases.  </t>
  </si>
  <si>
    <t xml:space="preserve">Providing and fixing copper pins 7.5 cm long 6 mm diameter for securing adjacent stones in stone wall lining in cement mortar 1:2 (1 cement : 2 coarse sand) including making the necessary chases.  </t>
  </si>
  <si>
    <t>Ruber Gaskets Conforming to I.S 5382 of S.B.R quality 450mm dia</t>
  </si>
  <si>
    <t>Ruber Gaskets Conforming to I.S 5382 of S.B.R quality 500mm dia</t>
  </si>
  <si>
    <t>Ruber Gaskets Conforming to I.S 5382 of S.B.R quality 600mm dia</t>
  </si>
  <si>
    <t>Ruber Gaskets Conforming to I.S 5382 of S.B.R quality 700mm dia</t>
  </si>
  <si>
    <t>Ruber Gaskets Conforming to I.S 5382 of S.B.R quality 750mm dia</t>
  </si>
  <si>
    <t>Ruber Gaskets Conforming to I.S 5382 of S.B.R quality 800mm dia</t>
  </si>
  <si>
    <t>Ruber Gaskets Conforming to I.S 5382 of S.B.R quality 900mm dia</t>
  </si>
  <si>
    <t>Ruber Gaskets Conforming to I.S 5382 of S.B.R quality 1000mm dia</t>
  </si>
  <si>
    <t>Ductile Iron K - 12 specials suitale for push on jointing upto 600mm dia</t>
  </si>
  <si>
    <t>Quintal</t>
  </si>
  <si>
    <t>Ductile Iron K - 12 specials suitale for push on jointing over 600mm dia</t>
  </si>
  <si>
    <t>Ductile Iron specials suitable for mechanical jointing as per I.S. 9523 -  upto 600mm dia</t>
  </si>
  <si>
    <t>Ductile Iron Specials suitable for mechancial jointing as per I.S. 9523 over 600mm dia</t>
  </si>
  <si>
    <t>Ductile Iron Pipe Class K-9 flanges and welding 100mm dia</t>
  </si>
  <si>
    <t>Ductile Iron Pipe Class K-9 flanges and welding 150 dia</t>
  </si>
  <si>
    <t>Ductile Iron Pipe Class K-9 flanges and welding 200mm  dia</t>
  </si>
  <si>
    <t>Ductile Iron Pipe Class K-9 flanges and welding 250mm dia</t>
  </si>
  <si>
    <t>Ductile Iron Pipe Class K-9 flanges and welding 300mm dia</t>
  </si>
  <si>
    <t>Ductile Iron Pipe Class K-9 flanges and welding 350mm dia</t>
  </si>
  <si>
    <t>Ductile Iron Pipe Class K-9 flanges and welding 400mm dia</t>
  </si>
  <si>
    <t>Ductile Iron Pipe Class K-9 flanges and welding 450mm dia</t>
  </si>
  <si>
    <t>Ductile Iron Pipe Class K-9 flanges and welding 500mm dia</t>
  </si>
  <si>
    <t>Ductile Iron Pipe Class K-9 flanges and welding 600mm dia</t>
  </si>
  <si>
    <t>Ductile Iron Pipe Class K-9 flanges and welding 700mm dia</t>
  </si>
  <si>
    <t>S&amp;S Centrifugally (Spun) C.I. Pipe class LA 200mm dia</t>
  </si>
  <si>
    <t>S&amp;S Centrifugally (Spun) C.I. Pipe class LA 250mm dia</t>
  </si>
  <si>
    <t>S&amp;S Centrifugally (Spun) C.I. Pipe class LA 300mm dia</t>
  </si>
  <si>
    <t>S&amp;S Centrifugally (Spun) C.I. Pipe class LA 350mm dia</t>
  </si>
  <si>
    <t>S&amp;S Centrifugally (Spun) C.I. Pipe class LA 400mm dia</t>
  </si>
  <si>
    <t>S&amp;S Centrifugally (Spun) C.I. Pipe class LA 450mm dia</t>
  </si>
  <si>
    <t>S&amp;S Centrifugally (Spun) C.I. Pipe class LA 500mm dia</t>
  </si>
  <si>
    <t>S&amp;S Centrifugally (Spun) C.I. Pipe class LA 600mm dia</t>
  </si>
  <si>
    <t>S&amp;S Centrifugally (Spun) C.I. Pipe Specials as per IS 1538 suitable for lead jointing upto 300mm dia</t>
  </si>
  <si>
    <t>S&amp;S Centrifugally (Spun) C.I. Pipe Specials as per IS 1538 suitable for lead jointing over 300mm dia</t>
  </si>
  <si>
    <t>S&amp;S Centrifugally (Spun) C.I. Pipe specials suitable for mechanical joint as per I.S. 13382 upto 300mm dia</t>
  </si>
  <si>
    <t>S&amp;S Centrifugally (Spun) C.I. Pipe Specials suitabe for mechanical joint as per IS 13382 over 300mm dia</t>
  </si>
  <si>
    <t>Screwed double flanged centrigually cast (spun) C.I. Pipe of Class B conforming to I.S. 1536, - 100mm dia</t>
  </si>
  <si>
    <t>Screwed double flanged centrigually cast (spun) C.I. Pipe of Class B conforming to I.S. 1536, - 150mm dia</t>
  </si>
  <si>
    <t>Screwed double flanged centrigually cast (spun) C.I. Pipe of Class B conforming to I.S. 1536, - 200mm dia</t>
  </si>
  <si>
    <t>Screwed double flanged centrigually cast (spun) C.I. Pipe of Class B conforming to I.S. 1536, - 250mm dia</t>
  </si>
  <si>
    <t>Screwed double flanged centrigually cast (spun) C.I. Pipe of Class B conforming to I.S. 1536, - 300mm dia</t>
  </si>
  <si>
    <t>Screwed double flanged centrigually cast (spun) C.I. Pipe of Class B conforming to I.S. 1536, - 350mm dia</t>
  </si>
  <si>
    <t>Screwed double flanged centrigually cast (spun) C.I. Pipe of Class B conforming to I.S. 1536, - 400mm dia</t>
  </si>
  <si>
    <t>Screwed double flanged centrigually cast (spun) C.I. Pipe of Class B conforming to I.S. 1536, - 450mm dia</t>
  </si>
  <si>
    <t>Screwed double flanged centrigually cast (spun) C.I. Pipe of Class B conforming to I.S. 1536, - 500mm dia</t>
  </si>
  <si>
    <t>Screwed double flanged centrigually cast (spun) C.I. Pipe of Class B conforming to I.S. 1536, - 600mm dia</t>
  </si>
  <si>
    <t>Ductile Iron Class K- 7 pipe conforming to I.S. 8329 - 100mm dia</t>
  </si>
  <si>
    <t>Ductile Iron Class K- 7 pipe conforming to I.S. 8329 - 150mm dia</t>
  </si>
  <si>
    <t>Ductile Iron Class K- 7 pipe conforming to I.S. 8329 - 200mm dia</t>
  </si>
  <si>
    <t>Ductile Iron Class K- 7 pipe conforming to I.S. 8329 - 250mm dia</t>
  </si>
  <si>
    <t>Ductile Iron Class K- 7 pipe conforming to I.S. 8329 - 300mm dia</t>
  </si>
  <si>
    <t>Ductile Iron Class K- 7 pipe conforming to I.S. 8329 - 350mm dia</t>
  </si>
  <si>
    <t>Ductile Iron Class K- 7 pipe conforming to I.S. 8329 - 400mm dia</t>
  </si>
  <si>
    <t>Ductile Iron Class K- 7 pipe conforming to I.S. 8329 - 450mm dia</t>
  </si>
  <si>
    <t>Ductile Iron Class K- 7 pipe conforming to I.S. 8329 - 500mm dia</t>
  </si>
  <si>
    <t>Ductile Iron Class K- 7 pipe conforming to I.S. 8329 - 600mm dia</t>
  </si>
  <si>
    <t>Ductile Iron Class K- 7 pipe conforming to I.S. 8329 - 700mm dia</t>
  </si>
  <si>
    <t>Ductile Iron Class K- 7 pipe conforming to I.S. 8329 - 800mm dia</t>
  </si>
  <si>
    <t>Ductile Iron Class K- 7 pipe conforming to I.S. 8329 - 900mm dia</t>
  </si>
  <si>
    <t>Ductile Iron Class K- 7 pipe conforming to I.S. 8329 - 1000mm dia</t>
  </si>
  <si>
    <t>Extruded burnt flyash clay sewer bricks conforming to I.S 4885 - 1988</t>
  </si>
  <si>
    <t>Fly ash lime bricks (FALG Bricks) conforming to I.S. 12894-1989</t>
  </si>
  <si>
    <t>Calcium Silicate Bricks machine moulded confirming to I.S. 4139 - 1989</t>
  </si>
  <si>
    <t>Modified Bitumen Refinary produced CRMB - 55</t>
  </si>
  <si>
    <t>Tonne</t>
  </si>
  <si>
    <t>Modified Bitumen Refinary produced CRMB - 60</t>
  </si>
  <si>
    <t>Bitumen emulsion medium setting (M.S.) confirming to IS : 8887-1995</t>
  </si>
  <si>
    <t>Ceramic Glazed Tiles Ist quality 300 x 300 in all shades designs except White, Ivory, Grey, Fuem Red Brown etc.</t>
  </si>
  <si>
    <t>Rectified Ceramic Glazed Tiles Ist quality 300x300mm or more in all shades designs White, Ivory, Grey, Fuem Red Brown etc.</t>
  </si>
  <si>
    <t>Rectified Ceramic Glazed Tiles Ist quality 300x300mm or more in all shades designs except White, Ivory, Grey, Fuem Red Brown etc.</t>
  </si>
  <si>
    <t>Salem Stainless steel AISI - 304 (18/8) Orrisa pattern W.C. pan 724mm X 578mm</t>
  </si>
  <si>
    <t>Salem Stainless steel AISI - 304 (18/8) Round basin 405mm X 355mm</t>
  </si>
  <si>
    <t>Salem Stainless steel AISI - 304 (18/8) Wash basin 530mm X 345mm</t>
  </si>
  <si>
    <t>Centrifugally cast (spun) iron S&amp;S 100 mm inlet and 100 mm outlet</t>
  </si>
  <si>
    <t>Centrifugally cast (spun) iron S&amp;S 100 mm inlet and 75 mm outlet</t>
  </si>
  <si>
    <t>Agaria White marble slab plain  18mm thick</t>
  </si>
  <si>
    <t>P.T.M.T. Grating square slit 150mm</t>
  </si>
  <si>
    <t>P.T.M.T. Urinal cock 15mm dia</t>
  </si>
  <si>
    <t>P.T.M.T. Bib cock with nozzle 15mm</t>
  </si>
  <si>
    <t>P.T.M.T. Stop cock (concealed) 15mm</t>
  </si>
  <si>
    <t>15 mm nominal bore and 30 cm length PVC connection pipe with P.T.M.T. Nuts</t>
  </si>
  <si>
    <t>15 mm nominal bore and 45 cm length PVC connection pipe with P.T.M.T. Nuts</t>
  </si>
  <si>
    <t>P.T.M.T. extension nipple 15mm</t>
  </si>
  <si>
    <t>P.T.M.T. extension nipple 20mm</t>
  </si>
  <si>
    <t>P.T.M.T. extension nipple 25mm</t>
  </si>
  <si>
    <t>24 mm thick Factory made shutters with frame, rails and panels of PVC extruded sections in white, grey or wooden finish</t>
  </si>
  <si>
    <t>Factory made PVC rigid foam sheet 1mm thick</t>
  </si>
  <si>
    <t>Factory made PVC rigid foam sheet 5mm thick</t>
  </si>
  <si>
    <t>Factory made prelaminated PVC rigid foam sheet 5mm thick</t>
  </si>
  <si>
    <t>48mmX40mmX1.5mm thick Factory made door frame of PVC extruded sections in white, grey or wooden finish</t>
  </si>
  <si>
    <t>Adhesive solvent cement</t>
  </si>
  <si>
    <t>A.P.P. modified polymeric felt (two layers) 1.5 mm thick</t>
  </si>
  <si>
    <t>A.P.P. modified polymeric felt (two layers) 2 mm thick</t>
  </si>
  <si>
    <t>A.P.P. modified 2 mm thick membrance reinforced with glass fibre matt</t>
  </si>
  <si>
    <t>A.P.P. modified 3 mm thick membrance reinforced with glass fibre matt</t>
  </si>
  <si>
    <t>A.P.P. modified 3 mm thick membrance reinforced with polyster matt</t>
  </si>
  <si>
    <t>Bitumen primer for bitumen membrance</t>
  </si>
  <si>
    <t>Geotextile 120 gsm membrance</t>
  </si>
  <si>
    <t>Stainless steel butt hinges 125x64x1.9 mm IS : 12817 marked</t>
  </si>
  <si>
    <t>Stainless steel butt hinges 100x58x1.9 mm IS : 12817 marked</t>
  </si>
  <si>
    <t>Stainless steel butt hinges 75x47x1.8 mm IS : 12817 marked</t>
  </si>
  <si>
    <t>Stainless steel butt hinges (heavy weight) 125x64x2.5 mm IS : 12817 marked</t>
  </si>
  <si>
    <t>10 10 Nos</t>
  </si>
  <si>
    <t>10 10 Nos.</t>
  </si>
  <si>
    <t>1216 mm PE-AL-PE Composit pressure pipe</t>
  </si>
  <si>
    <t>1620 mm PE-AL-PE Composit pressure pipe</t>
  </si>
  <si>
    <t>2025 mm PE-AL-PE Composit pressure pipe</t>
  </si>
  <si>
    <t>2532 mm PE-AL-PE Composit pressure pipe</t>
  </si>
  <si>
    <t>3240 mm PE-AL-PE Composit pressure pipe</t>
  </si>
  <si>
    <t>4050 mm PE-AL-PE Composit pressure pipe</t>
  </si>
  <si>
    <t>Polymer modified cementation coating</t>
  </si>
  <si>
    <t>Fibre glass cloth</t>
  </si>
  <si>
    <t>Multi surface paint</t>
  </si>
  <si>
    <t>Acrylic exterior paint</t>
  </si>
  <si>
    <t>Premium Acrylic exterior paint</t>
  </si>
  <si>
    <t>Textured exterior paint</t>
  </si>
  <si>
    <t>Primer for cement paint</t>
  </si>
  <si>
    <t>Special Primer</t>
  </si>
  <si>
    <t>Metal Primer</t>
  </si>
  <si>
    <t>Main T ceiling sections 24x38x0.3 mm (3 metre long)</t>
  </si>
  <si>
    <t>Perimeter wall angle 21x21x0.3mm  (3 metre long)</t>
  </si>
  <si>
    <t>Intermediate cross T-section 24x25x0.3mm (1.2 mtrs long)</t>
  </si>
  <si>
    <t>Intermediate cross T-section 24x25x0.3mm (0.6 mtrs long)</t>
  </si>
  <si>
    <t>Hanger rod 0.5 mm thick</t>
  </si>
  <si>
    <t>Adjustment clip</t>
  </si>
  <si>
    <t>Dash fastener 6 mm dia 50 mm long</t>
  </si>
  <si>
    <t>Vitrified floor tile 50x50 cm</t>
  </si>
  <si>
    <t>Vitrified floor tile 60x60 cm</t>
  </si>
  <si>
    <t>Vitrified floor tile 80x80 cm</t>
  </si>
  <si>
    <t>Vitrified floor tile 100x100 cm</t>
  </si>
  <si>
    <t>Poly propylene- Random - Co - Polymer (PPR) pipes SDR 7.4 - 16 Outer dia</t>
  </si>
  <si>
    <t>Hire and running charges of bentonite pump.</t>
  </si>
  <si>
    <t>Hire and running charges of vibrating pile driving hammer complete with power unit and accessories .</t>
  </si>
  <si>
    <t xml:space="preserve">Hire and running charges of crane 20 tonne capacity. </t>
  </si>
  <si>
    <t>Generator 250 KVA.</t>
  </si>
  <si>
    <t>Paint applicator.</t>
  </si>
  <si>
    <t>Tractor with ripper attachment.</t>
  </si>
  <si>
    <t>Tractor with trolley .</t>
  </si>
  <si>
    <t>Air compressor 250 cfm with two leads for pneumatic cutters/ hammers.</t>
  </si>
  <si>
    <t>day</t>
  </si>
  <si>
    <t>Joint cutting machine with 2-3 blades</t>
  </si>
  <si>
    <t>C.C .batch mix plant.</t>
  </si>
  <si>
    <t>Road sweeper</t>
  </si>
  <si>
    <t>Slip form paver with sensor.</t>
  </si>
  <si>
    <t>Water tanker 5000 litr capacity.</t>
  </si>
  <si>
    <t>Concrete joint cutting machine.</t>
  </si>
  <si>
    <t xml:space="preserve">Texturing machine.  </t>
  </si>
  <si>
    <t>Chowkidar</t>
  </si>
  <si>
    <t>Assistant Fitter or 2nd class Fitter</t>
  </si>
  <si>
    <t>Mason (for plaster of paris work) 1st class</t>
  </si>
  <si>
    <t>Mason (brick layer) 2nd class</t>
  </si>
  <si>
    <t>Mason (for plain stone work) 2nd class)</t>
  </si>
  <si>
    <t>Driver (for Road Roller, Concrete Mixer, Truck etc.)</t>
  </si>
  <si>
    <t>Painter</t>
  </si>
  <si>
    <t>Rock Excavator</t>
  </si>
  <si>
    <t>Rock Breaker</t>
  </si>
  <si>
    <t>Rock Hole Driller</t>
  </si>
  <si>
    <t>Stone Chiseller</t>
  </si>
  <si>
    <t>Sprayer (for bitumen, tar etc.)</t>
  </si>
  <si>
    <t>Skilled Beldar (for floor rubbing etc.)</t>
  </si>
  <si>
    <t>White Washer</t>
  </si>
  <si>
    <t>Mason (average)</t>
  </si>
  <si>
    <t>Operator (Pile/ Special machine)</t>
  </si>
  <si>
    <t>Skilled torch operator for laying tack</t>
  </si>
  <si>
    <t>Seam bolts and nuts 6 mm dia and 25 mm long</t>
  </si>
  <si>
    <t>Non - Asbestos fibre cement corrugated sheet 6mm thick.</t>
  </si>
  <si>
    <t>Non - Asbestos fibre cement close fitting adjustable ridge.</t>
  </si>
  <si>
    <t>Non - Asbestos fibre cement corrugate serrated adjustable ridge.</t>
  </si>
  <si>
    <t>Non - Asbestos fibre cement plain wing adjustable ridge.</t>
  </si>
  <si>
    <t>Non - Asbestos fibre cement unserrated adjustable ridge for hips.</t>
  </si>
  <si>
    <t>Non - Asbestos fibre cement corrugated appron piece.</t>
  </si>
  <si>
    <t>Non - Asbestos fibre cement eaves filler piece.</t>
  </si>
  <si>
    <t>Non - Asbestos fibre cement north light curves.</t>
  </si>
  <si>
    <t>Non - Asbestos fibre cement ventilator curves.</t>
  </si>
  <si>
    <t>Non - Asbestos fibre cement barge boards 6 mm thick.</t>
  </si>
  <si>
    <t xml:space="preserve">Non - Asbestos fibre cement ridge finial .  </t>
  </si>
  <si>
    <t>pair</t>
  </si>
  <si>
    <t xml:space="preserve">Non - Asbestos fibre cement special north light curves.  </t>
  </si>
  <si>
    <t xml:space="preserve">Non - Asbestos fibre cement S type louvers.  </t>
  </si>
  <si>
    <t>Non - Asbestos multi purpose fibre cement board 8mm thick.</t>
  </si>
  <si>
    <t>Brick Aggregate (Single size) : 63 mm nominal size</t>
  </si>
  <si>
    <t>Brick Aggregate (Single size) : 50 mm nominal size</t>
  </si>
  <si>
    <t>Brick Aggregate (Single size) : 40 mm nominal size</t>
  </si>
  <si>
    <t>Stone Aggregate (Single size) : 63 mm nominal size</t>
  </si>
  <si>
    <t>Stone Aggregate (Single size) : 50 mm nominal size</t>
  </si>
  <si>
    <t>Stone Aggregate (Single size) : 40 mm nominal size</t>
  </si>
  <si>
    <t>Stone Aggregate (Single size) : 25 mm nominal size</t>
  </si>
  <si>
    <t>Stone Aggregate (Single size) : 20 mm nominal size</t>
  </si>
  <si>
    <t>Stone Aggregate (Single size) : 12.5 mm nominal size</t>
  </si>
  <si>
    <t>Stone Aggregate (Single size) : 10 mm nominal size</t>
  </si>
  <si>
    <t>Stone Aggregate (Single size) : 06 mm nominal size</t>
  </si>
  <si>
    <t>Safeda ballies 125 mm diameter</t>
  </si>
  <si>
    <t>Bajri</t>
  </si>
  <si>
    <t>score</t>
  </si>
  <si>
    <t>Bhusa</t>
  </si>
  <si>
    <t>Paving bitumen S-90 of approved quality</t>
  </si>
  <si>
    <t>Bitumen emulsion</t>
  </si>
  <si>
    <t>Bitumen grade PMB - 40</t>
  </si>
  <si>
    <t>M.T.</t>
  </si>
  <si>
    <t xml:space="preserve">Blown type petroleum bitumen of penetration 85/25 of approved quality </t>
  </si>
  <si>
    <t>Bitumen hot sealing compound : grade A</t>
  </si>
  <si>
    <t>Bitumen solution primer of approved quality</t>
  </si>
  <si>
    <t>Premoulded joint filler 12 mm thick</t>
  </si>
  <si>
    <t>Bitumen felt fibre base (vegetable or animal):Type 2 grade 1</t>
  </si>
  <si>
    <t>Bitumen felt :Type 3 grade 1</t>
  </si>
  <si>
    <t>Coal Tar</t>
  </si>
  <si>
    <t>Blasting powder</t>
  </si>
  <si>
    <t>Blasting fuse (fuse wire)</t>
  </si>
  <si>
    <t>White face insulating board:12 mm thick</t>
  </si>
  <si>
    <t>Natural colour insulating board:12 mm thick</t>
  </si>
  <si>
    <t>Flame retardent face insulating board: 12 mm thick</t>
  </si>
  <si>
    <t>Flame retardent face insulating, Impregnated fibre board 12 mm thick</t>
  </si>
  <si>
    <t>Flat pressed 3 layer particle board (medium density) Grade I :12 mm thick</t>
  </si>
  <si>
    <t>Extra for veneered particle board with : Teak veneering on one side and commercial veneered on other side</t>
  </si>
  <si>
    <t>Extra for veneered particle board with : Commercial veneering on both sides</t>
  </si>
  <si>
    <t>Extra for veneered particle board with : Teak veneering on both sides</t>
  </si>
  <si>
    <t>Brick bats</t>
  </si>
  <si>
    <t>Wire brush</t>
  </si>
  <si>
    <t>Soft brush</t>
  </si>
  <si>
    <t>Portland Cement</t>
  </si>
  <si>
    <t>Coal (steam)</t>
  </si>
  <si>
    <t>Cramp Gun metal 25x6x300 mm</t>
  </si>
  <si>
    <t>Brass butt hinges (light/ordinary type) : 125x70x4 mm</t>
  </si>
  <si>
    <t>Brass butt hinges (light/ordinary type) : 100x70x4 mm</t>
  </si>
  <si>
    <t>Brass butt hinges (light/ordinary type) : 75x40x2.5 mm</t>
  </si>
  <si>
    <t>Brass butt hinges (light/ordinary type) : 50x40x2.5 mm</t>
  </si>
  <si>
    <t>Brass butt hinges (heavy type) : 125x85x5.5 mm(.70)kg</t>
  </si>
  <si>
    <t>Brass butt hinges (heavy type) : 100x85x5.5 mm(.56)kg</t>
  </si>
  <si>
    <t>Brass butt hinges (heavy type) :75x65x4.0 mm(.20)kg</t>
  </si>
  <si>
    <t>Brass parliamentary hinges 150x125x27x5 mm</t>
  </si>
  <si>
    <t>Brass parliamentary hinges 125x125x27x5 mm</t>
  </si>
  <si>
    <t>Brass parliamentary hinges 100x125x27x5 mm</t>
  </si>
  <si>
    <t>Brass parliamentary hinges75x100x20x3.2 mm</t>
  </si>
  <si>
    <t>Brass single acting spring hinges 150 mm</t>
  </si>
  <si>
    <t>Brass single acting spring hinges 125 mm</t>
  </si>
  <si>
    <t>Brass single acting spring hinges 100 mm</t>
  </si>
  <si>
    <t>Brass double acting spring hinges 150 mm</t>
  </si>
  <si>
    <t>Brass double acting spring hinges 125 mm</t>
  </si>
  <si>
    <t>Brass double acting spring hinges 100 mm</t>
  </si>
  <si>
    <t>Brass tower bolt (barrel type) 250x10 mm</t>
  </si>
  <si>
    <t>Brass tower bolt (barrel type) 200x10 mm</t>
  </si>
  <si>
    <t>Brass tower bolt (barrel type) 150x10 mm</t>
  </si>
  <si>
    <t>Brass tower bolt (barrel type) 100x10 mm</t>
  </si>
  <si>
    <t>Brass flush bolt 250 mm</t>
  </si>
  <si>
    <t>Brass flush bolt 150 mm</t>
  </si>
  <si>
    <t>Brass flush bolt 100 mm</t>
  </si>
  <si>
    <t>Brass handles 125 mm with plate 175x32 mm</t>
  </si>
  <si>
    <t>Brass handles 100 mm with plate 150x32 mm</t>
  </si>
  <si>
    <t>Brass handles75 mm with plate 125x32 mm</t>
  </si>
  <si>
    <t>Brass door latch 300x16x5 mm (0.380 kg)</t>
  </si>
  <si>
    <t xml:space="preserve">HARD  ROCK  (REQUIRING  BLASTING)  USEFUL  MATERIAL  30%  OF  VOLUME    EXCAVATED </t>
  </si>
  <si>
    <t>1.16.3</t>
  </si>
  <si>
    <t>HARD  ROCK  (BLASTING  PROHIBITED)  USEFUL  MATERIAL  30%  OF  VOLUME   EXCAVATED</t>
  </si>
  <si>
    <t>P &amp; F Close timbering in trenches including strutting, shoring and packing cavities (wherever required) etc.  Complete (Measurement to be taken of the face area timbered):</t>
  </si>
  <si>
    <t>1.19.1</t>
  </si>
  <si>
    <t>Depth not exceeding 1.5 Mtr.</t>
  </si>
  <si>
    <t>Depth exceeding 1.5 Mtr. but not exceeding 3 Mtr</t>
  </si>
  <si>
    <t>Depth exceeding 3 Mtr. but not exceeding 4.5 Mtr</t>
  </si>
  <si>
    <t>P &amp; F Close timbering in case of shafts, wells, soak pits, man-holes and the like including strutting, shoring and packing cavities (wherever required) etc complete (Measurement to be taken of the face area timbered):</t>
  </si>
  <si>
    <t>1.20.1</t>
  </si>
  <si>
    <t>1.20.2</t>
  </si>
  <si>
    <t>1.20.3</t>
  </si>
  <si>
    <t>1.21.1</t>
  </si>
  <si>
    <t>1.21.2</t>
  </si>
  <si>
    <t>1.21.3</t>
  </si>
  <si>
    <t>P &amp; F of Open timbering in trenches including strutting, shoring complete (measurements to be taken of the face area timbered)</t>
  </si>
  <si>
    <t>P &amp; F of Open timbering in case of shafts, wells, soak pits, manholes and the like including strutting, shoring complete (Measurement to be taken of the face are timbered):</t>
  </si>
  <si>
    <t>1.24.1</t>
  </si>
  <si>
    <t>1.24.2</t>
  </si>
  <si>
    <t>P &amp; F Open timbering over area including strutting, shoring etc complete (Measurement to be taken of the face are timbered):</t>
  </si>
  <si>
    <t>Ordinary or hard rock.</t>
  </si>
  <si>
    <t>1.37.1</t>
  </si>
  <si>
    <t>1.37.2</t>
  </si>
  <si>
    <t>Deduct   for  not  watering  the  excavated  earth  for  banking.</t>
  </si>
  <si>
    <t>1.10.3</t>
  </si>
  <si>
    <t>Add extra  for excavating trench for pipes, cables etc. in all kinds of soil for depth exceeding 1.5 Mtr. but not exceeding 3 Mtr.</t>
  </si>
  <si>
    <t>Add extra for excavating trench for pipes, cables etc. in all kinds of soil for depth exceeding 3 Mtr. but not exceeding 4.5 Mtr.</t>
  </si>
  <si>
    <t>1.18.1</t>
  </si>
  <si>
    <t>1.18.2</t>
  </si>
  <si>
    <t>1.18.3</t>
  </si>
  <si>
    <t>P &amp; F Close timbering over area including strutting, shoring and packing cavities (wherever required) etc. complete (Measurement to be taken of the face area timbered):</t>
  </si>
  <si>
    <t>Add extra  for planking, strutting and packing material for cavities (in close timbering) if required to be left permanently in position (face area of timber permanently left to be measured)</t>
  </si>
  <si>
    <t>1.22.1</t>
  </si>
  <si>
    <t>1.22.2</t>
  </si>
  <si>
    <t>1.22.3</t>
  </si>
  <si>
    <t>Add extra  for planking and strutting in open timbering if required to be left permanently in position (face area of timber permanently left to be measured)</t>
  </si>
  <si>
    <t>P.Mtr. depth</t>
  </si>
  <si>
    <t>Add extra rate for quantities of works, executed :</t>
  </si>
  <si>
    <t xml:space="preserve">In or under water and /or liquid mud, including pumping out water as required </t>
  </si>
  <si>
    <t xml:space="preserve">In or under foul position , including pumping out water as required </t>
  </si>
  <si>
    <t xml:space="preserve">Add extra for foundation/trenches/drains for every additional lift of 1.5 Mtr. or part thereof in </t>
  </si>
  <si>
    <t>1.26.1</t>
  </si>
  <si>
    <t>1.26.2</t>
  </si>
  <si>
    <t>Supplying and Filling in plinth with river sand under floors including watering ramming consolidating and dressing complete including cost of sand</t>
  </si>
  <si>
    <t>Excavating holes upto 0.5 cum including getting out the excavated soil, then returning the soil as required in layers not exceeding 20 cm in depth, including consolidating each deposited layer by ramming, watering etc, disposing of surplus excavted soil; as directed within a lead of 50 m and lift to 1.5 m</t>
  </si>
  <si>
    <t>1.30.1</t>
  </si>
  <si>
    <t>1.30.2</t>
  </si>
  <si>
    <t>1.30.3</t>
  </si>
  <si>
    <t>1.30.4</t>
  </si>
  <si>
    <t>Clearing jungle including uprooting of rank vegetation, grass, brush wood, trees and saplings of girth upto 30 cm measured at a height of 1 m above ground level and removal of rubbish upto a distance of 50 m outside the periphery of the area cleared.</t>
  </si>
  <si>
    <t xml:space="preserve">Clearing grass and removal of the rubbish upto a distance of 50 m outside the periphery of the area cleared.  </t>
  </si>
  <si>
    <t>1.33.1</t>
  </si>
  <si>
    <t>Beyound 30 cm girth upto including 60 cm girth</t>
  </si>
  <si>
    <t xml:space="preserve">Felling trees of the girth (measured at a height of 1 m above ground level) including cutting of trunks and branches removing the roots and stacking of serviceable material  and disposal of unserviceable material.  </t>
  </si>
  <si>
    <t>Beyound 60 cm girth upto including 120 cm girth</t>
  </si>
  <si>
    <t>1.33.2</t>
  </si>
  <si>
    <t>Beyound 120 cm girth upto including 240 cm girth</t>
  </si>
  <si>
    <t>1.33.3</t>
  </si>
  <si>
    <t>Above 240 cm girth</t>
  </si>
  <si>
    <t>1.33.4</t>
  </si>
  <si>
    <t>1.35.1</t>
  </si>
  <si>
    <t>1.35.2</t>
  </si>
  <si>
    <t>1.35.3</t>
  </si>
  <si>
    <t>1.35.4</t>
  </si>
  <si>
    <t>1.35.5</t>
  </si>
  <si>
    <t>Ltr.</t>
  </si>
  <si>
    <t xml:space="preserve">CHAPTER B-1 </t>
  </si>
  <si>
    <t>CHAPTER B-2</t>
  </si>
  <si>
    <t>MORTAR</t>
  </si>
  <si>
    <t>Complete rate for mortar is inclusive of cost of material, T &amp; P &amp; cost of water with all leads and lifts involved.</t>
  </si>
  <si>
    <t>Compressive strength of mortars shall be as per the relevant specifications.</t>
  </si>
  <si>
    <t>Cement mortar shall be prepared by mechanical mixer only.</t>
  </si>
  <si>
    <t>NOTE :</t>
  </si>
  <si>
    <t>CEMENT SAND MORTAR :</t>
  </si>
  <si>
    <t>Cement sand Mortar 1 : 2  (1 cement :  2 sand)</t>
  </si>
  <si>
    <t>Cement sand Mortar 1 : 3 (1 cement :  3 sand)</t>
  </si>
  <si>
    <t>Cement sand Mortar 1 : 4 (1cement :  4 sand)</t>
  </si>
  <si>
    <t>Cement sand Mortar 1 : 5 (1 cement :  5 sand)</t>
  </si>
  <si>
    <t>Cement sand Mortor 1 : 6 (1 cement :  6 sand)</t>
  </si>
  <si>
    <t>Cement sand Mortor 1 : 8 (1 cement :  8 sand)</t>
  </si>
  <si>
    <t>Cement sand Mortar 1:10 (1 cement :10 sand)</t>
  </si>
  <si>
    <t>CEMENT MARBLE POWDER MORTAR :</t>
  </si>
  <si>
    <t>Cement marble powder mortar 1 : 2  (1-cement :   2-marble powder)</t>
  </si>
  <si>
    <t>Cement marble powder mortar 1 : 4 (1cement :     4-marble powder)</t>
  </si>
  <si>
    <t>White cement marble powder mortar 1 :2 (1 white cement : 2 marble powder</t>
  </si>
  <si>
    <t>White cement marble powder mortar 1:3 (1 white cement : 3 marble powder)</t>
  </si>
  <si>
    <t>MUD MORTAR :</t>
  </si>
  <si>
    <t>Mud Mortar including specified ingredients.</t>
  </si>
  <si>
    <t>White cement marble powder mortar 1:4 (1 white cement : 4 marble powder)</t>
  </si>
  <si>
    <t>CHAPTER B-3</t>
  </si>
  <si>
    <t>S.C.I. hand pump</t>
  </si>
  <si>
    <t>R.C.C. pipes NP2 class 100 mm dia</t>
  </si>
  <si>
    <t>R.C.C. pipes NP2 class 150 mm dia</t>
  </si>
  <si>
    <t>R.C.C. pipes NP2 class 250 mm dia</t>
  </si>
  <si>
    <t>R.C.C. pipes NP2 class 300 mm dia</t>
  </si>
  <si>
    <t>R.C.C. pipes NP2 class 450 mm dia</t>
  </si>
  <si>
    <t>R.C.C. pipes NP2 class 500 mm dia</t>
  </si>
  <si>
    <t>R.C.C. pipes NP2 class 600 mm dia</t>
  </si>
  <si>
    <t>R.C.C. pipes NP2 class 700 mm dia</t>
  </si>
  <si>
    <t>R.C.C. pipes NP2 class 800 mm dia</t>
  </si>
  <si>
    <t>R.C.C. pipes NP2 class 900 mm dia</t>
  </si>
  <si>
    <t>R.C.C. pipes NP2 class 1000 mm dia</t>
  </si>
  <si>
    <t>R.C.C. pipes NP2 class 1100 mm dia</t>
  </si>
  <si>
    <t>R.C.C. collarsNP2 class 100 mm dia</t>
  </si>
  <si>
    <t>R.C.C. collarsNP2 class 150 mm dia</t>
  </si>
  <si>
    <t>R.C.C. collarsNP2 class 250 mm dia</t>
  </si>
  <si>
    <t>R.C.C. collarsNP2 class 300 mm dia</t>
  </si>
  <si>
    <t>R.C.C. collarsNP2 class 450 mm dia</t>
  </si>
  <si>
    <t>R.C.C. collarsNP2 class 500 mm dia</t>
  </si>
  <si>
    <t>R.C.C. collarsNP2 class 600 mm dia</t>
  </si>
  <si>
    <t>R.C.C. collarsNP2 class 700 mm dia</t>
  </si>
  <si>
    <t>R.C.C. collarsNP2 class 800 mm dia</t>
  </si>
  <si>
    <t>R.C.C. collarsNP2 class 900 mm dia</t>
  </si>
  <si>
    <t>R.C.C. collarsNP2 class 1000 mm dia</t>
  </si>
  <si>
    <t>R.C.C. collarsNP2 class 1100 mm dia</t>
  </si>
  <si>
    <t>R.C.C. collarsNP2 class 1200 mm dia</t>
  </si>
  <si>
    <t>Stoneware pipes grade A (60 cm long) 100 mm dia</t>
  </si>
  <si>
    <t>Stoneware pipes grade A (60 cm long) 150 mm dia</t>
  </si>
  <si>
    <t>Stoneware pipes grade A (60 cm long) 200 mm dia</t>
  </si>
  <si>
    <t>Stoneware pipes grade A (60 cm long) 230 mm dia</t>
  </si>
  <si>
    <t>Stoneware pipes grade A (60 cm long) 250 mm dia</t>
  </si>
  <si>
    <t>Stoneware pipes grade A (60 cm long) 300 mm dia</t>
  </si>
  <si>
    <t>Fire clay kitchen sink: 600x450x250 mm</t>
  </si>
  <si>
    <t>White vitreous china laboratry sink450x300x150 mm</t>
  </si>
  <si>
    <t>White vitreous china laboratry sink600x450x200 mm</t>
  </si>
  <si>
    <t>White plastic seat (solid)with lid C.P.brass hinges and rubber buffers</t>
  </si>
  <si>
    <t>Black plastic seat (solid) with lid C.P.brass hinges and rubber buffers</t>
  </si>
  <si>
    <t>Shower rose C.P.brass for 15 to 20 mm inlet 100 mm dia</t>
  </si>
  <si>
    <t>Shower rose C.P.brass for 15 to 20 mm inlet 150 mm dia</t>
  </si>
  <si>
    <t>Spun yarn</t>
  </si>
  <si>
    <t>Strainer brass 40 mm dia 1.5 metre long</t>
  </si>
  <si>
    <t>15 mm C.P.brass tap</t>
  </si>
  <si>
    <t>C.P.brass toilet paper holder of standard size</t>
  </si>
  <si>
    <t>C.I. trap for standard urinal with vent arm with operating and other couplings in C.P.brass: 50 mm dia</t>
  </si>
  <si>
    <t>C.I. trap for standard urinal with vent arm with operating and other couplings in C.P.brass: 80 mm dia</t>
  </si>
  <si>
    <t>C.P.brass trap40 mm dia</t>
  </si>
  <si>
    <t>100 mm S.C.I. trap with vent heel</t>
  </si>
  <si>
    <t>100 mm S.C.I. trap with 100 mm inlet and 100 mm outlet</t>
  </si>
  <si>
    <t>100 mm S.C.I. trap with 100 mm inlet and75 mm outlet</t>
  </si>
  <si>
    <t>S.W. gully trap P type 100x100 mm</t>
  </si>
  <si>
    <t>S.W. gully trap P type 150x100 mm</t>
  </si>
  <si>
    <t>S.W. gully trap P type 180x150 mm</t>
  </si>
  <si>
    <t>Vitros china lipped front urinal</t>
  </si>
  <si>
    <t>H.P. or L.P. ball valve with polythene floats: 15 mm dia</t>
  </si>
  <si>
    <t>H.P. or L.P. ball valve with polythene floats: 20 mm dia</t>
  </si>
  <si>
    <t>H.P. or L.P. ball valve with polythene floats: 25 mm dia</t>
  </si>
  <si>
    <t>Brass full way valve with C.I. wheel (screwed end) 25 mm dia</t>
  </si>
  <si>
    <t>Brass full way valve with C.I. wheel (screwed end) 32 mm dia</t>
  </si>
  <si>
    <t>Brass full way valve with C.I. wheel (screwed end) 40 mm dia</t>
  </si>
  <si>
    <t>Brass full way valve with C.I. wheel (screwed end) 50 mm dia</t>
  </si>
  <si>
    <t>Brass full way valve with C.I. wheel (screwed end) 65 mm dia</t>
  </si>
  <si>
    <t>Brass full way valve with C.I. wheel (screwed end) 80 mm dia</t>
  </si>
  <si>
    <t>Gunmetal non-return valve-horizontal (screwed end) 25 mm dia</t>
  </si>
  <si>
    <t>Gunmetal non-return valve-horizontal (screwed end) 32 mm dia</t>
  </si>
  <si>
    <t>Gunmetal non-return valve-horizontal (screwed end) 40 mm dia</t>
  </si>
  <si>
    <t>Gunmetal non-return valve-horizontal (screwed end) 50 mm dia</t>
  </si>
  <si>
    <t>Gunmetal non-return valve-horizontal (screwed end) 65 mm dia</t>
  </si>
  <si>
    <t>Gunmetal non-return valve-horizontal (screwed end) 80 mm dia</t>
  </si>
  <si>
    <t>C.I.sluice valve (with caps) class I : 100 mm dia</t>
  </si>
  <si>
    <t>C.I.sluice valve (with caps) class I : 125 mm dia</t>
  </si>
  <si>
    <t>C.I.sluice valve (with caps) class I : 150 mm dia</t>
  </si>
  <si>
    <t>C.I.sluice valve (with caps) class I : 200 mm dia</t>
  </si>
  <si>
    <t>C.I.sluice valve (with caps) class I : 250 mm dia</t>
  </si>
  <si>
    <t>C.I.sluice valve (with caps) class I : 300 mm dia</t>
  </si>
  <si>
    <t>Vitreous china flat back wash basin 630x450 mm</t>
  </si>
  <si>
    <t>Vitreous china angle back wash basin 600x480 mm</t>
  </si>
  <si>
    <t>Vitreous china angle back wash basin 400x400 mm</t>
  </si>
  <si>
    <t>Vitreous china indian type w.c. pan size 580 mm</t>
  </si>
  <si>
    <t>Vitreous china orrisa type w.c. pan size 580 mm</t>
  </si>
  <si>
    <t>Vitreous china pedestal type water closet</t>
  </si>
  <si>
    <t>Bolts and nuts 16 mm dia 60 mm long</t>
  </si>
  <si>
    <t>Bolts and nuts 16 mm dia 65 mm long</t>
  </si>
  <si>
    <t>Bolts and nuts 20 mm dia 65 mm long</t>
  </si>
  <si>
    <t>Bolts and nuts 20 mm dia 70 mm long</t>
  </si>
  <si>
    <t>Bolts and nuts 20 mm dia 75 mm long</t>
  </si>
  <si>
    <t>Bolts and nuts 20 mm dia 80 mm long</t>
  </si>
  <si>
    <t>Bolts and nuts 24 mm dia 85 mm long</t>
  </si>
  <si>
    <t>Bolts and nuts 24 mm dia 90 mm long</t>
  </si>
  <si>
    <t>Bolts and nuts 27 mm dia 100 mm long</t>
  </si>
  <si>
    <t>White vitreous china dual purpose closet (Anglo Indian W.C.) suitable for use as sequatting pan or European type water closet as per manufacturer's specifications</t>
  </si>
  <si>
    <t>Vitreous china foot rests 250x125x25 mm</t>
  </si>
  <si>
    <t>Flyash</t>
  </si>
  <si>
    <t>F.P.S. bricks tile class designation 100</t>
  </si>
  <si>
    <t>1,000 Nos</t>
  </si>
  <si>
    <t>Carriage of Stone aggregate below 40 mm nominal size</t>
  </si>
  <si>
    <t>Carriage of Steel</t>
  </si>
  <si>
    <t>Carriage of Stone aggregate 40 mm nominal size and above</t>
  </si>
  <si>
    <t>Carriage of Lime</t>
  </si>
  <si>
    <t>Carriage of Tar bitumen</t>
  </si>
  <si>
    <t>Carriage of Soling stone &amp; masonary stone</t>
  </si>
  <si>
    <t>Carriage of S.W. pipes100 mm dia</t>
  </si>
  <si>
    <t>100 metre</t>
  </si>
  <si>
    <t>Carriage of S.W. pipes150 mm dia</t>
  </si>
  <si>
    <t>Carriage of S.W. pipes200 mm dia</t>
  </si>
  <si>
    <t>Carriage of S.W. pipes230 mm dia</t>
  </si>
  <si>
    <t>Carriage of S.W. pipes250 mm dia</t>
  </si>
  <si>
    <t>Carriage of S.W. pipes300 mm dia</t>
  </si>
  <si>
    <t>Carriage of Good earth</t>
  </si>
  <si>
    <t>Carriage of Dump manure</t>
  </si>
  <si>
    <t>Carriage of Brick aggregate</t>
  </si>
  <si>
    <t>Carriage of Fine sand (1 part badarpur sand : 2 parts jamuna sand)</t>
  </si>
  <si>
    <t>Carriage of Rubbish</t>
  </si>
  <si>
    <t>Carriage of Moorum</t>
  </si>
  <si>
    <t>Carriage of Surkhi</t>
  </si>
  <si>
    <t>Carriage of Marble dust and marble chips</t>
  </si>
  <si>
    <t>Carriage of G.I. pipes below 100 mm dia</t>
  </si>
  <si>
    <t>Carriage of A.C.sheet and accessories</t>
  </si>
  <si>
    <t>Carriage of R.C.C. pipes 100 mm dia</t>
  </si>
  <si>
    <t>Carriage of R.C.C. pipes 150 mm dia</t>
  </si>
  <si>
    <t>Carriage of R.C.C. pipes 250 mm dia</t>
  </si>
  <si>
    <t>Carriage of R.C.C. pipes 300 mm dia</t>
  </si>
  <si>
    <t>Carriage of R.C.C. pipes 450 &amp; 500 mm dia</t>
  </si>
  <si>
    <t>Carriage of G.I.sheet and accessories</t>
  </si>
  <si>
    <t>Carriage of R.C.C. pipes 600, 700, 750 &amp; 800 mm dia</t>
  </si>
  <si>
    <t>Carriage of Plaster of paris</t>
  </si>
  <si>
    <t>Carriage of Cast iron fittings</t>
  </si>
  <si>
    <t>Carriage of Red bajri</t>
  </si>
  <si>
    <t>Carriage of Barbed wire</t>
  </si>
  <si>
    <t>Carriage of Sludge</t>
  </si>
  <si>
    <t>Carriage of Spun iron S &amp; S pipes 100 mm dia</t>
  </si>
  <si>
    <t>Carriage of Spun iron S &amp; S pipes 125 mm dia</t>
  </si>
  <si>
    <t>Carriage of Spun iron S &amp; S pipes 150 mm dia</t>
  </si>
  <si>
    <t>Carriage of Spun iron S &amp; S pipes 200 mm dia</t>
  </si>
  <si>
    <t>Carriage of Spun iron S &amp; S pipes 250 mm dia</t>
  </si>
  <si>
    <t>Carriage of Spun iron S &amp; S pipes 300 mm dia</t>
  </si>
  <si>
    <t>Carriage of Spun iron S &amp; S pipes 350 mm dia</t>
  </si>
  <si>
    <t>Carriage of Spun iron S &amp; S pipes 400 mm dia</t>
  </si>
  <si>
    <t>Carriage of Spun iron S &amp; S pipes 450 mm dia</t>
  </si>
  <si>
    <t>Carriage of Spun iron S &amp; S pipes 500 mm dia</t>
  </si>
  <si>
    <t>Carriage of Spun iron S &amp; S pipes 600mm dia</t>
  </si>
  <si>
    <t>Carriage of C.I. pipes 500 mm dia</t>
  </si>
  <si>
    <t>Carriage of R.C.C. pipes 900 mm dia</t>
  </si>
  <si>
    <t>Carriage of R.C.C. pipes 1000 mm dia</t>
  </si>
  <si>
    <t>Carriage of R.C.C. pipes 1100 mm dia</t>
  </si>
  <si>
    <t>Carriage of R.C.C. pipes 1200 mm dia</t>
  </si>
  <si>
    <t>Carriage of Pig lead</t>
  </si>
  <si>
    <t>Carriage of solvent/ Diesel.</t>
  </si>
  <si>
    <t>Carriage of ductile iron pipes (k7) 100 mm dia</t>
  </si>
  <si>
    <t>Carriage of cast iron pipes 150 mm dia</t>
  </si>
  <si>
    <t>Carriage of cast iron pipes 200 mm dia</t>
  </si>
  <si>
    <t>Carriage of cast iron pipes 250 mm dia</t>
  </si>
  <si>
    <t>Carriage of cast iron pipes 300 mm dia</t>
  </si>
  <si>
    <t>Carriage of cast iron pipes 350 mm dia</t>
  </si>
  <si>
    <t>Carriage of cast iron pipes 400 mm dia</t>
  </si>
  <si>
    <t>Carriage of cast iron pipes 450 mm dia</t>
  </si>
  <si>
    <t>Carriage of cast iron pipes 500 mm dia</t>
  </si>
  <si>
    <t>Carriage of cast iron pipes 600 mm dia</t>
  </si>
  <si>
    <t>Carriage of cast iron pipes 700 mm dia</t>
  </si>
  <si>
    <t>Carriage of cast iron pipes 800 mm dia</t>
  </si>
  <si>
    <t>Carriage of cast iron pipes 900 mm dia</t>
  </si>
  <si>
    <t>Carriage of cast iron pipes 1000 mm dia</t>
  </si>
  <si>
    <t>Strips-Aluminium fluted 3.15mm thick and 150mm wide</t>
  </si>
  <si>
    <t>Float glass sheet of nominal thickness 4 mm (weight not less than 10kg/sqm).</t>
  </si>
  <si>
    <t>Hollock ballies 125 mm diameter</t>
  </si>
  <si>
    <t>Oxidised mild steel pull bolt lock (locking bolt) of size 85 mm x 42 mm with screws,bolts,nuts and washers complete</t>
  </si>
  <si>
    <t>Brass cupboard lock 6 levers (best make of approved quality) 40 mm size</t>
  </si>
  <si>
    <t>Brass cupboard lock 6 levers (best make of approved quality) 50 mm size</t>
  </si>
  <si>
    <t>Brass cupboard lock 6 levers (best make of approved quality) 65 mm size</t>
  </si>
  <si>
    <t>Brass cupboard lock 6 levers (best make of approved quality) 75 mm size</t>
  </si>
  <si>
    <t>Brass hanging type door stopper 150 mm</t>
  </si>
  <si>
    <t>Hydraulic door closer bottle type M.S. body with necessary accessories and screws complete</t>
  </si>
  <si>
    <t>Anodised Aluminium hanging type door stopper</t>
  </si>
  <si>
    <t>Anodised Aluminium pull bolt lock (locking bolt) of size 85 mmx42 mm with screws,bolts,nuts and washers complete</t>
  </si>
  <si>
    <t>Anodised Aluminium Casement stay 250 mm</t>
  </si>
  <si>
    <t>Chromium plated Brass pull bolt lock (locking bolt) of size 85 mmx42 mm with screws,bolts,nuts and washers complete</t>
  </si>
  <si>
    <t>Nickled Chromium Brass cupboard lock 40 mm size</t>
  </si>
  <si>
    <t>Nickled Chromium Brass cupboard lock 50 mm size</t>
  </si>
  <si>
    <t>Nickled Chromium Brass cupboard lock 65 mm size</t>
  </si>
  <si>
    <t>Nickled Chromium Brass cupboard lock 75 mm size</t>
  </si>
  <si>
    <t>Ply wood 5 ply with teak ply on one face and commercial ply on another face 9 mm thick</t>
  </si>
  <si>
    <t>Extra for selected planks of second class deodarwood</t>
  </si>
  <si>
    <t>Hollock wood in planks</t>
  </si>
  <si>
    <t>F.P.S. bricks class designation 75</t>
  </si>
  <si>
    <t>Blacksmith 1st class</t>
  </si>
  <si>
    <t>Blacksmith 2nd class</t>
  </si>
  <si>
    <t>Carriage of steam coal</t>
  </si>
  <si>
    <t>Non - Asbestos multi purpose fibre cement board 6mm thick.</t>
  </si>
  <si>
    <t>Nos</t>
  </si>
  <si>
    <t>Strips Aluminium fluted 3.15mm thick and 200mm wide metre</t>
  </si>
  <si>
    <t>Pair of Anodised Aluminium lever handles for 100mm mortice latch and lock</t>
  </si>
  <si>
    <t>Vitreous china flat back wash basin 450x300 mm</t>
  </si>
  <si>
    <t>Vitreous china 10 litres low level cistern without fittings</t>
  </si>
  <si>
    <t>Vitreous china 10 litres low level cistern with fittings</t>
  </si>
  <si>
    <t>F.P.S. clay fly ash bricks class designation 75</t>
  </si>
  <si>
    <t>Gypsum board</t>
  </si>
  <si>
    <t>Ceiling sections</t>
  </si>
  <si>
    <t>Perimetre channel</t>
  </si>
  <si>
    <t>Intermediate channel</t>
  </si>
  <si>
    <t>Ceiling angle</t>
  </si>
  <si>
    <t>Connecting clips</t>
  </si>
  <si>
    <t>Soffit cleat</t>
  </si>
  <si>
    <t>Joint filler</t>
  </si>
  <si>
    <t>Joint finisher</t>
  </si>
  <si>
    <t>Dash fastner/ chemical fastener</t>
  </si>
  <si>
    <t>All drive screws ( for gypsum board)</t>
  </si>
  <si>
    <t>Primer ( for gypsum board)</t>
  </si>
  <si>
    <t>Chlorpyriphos 20% E.C. / Lindane 20% E.C.</t>
  </si>
  <si>
    <t>Chromium plated brackets ( curtain rods)</t>
  </si>
  <si>
    <t>Acid Proof cement</t>
  </si>
  <si>
    <t>M.S. Butt hinges 125x90x4 mm</t>
  </si>
  <si>
    <t>Galvanised wire mesh of average width of aperture 1.4 mm and nominal dia. of wire 0.63 mm</t>
  </si>
  <si>
    <t>Frosted glass sheet of nominal thickness 4 mm (weighing not less than 10 kg/sqm)</t>
  </si>
  <si>
    <t>Nickle plated M.S. Brackets for curtain rod 25 mm</t>
  </si>
  <si>
    <t>Oxidised mild steel screws 35 mm</t>
  </si>
  <si>
    <t>Mild steel conduit pipe (heavy type) ISI marked-20 mm dia.</t>
  </si>
  <si>
    <t>Mild steel conduit pipe (heavy type) ISI marked-25 mm dia.</t>
  </si>
  <si>
    <t>Rolling shutters of 80x0.90 mm laths</t>
  </si>
  <si>
    <t>Rolling shutters of 80x1.2 mm laths</t>
  </si>
  <si>
    <t>Top cover of Rolling shutters 0.90 mm thick</t>
  </si>
  <si>
    <t>Top cover of Rolling shutters 1.20 mm thick</t>
  </si>
  <si>
    <t>Rawl plug 50 mm (designation 10 no.)</t>
  </si>
  <si>
    <t>Teak wood lipping of size 25x3 mm in pelmets</t>
  </si>
  <si>
    <t>Flat pressed 3 layer and graded particle board (medium density) Grade 1 conforming to IS : 3087 - 18 mm thick</t>
  </si>
  <si>
    <t>Aluminium tee channel (heavy duty) with rollers and stop end</t>
  </si>
  <si>
    <t>Aluminium hanging floor door stopper with twin rubber &amp; stopper</t>
  </si>
  <si>
    <t>Hydraulic door closer tubular type Aluminium section body</t>
  </si>
  <si>
    <t>Oxidised M.S.casement stay (straight peg type) 300 mm not less than 0.33 kg</t>
  </si>
  <si>
    <t>Oxidised M.S.casement stay (straight peg type) 250 mm not less than 0.28 kg</t>
  </si>
  <si>
    <t>Oxidised M.S.casement stay (straight peg type) 200 mm not less than 0.24 kg</t>
  </si>
  <si>
    <t>Extra for providing grilled rolling shutters with 8 mm dia M.S. rod</t>
  </si>
  <si>
    <t>Chequered precast cement concrete tiles 22mm thick using marble chips of size 6mm - Light shade using white cement</t>
  </si>
  <si>
    <t>White marble Raj Nagar plain 20 mm thick (slab area 0.10 sqm to 0.20 sqm)</t>
  </si>
  <si>
    <t>Acid and alkali resistant tiles 300x300 mm size, 10 mm thick</t>
  </si>
  <si>
    <t>S.C.I. Tee 150 mm</t>
  </si>
  <si>
    <t>Expanded polystyrene type N- Normal</t>
  </si>
  <si>
    <t>Expanded polystyrene type - SE</t>
  </si>
  <si>
    <t>Stainless steel kitchen sink - with drain board bowl depth 250 mm.</t>
  </si>
  <si>
    <t>Stainlees steel kitchen sink - with drain board 510 x 1040mm bowl depth 225 mm.</t>
  </si>
  <si>
    <t>Stainlees steel kitchen sink - with drain board 510 x 1040mm bowl depth 200 mm.</t>
  </si>
  <si>
    <t>Stainless steel kitchen sink - with drain board 510x1040mm bowl depth 178 mm</t>
  </si>
  <si>
    <t>Stainless steel kitchen sink - without drain board 610x510mm bowl depth 200 mm</t>
  </si>
  <si>
    <t>Stainless steel kitchen sink - without drain board 610x460mm bowl depth 200 mm.</t>
  </si>
  <si>
    <t>Stainless steel kitchen sink - without drain board 470x420mm bowl depth 178 mm</t>
  </si>
  <si>
    <t>Coloured Orissa pattern W.C. pan 580x440 mm</t>
  </si>
  <si>
    <t>Coloured Vitreous china 10 lit. low level cistern</t>
  </si>
  <si>
    <t xml:space="preserve">Coloured (other than black) solid P.V.C. seat in European W.C. pan </t>
  </si>
  <si>
    <t>Ovel shape 450x350 mm (outer dimensions) Mirror with Plastic moulded frame</t>
  </si>
  <si>
    <t>Rectangular shape 1500x450 mm Mirror with Plastic moulded frame</t>
  </si>
  <si>
    <t>Hard board 6 mm thick</t>
  </si>
  <si>
    <t xml:space="preserve">Semi Rigid PVC waste pipe for sink and wash basin 32 mm dia with length not less than 700 mm i/c PVC waste fittings </t>
  </si>
  <si>
    <t xml:space="preserve">Semi Rigid PVC waste pipe for sink and wash basin 40 mm dia with length not less than 700 mm i/c PVC waste fittings </t>
  </si>
  <si>
    <t xml:space="preserve">Flexible (coil shaped) PVC waste pipe for sink and wash basin 32 mm dia with length not less than 700 mm i/c PVC waste fittings </t>
  </si>
  <si>
    <t xml:space="preserve">Flexible (coil shaped) PVC waste pipe for sink and wash basin 40 mm dia with length not less than 700 mm i/c PVC waste fittings </t>
  </si>
  <si>
    <t>Coloured High density polythylene/ poly propylene 10 lit. (full flush) capacity controlled low level flushing cistern with fittings</t>
  </si>
  <si>
    <t>White Vitreous china 10 lit. (full flush) capacity controlled low level flushing cistern with all fittings</t>
  </si>
  <si>
    <t>Coloured Vitreous china 10 lit. (full flush) capacity controlled low level flushing cistern with all fittings</t>
  </si>
  <si>
    <t>S.W. intercepting trap 100 mm dia</t>
  </si>
  <si>
    <t>S.W. intercepting trap 150 mm dia</t>
  </si>
  <si>
    <t>Rectangular shape 600x450 mm precast R.C.C. manhole cover with frame - L.D. - 25</t>
  </si>
  <si>
    <t>Square shape 350x350 mm precast R.C.C. manhole cover with frame - L.D. - 25</t>
  </si>
  <si>
    <t>Circular shape 450 mm dia precast R.C.C. manhole cover with frame - L.D. - 25</t>
  </si>
  <si>
    <t>Rectangular shape 500x500 mm precast R.C.C. manhole cover with frame - M.D. - 10</t>
  </si>
  <si>
    <t>Circular shape 500 mm dia precast R.C.C. manhole cover with frame - M.D. - 10</t>
  </si>
  <si>
    <t>Circular shape 560 mm dia precast R.C.C. manhole cover with frame - H.D. - 20</t>
  </si>
  <si>
    <t>Circular shape 560 mm dia precast R.C.C. manhole cover with frame - E.H.D. - 35</t>
  </si>
  <si>
    <t>Factory made 35 mm thick shutters with laminated veneer lumber styles rails as per TADS IS:1995 and panels of 12 mm thick plain type-I, medium density flat pressed three layer, graded particle board (FPT-I) as per IS:3087-1985 bonded with BWP type synthe</t>
  </si>
  <si>
    <t>Factory made 35 mm thick shutters with laminated veneer lumber styles rails as per TADS IS:1995 and panels of 12 mm thick both sides prelaminated  type-I, medium density flat pressed three layer, graded particle board (FPT-I) as per IS:3087-1985 bonded w</t>
  </si>
  <si>
    <t>Factory made 30 mm thick shutters with laminated veneer lumber styles rails as per TADS IS:1995 and panels of sheet glass using 10 kg/ sqm glass panes</t>
  </si>
  <si>
    <t>Factory made 35 mm thick shutters with laminated veneer lumber styles rails as per TADS IS:1995 and panels of galvanised wire gauge with average width of aperture 1.4 mm on both directions with wire of dia 0.63 mm</t>
  </si>
  <si>
    <t>Factory made 30 mm thick shutters with laminated veneer lumber styles rails as per TADS IS:1995 and panels of galvanised wire gauge with average width of aperture 1.4 mm on both directions with wire of dia 0.63 mm</t>
  </si>
  <si>
    <t>Laminated veneer lumber confirming to TADSS IS:1995 manufactured in factory in frames of doors, windows</t>
  </si>
  <si>
    <t>C.I. pile shoe</t>
  </si>
  <si>
    <t>M.S. clamps for pile shoe</t>
  </si>
  <si>
    <t>Bentonite</t>
  </si>
  <si>
    <t>Oxidised M.S. safety chain (weighing not less than 450 gms) for door</t>
  </si>
  <si>
    <t>C.I. grating 150 mm dia. (Weighing not less than 440 gm)</t>
  </si>
  <si>
    <t>U-PVC pipes (working pressure 4 kg / cm^2) Single socketed pipe 75 mm dia.</t>
  </si>
  <si>
    <t>U-PVC pipes (working pressure 4 kg / cm^2) Single socketed pipe 110 mm dia.</t>
  </si>
  <si>
    <t>U-PVC pipes (working pressure 4 kg / cm^2) Rubber (Seal) Ring 75 mm dia.</t>
  </si>
  <si>
    <t>U-PVC pipes (working pressure 4 kg / cm^2) Rubber (Seal) Ring 110 mm dia.</t>
  </si>
  <si>
    <t>UPVC coupler for UPVC drainage pipes 75 mm</t>
  </si>
  <si>
    <t>UPVC coupler for UPVC drainage pipes 110 mm</t>
  </si>
  <si>
    <t>UPVC pushfit coupler (single) 75 mm thick</t>
  </si>
  <si>
    <t>UPVC pushfit coupler (single) 110 mm thick</t>
  </si>
  <si>
    <t>UPVC single equal Tee (with door) 75x75x75 mm</t>
  </si>
  <si>
    <t>UPVC single equal Tee (with door) 110x110x110 mm</t>
  </si>
  <si>
    <t>5.8.1</t>
  </si>
  <si>
    <t>5.8.2</t>
  </si>
  <si>
    <t>5.8.3</t>
  </si>
  <si>
    <t xml:space="preserve">Half brick masonry in Superstructure , above plinth level upto floor V  level  using bricks of designation 75 </t>
  </si>
  <si>
    <t>Add extra providing  and placing in position 2 Nos. ,6mm Ø M.S. bar  at every third  course of half brick masonry .</t>
  </si>
  <si>
    <t>5.11.1</t>
  </si>
  <si>
    <t>5.11.2</t>
  </si>
  <si>
    <t>Honey  comb  brick  work  half  brick  thick  with  bricks  of  class  designation  75  upto  five  storey  in:</t>
  </si>
  <si>
    <t>Cyclic verticle load testing of piles in accordance with IS : 2911 (Part-IV) including prepration of pile head etc. forGroup of two piles upto 50 tonne capacity each</t>
  </si>
  <si>
    <t xml:space="preserve">Lateral load testing of single pile in accordance with IS : 2911 part -IV for determining safe allowable lateral load on pile. Upto 50 tonne capacity </t>
  </si>
  <si>
    <t>Lateral load testing of single pile in accordance with IS : 2911 part -IV for determining safe allowable lateral load on pile. Above 50 tonne capacity</t>
  </si>
  <si>
    <t>Hardening compound</t>
  </si>
  <si>
    <t>Road marking paint (spirit based)</t>
  </si>
  <si>
    <t>Superior quality road marking paint</t>
  </si>
  <si>
    <t>C.P. Brass bibcock 15 mm</t>
  </si>
  <si>
    <t>C.P. Brass long nose bibcock 15 mm</t>
  </si>
  <si>
    <t>C.P. Brass long body bibcock 15 mm</t>
  </si>
  <si>
    <t>C.P. Brass stop cock (concealed) 15 mm</t>
  </si>
  <si>
    <t>C.P. Brass angle valve 15 mm</t>
  </si>
  <si>
    <t>Pressed clay tiles</t>
  </si>
  <si>
    <t>Plain ceiling tiles (BWP type phenol formaldehyde synthetic resin bonded) (600x600x12 mm)</t>
  </si>
  <si>
    <t>Semi perforated ceiling tiles (600x600x12 mm)</t>
  </si>
  <si>
    <t>30 mm thick prelaminated flush door shutter</t>
  </si>
  <si>
    <t>IInd class teak wood lipping 25 mm wide x 12 mm thick</t>
  </si>
  <si>
    <t>25 mm thick melamine faced prelaminated three layer particle board</t>
  </si>
  <si>
    <t>Aluminium T or L sections</t>
  </si>
  <si>
    <t>For flush door shutters Extra for providing teak veneering on one side instead of commercial veneering</t>
  </si>
  <si>
    <t>Paving Asphalt 60/70 penetration</t>
  </si>
  <si>
    <t>Expandable fastner with plastic sleeve and M.S. screws. 25 mm long</t>
  </si>
  <si>
    <t>Expandable fastner with plastic sleeve and M.S. screws. 32 mm long</t>
  </si>
  <si>
    <t>Expandable fastner with plastic sleeve and M.S. screws. 40 mm long</t>
  </si>
  <si>
    <t>Expandable fastner with plastic sleeve and M.S. screws. 50 mm long</t>
  </si>
  <si>
    <t>Wall form panel 1250x500 mm</t>
  </si>
  <si>
    <t>Tie bolt 12 mm dia 100 mm length</t>
  </si>
  <si>
    <t>Tie bolt 12 mm dia 150 mm length</t>
  </si>
  <si>
    <t>Tie bolt 20 mm dia 150 mm length</t>
  </si>
  <si>
    <t>Tie bolt 20 mm dia 225 mm length</t>
  </si>
  <si>
    <t>Spring coil 12 mm</t>
  </si>
  <si>
    <t>Plastic cone 12 mm dia</t>
  </si>
  <si>
    <t>Corner angle 45x45x5 mm 1.50 m long</t>
  </si>
  <si>
    <t>100 mm channel shoulder 2.5 m long</t>
  </si>
  <si>
    <t>Double clip ( bridge clip)</t>
  </si>
  <si>
    <t>M.S. tube 40 mm dia</t>
  </si>
  <si>
    <t>Wall form panel 1250x450 mm</t>
  </si>
  <si>
    <t>Corner angle 45x45x5 m 2.50 m long</t>
  </si>
  <si>
    <t>Column clamp 450x1070 m</t>
  </si>
  <si>
    <t>Prop 2 m ( 2-3.5m)</t>
  </si>
  <si>
    <t>Binding wire</t>
  </si>
  <si>
    <t>Stainless steel pin .</t>
  </si>
  <si>
    <t>Adjustable span ESO+SI (2.35-3.40)</t>
  </si>
  <si>
    <t>Adjustable telescopic prop 3 m (2.02-3.75 m)</t>
  </si>
  <si>
    <t>Beam clamp 300-380 mm (450-1070 mm)</t>
  </si>
  <si>
    <t>Prop 4 m</t>
  </si>
  <si>
    <t>Double coupler</t>
  </si>
  <si>
    <t>Cadmium plated full threaded steel screws (30x4 mm dia.)</t>
  </si>
  <si>
    <t>Aluminium washer 2 mm thick 15 mm dia</t>
  </si>
  <si>
    <t>12 mm M.S. 'U' beading</t>
  </si>
  <si>
    <t>Plastic encapsuled M.S. foot rest 30x20x15 cm</t>
  </si>
  <si>
    <t>Flushing Cistern P.V.C. 10 lts capacity ( low level ) (White) ( with fittings, accessories and flush pipe)</t>
  </si>
  <si>
    <t>P.V.C. automatic flushing cistern 5 lts capacity</t>
  </si>
  <si>
    <t>P.V.C. automatic flushing cistern 10 lts capacity</t>
  </si>
  <si>
    <t>15 mm C.P. brass tap with elbow operation lever</t>
  </si>
  <si>
    <t>White glazed fire clay draining board 600x450x25 mm</t>
  </si>
  <si>
    <t>Glass reinforced Gyp sum ( GRG) board 8.5 mm thick</t>
  </si>
  <si>
    <t>Galvanised M.S. sheet 0.5 mm thick pressed channel section of size 50x32 mm</t>
  </si>
  <si>
    <t>Galvanised M.S. sheet 0.50 mm thick pressed stud. 48x34x36 mm</t>
  </si>
  <si>
    <t>G.I. flush pipe and C.P. brass spreader including C.P. connecting pipe Single lipped urinal</t>
  </si>
  <si>
    <t>G.I. flush pipe and C.P. brass spreader including C.P. connecting pipe Range of two lipped urinals</t>
  </si>
  <si>
    <t>G.I. flush pipe and C.P. brass spreader including C.P. connecting pipe Range of three lipped urinals</t>
  </si>
  <si>
    <t>G.I. flush pipe and C.P. brass spreader including C.P. connecting pipe Range of four lipped urinals</t>
  </si>
  <si>
    <t>White vitreous china clay half stall urinal flat back 580x380x350 mm or angle back 450x375x350 mm with waste fittings as per IS : 2556</t>
  </si>
  <si>
    <t>Precast R.C.C. grating with frame 500x450 mm horizontal grating</t>
  </si>
  <si>
    <t>Precast R.C.C. grating with frame 450x100 mm vertical grating</t>
  </si>
  <si>
    <t>Bitumen emulsion rapid setting (R.S.) confirming to IS : 8887-1995</t>
  </si>
  <si>
    <t>3 mm thick translucent white acrylic plastic sheet</t>
  </si>
  <si>
    <t>12 thick particle board ceiling tile</t>
  </si>
  <si>
    <t>Dash hold fastener 12.5 mm dia, 40 mm long with 6 mm dia bolt</t>
  </si>
  <si>
    <t>Anodising 15 microns on aluminium sections</t>
  </si>
  <si>
    <t>Neoprin/EPDM rubber gasket</t>
  </si>
  <si>
    <t>Anodising 25 microns on aluminium sections</t>
  </si>
  <si>
    <t>Epoxy powder coating 50 microns on aluminium sections.</t>
  </si>
  <si>
    <t>Polyester powder coating 50 microns on aluminium sections</t>
  </si>
  <si>
    <t>Double action hydraulic floor spring with stainless steel cover plate</t>
  </si>
  <si>
    <t>6 mm dia. G.I. adjustable hangers including clips (upto 1.2 m length)</t>
  </si>
  <si>
    <t>Double action hydraulic floor spring with brass cover plate</t>
  </si>
  <si>
    <t>Base jack</t>
  </si>
  <si>
    <t>Challies</t>
  </si>
  <si>
    <t>Cup lock</t>
  </si>
  <si>
    <t>15 mm PTMT bib cock</t>
  </si>
  <si>
    <t>15 mm PTMT bib cockwith flange (fancy)</t>
  </si>
  <si>
    <t>15 mm PTMT bib cock long body with flange</t>
  </si>
  <si>
    <t>15 mm dia PTMT stop cock (male thread)</t>
  </si>
  <si>
    <t>20 mm dia. PTMT stop cock</t>
  </si>
  <si>
    <t>PTMT pillar cock</t>
  </si>
  <si>
    <t>PTMT push cock 15 mm dia.</t>
  </si>
  <si>
    <t>PTMT push cock 12 mm dia. 20 mm BSP</t>
  </si>
  <si>
    <t>PTMT grating 100 mm dia.</t>
  </si>
  <si>
    <t>PTMT pillar cock (fancy) 15 mm foam flow.</t>
  </si>
  <si>
    <t>125 mm grating withwaste hole</t>
  </si>
  <si>
    <t>Rectangular type with openable circular lid 150 mm size 18 mm high with 100 mm dia. (110 gm)</t>
  </si>
  <si>
    <t>Double acting air valve 50 mm</t>
  </si>
  <si>
    <t>Double acting air valve 80 mm</t>
  </si>
  <si>
    <t>Double acting air valve 100 mm</t>
  </si>
  <si>
    <t>Water meter (including testing charges) 80 mm</t>
  </si>
  <si>
    <t>Water meter (including testing charges) 100 mm</t>
  </si>
  <si>
    <t>Water meter (including testing charges) 150 mm</t>
  </si>
  <si>
    <t>Water meter (including testing charges) 200 mm</t>
  </si>
  <si>
    <t>Dirt box srainer 80 mm</t>
  </si>
  <si>
    <t>Dirt box srainer 100 mm</t>
  </si>
  <si>
    <t>Dirt box srainer 150 mm</t>
  </si>
  <si>
    <t>Dirt box srainer 200 mm</t>
  </si>
  <si>
    <t>Cat's eye</t>
  </si>
  <si>
    <t>Water stops Serrated with central bulb (225 mm wide, 8-11 mm thick)</t>
  </si>
  <si>
    <t>Water stops Dumb bell with central bulb</t>
  </si>
  <si>
    <t>Kickers</t>
  </si>
  <si>
    <t>Wedge expansion hold fastner 1/4" or 6 mm</t>
  </si>
  <si>
    <t>Wedge expansion hold fastner 3/8" or 10 mm</t>
  </si>
  <si>
    <t>Wedge expansion hold fastner 1/2" or 12 mm</t>
  </si>
  <si>
    <t>8mm thick (mirror polished tiles machine cut edge) Raj Nagar white</t>
  </si>
  <si>
    <t>Wheel 75 mm dia. 40 mm wide</t>
  </si>
  <si>
    <t>25 mm prelaminated flush door both side decorative</t>
  </si>
  <si>
    <t>Aluminium U beading</t>
  </si>
  <si>
    <t>Glass sheet (Pin headed) 4 mm thick</t>
  </si>
  <si>
    <t>Second class deodar teak wood lipping 30 mm widthx12mm</t>
  </si>
  <si>
    <t>Veneered particle board with commercial veneering on both sides 12 mm thick</t>
  </si>
  <si>
    <t>Prelaminated particle board with one side decorative and other side balancing lamination, flat pressed 3 layer &amp; graded (medium density) Grade I, Type II conforming to IS : 12823 (exterior grade)12 mm thick</t>
  </si>
  <si>
    <t>Prelaminated particle board with one side decorative and other side balancing lamination, flat pressed 3 layer &amp; graded (medium density) Grade I, Type II conforming to IS : 12823 (exterior grade)18 mm thick</t>
  </si>
  <si>
    <t>Prelaminated particle board with both sides decorative lamination, flat pressed 3 layer &amp; graded (medium density) Grade I, Type II conforming to IS : 12823 (exterior grade)12 mm thick</t>
  </si>
  <si>
    <t>Oxidised M. S. hinges finished with nickel plating 50 mm (Over all width)</t>
  </si>
  <si>
    <t>Oxidised M. S. hinges finished with nickel plating 65 mm (Over all width)</t>
  </si>
  <si>
    <t>PTMT Waste Coupling 31/32MM</t>
  </si>
  <si>
    <t>PTMT Waste Coupling 38/40MM</t>
  </si>
  <si>
    <t>PTMT Bottle Trap 31/32MM</t>
  </si>
  <si>
    <t>PTMT Bottle Trap 38/40MM</t>
  </si>
  <si>
    <t>PTMT Ball Cock 15mm Complete with Epoxy Coated Aluminium Road &amp; H.D. Ball</t>
  </si>
  <si>
    <t>PTMT Ball Cock 20mm Complete with Epoxy Coated Aluminium Road &amp; H.D. Ball</t>
  </si>
  <si>
    <t>PTMT Ball Cock 25mm Complete with Epoxy Coated Aluminium Road &amp; H.D. Ball</t>
  </si>
  <si>
    <t>PTMT Ball Cock 40mm Complete with Epoxy Coated Aluminium Road &amp; H.D. Ball</t>
  </si>
  <si>
    <t>PTMT Ball Cock 50mm Complete with Epoxy Coated Aluminium Road &amp; H.D. Ball</t>
  </si>
  <si>
    <t>PTMT Angle Stop cock with Flenge 15mm</t>
  </si>
  <si>
    <t>PTMT Swiveling shower 15mm</t>
  </si>
  <si>
    <t>PTMT Liquid Soap Container of 400ml capacity</t>
  </si>
  <si>
    <t>PTMT Towel Ring 215xd200x37mm</t>
  </si>
  <si>
    <t>PTMT Towel Rail (450MM)</t>
  </si>
  <si>
    <t>PTMT Towel Rail (600MM)</t>
  </si>
  <si>
    <t>PTMT Shelf 450x124x36mm</t>
  </si>
  <si>
    <t>PTMT Urinal Spreader 15MM</t>
  </si>
  <si>
    <t>PTMT Soap Dish/Holder 138x102x75mm</t>
  </si>
  <si>
    <t>Ductile Iron class K - 9 pipe Conforming to I.S. 8329 100mm dia</t>
  </si>
  <si>
    <t>Ductile Iron class K - 9 pipe Conforming to I.S. 8329 150mm dia</t>
  </si>
  <si>
    <t>Ductile Iron class K - 9 pipe Conforming to I.S. 8329 200mm dia</t>
  </si>
  <si>
    <t>Ductile Iron class K - 9 pipe Conforming to I.S. 8329 - 250mm dia</t>
  </si>
  <si>
    <t>Ductile Iron class K - 9 pipe Conforming to I.S. 8329 - 300mm dia</t>
  </si>
  <si>
    <t>Ductile Iron class K - 9 pipe Conforming to I.S. 8329 - 350mm dia</t>
  </si>
  <si>
    <t>Ductile Iron class K - 9 pipe Conforming to I.S. 8329 - 400mm dia</t>
  </si>
  <si>
    <t>Ductile Iron class K - 9 pipe Conforming to I.S. 8329 - 450mm dia</t>
  </si>
  <si>
    <t>Ductile Iron class K - 9 pipe Conforming to I.S. 8329 - 500mm dia</t>
  </si>
  <si>
    <t>Ductile Iron class K - 9 pipe Conforming to I.S. 8329 - 600mm dia</t>
  </si>
  <si>
    <t>Ductile Iron class K - 9 pipe Conforming to I.S. 8329 - 700mm dia</t>
  </si>
  <si>
    <t>Ductile Iron class K - 9 pipe Conforming to I.S. 8329 - 750mm dia</t>
  </si>
  <si>
    <t>Ductile Iron class K - 9 pipe Conforming to I.S. 8329 - 800mm dia</t>
  </si>
  <si>
    <t>Ductile Iron class K - 9 pipe Conforming to I.S. 8329 - 900mm dia</t>
  </si>
  <si>
    <t>Ductile Iron class K - 9 pipe Conforming to I.S. 8329 - 1000mm dia</t>
  </si>
  <si>
    <t>Ruber Gaskets Conforming to I.S 5382 of S.B.R quality 100mm dia</t>
  </si>
  <si>
    <t>Ruber Gaskets Conforming to I.S 5382 of S.B.R quality 150mm dia</t>
  </si>
  <si>
    <t>Ruber Gaskets Conforming to I.S 5382 of S.B.R quality 200mm dia</t>
  </si>
  <si>
    <t>Ruber Gaskets Conforming to I.S 5382 of S.B.R quality 250mm dia</t>
  </si>
  <si>
    <t>Ruber Gaskets Conforming to I.S 5382 of S.B.R quality 300mm dia</t>
  </si>
  <si>
    <t>Ruber Gaskets Conforming to I.S 5382 of S.B.R quality 350mm dia</t>
  </si>
  <si>
    <t>Ruber Gaskets Conforming to I.S 5382 of S.B.R quality 400mm dia</t>
  </si>
  <si>
    <t>Stainless steel roller for sliding arrangment in racks/ cupboards/ cabinets shutter .</t>
  </si>
  <si>
    <t>30 mm thick Factory made shutters with frame, rails and panels of PVC extruded sections in white, grey or wooden finish</t>
  </si>
  <si>
    <t>Factory made door frame PVC extruded sheet i/c carriage</t>
  </si>
  <si>
    <t>Powder coated M.S. butt hinges 100mm X58mmX1.9mm</t>
  </si>
  <si>
    <t xml:space="preserve">Factory made glass reinforced plastic door frame 90x45 mm i/c carriage.    </t>
  </si>
  <si>
    <t xml:space="preserve">30 mm thick factory madeglass fiber reinforced plastic panel door shutter i/c carriage.  </t>
  </si>
  <si>
    <t xml:space="preserve">Factory made solid PVC door frame 60 x 30mm i/c carriage.  </t>
  </si>
  <si>
    <t>28mm factory made solid PVC panel door shutteri/c carriage.</t>
  </si>
  <si>
    <t xml:space="preserve">12mm thick marine plywood conforming to IS:710  </t>
  </si>
  <si>
    <t xml:space="preserve">12mm thick fire retardant plywood conforming to IS: 5509.  </t>
  </si>
  <si>
    <t xml:space="preserve">1.5mm thick decorative laminated sheet   </t>
  </si>
  <si>
    <t>1mm thick 35mm wide bright finished stainless steel piano hinges .</t>
  </si>
  <si>
    <t>25 mm thick particle board</t>
  </si>
  <si>
    <t>Aluminium single cleat of size 30x32x3</t>
  </si>
  <si>
    <t>Aluminium grip strip of size 50x12x2</t>
  </si>
  <si>
    <t>Material</t>
  </si>
  <si>
    <t>10 mm thick calcium silicate board.</t>
  </si>
  <si>
    <t xml:space="preserve">Nylon sleeves &amp; wooden screws (40mm)  </t>
  </si>
  <si>
    <t xml:space="preserve">Counter sunk ribbed head screw 25mm.  </t>
  </si>
  <si>
    <t>cent</t>
  </si>
  <si>
    <t>Joint tape roll</t>
  </si>
  <si>
    <t xml:space="preserve">12.5 mm thick Glass fibre reinforced Gypsum board .  </t>
  </si>
  <si>
    <t>Steel</t>
  </si>
  <si>
    <t>NAME OF MATERIALS</t>
  </si>
  <si>
    <t xml:space="preserve">RATE    </t>
  </si>
  <si>
    <t>Hire charges of Coaltar Boiler 900 to 1400 litres</t>
  </si>
  <si>
    <t>Hire charges of Concrete Mixer 0.14 cubic metre</t>
  </si>
  <si>
    <t>Hire charges of Diesel Road Roller - 8 to 10 tonne</t>
  </si>
  <si>
    <t>Hire charges of Diesel Truck - 9 tonne</t>
  </si>
  <si>
    <t>Hire charges of Spraying machine including electric charges</t>
  </si>
  <si>
    <t>Hire charges of Coaltar Sprayer</t>
  </si>
  <si>
    <t>Hire charges of Barber green, drying, mixing and Asphalt Plant, with accessories, capacity 30/45 tonne</t>
  </si>
  <si>
    <t>Hire charges of Derrickmonkey rope</t>
  </si>
  <si>
    <t>Hire charges of Pumpset of capacity 4000 litres/hour.</t>
  </si>
  <si>
    <t>Vibrator(Needle type 40mm)</t>
  </si>
  <si>
    <t>Front end loader</t>
  </si>
  <si>
    <t>Mastic Cooker</t>
  </si>
  <si>
    <t>Hand Grinder For mirror polish</t>
  </si>
  <si>
    <t>Pin vibrator</t>
  </si>
  <si>
    <t>Surface Vibrator</t>
  </si>
  <si>
    <t>Hire and running charges of hydraulic piling rig with power unit etc. including complete accessories and shifting at site.</t>
  </si>
  <si>
    <t>Hire and running charges of light crane.</t>
  </si>
  <si>
    <t>CODE</t>
  </si>
  <si>
    <t>RATE</t>
  </si>
  <si>
    <t>UNIT</t>
  </si>
  <si>
    <t>Beldar</t>
  </si>
  <si>
    <t>Day</t>
  </si>
  <si>
    <t>L.S.</t>
  </si>
  <si>
    <t>2</t>
  </si>
  <si>
    <t>Sundries</t>
  </si>
  <si>
    <t>6</t>
  </si>
  <si>
    <t>litre</t>
  </si>
  <si>
    <t>quintal</t>
  </si>
  <si>
    <t>Hydraulic Excavator  (3D) with driver and fuel.</t>
  </si>
  <si>
    <t>Hire and running charges of loader.</t>
  </si>
  <si>
    <t>Mate</t>
  </si>
  <si>
    <t>4</t>
  </si>
  <si>
    <t>Hire and running charges of tipper</t>
  </si>
  <si>
    <t>kilogram</t>
  </si>
  <si>
    <t>each</t>
  </si>
  <si>
    <t>3</t>
  </si>
  <si>
    <t>7</t>
  </si>
  <si>
    <t>cum</t>
  </si>
  <si>
    <t>(B)</t>
  </si>
  <si>
    <t>metre</t>
  </si>
  <si>
    <t>(A)</t>
  </si>
  <si>
    <t>(C)</t>
  </si>
  <si>
    <t>Metre</t>
  </si>
  <si>
    <t>Brass door latch 250x16x5 mm (0.350 kg)</t>
  </si>
  <si>
    <t>Brass mortice latch and lock 100x65 mm with6 levers and a pair of brass lever handles</t>
  </si>
  <si>
    <t>Brass mortice latch 100x65mm with a pair of brass lever handles</t>
  </si>
  <si>
    <t>Brass 150 mm floor door stopper (0.357kg)</t>
  </si>
  <si>
    <t>Brass hard drawn hooks and eyes 300 mm</t>
  </si>
  <si>
    <t>Brass hard drawn hooks and eyes 250 mm</t>
  </si>
  <si>
    <t>Brass hard drawn hooks and eyes 200 mm</t>
  </si>
  <si>
    <t>Brass hard drawn hooks and eyes 150 mm</t>
  </si>
  <si>
    <t>Brass hard drawn hooks and eyes 100 mm</t>
  </si>
  <si>
    <t>Brass casement window fastener</t>
  </si>
  <si>
    <t>Brass casement stays (straight peg type ) 300 mm weighing not less than 0.33 kg</t>
  </si>
  <si>
    <t>Brass casement stays (straight peg type ) 250 mm weighing not less than 0.28 kg</t>
  </si>
  <si>
    <t>Brass casement stays (straight peg type ) 200 mmweighing not less than 0.24 kg</t>
  </si>
  <si>
    <t>Brass quadrant stays 300 mm</t>
  </si>
  <si>
    <t>Brass fanlight catch</t>
  </si>
  <si>
    <t>Brass fanlight pivot</t>
  </si>
  <si>
    <t>Brass chain with hook for fan light catch</t>
  </si>
  <si>
    <t>Brass hasps and staples (safety type) 300 mm</t>
  </si>
  <si>
    <t>Brass hasps and staples (safety type) 115 mm</t>
  </si>
  <si>
    <t>Brass hasps and staples (safety type)90 mm</t>
  </si>
  <si>
    <t>Brass Night latch</t>
  </si>
  <si>
    <t>Brass helical spring 150 mm</t>
  </si>
  <si>
    <t>Brass curtain rod 20 mm dia 1.25 mm thick</t>
  </si>
  <si>
    <t>Brass curtain rod 25 mm dia 1.25 mm thick</t>
  </si>
  <si>
    <t>Brass brackets (curtain rods) 20 mm</t>
  </si>
  <si>
    <t>Brass cupboard knob or ward robe knob 50 mm</t>
  </si>
  <si>
    <t>100 Nos</t>
  </si>
  <si>
    <t>Chromium plated Brass butt hinges (lheavy) type 75x65x4 .0 mm (200gms)</t>
  </si>
  <si>
    <t>Chromium plated Brass butt hinges (light/ordinary) type 125x70x4 mm</t>
  </si>
  <si>
    <t>Chromium plated Brass butt hinges (light/ordinary) type 100x70x4 mm</t>
  </si>
  <si>
    <t>Chromium plated Brass butt hinges (light/ordinary) type 75x40x2.5 mm</t>
  </si>
  <si>
    <t>Chromium plated Brass butt hinges (light/ordinary) type 50x40x2.5 mm</t>
  </si>
  <si>
    <t>Chromium plated Brass handles 125 mm with plate 175 x32 mm</t>
  </si>
  <si>
    <t>Chromium plated Brass handles 100 mm with plate 150 x 32 mm</t>
  </si>
  <si>
    <t>Chromium plated Brass handles 75mm with plate 125x32 mm</t>
  </si>
  <si>
    <t>Chromium plated Brass mortice latch and lock 100x65 mm with6 levers and a pair of brass lever handles</t>
  </si>
  <si>
    <t>Chromium plated brass casement window fastner</t>
  </si>
  <si>
    <t>Chromium plated Brass casement stays (straight peg type ) 300 mmweighing not less than 0.33 kg</t>
  </si>
  <si>
    <t>Chromium plated Brass casement stays (straight peg type ) 250 mmweighing not less than 0.28 kg</t>
  </si>
  <si>
    <t>Chromium plated Brass casement stays (straight peg type ) 200 mmweighing not less than 0.24 kg</t>
  </si>
  <si>
    <t>Chromium plated Brass Night latch</t>
  </si>
  <si>
    <t>Chromium plated Brass Wardrobe Knobe 50 mm</t>
  </si>
  <si>
    <t>Chromium plated Brass screws 50 mm</t>
  </si>
  <si>
    <t>Chromium plated Brass screws 40 mm</t>
  </si>
  <si>
    <t>Chromium plated Brass screws 30 mm</t>
  </si>
  <si>
    <t>Chromium plated Brass screws 25 mm</t>
  </si>
  <si>
    <t>Chromium plated Brass screws 20 mm</t>
  </si>
  <si>
    <t>Chromium plated Brass curtain rod 12 mm dia 1.25mm thick</t>
  </si>
  <si>
    <t>Chromium plated Brass curtain rod 20 mm dia 1.25mm thick</t>
  </si>
  <si>
    <t>Chromium plated Brass curtain rod 25 mm dia 1.25mm thick</t>
  </si>
  <si>
    <t>Bright finished or black enamelled mild steel butt hinges 125x65x2.12 mm</t>
  </si>
  <si>
    <t>Bright finished or black enamelled mild steel butt hinges75x47x1.70 mm</t>
  </si>
  <si>
    <t>Nickel plated mild steel piono hinges 1 mm thick 35 mm wide</t>
  </si>
  <si>
    <t>Bright finished or black enamelled mild steel screws 50 mm</t>
  </si>
  <si>
    <t>Bright finished or black enamelled mild steel screws 40 mm</t>
  </si>
  <si>
    <t>Bright finished or black enamelled mild steel screws 30 mm</t>
  </si>
  <si>
    <t>Bright finished or black enamelled mild steel screws 25 mm</t>
  </si>
  <si>
    <t>Bright finished or black enamelled mild steel screws 20 mm</t>
  </si>
  <si>
    <t>Bright finished or black enamelled mild steel bolts and nuts 50x6 mm</t>
  </si>
  <si>
    <t>Oxidised mild steel butt hinges 125x65x2.12 mm</t>
  </si>
  <si>
    <t>Oxidised mild steel butt hinges 100x58x1.90 mm</t>
  </si>
  <si>
    <t>Oxidised mild steel butt hinges75x47x1.70 mm</t>
  </si>
  <si>
    <t>Oxidised mild steel butt hinges50x37x1.50 mm</t>
  </si>
  <si>
    <t>Oxidised mild steel parliamentary hinges150x125x27x2.8 mm</t>
  </si>
  <si>
    <t>Oxidised mild steel parliamentary hinges 125x125x27x2.8 mm</t>
  </si>
  <si>
    <t>Oxidised mild steel parliamentary hinges 100x125x27x2.8 mm</t>
  </si>
  <si>
    <t>Oxidised mild steel parliamentary hinges 75x100x20x2.24 mm</t>
  </si>
  <si>
    <t>Oxidised mild steel single acting spring hinges 150 mm</t>
  </si>
  <si>
    <t>Oxidised mild steel single acting spring hinges 125 mm</t>
  </si>
  <si>
    <t>Oxidised mild steel single acting spring hinges 100 mm</t>
  </si>
  <si>
    <t>Oxidised mild steel double acting spring hinges 150 mm</t>
  </si>
  <si>
    <t>Oxidised mild steel double acting spring hinges 125 mm</t>
  </si>
  <si>
    <t>Oxidised mild steel double acting spring hinges 100 mm</t>
  </si>
  <si>
    <t>Oxidised mild steel sliding door bolt 300x16 mm</t>
  </si>
  <si>
    <t>Oxidised mild steel sliding door bolt 250x16 mm</t>
  </si>
  <si>
    <t>Oxidised mild steel door latch 300x20x6 mm</t>
  </si>
  <si>
    <t>Oxidised mild steel door latch 250x20x6 mm</t>
  </si>
  <si>
    <t>Oxidised mild steel tower bolt (barrel type) 250x10 mm</t>
  </si>
  <si>
    <t>Oxidised mild steel tower bolt (barrel type) 200x10 mm</t>
  </si>
  <si>
    <t>Oxidised mild steel tower bolt (barrel type) 150x10 mm</t>
  </si>
  <si>
    <t>Oxidised mild steel tower bolt (barrel type) 100x10 mm</t>
  </si>
  <si>
    <t>Oxidised mild steel handles 125 mm</t>
  </si>
  <si>
    <t>Oxidised mild steel handles 100 mm</t>
  </si>
  <si>
    <t>Oxidised mild steel handles75 mm</t>
  </si>
  <si>
    <t>Oxidised mild steel hasps and staples(safety type) 150 mm</t>
  </si>
  <si>
    <t>Oxidised mild steel hasps and staples(safety type) 115 mm</t>
  </si>
  <si>
    <t>Oxidised mild steel hasps and staples(safety type)90 mm</t>
  </si>
  <si>
    <t>Oxidised mild steel screws 50 mm</t>
  </si>
  <si>
    <t>Oxidised mild steel screws 40 mm</t>
  </si>
  <si>
    <t>Oxidised mild steel screws 30 mm</t>
  </si>
  <si>
    <t>Oxidised mild steel screws 25 mm</t>
  </si>
  <si>
    <t>Oxidised mild steel screws 20 mm</t>
  </si>
  <si>
    <t>Anodised Aluminium butt hinges 125x75x4 mm</t>
  </si>
  <si>
    <t>Anodised Aluminium butt hinges 125x63x4 mm</t>
  </si>
  <si>
    <t>Anodised Aluminium butt hinges 100x75x4 mm</t>
  </si>
  <si>
    <t>Anodised Aluminium butt hinges 100x63x3.2 mm</t>
  </si>
  <si>
    <t>Anodised Aluminium butt hinges 100x63x4 mm</t>
  </si>
  <si>
    <t>Anodised Aluminium butt hinges 75x63x4 mm</t>
  </si>
  <si>
    <t>Anodised Aluminium butt hinges 75x63x3.2 mm</t>
  </si>
  <si>
    <t>Anodised Aluminium butt hinges 75x45x3.2 mm</t>
  </si>
  <si>
    <t>Anodised Aluminium sliding door bolt 300x16 mm</t>
  </si>
  <si>
    <t>Anodised Aluminium sliding door bolt 250x16 mm</t>
  </si>
  <si>
    <t>Anodised Aluminium tower bolt (barrel type)300x10 mm</t>
  </si>
  <si>
    <t>Anodised Aluminium tower bolt (barrel type)250x10 mm</t>
  </si>
  <si>
    <t>Anodised Aluminium tower bolt (barrel type)200x10 mm</t>
  </si>
  <si>
    <t>Anodised Aluminium tower bolt (barrel type)150x10 mm</t>
  </si>
  <si>
    <t>Anodised Aluminium tower bolt (barrel type)100x10 mm</t>
  </si>
  <si>
    <t>Anodised Aluminium handles 125 mm with plate 175 x 32 mm</t>
  </si>
  <si>
    <t>Anodised Aluminium handles 100 mm with plate 150 x 32 mm</t>
  </si>
  <si>
    <t>Anodised Aluminium handles 75mm with plate 125 x 32 mm</t>
  </si>
  <si>
    <t>Anodised Aluminium kicking plate 50 cm long100x3.15 mm</t>
  </si>
  <si>
    <t>Block board construction flush door with teak wood ply on both faces 35 mm thick</t>
  </si>
  <si>
    <t>Block board construction flush door with teak wood ply on both faces 30 mm thick</t>
  </si>
  <si>
    <t>Block board construction flush door with teak wood ply on both faces 25 mm thick</t>
  </si>
  <si>
    <t>Block board construction flush door with commercial ply on both faces 35 mm thick</t>
  </si>
  <si>
    <t>Block board construction flush door with commercial ply on both faces 30 mm thick</t>
  </si>
  <si>
    <t>Block board construction flush door with commercial ply on both faces 25 mm thick</t>
  </si>
  <si>
    <t>Block board construction flush door lipping</t>
  </si>
  <si>
    <t>Square vision panel in Block board construction flush door</t>
  </si>
  <si>
    <t>Circular vision panel in Block board construction flush door</t>
  </si>
  <si>
    <t>Sqm of doo</t>
  </si>
  <si>
    <t>Decorative type Louvers in Block board construction flush door</t>
  </si>
  <si>
    <t>Rebate cutting in Block board construction flush door</t>
  </si>
  <si>
    <t>Decorative plywood 4 mm</t>
  </si>
  <si>
    <t>Fuel wood</t>
  </si>
  <si>
    <t>Glue</t>
  </si>
  <si>
    <t>Hessian cloth</t>
  </si>
  <si>
    <t>Cement Concrete Jali 50 mm thick</t>
  </si>
  <si>
    <t>Cement Concrete Jali 40 mm thick</t>
  </si>
  <si>
    <t>Unslaked lime</t>
  </si>
  <si>
    <t>Dehradun white lime</t>
  </si>
  <si>
    <t>Satna lime</t>
  </si>
  <si>
    <t>Dry hydrated lime (factory made)</t>
  </si>
  <si>
    <t>Marble dust/ powder</t>
  </si>
  <si>
    <t>Marble chips  upto 4mm and downsize White &amp; black</t>
  </si>
  <si>
    <t>Marble chips large size above 4 mm White &amp; black</t>
  </si>
  <si>
    <t>Moorum</t>
  </si>
  <si>
    <t>Dry distemper</t>
  </si>
  <si>
    <t>1.13.1</t>
  </si>
  <si>
    <t>1.13.2</t>
  </si>
  <si>
    <t>1.13.3</t>
  </si>
  <si>
    <t xml:space="preserve">1.13.2.1 </t>
  </si>
  <si>
    <t>1.13.2.2</t>
  </si>
  <si>
    <t>1.13.2.3</t>
  </si>
  <si>
    <t xml:space="preserve">1.13.3.1 </t>
  </si>
  <si>
    <t>1.13.3.2</t>
  </si>
  <si>
    <t>1.13.3.3</t>
  </si>
  <si>
    <t xml:space="preserve">Add extra for excavating trenches for pipes, cables, etc. in ordinary/hard rock exceeding 1.5 m in depth but not exceeding 3 m.  (Rate is over corresponding basic item for depth upto 1.5 metre.)  </t>
  </si>
  <si>
    <t xml:space="preserve">Add extra for excavating trenches for pipes, cables, etc. in ordinary/hard rock exceeding 3m in depth but not exceeding 4.5 m.  (Rate is over corresponding basic item for depth upto 1.5 metre.)  </t>
  </si>
  <si>
    <t>1.17.1</t>
  </si>
  <si>
    <t>1.17.2</t>
  </si>
  <si>
    <t>1.17.3</t>
  </si>
  <si>
    <t>Standard quality hard board sheet 4.5 mm thick</t>
  </si>
  <si>
    <t>Shellac</t>
  </si>
  <si>
    <t>Spirit</t>
  </si>
  <si>
    <t>Spunyarn</t>
  </si>
  <si>
    <t>Mild steel round bar 12 mm dia and below</t>
  </si>
  <si>
    <t>Mild steel round bar above 12 mm dia</t>
  </si>
  <si>
    <t>Average rate of Mild steel round bars for reinforcements</t>
  </si>
  <si>
    <t>Twisted steel / deformed bars</t>
  </si>
  <si>
    <t>Mild steel square bars</t>
  </si>
  <si>
    <t>Structurals such as tees,angles channels and R.S. joists</t>
  </si>
  <si>
    <t>Flats upto 10 mm in thickness</t>
  </si>
  <si>
    <t>Mild steel plates</t>
  </si>
  <si>
    <t>Mild steel sheets for tanks</t>
  </si>
  <si>
    <t>Mild steel expanded metal 20x60 mm strands</t>
  </si>
  <si>
    <t>Mild steel hooks</t>
  </si>
  <si>
    <t>Mild steel rivets</t>
  </si>
  <si>
    <t>Galvanised steel bolts &amp; nuts 6 mm dia and 25 mmlong round head with slots</t>
  </si>
  <si>
    <t>Galvanised steel J or L hooks 8 mm dia</t>
  </si>
  <si>
    <t>Galvanised steel bolts &amp; nuts 10 mm dia and 125 mm long round head with slots</t>
  </si>
  <si>
    <t>Mild stel bolts 6 mm dia and 25 mm long with hexagonal head</t>
  </si>
  <si>
    <t>Straining bolts</t>
  </si>
  <si>
    <t>Galvanised steel barbed wire</t>
  </si>
  <si>
    <t>Galvanised steel turn buckles</t>
  </si>
  <si>
    <t>Galvanised steel bolts &amp; nuts 10 mm dia and 27 cm long both sides threaded with 4 galvanised steel nuts</t>
  </si>
  <si>
    <t>Galvanised steel bolts 10 mm dia and 7 cm long with nuts</t>
  </si>
  <si>
    <t>Bolts and nuts upto 300 mm in length</t>
  </si>
  <si>
    <t>Bolts and nuts above 300 mm in length</t>
  </si>
  <si>
    <t>Iron pintels including welded pin</t>
  </si>
  <si>
    <t>Steel beading</t>
  </si>
  <si>
    <t>Aluminium Plain Strip edging 38x12x3 mm</t>
  </si>
  <si>
    <t>Glass strip 4 mm thick40 mm deep</t>
  </si>
  <si>
    <t>Boundry stone top chisel dressed 15x15x90 cm</t>
  </si>
  <si>
    <t>Through and bond stone</t>
  </si>
  <si>
    <t>Stone for masonary work</t>
  </si>
  <si>
    <t>Stone for pitching 15 cm x 22.5 cm</t>
  </si>
  <si>
    <t>Red sand stone block</t>
  </si>
  <si>
    <t>10 cudm</t>
  </si>
  <si>
    <t>White sand stone slab 75 mm thick (un-dressed)</t>
  </si>
  <si>
    <t>Red sand stone slab 40 mmthick (un-dressed)</t>
  </si>
  <si>
    <t>Kota stone slab 20 mm to 25 mm thick (semi-polished)</t>
  </si>
  <si>
    <t>Red sand stone slab 45 mm and 50 mm thick (un-dressed)</t>
  </si>
  <si>
    <t>White sand stone slab 45 mm and 50 mm thick (un-dressed)</t>
  </si>
  <si>
    <t>Stone grit 6 mm and down size or pea sized gravel</t>
  </si>
  <si>
    <t>Crushed stone 2.36 mm to 12.5 mm size</t>
  </si>
  <si>
    <t>Superior class teak wood such as Dandeli, Balarshah or Malabar in planks</t>
  </si>
  <si>
    <t>First class teak wood in scantling</t>
  </si>
  <si>
    <t>First class teak wood in planks</t>
  </si>
  <si>
    <t>Second class teak wood in scantling</t>
  </si>
  <si>
    <t>Second class deodar wood in planks</t>
  </si>
  <si>
    <t>First class kail wood in planks</t>
  </si>
  <si>
    <t>Second class kail wood in scantling</t>
  </si>
  <si>
    <t>Second class kail wood in planks</t>
  </si>
  <si>
    <t>Precast terrazo tiles 22 mm thick (light shade)</t>
  </si>
  <si>
    <t>Precast terrazo tiles 22 mm thick(medium shade)</t>
  </si>
  <si>
    <t>Precast terrazo tiles 22 mm thick (dark shade)</t>
  </si>
  <si>
    <t>G.I. Limpet washer</t>
  </si>
  <si>
    <t>Bitumen washer</t>
  </si>
  <si>
    <t>G.I. plain washer thick</t>
  </si>
  <si>
    <t>G.I. plain washer thin</t>
  </si>
  <si>
    <t>G.I. plain washer for seam bolts</t>
  </si>
  <si>
    <t>Water proofing materials</t>
  </si>
  <si>
    <t>Welding by gas plant</t>
  </si>
  <si>
    <t>Whiting</t>
  </si>
  <si>
    <t>Spigot for standard jointing</t>
  </si>
  <si>
    <t>Wire nails</t>
  </si>
  <si>
    <t>Wire mesh (rabbit)</t>
  </si>
  <si>
    <t>20 mm dia holding down bolts</t>
  </si>
  <si>
    <t>Mild steel sheets with bolts and nuts to rest on pintels</t>
  </si>
  <si>
    <t>Hard drawn steel wire</t>
  </si>
  <si>
    <t>Mild steel flat strap fitting</t>
  </si>
  <si>
    <t>Chequered terrazo tiles 22 mm thick(light shade)</t>
  </si>
  <si>
    <t>Chequered terrazo tiles 22 mm thick(medium shade)</t>
  </si>
  <si>
    <t>Chequered terrazo tiles 22 mm thick (dark shade)</t>
  </si>
  <si>
    <t>Extra for selected planks of second class teakwood</t>
  </si>
  <si>
    <t>Aluminium Plain Strip edging 57x12x3 mm</t>
  </si>
  <si>
    <t>Extra for selected planks of first class teakwood</t>
  </si>
  <si>
    <t xml:space="preserve">Commercial LPG in cylinder. </t>
  </si>
  <si>
    <t>Bleaching powder</t>
  </si>
  <si>
    <t>Surface box for stop cock</t>
  </si>
  <si>
    <t>Surface box for sluice valve</t>
  </si>
  <si>
    <t>Surface box for water meter</t>
  </si>
  <si>
    <t>C.I. bracket for wash basin and sinks</t>
  </si>
  <si>
    <t>C.P.brass chain with 32 mm dia rubber plug</t>
  </si>
  <si>
    <t>C.P.brass chain with 40 mm dia rubber plug</t>
  </si>
  <si>
    <t>Clamps and M.S. stays including bolts and nuts for 100 mm pipe</t>
  </si>
  <si>
    <t>M.S.Holder bat clamp of approved design for 100 mm S.C.I. pipe</t>
  </si>
  <si>
    <t>M.S.Holder bat clamp of approved design for75 mm S.C.I. pipe</t>
  </si>
  <si>
    <t>Clamps and M.S. stays including bolts and nuts for 50 mm pipe</t>
  </si>
  <si>
    <t>Clamps and M.S. stays including bolts and nuts for 75 mm pipe</t>
  </si>
  <si>
    <t>Clearing eye with chain and lid 100 mm dia</t>
  </si>
  <si>
    <t>Clearing eye with chain and lid 150 mm dia</t>
  </si>
  <si>
    <t>Brass bib-cock 15 mm dia</t>
  </si>
  <si>
    <t>Brass bib-cock 20 mm dia</t>
  </si>
  <si>
    <t>Brass stop-cock 15 mm dia</t>
  </si>
  <si>
    <t>Brass stop-cock 20 mm dia</t>
  </si>
  <si>
    <t>Mosquito proof coupling of approved design</t>
  </si>
  <si>
    <t>C.I. cover and frame 300x300 mm inside</t>
  </si>
  <si>
    <t>C.I.cover without frame 300x300mm inside i.e.cover of 4.50 kg</t>
  </si>
  <si>
    <t>Rectangular cover 455x610 mm with frame (low duty)</t>
  </si>
  <si>
    <t>Rectangular cover 455x610mm without frame (low duty)</t>
  </si>
  <si>
    <t>500 mm dia cover with frame (medium duty)</t>
  </si>
  <si>
    <t>500 mm dia cover without frame (medium duty)</t>
  </si>
  <si>
    <t>C.I.mouth, brass ferrule 15 mm dia</t>
  </si>
  <si>
    <t>C.I.mouth, brass ferrule 20 mm dia</t>
  </si>
  <si>
    <t>C.I.mouth, brass ferrule 25 mm dia</t>
  </si>
  <si>
    <t>Vitreous china foot rests 250x130x30 mm</t>
  </si>
  <si>
    <t>C.I. grating 100x100 mm</t>
  </si>
  <si>
    <t>C.I. grating 150x150 mm</t>
  </si>
  <si>
    <t>C.I. grating 180x180 mm</t>
  </si>
  <si>
    <t>S.C.I. gully or nahani grating 100 mm dia</t>
  </si>
  <si>
    <t>Rubber insertions for80 mm dia pipe joints</t>
  </si>
  <si>
    <t>Rubber insertions for 100 mm dia pipe joints</t>
  </si>
  <si>
    <t>Rubber insertions for 125 mm dia pipe joints</t>
  </si>
  <si>
    <t>Rubber insertions for 150 mm dia pipe joints</t>
  </si>
  <si>
    <t>Rubber insertions for 200 mm dia pipe joints</t>
  </si>
  <si>
    <t>Rubber insertions for 250 mm dia pipe joints</t>
  </si>
  <si>
    <t>Rubber insertions for 300 mm dia pipe joints</t>
  </si>
  <si>
    <t>Rubber insertions for 350 mm dia pipe joints</t>
  </si>
  <si>
    <t>Rubber insertions for 400 mm dia pipe joints</t>
  </si>
  <si>
    <t>Rubber insertions for 450 mm dia pipe joints</t>
  </si>
  <si>
    <t>Rubber insertions for 500 mm dia pipe joints</t>
  </si>
  <si>
    <t>Rubber insertions for 600 mm dia pipe joints</t>
  </si>
  <si>
    <t>Mirror of superior make glass 60x45 cm</t>
  </si>
  <si>
    <t>Vitrous china pedestal for wash basin</t>
  </si>
  <si>
    <t>S &amp; S.C.I.standard specials upto 300 mm dia (heavy class)</t>
  </si>
  <si>
    <t>S &amp; S.C.I.standard specials over 300 mm dia (heavy class)</t>
  </si>
  <si>
    <t>Flanged C.I. standard specials upto 300 mm dia(heavy class)</t>
  </si>
  <si>
    <t>Flanged C.I. standard specials over 300 mm dia(heavy class)</t>
  </si>
  <si>
    <t>Casing pipe 100 mm dia</t>
  </si>
  <si>
    <t>Flush pipe with union spreaders and clamps all in C.P. brass for single stall</t>
  </si>
  <si>
    <t>Flush pipe with union spreaders and clamps all in C.P. brass for double stall</t>
  </si>
  <si>
    <t>Flush pipe with union spreaders and clamps all in C.P. brass for range of three stall</t>
  </si>
  <si>
    <t>Flush pipe with union spreaders and clamps all in C.P. brass for range of four stall</t>
  </si>
  <si>
    <t>Flush pipe and spreaders G.I.for single set of one squatting plate urinal</t>
  </si>
  <si>
    <t>Flush pipe and spreaders G.I.for range of two squatting plates urinal</t>
  </si>
  <si>
    <t>Flush pipe and spreaders G.I.for range of three squatting plates urinal</t>
  </si>
  <si>
    <t>Flush pipe and spreaders G.I.for range of four squatting plates urinal</t>
  </si>
  <si>
    <t>G.I. back (jam) nuts25 mm dia</t>
  </si>
  <si>
    <t>G.I. back (jam) nuts65 mm dia</t>
  </si>
  <si>
    <t>G.I. tees (equal) 25 mm</t>
  </si>
  <si>
    <t>G.I. tees (equal) 65 mm</t>
  </si>
  <si>
    <t>G.I. inlet connection</t>
  </si>
  <si>
    <t>S.C.I. soil, waste and vent single socketed pipe 1.80 metres long:75mm dia</t>
  </si>
  <si>
    <t>S.C.I. soil, waste and vent single socketed pipe 1.80 metres long: 100mm dia</t>
  </si>
  <si>
    <t>S.C.I. soil, waste and vent single socketed pipe 1.80 metres long: 150mm dia</t>
  </si>
  <si>
    <t>S.C.I. plain bend75mm dia</t>
  </si>
  <si>
    <t>S.C.I. plain bend 100mm dia</t>
  </si>
  <si>
    <t>S.C.I. plain bend 150mm dia</t>
  </si>
  <si>
    <t>S.C.I. bend with access door 75mm dia</t>
  </si>
  <si>
    <t>S.C.I. bend with access door 100mm dia</t>
  </si>
  <si>
    <t>S.C.I. plain single equal junctions75x75x75 mm dia</t>
  </si>
  <si>
    <t>S.C.I. plain single equal junctions100x100x100 mm dia</t>
  </si>
  <si>
    <t>S.C.I.  single equal junctions75x75x75 mm dia with access door.</t>
  </si>
  <si>
    <t>S.C.I. single equal junctions 100x100x100 mm dia  with access door.</t>
  </si>
  <si>
    <t>S.C.I. plain double equal junctions 75x75x75x75 mm dia</t>
  </si>
  <si>
    <t>S.C.I. plain double equal junctions100x100x100x100 mm dia</t>
  </si>
  <si>
    <t>S.C.I.  double equal junctions75x75x75x75 mm dia with access door.</t>
  </si>
  <si>
    <t>S.C.I.  double equal junctions 100x100x100x100 mm dia  with access door.</t>
  </si>
  <si>
    <t>Slotted cowl (terminal guard )75 mm dia</t>
  </si>
  <si>
    <t>Slotted cowl (terminal guard ) 100 mm dia</t>
  </si>
  <si>
    <t>G.I. Union 15 mm nominal bore</t>
  </si>
  <si>
    <t>G.I. Union 20 mm nominal bore</t>
  </si>
  <si>
    <t>G.I. Union 25 mm nominal bore</t>
  </si>
  <si>
    <t>G.I. Union 32 mm nominal bore</t>
  </si>
  <si>
    <t>G.I. Union 40 mm nominal bore</t>
  </si>
  <si>
    <t>G.I. Union 50 mm nominal bore</t>
  </si>
  <si>
    <t>G.I. Union 65 mm nominal bore</t>
  </si>
  <si>
    <t>G.I. Union 80mm nominal bore</t>
  </si>
  <si>
    <t>Polyethylene water storage tank with cover and suitable locking arrangement</t>
  </si>
  <si>
    <t>per litre</t>
  </si>
  <si>
    <t>Sand cast iron S&amp;S plain single unequal junctions : 100x100x75 mm dia</t>
  </si>
  <si>
    <t>Sand cast iron S&amp;S  single unequal junctions: 100x100x75 mm dia with access door.</t>
  </si>
  <si>
    <t>Sand cast iron S&amp;S plain double unequal junctions : 100x100x75x75 mm dia</t>
  </si>
  <si>
    <t>Sand cast iron S&amp;S  double unequal junctions: 100x100x75x75 mm dia with access door.</t>
  </si>
  <si>
    <t>Sand cast iron heel rest bend75mm dia</t>
  </si>
  <si>
    <t>Sand cast iron heel rest bend 100mm dia</t>
  </si>
  <si>
    <t>S.C.I. single equal invert branch of required degree75x75x75 mm dia</t>
  </si>
  <si>
    <t>S.C.I. single equal invert branch of required degree 100x100x100 mm dia</t>
  </si>
  <si>
    <t>S.C.I. double equal invert branch of required degree 75x75x75x75 mm dia</t>
  </si>
  <si>
    <t>S.C.I. double equal invert branch of required degree 100x100x100x100 mm dia</t>
  </si>
  <si>
    <t>S.C.I. single unequal invert branch of required degree100x100x75 mm dia</t>
  </si>
  <si>
    <t>S.C.I. double unequal invert branch of required degree 100x100x75x75 mm dia</t>
  </si>
  <si>
    <t>S.C.I. door pieces 75 mm dia</t>
  </si>
  <si>
    <t>S.C.I. door pieces 100 mm dia</t>
  </si>
  <si>
    <t>S.C.I. collar 75 mm dia</t>
  </si>
  <si>
    <t>S.C.I. collar 100 mm dia</t>
  </si>
  <si>
    <t>Unplasticised P.V.C.connection pipe with brass union 30 cm long 15 mm bore</t>
  </si>
  <si>
    <t>Unplasticised P.V.C.connection pipe with brass union 30 cm long 20 mm bore</t>
  </si>
  <si>
    <t>Unplasticised P.V.C.connection pipe with brass union 45 cm long 15 mm bore</t>
  </si>
  <si>
    <t>Unplasticised P.V.C.connection pipe with brass union 45 cm long 20 mm bore</t>
  </si>
  <si>
    <t>14</t>
  </si>
  <si>
    <t>tonne</t>
  </si>
  <si>
    <t>Carriage of Cement</t>
  </si>
  <si>
    <t>LABOUR</t>
  </si>
  <si>
    <t>Bhisti</t>
  </si>
  <si>
    <t>Carriage of Coarse sand</t>
  </si>
  <si>
    <t>Stone dust</t>
  </si>
  <si>
    <t>Carriage of Stone dust</t>
  </si>
  <si>
    <t>White Cement</t>
  </si>
  <si>
    <t>Mud (dry)</t>
  </si>
  <si>
    <t>Coolie</t>
  </si>
  <si>
    <t>Single clip</t>
  </si>
  <si>
    <t>kg</t>
  </si>
  <si>
    <t>sqm</t>
  </si>
  <si>
    <t>13</t>
  </si>
  <si>
    <t>Kerosene oil</t>
  </si>
  <si>
    <t>5</t>
  </si>
  <si>
    <t>each set</t>
  </si>
  <si>
    <t>Carpenter 2nd class</t>
  </si>
  <si>
    <t>Production cost of concrete by batch mix plant.</t>
  </si>
  <si>
    <t>Plasticizer / super plasticizer</t>
  </si>
  <si>
    <t>Mason (for ornamental stone work) 1st class</t>
  </si>
  <si>
    <t>Carriage of concrete by transit mixer.</t>
  </si>
  <si>
    <t>km/ cum</t>
  </si>
  <si>
    <t>Pumping charges of concrete including Hire charges of pump, piping work &amp; accessories etc.</t>
  </si>
  <si>
    <t>Carriage of Bricks</t>
  </si>
  <si>
    <t>Machine moulded perforated FPS bricks of class designation 125</t>
  </si>
  <si>
    <t>Mobile crane.</t>
  </si>
  <si>
    <t>per day</t>
  </si>
  <si>
    <t>Diesel oil</t>
  </si>
  <si>
    <t>8</t>
  </si>
  <si>
    <t>Machine moulded tile bricks of class designation 125</t>
  </si>
  <si>
    <t>Carriage of Brick tiles</t>
  </si>
  <si>
    <t>Machine moulded FPS bricks of class designation 125</t>
  </si>
  <si>
    <t>Machine moulded modular perforated bricks of class designation 125</t>
  </si>
  <si>
    <t>Autoclaved aerated cement (AAC) blocks.</t>
  </si>
  <si>
    <t>Gypsum panel 666 X 500 X 100 mm size.</t>
  </si>
  <si>
    <t>Mason (brick layer) 1st class</t>
  </si>
  <si>
    <t>Mason (2nd class)</t>
  </si>
  <si>
    <t>Bandhani</t>
  </si>
  <si>
    <t>Stainless steel cramp</t>
  </si>
  <si>
    <t>Copper pins 6 mm dia 7.5 cm long</t>
  </si>
  <si>
    <t>White sand stone slab 40 mm thick (un-dressed)</t>
  </si>
  <si>
    <t>Red sand stone slab 30 mmthick (un-dressed)</t>
  </si>
  <si>
    <t>Carriage of Stone blocks white &amp; red sand stone &amp; kota stone slab</t>
  </si>
  <si>
    <t>UPVC bend 87.5o 75 mm bend</t>
  </si>
  <si>
    <t>UPVC bend 87.5o 110 mm bend</t>
  </si>
  <si>
    <t>UPVC plain shoe 75 mm bend</t>
  </si>
  <si>
    <t>UPVC plain shoe 110 mm bend</t>
  </si>
  <si>
    <t>UPVC pipe clip 75 mm bend</t>
  </si>
  <si>
    <t>UPVC pipe clip 110 mm bend</t>
  </si>
  <si>
    <t>Resin Bonded Glass wool 16 kg/m³  50 mm thick</t>
  </si>
  <si>
    <t>Resin Bonded Glass wool 24 kg/m³  50 mm thick</t>
  </si>
  <si>
    <t>Fibre glass tissue reinforcement Type II Grade I</t>
  </si>
  <si>
    <t>Precast chequered cement tiles 22 mm thick Dark shade using ordinary cement</t>
  </si>
  <si>
    <t>Precast chequered cement tiles 22 mm thick medium shade using 50% white cement, 50% ordinary cement</t>
  </si>
  <si>
    <t>Epoxy paint</t>
  </si>
  <si>
    <t>Fire retardant paint</t>
  </si>
  <si>
    <t>Melamine polish</t>
  </si>
  <si>
    <t>Table rubbed polished stone 18 mm thick (75x50cm) Agaria Marble stone - 18 mm thick</t>
  </si>
  <si>
    <t>Table rubbed polished stone 18mm thick (75x50cm) Granite stone - 18mm thick</t>
  </si>
  <si>
    <t>Verticle load testing (INITIAL) of piles in accordance with IS : 2911 (Part-IV) including installation of loading platform and prepration of pile head or construction of test cap and dismantling of test cap after test etc. complete as per specification a</t>
  </si>
  <si>
    <t>per test</t>
  </si>
  <si>
    <t>Verticle load testing (INITIAL) of piles in accordance with IS : 2911 (Part-IV) including installation of loading platform and prepration of pile head or construction of test cap and dismantling of test cap after test etc. complete as per specification &amp;</t>
  </si>
  <si>
    <t>Cyclic verticle load testing of piles in accordance with IS : 2911 (Part-IV) including prepration of pile head etc. for Single pile upto 50 tonne capacity</t>
  </si>
  <si>
    <t>Cyclic verticle load testing of piles in accordance with IS : 2911 (Part-IV) including prepration of pile head etc. forSingle pile above 50 tonne capacity pile and upto 100 tonne capacity pile</t>
  </si>
  <si>
    <t>11</t>
  </si>
  <si>
    <t>Rmt</t>
  </si>
  <si>
    <t>Sq.m.</t>
  </si>
  <si>
    <t>Cutting marble or sand stone slab upto 50 mm thick by mechanical device</t>
  </si>
  <si>
    <t>Fitter (grade 1)</t>
  </si>
  <si>
    <t>White sand stone gang saw cut 30mm thick.</t>
  </si>
  <si>
    <t>Welding by electric plant</t>
  </si>
  <si>
    <t>cm</t>
  </si>
  <si>
    <t>Stainless steel cramps with nuts, bolts and washer for dry stone cladding .</t>
  </si>
  <si>
    <t>Gun Metal cramp</t>
  </si>
  <si>
    <t>Gun metal cramp</t>
  </si>
  <si>
    <t>8 mm thick granite stone tiles (mirror polished of all shades)</t>
  </si>
  <si>
    <t>Kiln seasoning of timber</t>
  </si>
  <si>
    <t>Carpenter (average)</t>
  </si>
  <si>
    <t>Sal wood in scantling</t>
  </si>
  <si>
    <t>Bright finished or black enamelled mild steel butt hinges 100x58x1.90 mm</t>
  </si>
  <si>
    <t>Bright finished or black enamelled mild steel butt hinges50x37x1.50 mm</t>
  </si>
  <si>
    <t>Carpenter 1st class</t>
  </si>
  <si>
    <t>Ply wood 5 ply with teak ply on both faces 9 mm thick</t>
  </si>
  <si>
    <t>Coir veneered board 12mm thick</t>
  </si>
  <si>
    <t>Carriage of Timber</t>
  </si>
  <si>
    <t>Glazier</t>
  </si>
  <si>
    <t>Stainless steel screws 40 mm</t>
  </si>
  <si>
    <t>Stainless steel screws 20 mm</t>
  </si>
  <si>
    <t>Stainless steel butt hinges (heavy weight) 100x60x2.5 mm IS : 12817 marked</t>
  </si>
  <si>
    <t>Stainless steel butt hinges 50x37x1.5 mm IS : 12817 marked</t>
  </si>
  <si>
    <t>sqm of door area</t>
  </si>
  <si>
    <t>Mistry</t>
  </si>
  <si>
    <t>Stainless steel butt hinges (heavy weight) 75x50x2.5 mm IS : 12817 marked</t>
  </si>
  <si>
    <t>Prelaminated particle board with one side decorative and other side balancing lamination, flat pressed 3 layer &amp; graded (medium density) Grade I, Type II conforming to IS : 12823 (exterior grade)25 mm thick</t>
  </si>
  <si>
    <t>12</t>
  </si>
  <si>
    <t>Coir veneered board 4mm thick</t>
  </si>
  <si>
    <t>Ply wood 5 ply with commercial ply on both faces 6 mm thick</t>
  </si>
  <si>
    <t>Nickle plated M.S. pipe 20 mm dia.</t>
  </si>
  <si>
    <t>Nickle plated M.S. Brackets for curtain rod 20 mm</t>
  </si>
  <si>
    <t>Coir veneered board 18mm thick</t>
  </si>
  <si>
    <t>Coir veneered board 6mm thick</t>
  </si>
  <si>
    <t>Hard drawn steel wire fabric</t>
  </si>
  <si>
    <t>M.S. heavy weight but hinges 125x90x4.0mm IS : 1341 marked.</t>
  </si>
  <si>
    <t>10 Nos</t>
  </si>
  <si>
    <t>M.S. heavy weight butt hinges 100x75x3.5 mm IS: 1341 marked</t>
  </si>
  <si>
    <t>M.S. heavy weight butt hinges 75x60x3.1 mm IS: 1341 marked</t>
  </si>
  <si>
    <t>M.S. heavy weight butt hinges 50x40x2.5 mm IS : 1341 marked</t>
  </si>
  <si>
    <t>Stainless steel screws 50 mm</t>
  </si>
  <si>
    <t>Stainless steel screws 30 mm</t>
  </si>
  <si>
    <t>Brass screws 50 mm</t>
  </si>
  <si>
    <t>Brass screws 40 mm</t>
  </si>
  <si>
    <t>Brass screws 30 mm</t>
  </si>
  <si>
    <t>Brass screws 20 mm</t>
  </si>
  <si>
    <t>Brass screws 25 mm</t>
  </si>
  <si>
    <t>roll</t>
  </si>
  <si>
    <t>PTMT handle 125x34x24mm</t>
  </si>
  <si>
    <t>Each</t>
  </si>
  <si>
    <t>PTMT handle 150x34x24mm</t>
  </si>
  <si>
    <t>PTMT butt hinges 75x60x10mm</t>
  </si>
  <si>
    <t>PTMT butt hinges 100x75x10mm</t>
  </si>
  <si>
    <t>PTMT Tower bolt 152x42x18mm</t>
  </si>
  <si>
    <t>PTMT Tower bolt 202x42x18mm</t>
  </si>
  <si>
    <t>PTMT door catcher 72x42mm</t>
  </si>
  <si>
    <t>Bamboo 25 mm dia 2.5 metre long</t>
  </si>
  <si>
    <t>Hollock wood in scantling</t>
  </si>
  <si>
    <t>Second class teak wood in planks</t>
  </si>
  <si>
    <t>Magenatic catcher triple strip verticle type.</t>
  </si>
  <si>
    <t>Magenatic catcher double strip horizontal type.</t>
  </si>
  <si>
    <t>Telescopic drawer channels 300mm long .</t>
  </si>
  <si>
    <t>set</t>
  </si>
  <si>
    <t>1</t>
  </si>
  <si>
    <t>10</t>
  </si>
  <si>
    <t>Carriage of Jamuna sand</t>
  </si>
  <si>
    <t>Oil bound washable distemper/ Acrylic distemper</t>
  </si>
  <si>
    <t>Linseed oil (double boiled)</t>
  </si>
  <si>
    <t>Cement primer</t>
  </si>
  <si>
    <t>Distemper primer</t>
  </si>
  <si>
    <t>Pink primer (for wood)</t>
  </si>
  <si>
    <t>Aluminium paint</t>
  </si>
  <si>
    <t>Acid proof paint (chocolate or black)</t>
  </si>
  <si>
    <t>Anticorrosive bituminous paint (black)</t>
  </si>
  <si>
    <t>Black japan</t>
  </si>
  <si>
    <t>Enamel paint</t>
  </si>
  <si>
    <t>Floor enamel paint in all shades except green</t>
  </si>
  <si>
    <t>Synthetic enamel paint in black or chocolate shade</t>
  </si>
  <si>
    <t>Synthetic enamel paint in all shades except black or chocolate shade</t>
  </si>
  <si>
    <t>Plastic emulsion paint</t>
  </si>
  <si>
    <t>Roofing paint for iron sheets in red colour</t>
  </si>
  <si>
    <t>White lead</t>
  </si>
  <si>
    <t>Water proofing cement paint</t>
  </si>
  <si>
    <t>Wax polish (ready made)</t>
  </si>
  <si>
    <t>Ordinary varnish</t>
  </si>
  <si>
    <t>Superior copal varnish</t>
  </si>
  <si>
    <t>Superior spar varnish</t>
  </si>
  <si>
    <t>Oil type wood preservative</t>
  </si>
  <si>
    <t>Putty for wood work</t>
  </si>
  <si>
    <t>Pig lead</t>
  </si>
  <si>
    <t xml:space="preserve">Premixed super white gypsum plaster. </t>
  </si>
  <si>
    <t>Plaster of Paris</t>
  </si>
  <si>
    <t>Plug</t>
  </si>
  <si>
    <t>Black colour dark shade pigment</t>
  </si>
  <si>
    <t>Red, chocolate, orange, buff or yellow (red oxide of iron) light shade pigment</t>
  </si>
  <si>
    <t>Green or blue medium shade pigment</t>
  </si>
  <si>
    <t>Standard holdar bat clamps for sand cast iron or cast iron pipes 150 mm dia</t>
  </si>
  <si>
    <t>Sand Cast iron plain shoe 150 mm dia</t>
  </si>
  <si>
    <t>Copper plate</t>
  </si>
  <si>
    <t>Pully 25 mm dia</t>
  </si>
  <si>
    <t>Rolling shutter made of 80x1.25 mm machine rolled laths</t>
  </si>
  <si>
    <t>Top cover for rolling shutters</t>
  </si>
  <si>
    <t>27.5 cm long wire spring grade no 2 for rolling shutters</t>
  </si>
  <si>
    <t>Ball bearing for rolling shutters</t>
  </si>
  <si>
    <t>Extra for mechanical devices chain and cranked operation for operatingrolling shutters : exceeding 10.00 sq.m and upto 16.80 sq.m area of door</t>
  </si>
  <si>
    <t>Extra for mechanical devices chain and cranked operation for operating rolling shutters : exceeding 16.80 sq.m area of door</t>
  </si>
  <si>
    <t>Royalty for good earth</t>
  </si>
  <si>
    <t>Coarse sand (zone III)</t>
  </si>
  <si>
    <t>Fine sand (zone IV)</t>
  </si>
  <si>
    <t>Galvanised steel plain sheets</t>
  </si>
  <si>
    <t>Standard quality hard board sheet 3 mm thick</t>
  </si>
  <si>
    <t>Production Cost of concrete for weigh batcher, operator charges &amp; other charges for designing</t>
  </si>
  <si>
    <t>6 mm thick tapered edge calcium silicate board/tile</t>
  </si>
  <si>
    <t>6 mm thick calcium silicate perforated tile/board</t>
  </si>
  <si>
    <t>8 mm thick calcium silicate perforated tile/board</t>
  </si>
  <si>
    <t>8 (a)</t>
  </si>
  <si>
    <t xml:space="preserve">For Design mix ,the producer / manufacturer / contractor shall obtain mix proportions of each grade of concrete from a recognized laboratory and submit detail to the Engineer-in-charge for approval.  Concrete of any particular design mix and grade shall be produced / manufactured by weight batched hopper mechnical mixer  with assigned capacity of mixing drum as directed by Engineer-in-charge. </t>
  </si>
  <si>
    <t>8 (b)</t>
  </si>
  <si>
    <t>For Nominal mix concreting work,the coarse aggregates and fine aggregates will be measured by the standard boxes and cement by bag.The boxes should be designed for 1/2 bag,1 bag etc. of cement.</t>
  </si>
  <si>
    <t>10.30.1</t>
  </si>
  <si>
    <t>6 mm thick</t>
  </si>
  <si>
    <t>10.30.2</t>
  </si>
  <si>
    <t>8 mm thick</t>
  </si>
  <si>
    <t>10.31.1</t>
  </si>
  <si>
    <t>10.31.2</t>
  </si>
  <si>
    <t>10.32.1</t>
  </si>
  <si>
    <t>10.32.2</t>
  </si>
  <si>
    <t>10.33.1</t>
  </si>
  <si>
    <t>10.33.2</t>
  </si>
  <si>
    <t>12.59.1</t>
  </si>
  <si>
    <t>12.59.2</t>
  </si>
  <si>
    <t>12.64.1</t>
  </si>
  <si>
    <t>12.64.2</t>
  </si>
  <si>
    <t>C.P. brass (Heavy and Superior quality)</t>
  </si>
  <si>
    <t>8.23.2</t>
  </si>
  <si>
    <t>8.23.3</t>
  </si>
  <si>
    <t>8.23.4</t>
  </si>
  <si>
    <t>Lime plaster ( up to 40 mm thick in 3 Coats) on new surface on walls with lime sand mortar 1:2 (1 lime putty : 2 sand) using admixture like Gur, Methi &amp; Gugal @ 1.0 Kg./each for every 10 Sqm of area including racking of joints curing etc. complete</t>
  </si>
  <si>
    <t>ALUMINIUM &amp; P.V.C. WORK</t>
  </si>
  <si>
    <t xml:space="preserve">DETAIL OF PLANTATIONS AND MAINTENANCE OF PLANTS ON ROAD SIDE FOR FIVE YEARS </t>
  </si>
  <si>
    <t xml:space="preserve">For other  quality  mirrors from approved  make  mirrors  deduct  30% </t>
  </si>
  <si>
    <t>Acrylic shelf on C.P. brass casted brackets &amp; guard rail of approved make as per direction of EI of  size 550x125mm</t>
  </si>
  <si>
    <t>Hard Plastic of approved make as per direction of EI of size
590x140mm</t>
  </si>
  <si>
    <t>1.10.4</t>
  </si>
  <si>
    <t xml:space="preserve">Painting (two or more coats) on rain water, soil, waste and vent pipes and fittings with synthetic enamel paint of approved brand and manufacture and required colour over a priming coat of approved steel primer on old work.  </t>
  </si>
  <si>
    <t xml:space="preserve">Wall painting with plastic emulsion paint of approved brand and manufacture to give an even shade including all scaffolding:  
</t>
  </si>
  <si>
    <t xml:space="preserve">Two or more coats on new work including prepartion of base with primer, putty, lippy etc complete in all respect.  </t>
  </si>
  <si>
    <t>Old work (One or more coats )</t>
  </si>
  <si>
    <t>Calcium Silicate tegular edged celling tiles</t>
  </si>
  <si>
    <t>Galvanised Steel main Tee ceiling section Size</t>
  </si>
  <si>
    <t>Galvanised Steel perimeter wall Angle Size 24 x</t>
  </si>
  <si>
    <t>Galvanised Steel intermediate cross T section</t>
  </si>
  <si>
    <t>Wooden screws with plastic rawl plugs   35mm x8mm</t>
  </si>
  <si>
    <t>Providing and laying of  paver block as per IS 15658 : 2006 (Indian standard for precast concrete block for paving- specification) and IRC : SP:63-2004 (guidelines for the use of interlocking concrete block pavement)</t>
  </si>
  <si>
    <t xml:space="preserve">Category ‘C’not denated on any it’s faces like Hexagon, Rectangular, square shape as per IRC SP 63:2004 </t>
  </si>
  <si>
    <t xml:space="preserve">M-35,60mm thick to be used in light traffic (Light traffic is defined as a daily traffic up to 150 commercial vehicles exceeding 30 KN laden weight, or an equivalent up to 0.5 million standard axles (MSA) for a design life of 20 years  (A standard axle is defined as a single axle load of 81.6 KN) like pedestrian plazas, shopping complexes ramps, car parks, office driveways , housing colonies, office complexes, rural roads with low volume traffic, farm houses , beach sites, tourist resorts, local authority footways, residential roads, etc. </t>
  </si>
  <si>
    <t>Category A Denated units to key into each other on four faces zigzag shape as per IRC SP 63:2004</t>
  </si>
  <si>
    <t>Category  ‘B’ Denated only two side like I,Z,T shape etc. as per IRC SP  63:2004</t>
  </si>
  <si>
    <t xml:space="preserve">Category ‘C’not denated on any it’s faces like Hexagon, Rectangular,  square shape as per IRC SP 63:2004 </t>
  </si>
  <si>
    <t>M-40,80mm thick to be used in medium- traffic ( Medium traffic is defined as a daily traffic of 150-450 commercial vehicles exceeding 30 KN laden weight, or an equivalent of 0.5 to 2.0 MSA for a design life of 20 years.) like city streets, small and medium market roads, low volume roads, utility cuts on arterial roads, etc</t>
  </si>
  <si>
    <t>Category A Denated units to key into each other on four faces zigzag  shape as per IRC SP 63:2004</t>
  </si>
  <si>
    <t>M-50 100mm thick to be used in heavy-traffic ( Heavy traffic is defined as a daily traffic of 450-1500 commercial vehicles exceeding 30 KN laden weight, or an equivalent of 2.0 to 5.0 MSA for a design life of 20 years.) like Bus terminals, industrial complexes, mandi houses roads on expansive soils, factory floor , service station, industrial pavements.etc.</t>
  </si>
  <si>
    <t>M-55 120mm thick to be used in very heavy-traffic ( very heavy-traffic is defined as a daily traffic of more than 1500 commercial vehicle exceeding 30 KN laden weight, or an equivalent of more than 5.0 MSA for a design life of 20 years.) like container terminals, ports, block yards, mine access roads, bulk cargo handling areas, airport pavements, etc.</t>
  </si>
  <si>
    <t>Category  ‘B’ Denated only two side like I,Z,T shape etc. as per IRC SP 63:2004</t>
  </si>
  <si>
    <t>Providing and fixing 25 mm thick Non slippery reflective type designer paving tile with metallic hardening using 2 Kg/sq.mtr made out of cement concrete of required grade, sizes of tile upto 300X300 mm Manufactured with wet cast Vibration system in two layers and laid over base of 20 mm thick cement morter1:4 using neat cement slurry in cluding finishing of joints etc. complete.</t>
  </si>
  <si>
    <t xml:space="preserve">Using M-40 grade cement Concrete </t>
  </si>
  <si>
    <t xml:space="preserve">Using M-30 grade cement Concrete </t>
  </si>
  <si>
    <t xml:space="preserve">Providing and fixing ornamental/aesthetic look cement concerte claddings/ veneers up to 100 mm with, over a base of cement Plaster 1:4, 20 mm thick including cement pointing 1:2 with an admixture of pigment to match the shades of veneer upto 4:5 mtr. Height above plinth level. </t>
  </si>
  <si>
    <t>hour</t>
  </si>
  <si>
    <t>Edge blocks 60 mx2</t>
  </si>
  <si>
    <t>Sand as per Table 1500. 5</t>
  </si>
  <si>
    <t xml:space="preserve">(c) </t>
  </si>
  <si>
    <t>Removing &amp; Re fixing of P.V.C. Cistern fittings (Syphon, Ball cock &amp; Handle Set) complete as per direction of Enginner-in-Charge</t>
  </si>
  <si>
    <t>P &amp; F C.P. brass Urinal Spreader for Large Urinal of heavy duty of approved make as per direction of Enginner-in-Charge</t>
  </si>
  <si>
    <t>P &amp; F C.P. Health Faucet with 1Mtr. Long Tube &amp; Hook of approved make and heavy as per direction of Enginner-in-Charge</t>
  </si>
  <si>
    <t>Long P Trap (900mm)</t>
  </si>
  <si>
    <t xml:space="preserve">Long P Bend </t>
  </si>
  <si>
    <t>Long Floor Trap (600mm)</t>
  </si>
  <si>
    <t xml:space="preserve">100mm dia </t>
  </si>
  <si>
    <t xml:space="preserve">150mm dia </t>
  </si>
  <si>
    <t>Providing  &amp; fixing Spun –Centrifugally cast Iron Pipes fitting (IS : 3989 Mark ) in CM 1:4 with spun Yarn 100mm w/o door  as per direction of Engineer-in-Charge.</t>
  </si>
  <si>
    <t>Cleaning of sewer line of various sizes as per requirement at site of different sizes including 100mm,150mm &amp; 225mm dia of  Stoneware pipe as per direction of Engineer-in-Charge.</t>
  </si>
  <si>
    <t>Repairing of  Cement Concrete Chambers of different size as per requirement at site and as per direction of Engineer-in-charge.</t>
  </si>
  <si>
    <t>P Trap of standard size</t>
  </si>
  <si>
    <t>Removing &amp; Re fixing of S.C.I. Pipe and Spun Pipe with C.I.clip as per direction of Engineer-in-Charge of following diameters :-</t>
  </si>
  <si>
    <t>Cleaning of C.I. Pipe Line of various sizse as per requirement at site of different sizes including 100mm,150mm &amp; 225mm dia  of C.I.Pipes  as per direction of Engineer-in-Charge.</t>
  </si>
  <si>
    <t xml:space="preserve">Providing and applying plaster of paris putty of 2 mm thickness over plastered surface to prepare the surface even and smooth complete  </t>
  </si>
  <si>
    <t>Grain Size Anaylsis</t>
  </si>
  <si>
    <t>Upto 6m depth</t>
  </si>
  <si>
    <t>upto 10m depth</t>
  </si>
  <si>
    <t>Bulk Density</t>
  </si>
  <si>
    <t>Moisture Cotent</t>
  </si>
  <si>
    <t>Specific Gravity</t>
  </si>
  <si>
    <t>Shear Parameters including Cohesion and Angle of Internal Friction</t>
  </si>
  <si>
    <t xml:space="preserve">Atterberg's Limit </t>
  </si>
  <si>
    <t>Drilling borehole and conducting standard penetration test from ground level and upto the depth given below or upto refusal whichever occurs earlier as per IS:2131-1981 and IS 2132-1986.The work also includes the determination of Safe Bearing Bearing capacity as per IS:6403-1981 and IS:8009-1976 from disturrbed and undisturbed samples. The following properties should be also reported as per related IS codes .The whole work should be done as per direction given by Engineerand -in-charge and upto satisfaction of Engineer in Charge.</t>
  </si>
  <si>
    <t>Providing and fixing  Superior quality CP Brass  fittings of approved make as per direction of Engineer-in-charge</t>
  </si>
  <si>
    <t>Upto 9.14 meter height</t>
  </si>
  <si>
    <t>Upto 6.63 meter height</t>
  </si>
  <si>
    <t>Providing ,arranging and erecting 50mm dia M.S. pipe cup lock shuttering arrangement   above the ground level upto the height given below. The girding arrangement of cup lock system should have 2.50 meter 3.00 meter long coupling pipes and 0.90mt long lacer pipe (Horizontal bracing pipes)  reconnected in both ways so as to make a square grid of size 0.90x0.90 meter in plan. The Horizontal bracing and lacer pipes should have a maximum spacing of 1.50 meter c/c both ways. The bottom of the coupling pipe must rest over a firm support at ground. the shuttering plates of 900mmx600mm size duly braced by angle supports and should rest over 50mmx50mm size wooden logs supported by 75x40x6mm size channels and U-Jacks made of M.S.25mm dia steel bars with adjustable thread and lock arrangement placed at a spacing of 0.60 meter c/c. The whole arrangement should be duly shored from ground by U-Jacks and lacer pipes to prevent any lateral movement during casting of slabs. Additional support as per direction of engineer in charge are also to by provided wherever felt necessary. The work would include transportation of material erecting the whole grid structure, bracing both way, shoring, leveling of shuttering and removal of form work complete as per direction of Engineer in charge for all the floors upto the height of:-</t>
  </si>
  <si>
    <t>S.C.I. soil, waste and vent single socketed pipe 1.80 metres long:50mm dia</t>
  </si>
  <si>
    <t>size 800mm X 800 mm</t>
  </si>
  <si>
    <t>CHAPTER  : B-17</t>
  </si>
  <si>
    <t xml:space="preserve">ADDITIONAL MISCELLANEOUS ITEMS </t>
  </si>
  <si>
    <t>Supply and Installation of ROOF – PREFABRICATED INSULATED PPGL FACE PANEL:</t>
  </si>
  <si>
    <t>Roof: Insulated sandwich panels for roof of total thickness mentioned below exclusive of crest height of top corrugation. Panel shall be made of 0.50mm (+/-0.04mm) thick pre coated metal sheet on both sides of rigid polyurethane insulation. The top external facing metal sheet shall have corrugated shape with crest. The trapezoidal shape crowns/crest height should not be less than 30mm. The pre-coated metal sheet shall be PPGL (Pre Painted Galvalume Sheet with AZ coating) sheet having SDP (Super Durable Polyester) colour coat of 18 micron (min). The bottom sheet must have tongue and groove type flange (U shape) of 8mm x 8mm on groove side and 8mm x 12mm on tongue side. Flange must be on lengthwise sides for joining adjacent panels. Panel's bottom side PPGL sheet must also be pre-strengthened by full lengthwise stiffening with semi-circular beading of 12mm width &amp; 3 to 4mm depth at 240 (+/-5) mm pitch. The top corrugated sheet must have at-least one open crown/crest for overlapping adjacent panel widthwise. Similarly the top corrugated sheet must have suitable open extension of min 6” on bottom widthwise side of panel for overlapping further panels joined lengthwise also. The insulation core shall be self-extinguishing DIN 4102,Class B3 fire retardant class rigid PUR with thermal conductivity of 0.025 W/mK and with initial density of 40kg/m3 (+/-2kg) suitable for temperature range of -30 degree C to +80 degree C. The panel must be made using glue-free high pressure hot pressing self-bonding method. PPGL sheet on both sides of panel shall have a min15 micron protective plastic guard film to avoid scratches during transportation.</t>
  </si>
  <si>
    <t>Thickness 65mm (+/- 2mm)</t>
  </si>
  <si>
    <t>Thickness 105mm (+/- 2mm)</t>
  </si>
  <si>
    <t>Supply and Installation of WALL – PREFABRICATED INSULATED PPGL PANEL:</t>
  </si>
  <si>
    <t>Walls: Insulated sandwich panels for wall of total thickness mentioned below. Panel shall have 0.50mm (+/-0.04mm) thick pre coated metal sheet on both sides of rigid PUR insulation. The pre-coated metal sheet shall be PPGL (Pre Painted Galvalume Sheet with AZ coating) sheet having SDP (Super Durable Polyester) colour coat of 18 micron (min). The panels shall be vertically joined together with adjacent panel by tongue and groove joints. For joining, wall panel's metal sheet facings must have lengthwise flange (U shape) of 8mm x 8mm on groove side and 8mmx12mm on tongue side of panel. The pre-coated metal sheet (PPGL) must also be pre-strengthened by full lengthwise stiffening with semi-circular beading of 12mm width &amp; 3 to 4mm depth at 240 (+/-5) mm pitch. Panels may have optional provision for inbuilt electrical conduit running lengthwise atvertical center of specified panels. The insulation core shall be self-extinguishing DIN 4102,Class B3 fire retardant class rigid PUR with thermal conductivity of 0.025 W/mK and with density of 40kg/m3 (+/-2kg) suitable for temperature range of -30 degree C to +80 degree C. The panel must be made using glue-free high pressure pressing self-bonding method. PPGL sheet on both sides of panel shall have a min15 micron protective plastic guard film to avoid scratches during transportation.</t>
  </si>
  <si>
    <t>Thickness 55mm (+/- 2mm)</t>
  </si>
  <si>
    <t>Supply and Installation of WALL – PREFABRICATED INSULATED CEMENT FACE PANEL:</t>
  </si>
  <si>
    <t>Factory-readymade structural reinforced insulated wall panel of thickness mentioned below. Panel shall be made of 6mm (+/-0.6mm) thick asbestos-free fiber cement sheet/ Cement bonded particle board as per IS:14276:1995 on both sides of rigid PUR insulation. The wall panel shall be vertically joined together with adjacent panel by biscuit joints lengthwise with suitable construction adhesive. Joining member (biscuit) shall be made of approx 12mm thick cement sheet /Cement bonded particle board as per IS:14276:1995. Panels may have optional provision for inbuilt electrical conduit running lengthwise at vertical center of specified panels. Both vertical lengthwise sides of panels must have full length MS tubes of min 1.0mm thickness for better structural strength.The final panel surface must be free from undulations. The Insulating core shall be self-extinguishing DIN 4102,Class B3 fire retardant class rigid PUR with thermal conductivity of 0.025 W/mK and with density of 40kg/m3 (+/-2kg) suitable for temperature range of -30 degree C to +80 degree C. The panel must be made using glue-free high pressure hot pressing self-bonding method and shall be free from major surface undulations.</t>
  </si>
  <si>
    <t>Thickness 75mm (+/- 2mm)</t>
  </si>
  <si>
    <t>Supply and Installation of SMALL ROOM (TOILET &amp; GUARD ROOM) – PREFABRICATED INSULATED PPGL FACE PANEL:</t>
  </si>
  <si>
    <t>Insulated closed lip panels (for door, wall and roof) of thickness mentioned below. Panel shall have 0.50mm (+/-0.04mm) thick pre-coated metal sheet on both sides of rigid PUR insulation. The pre-coated metal sheet shall be PPGL (Pre Painted Galvalume Sheet with AZ coating) sheet having SDP (Super Durable Polyester) colour coat of 18 micron(min).  The Pre coated metal sheet on both sides must be pre-strengthened by full lengthwise stiffening with semi-circular beading of 12mm wide &amp; 3mm depth at 240 (+/-5) mm pitch. Panels shall have closed lengthwise sides made by right angle flange on both side of Pre coated metal sheets, free from cap type covers. The top and bottom part on widthwise sides of panels must have full width MS Square tube insert of (min 25mm x 1.0mm) for better screw retention and strength. The insulation core shall be self-extinguishing DIN 4102,Class B3 fire retardant class rigid PUR with thermal conductivity of 0.025 W/mK and with density of 40kg/m3 (+/-2kg) suitable for temperature range of -30 degree C to +80 degree C. The panel must be made using glue-free high pressure hot pressing self-bonding method free from major undulations. PPGL sheet on both sides of panel shall have a min15 micron protective plastic guard film to avoid scratches during transportation.</t>
  </si>
  <si>
    <t>Thickness of 32mm (+/-2mm)</t>
  </si>
  <si>
    <t>Thickness of 50mm (+/-2mm)</t>
  </si>
  <si>
    <t>U-track for mounting panels with floor. The channel shall be made from minimum 1.15 mm thick PPGL sheet with flange height of minimum 35 mm and width as per thickness of panel used.</t>
  </si>
  <si>
    <t>RMT</t>
  </si>
  <si>
    <t>17.7.1</t>
  </si>
  <si>
    <t>Flashings (inner and outer):</t>
  </si>
  <si>
    <t>Corner angle flashings of equal shape for covering various corners and open sides of panels. Flashings shall be made from 0.5mm thick pre-coated PPGL sheet in following sizes:</t>
  </si>
  <si>
    <t>100mm x 100mm</t>
  </si>
  <si>
    <t>17.7.2</t>
  </si>
  <si>
    <t>Roof Ridge Cap:</t>
  </si>
  <si>
    <t xml:space="preserve">Ridge flashing for roof panels shall be made from 0.5mm thick pre-coated PPGL sheet of </t>
  </si>
  <si>
    <t>200mm x200 mm.</t>
  </si>
  <si>
    <t>17.7.3</t>
  </si>
  <si>
    <t>Roof Front Corrugated Cap:</t>
  </si>
  <si>
    <t>Front side flashing for roof panels (corrugated trapazodial shape) shall be made from 0.5mm thick pre-coated PPGL sheet.</t>
  </si>
  <si>
    <t>17.7.4</t>
  </si>
  <si>
    <t>Roof End Cap:</t>
  </si>
  <si>
    <t>End cap for closing ends of roof panels made from 0.5mm thick PPGL sheet.</t>
  </si>
  <si>
    <t>17.7.5</t>
  </si>
  <si>
    <t>Frame for Door/Window:</t>
  </si>
  <si>
    <t>17.7.6</t>
  </si>
  <si>
    <t>Panel End Caps:</t>
  </si>
  <si>
    <t>U or L shape caps suitable for thickness of panel used, with 30mm flange. It should be made frem 0.5mm Pre coated PPGL sheet.</t>
  </si>
  <si>
    <t>17.7.7</t>
  </si>
  <si>
    <t>Self Drilling Screws:</t>
  </si>
  <si>
    <t xml:space="preserve"> 5”</t>
  </si>
  <si>
    <t>3.5”</t>
  </si>
  <si>
    <t>1”</t>
  </si>
  <si>
    <t>17.7.8</t>
  </si>
  <si>
    <t>Adhesives</t>
  </si>
  <si>
    <t>KG.</t>
  </si>
  <si>
    <t>Supply and fixing of Cement Bonded Particle Board  (as per IS 14276) false ceiling using 6MM thick Cement Board with galvanized and pre painted steel T section of size  24mm x  27mm x  0.4mm for  main  T  duty  pre punched to accept  cross  T  section  of  size  24mm  x  25mm  x  0.4mm  duly punched at both ends for insertion into main T. The grid size will be 610mm x 610mm. The frame work (grid) is suspended to the roof  by  using  G.I  flat  of  0.60mm  or  14-gauge  G.I  wire  with necessary fixers to the roof and frame work. Cement Board panel is laded on the grid. The cost inclusive of necessary hardware, labor, one coat of primer (Both side) and two coats of smooth finish on visible side.</t>
  </si>
  <si>
    <t>Supply  and  fixing  of Cement Bonded Particle Board  (as per  14276)  double skin partition using with 10 MM thick Cement Board  made out of G.I. track section of size 50mmx 35mm x 0.55 mm for fixing to the roof and floor and stud  section  of  size  48mm  x  35mm  x  0.55mm  placed  in  track section vertically at 610mm intervals and at 1200mm intervals horizontally fixed to the wall by means of self expansion screws and caps to the wall and roof. Cement Board panel is to be fixed both sides  of frame  work by  using self taping screws fixed  at every 300mm   intervals to the frame work leaving 3 mm gap between two panels. The cost inclusive with one coat of Alltek primer and two coats of Alltek smooth finish and cost and conveyance of all materials to site, labor charges etc., complete as per the direction of Engineer in charge.</t>
  </si>
  <si>
    <t>Supply and fixing of Factory Laminated Cement Bonded Particle Board double skin partition using with 10MM Factory Laminated Cement Bonded Board made out of G.I track section of size 50 mm x 35mm x 0.55mm for fixing to the roof and floor and stud section of size 48mm x 35mm x 0.55mm placed in track section vertically at 610mm intervals and at 1200mm internals horizontally. The frame is fixed by means of self expansion screws and caps to the wall / roof. Laminated Cement Bonded Particle Board is to be fixed both sides of the frame work by using 2mm thick electro plated CR flat section leaving 3mm gap between two panels. The cost inclusive of cost and conveyance of all materials to sites, other materials incidentals and labor charges as per the direction of Engineer in charges.</t>
  </si>
  <si>
    <t>Supply and fixing of Bath room / Toilet door shutter with 16mm Factory Laminated Cement Bonded Particle  Board BISON Lam (IS 14276) door shutter with all-round ‘U’ lipping of PPS section of size 12mm X 18mmX 12mmX0.6mm thickness with a hardware of 12mm dia X200mm long aluminum aldrop – 2 nos2 No of 125mm long handles and also 3 no   Of IS304 grade Patee Hinges 3mmX12mmX180mm long with pole receiver of 10mm dia pole X40mm long welded on 2mm X40mm(ss304) plates works as receiver for RT patte hinges. The price inclusive of all material at site.</t>
  </si>
  <si>
    <t>Solid Rectangular Block (400x200x200, 400x200x100, 400x200x150,
 225x200x100)</t>
  </si>
  <si>
    <t>Hollow Rectangular Block (400x200x200, 400x200x100)</t>
  </si>
  <si>
    <t>Insulated Rectangular Block (400x200x200 mm)</t>
  </si>
  <si>
    <t>Interlocking Paver Blocks having 80 mm thickness in M-40 grade concrete</t>
  </si>
  <si>
    <t>Interlocking Paver Blocks having 100 mm thickness in M-50 grade concrete</t>
  </si>
  <si>
    <t>Interlocking Paver Blocks having 120 mm thickness in M-50 grade concrete</t>
  </si>
  <si>
    <t>Interlocking Paver Blocks having 100 mm thickness in M-55 grade concrete</t>
  </si>
  <si>
    <t>Interlocking Paver Blocks having 120 mm thickness in M-55 grade concrete</t>
  </si>
  <si>
    <t>Kerb Stones of 1200x300x150, 1000x450x150, 1000x600x150, 600x300x150 size (M-30)</t>
  </si>
  <si>
    <t>Kerb Stones of 1200x300x150, 1000x400x150, 1000x600x150, 600x300x150 size (M-40)</t>
  </si>
  <si>
    <t>Cellular Concrete Block for Pitching and garden paths (600x400x80) in M-30</t>
  </si>
  <si>
    <t>Pre Cast Concrete Flooring (Slab 600x600x100, 1000x650x100)</t>
  </si>
  <si>
    <t>Pre Cast U/Semi circular  Drains (Outer size 600x400 mm, wall thickness 80 mm)</t>
  </si>
  <si>
    <t>R.M.</t>
  </si>
  <si>
    <t>7.21.1</t>
  </si>
  <si>
    <t>7.21.2</t>
  </si>
  <si>
    <t>7.21.3</t>
  </si>
  <si>
    <t>7.21.4</t>
  </si>
  <si>
    <t>7.21.5</t>
  </si>
  <si>
    <t>7.22.1</t>
  </si>
  <si>
    <t>7.22.2</t>
  </si>
  <si>
    <t>7.22.3</t>
  </si>
  <si>
    <t>7.22.4</t>
  </si>
  <si>
    <t>4.18.1</t>
  </si>
  <si>
    <t>4.18.2</t>
  </si>
  <si>
    <t>4.18.3</t>
  </si>
  <si>
    <t>4.18.4</t>
  </si>
  <si>
    <t>4.18.5</t>
  </si>
  <si>
    <t>4.19.1</t>
  </si>
  <si>
    <t>4.19.2</t>
  </si>
  <si>
    <t>4.19.3</t>
  </si>
  <si>
    <t>Size 600mm x 600mm</t>
  </si>
  <si>
    <t>Size 600mm x 1200mm</t>
  </si>
  <si>
    <t>Size 800mm x 1200mm</t>
  </si>
  <si>
    <t>Size 196mm x 1215mm</t>
  </si>
  <si>
    <t>Size 250mm x 375mm</t>
  </si>
  <si>
    <t>Size 300mm x 450mm</t>
  </si>
  <si>
    <t>Size 300mm x 600mm</t>
  </si>
  <si>
    <t>Size 250mm x 1000mm</t>
  </si>
  <si>
    <t>Size 298mm x 298mm</t>
  </si>
  <si>
    <t xml:space="preserve"> Water for  wetting of bedding sand</t>
  </si>
  <si>
    <t>25 mm thick Non slippery reflective type designer paving tile  ,M 40 grade</t>
  </si>
  <si>
    <t>25 mm thick Non slippery reflective type designer paving tile  ,M 30 grade</t>
  </si>
  <si>
    <t>Indian type white glazed vitreous china Ist quality W.C. orissa pan  
Size 530x410mm.</t>
  </si>
  <si>
    <t>Indian type white glazed vitreous china Ist quality W.C. orissa pan  
Size 580x440 mm.</t>
  </si>
  <si>
    <t>100 vitrious china P or S Trap</t>
  </si>
  <si>
    <t xml:space="preserve"> European type white glazed vitreous china Ist quality W.C. pan</t>
  </si>
  <si>
    <t xml:space="preserve"> European type white glazed vitreous china Ist quality Double symphonic W.C.</t>
  </si>
  <si>
    <t xml:space="preserve"> European type white glazed vitreous china Ist quality W.C. Wall Mounting.</t>
  </si>
  <si>
    <t xml:space="preserve"> European type white glazed vitreous china Ist quality W.C. Wall Mounting.(extended)</t>
  </si>
  <si>
    <t xml:space="preserve"> European type white glazed vitreous china Ist quality W.C. Wall Mounting (syphonic)</t>
  </si>
  <si>
    <t xml:space="preserve">Non-breakable of other approved make Black.seat in European W.C. pan </t>
  </si>
  <si>
    <t xml:space="preserve">Non-breakable of other approved make Coloured.seat in European W.C. pan </t>
  </si>
  <si>
    <t xml:space="preserve">Non-breakable of other approved make White.seat in European W.C. pan </t>
  </si>
  <si>
    <t>C.P. lugs for toilet seat cover.</t>
  </si>
  <si>
    <t>White  glazed  Conversion  Bend  for  W.C.  from  P  trap  to  S trap</t>
  </si>
  <si>
    <t>CI  P trap</t>
  </si>
  <si>
    <t xml:space="preserve">White Vitreous China Double Syphonic European W.C.with mounted W.V.C. flushing cistern of  of 10 litre capacity </t>
  </si>
  <si>
    <t xml:space="preserve"> WVC Urinal Flat Back (small) size 440x265x315 mm.</t>
  </si>
  <si>
    <t xml:space="preserve"> WVC Urinal Flat Back (large) or half stall size 590x375x390 mm.</t>
  </si>
  <si>
    <t xml:space="preserve"> WVC Urinal Mini stall size 440x315x320 mm.</t>
  </si>
  <si>
    <t>Iron bracket/Plugs &amp; Screws for urinal installation</t>
  </si>
  <si>
    <t xml:space="preserve">W.V.C. Urinal Partition plate size 630x315 </t>
  </si>
  <si>
    <t xml:space="preserve"> Marble Urinal Partition slab both sides polished size 900x600mm.Makrana II quality marble having light spots.</t>
  </si>
  <si>
    <t xml:space="preserve"> Marble Urinal Partition slab both sides polished size 900x600mm. Makrana II quality marble having light spots.</t>
  </si>
  <si>
    <t xml:space="preserve"> Marble Urinal Partition slab both sides polished size 900x600mm. Makrana 'Adanga' or Raj Nagar ISt  Quality White or Andhi Indi-Italian marble.</t>
  </si>
  <si>
    <t>W.V.C. Half-Round Channel  Size 100 mm dia.</t>
  </si>
  <si>
    <t>W.V.C. Half-Round Channel  Size 150 mm dia.</t>
  </si>
  <si>
    <t>Vitros china squatting plate urinal  Size 450x350mm</t>
  </si>
  <si>
    <t xml:space="preserve"> High Level Flushing Cistern of 10 Litres capacity </t>
  </si>
  <si>
    <t xml:space="preserve"> 32mm G.I. Flush pipe</t>
  </si>
  <si>
    <t xml:space="preserve">over flow pipe 185cm </t>
  </si>
  <si>
    <t>brackets</t>
  </si>
  <si>
    <t>Low level Flushing Cistern of 10 litres capacity : WVC with C.P. brass bend.</t>
  </si>
  <si>
    <t>Low level Flushing Cistern of 10 litres capacity : PVC with PVC bend as per IS : 7231</t>
  </si>
  <si>
    <t>Low level Flushing Cistern of 10 litres capacity : WVC for symphonic EWC.</t>
  </si>
  <si>
    <t>Low level Flushing Cistern of 10 litres capacity : PVC with CP brass long band.</t>
  </si>
  <si>
    <t>Per Pack 125 gm.</t>
  </si>
  <si>
    <t>P.Cum.    
P.- 
Mtr. 
depth</t>
  </si>
  <si>
    <t>Extra in marble/other flooring work for upto 50 mm wide strip of Green/White/ Jaisalmer stone in flooring work as per direction of Engineer in Charge</t>
  </si>
  <si>
    <t>Automatic Flushing Cistern</t>
  </si>
  <si>
    <t>bend</t>
  </si>
  <si>
    <t>G.I. Flush pipe  'B' class (Concealed) 25 mm.</t>
  </si>
  <si>
    <t>G.I. Flush pipe  'B' class (Concealed) 32 mm.</t>
  </si>
  <si>
    <t xml:space="preserve"> M.S. clamps</t>
  </si>
  <si>
    <t>Flush pipe  PVC exposed (heavy) 32 mm.</t>
  </si>
  <si>
    <t xml:space="preserve"> Flush pipe  GI (Sheet) hot galvanized exposed (10 Litres). </t>
  </si>
  <si>
    <t>WVC (10 litres) low-level flushing cistern with cover.</t>
  </si>
  <si>
    <t>WVC (10 litres) low level flushing cistern cover only.</t>
  </si>
  <si>
    <t xml:space="preserve">WVC siphon with plunger plate only. </t>
  </si>
  <si>
    <t>WVC Auto cistern with cover only.</t>
  </si>
  <si>
    <t>WVC Auto cistern cover only.</t>
  </si>
  <si>
    <t>C.P. brass Urinal Flush pipe set For 4 Urinals.</t>
  </si>
  <si>
    <t>C.P. brass Urinal Flush pipe set For 3 Urinals.</t>
  </si>
  <si>
    <t>C.P. brass Urinal Flush pipe set For 2 Urinals.</t>
  </si>
  <si>
    <t>C.P. brass Urinal Flush pipe set For 1 Urinals.</t>
  </si>
  <si>
    <t xml:space="preserve"> C.P. brass Urinal Spreader for stall urinal</t>
  </si>
  <si>
    <t>Synthetic (PTMT)  Urinal Spreader for stall urinal</t>
  </si>
  <si>
    <t>Dome Waste coupling  for urinal 32 mm</t>
  </si>
  <si>
    <t>Dome Waste coupling  for urinal 40 mm</t>
  </si>
  <si>
    <t>Plastic Syphon of approved make for automatic flush tank.</t>
  </si>
  <si>
    <t>Copper tube Syphon for auto flush tank.</t>
  </si>
  <si>
    <t>C.P.  Brass  flush  Valve Lever type with Elbow 32 mm dia.</t>
  </si>
  <si>
    <t>flush Bend</t>
  </si>
  <si>
    <t>C.P.  Brass  flush  Valve Push type with Elbow 32 mm dia.</t>
  </si>
  <si>
    <t>C.P.  Brass  flush  Valve Concealed type for 112 mm.</t>
  </si>
  <si>
    <t>C.P.  Brass  flush  Valve Economy model 25 mm.</t>
  </si>
  <si>
    <t>C.P.  Brass  flush  Valve Economy model 32 mm.</t>
  </si>
  <si>
    <t>C.P. Pillar Cock 15 mm nominal size</t>
  </si>
  <si>
    <t>Vitreous china flat back wash basin Size 510 mm x 440 mm</t>
  </si>
  <si>
    <t>Vitreous china flat back wash basin Size 580 mm x 430 mm</t>
  </si>
  <si>
    <t>Vitreous china flat back wash basin Size 610 mm x 510 mm</t>
  </si>
  <si>
    <t>Vitreous china flat back wash basin Size 400 mm x 400 mm corner</t>
  </si>
  <si>
    <t>Vitreous china counter top wash basin Size 410 dia</t>
  </si>
  <si>
    <t>Vitreous china counter top wash basin Size 550 mm x 400 mm dia</t>
  </si>
  <si>
    <t>Vitreous china counter top wash basin Size 630 mm x 500 mm dia</t>
  </si>
  <si>
    <t>terrazzo (Mosaic) wash hand basin size 450 mm x 280 mm.</t>
  </si>
  <si>
    <t>terrazzo (Mosaic) wash hand basin size 550 mm x 400 mm.</t>
  </si>
  <si>
    <t>C.P. brass waste coupling 32 mm</t>
  </si>
  <si>
    <t>C.P. brass waste coupling 40 mm</t>
  </si>
  <si>
    <t>Fire clay kitchen sink: 600x450x200 mm</t>
  </si>
  <si>
    <t>White vitreous china laboratry sink 530x430x180 mm.</t>
  </si>
  <si>
    <t>White vitreous china laboratry sink 500x350x150 mm.</t>
  </si>
  <si>
    <t xml:space="preserve">Stainless steel kitchen sink Size 18x16x6 inches </t>
  </si>
  <si>
    <t xml:space="preserve">Stainless steel kitchen sink  Size 22x18x7 inches </t>
  </si>
  <si>
    <t xml:space="preserve">Stainless steel kitchen sink Size 24x18x8 inches </t>
  </si>
  <si>
    <t>Stainless steel kitchen sink Size 37x18x7 inches with drain board</t>
  </si>
  <si>
    <t>Stainless steel kitchen sink Size 45x20x8 inches with drain board</t>
  </si>
  <si>
    <t>Drain Board WVC (I.S.: 2556 Mark) size 530 x 450mm</t>
  </si>
  <si>
    <t>Drain Board Mosaic fine polished size 600 x 450</t>
  </si>
  <si>
    <t>Bottle Trap C.P. Brass 32 mm</t>
  </si>
  <si>
    <t>Bottle Trap C.P. Brass 40 mm</t>
  </si>
  <si>
    <t>Bottle Trap Synthetic Material (PTMT) 32 mm.</t>
  </si>
  <si>
    <t>Bottle Trap Synthetic Material (PTMT) 40 mm.</t>
  </si>
  <si>
    <t>Bottle Trap PVC</t>
  </si>
  <si>
    <t>C.P. brass waste coupling 50 mm</t>
  </si>
  <si>
    <t>SS waste coupling 125 mm</t>
  </si>
  <si>
    <t>P.V.C Waste pipe with C.P  nut 32 mm</t>
  </si>
  <si>
    <t>P.V.C Waste pipe with PVC   nut 32 mm</t>
  </si>
  <si>
    <t xml:space="preserve"> P.V.C Waste pipe with C.P. nut 40 mm dia</t>
  </si>
  <si>
    <t>P.V.C Waste pipe with C.P  nut 40 mm</t>
  </si>
  <si>
    <t xml:space="preserve"> Waste pipe with G.I(B class) 32mm</t>
  </si>
  <si>
    <t xml:space="preserve"> Waste pipe with G.I(B class) 40 mm</t>
  </si>
  <si>
    <t xml:space="preserve"> Waste pipe with G.I(B class) 25mm</t>
  </si>
  <si>
    <t xml:space="preserve"> bevelling/teak wood lipping of mirror 60x45cm</t>
  </si>
  <si>
    <t>Rectangular shape 500x400 mm Mirror with Plastic moulded frame</t>
  </si>
  <si>
    <t>Circular shape 500 mm dia Mirror with Plastic moulded frame</t>
  </si>
  <si>
    <t>Toilet Glass Shelf with edges rounded off Anodised Aluminium angle frame &amp; C.P. brass brackets &amp; guard rail size 600x120mm</t>
  </si>
  <si>
    <t>Toilet shelf  W.V.C. Size 300mm</t>
  </si>
  <si>
    <t>Toilet shelf W.V.C.  Size 500mm</t>
  </si>
  <si>
    <t>Deleted</t>
  </si>
  <si>
    <t>Water proofing canopy with ornamental frill, inner ceiling &amp; curtains</t>
  </si>
  <si>
    <t>Upto size 20'x20'</t>
  </si>
  <si>
    <t>Above size 20'x20'</t>
  </si>
  <si>
    <t>Three Seater</t>
  </si>
  <si>
    <t>Two Seater</t>
  </si>
  <si>
    <t>Single Seater</t>
  </si>
  <si>
    <t xml:space="preserve">Chemical toilet with house keeping arrangement and providing liquid soap, tissues, comb, freshener etc. </t>
  </si>
  <si>
    <t xml:space="preserve">Water proof dome with truss steel strcture, inner ceiling &amp; curtains </t>
  </si>
  <si>
    <t>60' span</t>
  </si>
  <si>
    <t>80' span</t>
  </si>
  <si>
    <t>WVC (1stquality, ISI Marked) of approved make. Recessed towel Hanger size 108 x 108mm.</t>
  </si>
  <si>
    <t>Carriage &amp; sundries</t>
  </si>
  <si>
    <t>Woolen Carpet (New).</t>
  </si>
  <si>
    <t>Woolen Carpet (old).</t>
  </si>
  <si>
    <t>Curtain cloth (View cutter ) made out of steel pipe frame covering with good quality white cloth to cut view including making holes and made necessary strengthening support against wind pressure complete .</t>
  </si>
  <si>
    <t>Kota stone slab minimum 30mm thick (semi-polished)</t>
  </si>
  <si>
    <t>9.1.1</t>
  </si>
  <si>
    <t xml:space="preserve">Add Extra if I/rail section is used </t>
  </si>
  <si>
    <t>Add Extra if  barbed wire fencing is done on wall upto height of 3.00 Mtr.</t>
  </si>
  <si>
    <t xml:space="preserve">Mtr. </t>
  </si>
  <si>
    <t>12.22.1</t>
  </si>
  <si>
    <t>12.22.2</t>
  </si>
  <si>
    <t>Jhunjhunu / Jalore (Red/Choclate/Black/Pink Colour)</t>
  </si>
  <si>
    <t>South Zed Black</t>
  </si>
  <si>
    <t>Good quality South Black</t>
  </si>
  <si>
    <t>Jhunjhunu / Jalore (Red/Choclate/Black/Pink Colour)  18 mm thick slab, above 1500 upto 3600 cm2</t>
  </si>
  <si>
    <t>Jhunjhunu / Jalore (Red/Choclate/Black/Pink Colour)  18 mm thick slab, above 3600 cm2</t>
  </si>
  <si>
    <t>Jhunjhunu / Jalore (Red/Choclate/Black/Pink Colour)  18 mm thick slab, upto 1500 cm2</t>
  </si>
  <si>
    <t>South Zed Black  18 mm thick slab, upto 1500 cm2</t>
  </si>
  <si>
    <t>South Zed Black 18 mm thick slab, above 1500 upto 3600 cm2</t>
  </si>
  <si>
    <t>South Zed Black  18 mm thick slab, above 3600 cm2</t>
  </si>
  <si>
    <t>Good quality South Black 18 mm thick slab, upto 1500 cm2</t>
  </si>
  <si>
    <t>Good quality South Black 18 mm thick slab, above 1500 upto 3600 cm2</t>
  </si>
  <si>
    <t>Good quality South Black 18 mm thick slab, above 3600 cm2</t>
  </si>
  <si>
    <t xml:space="preserve">Extra for providing edge moulding to 15-18mm thick marble/ Granite/Kota stone counters, Vanities etc. including machine polishing to edge to give high gloss finish etc. complete as per design approved by Engineer-in-Charge.  </t>
  </si>
  <si>
    <t xml:space="preserve">Full Edge moulding </t>
  </si>
  <si>
    <t xml:space="preserve">Half Edge moulding </t>
  </si>
  <si>
    <t>Providing and fixing 1st quality MAT &amp; GLOSSY finished ceramic tile confirming  to IS : 13755 and IS : 15622 colour such as white, grey, ivory, fume red brown, light green, light blue and other light shades in floors, steps, pillars etc. laid on a bed of neat cement slurry finished with flush pointing in the white cement mixed with pigment to match the shade of the tile complete (including the cost of cement mortar bed 1:4).</t>
  </si>
  <si>
    <t>P &amp; F 1st qualityHeavy Duty Vitrified Polished Digital tiles on floor, skirting and steps etc.in different sizes (thickness minimum 10mm) with water absortion less than or equal 0.08% and conforming to IS 15622 of approved make in all colour and shade, laid with 20 mm thick CM 1: 4 including grounting the joints with white cement and matching pigment etc complete.</t>
  </si>
  <si>
    <t>Ceramic Glazed Vitrified Tiles Size : 600mm x 1200mm</t>
  </si>
  <si>
    <t>Ceramic Glazed Vitrified Tiles Size : 800mm x 1200mm</t>
  </si>
  <si>
    <t>Ceramic Glazed Vitrified Tiles Size : 196mm x 1215mm</t>
  </si>
  <si>
    <t>Ist Qulality MAT and glossy finished ceramic tiles Size : 250mm x 375mm</t>
  </si>
  <si>
    <t>Ist Qulality MAT and glossy finished ceramic tiles Size : 300mm x 450mm</t>
  </si>
  <si>
    <t>Ist Qulality MAT and glossy finished ceramic tiles Size : 300mm x 600mm</t>
  </si>
  <si>
    <t>Ist Qulality MAT and glossy finished ceramic tiles Size : 250mm x 1000mm</t>
  </si>
  <si>
    <t>Ist quality heavy duty Vitrified polished digital tile size:298mmX 298mm</t>
  </si>
  <si>
    <t>Ist quality heavy duty Vitrified polished digital tile size:300mmX450 mm</t>
  </si>
  <si>
    <t>Ist quality heavy duty Vitrified polished digital tile size:600mmX600 mm</t>
  </si>
  <si>
    <t>7.18.3</t>
  </si>
  <si>
    <t>Size 300 x 300mm</t>
  </si>
  <si>
    <t>Size 300 x 450mm</t>
  </si>
  <si>
    <t>Size 300 x 600mm</t>
  </si>
  <si>
    <t>Motive 300x300 mm</t>
  </si>
  <si>
    <t>Motive 300x450 mm</t>
  </si>
  <si>
    <t>Motive 300x600 mm</t>
  </si>
  <si>
    <t>90' span</t>
  </si>
  <si>
    <t xml:space="preserve">Extra for providing frosted glass panes instead of ordinary float glass panes in doors, windows and clerestory window shutters. (Area of opening for glass panes excluding portion inside rebate shall be measured).  </t>
  </si>
  <si>
    <t>2.1.11</t>
  </si>
  <si>
    <t>---do--- with 60 cm long thread and nut</t>
  </si>
  <si>
    <t>2.1.11.1</t>
  </si>
  <si>
    <t>2.1.11.2</t>
  </si>
  <si>
    <t>2.33.22</t>
  </si>
  <si>
    <t>11.17.5</t>
  </si>
  <si>
    <t>Add Extra for polished chequered precast cement concrete tiles over item No. 11.17.1, 11.17.2, 11.17.3, 11.17.4</t>
  </si>
  <si>
    <t>Paver Block</t>
  </si>
  <si>
    <t xml:space="preserve">Deduct for using  brick work  230 mm thick in place of 300 mm thick stone masonry </t>
  </si>
  <si>
    <t>Size 200x100x130 cm.(for 10 users) with 115 mm thick RCC (M-20) slab with Tor steel reinforcement 8mm ϕ @15 cm c/c bothways including shuttering complete in all respect.</t>
  </si>
  <si>
    <t>Size 230 x110 x150 cm.(for 20 users)  with 115 mm thick RCC (M-20) slab with Tor steel reinforcement 10mm ϕ @15 cm c/c bothways including shuttering complete in all respect.</t>
  </si>
  <si>
    <t>Size 400 x140x150 cm.(for 50 users)  with 115 mm thick RCC (M-20) slab with Tor steel reinforcement 10mm ϕ @15 cm c/c bothways including shuttering complete in all respect.</t>
  </si>
  <si>
    <t>3.17.5</t>
  </si>
  <si>
    <t>Providing &amp; Laying C.C. 1:3:6 (Stone Agreegate 20mm nominal size) all around PVC Pipe including 7.5 cm thick bed concerte [Width &amp; Height =  Dia of Pipe in CM+15CM] excluding cost of Pipe &amp; Excavation of trenches etc.</t>
  </si>
  <si>
    <t>PVC pipe 110 mm dia</t>
  </si>
  <si>
    <t>PVC pipe 160 mm dia</t>
  </si>
  <si>
    <t>RIGID PVC PIPE</t>
  </si>
  <si>
    <t>13.30.1</t>
  </si>
  <si>
    <t>Add Extra for each additional floor</t>
  </si>
  <si>
    <t>13.32.2</t>
  </si>
  <si>
    <t>13.32.3</t>
  </si>
  <si>
    <t>13.32.1</t>
  </si>
  <si>
    <t>Upto 500 ltr.</t>
  </si>
  <si>
    <t>Above 500 ltr. to 1000 Ltr.</t>
  </si>
  <si>
    <t>Above 1000 ltr.</t>
  </si>
  <si>
    <t>Upto 1.44 Sqm</t>
  </si>
  <si>
    <t>Above 1.44 Sqm to 2.52 Sqm</t>
  </si>
  <si>
    <t>Above 2.52 Sqm to 3.84 Sqm</t>
  </si>
  <si>
    <t>17.1.1</t>
  </si>
  <si>
    <t>17.1.2</t>
  </si>
  <si>
    <t>Add extra for using 25mm GI waste pipe instead of PVC waste pipe</t>
  </si>
  <si>
    <t>Grating  Stainless Steel Sheet size 125mm dia.</t>
  </si>
  <si>
    <t>Grating  Stainless Steel Sheet size 125mm dia.  Heavy Quality</t>
  </si>
  <si>
    <t>Grating  Synthetic Material(PTMT)  of approved quality/make size 125mm dia</t>
  </si>
  <si>
    <t>Grating  Synthetic Material(PTMT)  of approved quality/make size 150mm dia</t>
  </si>
  <si>
    <t>Grating Square 150 x 150 x 8mm. (Anti Cockroach)</t>
  </si>
  <si>
    <t>Grating C.P. brass with frame (Heavy) &amp; superior quality size 125mm dia.</t>
  </si>
  <si>
    <t>Grating C.P. brass with frame Light &amp; superior quality size 125mm dia</t>
  </si>
  <si>
    <t>Liquid Soap Container C.P. brass</t>
  </si>
  <si>
    <t xml:space="preserve">Liquid Soap Container Synthetic Material </t>
  </si>
  <si>
    <t xml:space="preserve">Tooth Paste &amp; Brush Holder  C.P. brass </t>
  </si>
  <si>
    <t>Tooth Paste &amp; Brush Holder  C.P. brass  (Heavy and Superior quality.)</t>
  </si>
  <si>
    <t>Tooth Paste &amp; Brush Holder Stainless Steel</t>
  </si>
  <si>
    <t xml:space="preserve">Toilet Paper Holder with rod C.P. brass </t>
  </si>
  <si>
    <t>Toilet Paper Holder with rod C.P. brass heavy &amp; Superior quality.</t>
  </si>
  <si>
    <t>Toilet Paper Holder with rod WVC (1stquality, ISI Marked) recessed size 150x150mm.</t>
  </si>
  <si>
    <t>Toilet Paper Holder with rod WVC (1stquality, ISI Marked) size 150x150mm .Exposed</t>
  </si>
  <si>
    <t xml:space="preserve">Soap Dish or Tray  C.P. brass </t>
  </si>
  <si>
    <t>Soap Dish or Tray  C.P. brass  heavy and superior quality.</t>
  </si>
  <si>
    <t>Soap Dish or Tray  WVC (1st Quality, ISI Marked) recessed size 150 x 150 mm.</t>
  </si>
  <si>
    <t>Soap Dish or Tray  WVC (1st Quality, ISI Marked) recessed size  200 x100mm.</t>
  </si>
  <si>
    <t>Soap  Tray  WVC (1st Quality, ISI Marked)  size  200 x100mm.</t>
  </si>
  <si>
    <t xml:space="preserve"> Soap Dish  WVC (1st Quality, ISI Marked)  size 380mm.</t>
  </si>
  <si>
    <t xml:space="preserve"> Twin- peg C.P. brass</t>
  </si>
  <si>
    <t xml:space="preserve"> Twin- peg C.P. brass (heavy)Superior quality</t>
  </si>
  <si>
    <t xml:space="preserve"> Twin- peg Acrylic</t>
  </si>
  <si>
    <t>Shower arm 15mm dia C.P.brass heavy &amp; superior quality 150mm 
Projection.</t>
  </si>
  <si>
    <t>Shower arm 15mm dia C.P.brass heavy &amp; superior quality 220mm 
Projection.</t>
  </si>
  <si>
    <t>Shower arm 15mm dia C.P.brass heavy &amp; superior quality 300mm 
Projection.</t>
  </si>
  <si>
    <t>Shower arm 15mm dia C.P.brass heavy &amp; superior quality 370mm 
Projection.</t>
  </si>
  <si>
    <t>Bath Shower C.P. brass fixed.</t>
  </si>
  <si>
    <t>Bath Shower C.P. brass of Heavy &amp; superior quality 150mm.</t>
  </si>
  <si>
    <t>Bath Shower C.P. brass of Heavy &amp; superior quality, revolving with adjustable key 150mm.</t>
  </si>
  <si>
    <t>Extension Pipe for bib cock C.P. brass of Heavy &amp; Superior quality 50x15mm</t>
  </si>
  <si>
    <t>Extension Pipe for bib cock C.P. brass of Heavy &amp; Superior quality 100x15mm</t>
  </si>
  <si>
    <t>Extension Pipe for bib cock C.P. brass of Heavy &amp; Superior quality 150x15mm</t>
  </si>
  <si>
    <t xml:space="preserve">Acrylic Toilet accessories set consisting of Towel rail, shelf, towel ring, soap dish, paste &amp; brush holder &amp; twin peg </t>
  </si>
  <si>
    <t>Jet spray for water closet with C.P. Copper Tube flange</t>
  </si>
  <si>
    <t xml:space="preserve"> C.P.flange for 15mm dia taps.</t>
  </si>
  <si>
    <t xml:space="preserve">C.P. Health Faucet with 1Mtr. Long Tube &amp; Hook </t>
  </si>
  <si>
    <t>C.P. brass Urinal Spreader for Large Urinal of heavy duty</t>
  </si>
  <si>
    <t>P.V.C. Cistern fittings (Syphon, Ball cock &amp; Handle Set)</t>
  </si>
  <si>
    <t>Mirror of superior make 4mm thick</t>
  </si>
  <si>
    <t>Providing non slip grooves to granite/ kota stone flooring, counters, vanities etc. using groove cutter V type including machine polishing to groove to give high gloss finish etc. complete as per design approved by engineer in charge</t>
  </si>
  <si>
    <t>Providing and Fixing Bamboo Zafari/Fencing consisting of superior quality 25mm dia Solid Bamboo placed vertically &amp; fixed together with 3 Nos Horizontal running members of wood in scantling of section  size 50x40mm and fixed with nut and bolt to existing surface/angle post as per direction given by Engineer-in-charge</t>
  </si>
  <si>
    <t>8.35.1</t>
  </si>
  <si>
    <t>8.35.2</t>
  </si>
  <si>
    <t>0.6mm thick mica</t>
  </si>
  <si>
    <t>0.8mm thick mica</t>
  </si>
  <si>
    <t>Providing &amp; Fixing mica of approved make for inner/outer side of shutters with fevicol &amp; nails complete  as per approved by engineer in charge.</t>
  </si>
  <si>
    <t>8.36.1</t>
  </si>
  <si>
    <t>8.36.2</t>
  </si>
  <si>
    <t>4.0mm thick veneer</t>
  </si>
  <si>
    <t>6.0mm thick veneer</t>
  </si>
  <si>
    <t>Providing &amp; Fixing decorative veneer of approved make for inner/outer side of shutters with fevicol &amp; nails complete  as per approved by engineer in charge.</t>
  </si>
  <si>
    <t>Providing and fixing S.S. Rod 30mm dia (304 grade ,16SWG) including  brackets fixed with C.P. brass screws and rawl plugs, etc., wherever necessary complete two side central all fittings.</t>
  </si>
  <si>
    <t>GI Metal Ceiling Lay in Plain Tegular edge Global white colour tiles of size  595X595 mm, and 0.5 mm thick with 8 mm drop, made of G I Sheet having galvanizing of 100 gms/sqm (boths ides inclusive) and electro statically polyester powder coated of thickness 60 microns (minimum), including factory painted after bending.</t>
  </si>
  <si>
    <t>GI Metal Ceiling Lay in perforated Tegular edge global white colour tiles of size 595x595mm and 0.5 mm thick with 8 mm drop made of GI Sheet having galvanizing of 100 gms/ sqm (both sides inclusive) and 20% perforation area with 1.8 mm dia holes and having NRC (Noise Reduction Coefficient ) of 0.5, electro statically polyester powder coated of thickness 60 microns (minimum), including factory painted after bending and perforation and backed with a black Glass fiber acoustical fleece.</t>
  </si>
  <si>
    <t>New Work Three or More coat</t>
  </si>
  <si>
    <t>Old Work Analysis</t>
  </si>
  <si>
    <t>13.34.1</t>
  </si>
  <si>
    <t>Making of hole  in R.C.C. slab/wall/beams and masonary wall (width up to 450 mm) by core cutting machine complete as per direction of EI</t>
  </si>
  <si>
    <t>From  diameter 100mm to 150mm</t>
  </si>
  <si>
    <t>Diameter above 150mm</t>
  </si>
  <si>
    <t>Nano technology water proofing, thermal insulation protection coating 12 layer process for increasing life of building and damage control for roof.-- before coating scaling, cleaning, and preparing surface for treatment. Opening all joint and cracks and filling them with nano technology crack filling hydrophobic chemical with 2/3 coats. then after drying doing a PCC coat on cracks. One coat of nano technology hydrophobic/oiliophobic primer. Nano technology water proofing treatment in3 coats non silicon based applied with fiber mesh sheets in medium. Nano technology thermal insulation coating highly elasticity in nature with 3 coats with 1000 micron width.2top coats of anti stain, anti slippery, natural transparent high shine chemical for better life of the treatment.</t>
  </si>
  <si>
    <t>Nano technology water proofing, thermal insulation protection coating 9 layer process for increasing life of building and damage control protection for walls.-- before coating scaling, cleaning, and preparing surface for treatment. Opening all joint and cracks and filling them with nano technology crack filling hydrophobic chemical with 2 coats. then after drying doing a PCC coat on cracks. One coat of nano technology hydrophobic/oiliophobic primer. Nano technology water proofing treatment in 2 coats non silicon based thermal insulation coating highly elasticity in nature with 2 coats with 1000 micron thickness 2 top coats of anti slippery, natural transparent high shine chemical for better life of the treatment.</t>
  </si>
  <si>
    <t>Nano technology water proofing or anti stain protection coating 5-7 layer process for increasing life of all stone fascia/facades/flooring or stone building and damage control protection, life 7-9 years, warranty 5 years-- before coating washing of stone and degreasing of that area is done 1 coat. (Removing of algae/moss/blackness/stains/rust etc. is extra) then after drying doing 1 coat of Nono technology hydrophobic prime. After this on dry area Nano technology water proofing treatment in 3 coats wet on wet. In case of anti stain treatment 2 top coats of anti stain, anti slippery, natural transparent high shine or matt chemical treatment is done.</t>
  </si>
  <si>
    <t>Supply and fixing of polycrete wall fencing of existing wall, fencing of 0.9 mtr. Height above the existing wall, main member PVC profile section of size 125mmx125mmx900mm (c/c 1.67 mtr. length) with a wall thickness of 2.00mm+0.20mm and Horizontal panel PVC profile section of size 305mmx20mm (3 nos. 1.6 mtr. length) with wall thickness 1.00mm + 0.1mm and side edge covered with PVC C-Section of size 24mm x18mm with a wall thickness of 2.00mm+0.20mm Horizontal panel reinforced with G.I. section (C-Type) with a wall thickness of 1.20+0.10mm and horizontal panel having side in main member groove (vertical pillar 125x125mm) all complete as per design specification and as direction by Engineer in charge.</t>
  </si>
  <si>
    <t>Providing and fixing expanded grill made of aluminum as per design and drawing having members section of size 7.5mm x 6.0mm and opening of size 75mmx72mm to aluminum window/vent with required screws, Y and H aluminium sec (as per drawing) at the ends and middle joints respectively complete in all respect as per direction of engineer in charge.</t>
  </si>
  <si>
    <t xml:space="preserve">Powder coating aluminum  ( minimum thickness of powder coating 50 micron)   </t>
  </si>
  <si>
    <t xml:space="preserve">Polyester Powder coating aluminum  ( minimum thickness of powder coating 50 micron)   </t>
  </si>
  <si>
    <t>Providing and fixing of uPVC casement fixed windows or ventilators manufactured in ISO 9001:2000 &amp; 14001:2004 certified company. Frame : Made from the Extruded uPVC Window Profile Section of size 60 x 60mm having outer wall thickness of 2.25mm (+/- 0.2mm) and 3 box multi-chamber construction, White in finish, duly reinforced with 1.2mm thick G/J/U/O TYPE GI section. All the four corners shall be mitered cut &amp; thermal welded so as to form window frame. Frame shall be milled with drain and air equalizer hole in order to be water tight and for drainage of accumulated water, if any, to outer side. Fix Mullion made of 76 x 60mm uPVC Profile Section with steel reinforcement shall be provided in windows as per the requirement. Frame shall have ‘O’ type EPDM gasket fitted in in-built groove of frame profile for proper air &amp; sound insulation of the shutter. Glazing bead of size 34 x 20mm with ‘K’ &amp; ‘O’ type inner and outer EPDM weather seal gaskets alongwith 5mm thick ISI make plain float glass.All welding joints of frame and shutter shall be cleaned and milled with the CNC mechanism to provide uniform grooved finish on all visible joints. Hardware : Installation at Site : Complete window is to be installed on site with 10 x 100mm fastners with white cap in existing pre-finished wall cut-out cemented to glass level plane at all height &amp; width and silicon glue is applied to fill up the crevices between wall and window frame. Complete in all respect as per the drawing and specifications and direction of engineer-in-charge.</t>
  </si>
  <si>
    <t>Dry Cleaning of sofa sets using shampooing machine with all materials &amp; drying it do the level using machinery at designated place by engineer-in-charge one seat of sofa (payment for multi seater sofa will be done as the number of seats of that sofa.)</t>
  </si>
  <si>
    <t>Single Seater Sofa</t>
  </si>
  <si>
    <t>Two Seater Sofa</t>
  </si>
  <si>
    <t>Three Seater Sofa</t>
  </si>
  <si>
    <t>Dry Cleaning of Woolen Carpet of any size using shampooing machine with all material &amp; drying it using machinery at the designated place as told by engineer in charge.</t>
  </si>
  <si>
    <t>Complete replacement of Tapestry cloth of Sofa set costing @ Rs. 300/- per Mtr. Approx of superior quality including stitching charges (As approved by the Engineer in Charge) as per existing pattern/design.</t>
  </si>
  <si>
    <t>Single seater sofa</t>
  </si>
  <si>
    <t>Three seater sofa</t>
  </si>
  <si>
    <t>Complete replacement of damaged foam of Sofa set and using 100mm thick Joint less P.U. foam in seat of 32 density feather foam of superior quality of approved make  (as approved by the Engineer-in-charge)  pasted with Adhesive (Rubber Solution) of superior quality.</t>
  </si>
  <si>
    <t>Complete replacement of damaged foam of Sofa set and using 50mm thick joint less P.U. foam of 32 density feather foam superior quality of approved make (as approved by the Engineer-in-charge) in back duly pasted with Adhesive (Rubber Solution) of superior quality.</t>
  </si>
  <si>
    <t>Complete replacement of damaged foam of Sofa set and using 25mm thick joint less P.U. foam of 32 density feather foam  superior quality of approved make  (as approved by the Engineer-in-charge) in Hand rest, in seat and back and design work as required of superior quality.</t>
  </si>
  <si>
    <t>Repair of wooden frame of Sofa set using Tat, Nail, Screw, Bolt (if required) and re-assembling sofa set (Cost Including all Consumble Item) complete in all respect as per direction of the Engineer-in-charge</t>
  </si>
  <si>
    <t>Repair using replacement of Jata, Dori, wooden batten &amp; legs everything in all respect as per approval of Engineer-in-charge.</t>
  </si>
  <si>
    <t>Providing and Fixing machine made Synthetic Carpet having total Carpet weight 850 gm Psqm. and 5mm thickness superior quality complete in all respect as per direction of Engineer-in-charge.</t>
  </si>
  <si>
    <t>Providing and Fixing Chiken wire mesh at the joint of masonry members/ R.C.C. Members  with Nails complete in all respect.</t>
  </si>
  <si>
    <t>17.26.1</t>
  </si>
  <si>
    <t>17.26.2</t>
  </si>
  <si>
    <t>17.28.1</t>
  </si>
  <si>
    <t>17.28.2</t>
  </si>
  <si>
    <t>17.29.1</t>
  </si>
  <si>
    <t>17.29.2</t>
  </si>
  <si>
    <t>17.30.1</t>
  </si>
  <si>
    <t>17.30.2</t>
  </si>
  <si>
    <t>17.31.1</t>
  </si>
  <si>
    <t>17.31.2</t>
  </si>
  <si>
    <t>Providing &amp; Fixing Premium Quality white glazed vitreous china Sanitary Wares (IS:2556 Mark) of approved make as per direction of Engineer-in-charge including cutting and making good the wall and floor.</t>
  </si>
  <si>
    <t>Universal (anglo-Indian type) with P or S trap</t>
  </si>
  <si>
    <t>Wall Mounting European type W.C.</t>
  </si>
  <si>
    <t>Double Syphonic European W.C. with mounted W.V.C. flushing cistern of 10 litre capacity complete with all necessary internal fittings with Hydraulic seat cover.</t>
  </si>
  <si>
    <t>Providing &amp; Fixing premium qulaity WVC Urinal with PVC waste pipe, dome couplings, concealed iron brackets or screws etc. complete.</t>
  </si>
  <si>
    <t>Providing &amp; Fixing premium qulaity  W.V.C. Urinal Partition plate of size 630x315 mm</t>
  </si>
  <si>
    <t>Providing &amp; Fixing premium qulaity  WVC Wash basin with C.I. brackets duly painted &amp; 32 mm C.P. brass waste coupling of approved make with PVC  waste pipe complete</t>
  </si>
  <si>
    <t>P &amp; F Premiumquality water closet Seat Covers with brass hinges complete Solid PVC (ISI marked) grade-I White for EWC.</t>
  </si>
  <si>
    <t>P &amp; F Premium quality Low level Flushing Cistern of 10 litres capacity (IS:2556 mark) of approved make as per Engineer-in-charge with complete fittings C.I. brackets duly painted, brass ball cock with ball, (IS:1703 mark) complete including cutting and making good the wall :</t>
  </si>
  <si>
    <t>P&amp;F Looking Mirror 5mm thick of approved make with ornamental frame size 50x12 with 6mm Ply Board on Back Side Complete as per approved sample</t>
  </si>
  <si>
    <t>Supply of Hydraulic Seat Cover for Europeon WC of superior quality approved make in white Colour</t>
  </si>
  <si>
    <t>Providing &amp; Fixing chair for wall hung W.C.</t>
  </si>
  <si>
    <t>Providing &amp; Fixing Concealed cistern with Floor mounting frame and flush plate of superior quality and approved sample by Engineer-in-charge.</t>
  </si>
  <si>
    <t>Providing and fixing new spindle for Bib cock/pillar cock for repairing purpose to solve leakage and proper functioning of tap.</t>
  </si>
  <si>
    <t>Providing &amp; Fixing premium quality Toilet corner Glass Shelf size 225x225mm with C.P. brass brackets &amp; guard rail edges rounded of SS frame</t>
  </si>
  <si>
    <t>Providing  &amp;  Fixing  premium quality waste  coupling  32mm  half  thread  as per approved by Engineer in Charge.</t>
  </si>
  <si>
    <t>Providing &amp; Fixing Premium quality Bottle trap internal portion 32mm, size 250mm long wall connection pipe &amp; wall flange  as per approved by Engineer in Charge.</t>
  </si>
  <si>
    <t>1.71.1</t>
  </si>
  <si>
    <t>1.71.2</t>
  </si>
  <si>
    <t>Providing and fixing  Premium quality   Towel rack 600mm long 260mm wide with lower hangers CP Brass  fittings of approved make as per direction of Engineer-in-charge</t>
  </si>
  <si>
    <t>Labour Charges for Removing &amp; Refixing the water Storage Tank of all sizes and including all Necessary fitting complete in all respect as per approved sample and direction of engineer in charge.</t>
  </si>
  <si>
    <t>Providing and fixing superior quality PVC Tank Cover complete as per approved by Engineer In Charge</t>
  </si>
  <si>
    <t>Providing &amp; fixing C.I. Saddle pieces 100mm dia with nut &amp; bolt &amp; washer &amp; Rubber Gasket complete as per direction of engineer in charge</t>
  </si>
  <si>
    <t>Supply and installation of Premium quality sluice valve 100mm dia including all fittings as per approved by Engineer in charge.</t>
  </si>
  <si>
    <t>Providing Laying Jointing DI Pipe (Ductile iron pipe) of 100 mm dia ISI marked K-7 grade as per IS : 5329-2000 with internal cement mortar lining for potable water with rubber ring (EPDM/ SBR)  Joints  per  IS :  5382-1985 complete  including  Hydraulic testing &amp; commissioning as per Technical Specification.</t>
  </si>
  <si>
    <t>Providing &amp; fixing Hubless Spun –Centrifugally cast Iron Pipes (IS : 15905 Mark ) of Approved make in wall or in floor with M.S. Holder bat clamps in 10 X 10 X10 Cm. M-15 Grade concrete blocks, joints filled with CM 1:4 with spun yarn including cutting holes and making good the wall:-</t>
  </si>
  <si>
    <t>3.52.1</t>
  </si>
  <si>
    <t>3.52.2</t>
  </si>
  <si>
    <t>3.52.3</t>
  </si>
  <si>
    <t>Providing  &amp; fixing Hubless Spun –Centrifugally cast Iron Pipes fitting (IS : 15905 Mark ) in CM 1:4 with spun Yarn.</t>
  </si>
  <si>
    <t>Offset (130mm)</t>
  </si>
  <si>
    <t>Shielded (SS) Coupling (With EPDM Rubber)</t>
  </si>
  <si>
    <t>100mm W/o door</t>
  </si>
  <si>
    <t>Ofset (130mm)</t>
  </si>
  <si>
    <t>150mm W/o door</t>
  </si>
  <si>
    <t>75mm with door, bend</t>
  </si>
  <si>
    <t>Mechanised Cleaning of sewer line of diameter upto 200mm with the help of trolley mounted electrical driven machine having flexible steel springs of length 20ft. Each which are rotated with the help of electric motor and clutch assembly.</t>
  </si>
  <si>
    <t>mtr</t>
  </si>
  <si>
    <t>Mechanised sewer line Cleaning upto diameter 100mm with the help of PU coated glass fibre rod mounted on a wheel with brush attachment.</t>
  </si>
  <si>
    <t>Suplying  and Fixing Ductile iron Man Hole Covers/storm water grating and gratingwith frame of various sizes weight and types and load bearing capacity as per EN -124 ,superior quality or equivalent, comlete as per Direction of Engineer In charge.</t>
  </si>
  <si>
    <t>Mechanised Cleaning and desilting of manhole/sewer line chambers With the help of mechanical bucket which gets open and close through levers.</t>
  </si>
  <si>
    <t>depth upto 0.5 mtr.</t>
  </si>
  <si>
    <t>Depth upto 1.0 mtr.</t>
  </si>
  <si>
    <t>Depth upto 2.0 mtr.</t>
  </si>
  <si>
    <t>Depth upto 3.0 mtr.</t>
  </si>
  <si>
    <t>Depth upto 5.0 mtr.</t>
  </si>
  <si>
    <t>size  600 mm X 1200 mm</t>
  </si>
  <si>
    <t>P &amp; F 1st quality Heavy Duty Vitrified glazed MAT tiles on floor, skirting and steps etc.in different sizes (thickness minimum 10mm) with water absortion less than or equal 0.08% and conforming to IS 15622 of approved make in all colour and shade, laid with 20 mm thick CM 1: 4 including grounting the joints with white cement and matching pigment etc complete.</t>
  </si>
  <si>
    <t>size  600 mm X 1200mm</t>
  </si>
  <si>
    <t>P &amp; F 1st quality Heavy Duty Vitrified Double Charged tiles on floor, skirting and steps etc.in different sizes (thickness minimum 10mm) with water absortion less than or equal 0.08% and conforming to IS 15622 of approved make in all colour and shade, laid with 20 mm thick CM 1: 4 including grounting the joints with white cement and matching pigment etc complete.</t>
  </si>
  <si>
    <t>size  600 mm X 600mm</t>
  </si>
  <si>
    <t>size  800 mm X 800mm</t>
  </si>
  <si>
    <t>size  1000 mm X 1000mm</t>
  </si>
  <si>
    <t>13.34.2</t>
  </si>
  <si>
    <t>17.26.3</t>
  </si>
  <si>
    <t>17.32.1</t>
  </si>
  <si>
    <t>17.32.2</t>
  </si>
  <si>
    <t>17.33.1</t>
  </si>
  <si>
    <t>17.33.2</t>
  </si>
  <si>
    <t>2.44.1</t>
  </si>
  <si>
    <t>2.44.2</t>
  </si>
  <si>
    <t>2.44.3</t>
  </si>
  <si>
    <t xml:space="preserve">Termitubes </t>
  </si>
  <si>
    <t xml:space="preserve">polymer modified adhesive mortar </t>
  </si>
  <si>
    <t>Hand Grinder for groove cutting</t>
  </si>
  <si>
    <t>6.00mm thick veneer</t>
  </si>
  <si>
    <t>S.S. Rod pipe 30mm</t>
  </si>
  <si>
    <t>S.S. Rod pipe 30mm (Bracket)</t>
  </si>
  <si>
    <t>Stainless steel (Grade-304)hollow section round/square tubes</t>
  </si>
  <si>
    <t>Stainless steel bolts/square bar and plates</t>
  </si>
  <si>
    <t>Hanger rod 4mm thick</t>
  </si>
  <si>
    <t>Adjustment clip 85x30x0.8mm</t>
  </si>
  <si>
    <t>Soffit cleat (Size 27x37x25x1.60mm)</t>
  </si>
  <si>
    <t>Dash Hold fastener 12.5 mm dia 50 mm long</t>
  </si>
  <si>
    <t>Galvanised iron 8mm Outer Diameter M-6 dash fastener 50 mm long</t>
  </si>
  <si>
    <t>Primer (10 Sqm. P.Ltr in to Coats)</t>
  </si>
  <si>
    <t>for putty Choke Mitty</t>
  </si>
  <si>
    <t>Linseed oil</t>
  </si>
  <si>
    <t>Varnish</t>
  </si>
  <si>
    <t>Enamel Paint</t>
  </si>
  <si>
    <t xml:space="preserve">Valvet touch paint (5 Sqm. P.Ltr. For three coat) </t>
  </si>
  <si>
    <t>Per Sqm.</t>
  </si>
  <si>
    <t>Primer (20 Sqm. In 1 Ltr. for one coat)</t>
  </si>
  <si>
    <t>Duco Putty</t>
  </si>
  <si>
    <t>Thinner</t>
  </si>
  <si>
    <t>Duco Paint</t>
  </si>
  <si>
    <t>Hire Charges of Spray Machine</t>
  </si>
  <si>
    <t>Core cutting machine</t>
  </si>
  <si>
    <t>Liters</t>
  </si>
  <si>
    <t>Dow coarning 789 Weather proofing silicon</t>
  </si>
  <si>
    <t>cartage</t>
  </si>
  <si>
    <t>Silicon Structural adhesive</t>
  </si>
  <si>
    <t>Toughened Glass 6mm thick</t>
  </si>
  <si>
    <t>sundries  Backup Rod, Masking tape, spacer tape etc.</t>
  </si>
  <si>
    <t>Dhobi</t>
  </si>
  <si>
    <t>Tailor/Upholsterer</t>
  </si>
  <si>
    <t>P.Sqm.</t>
  </si>
  <si>
    <t>L.S</t>
  </si>
  <si>
    <t xml:space="preserve">Cost of jata / Dori </t>
  </si>
  <si>
    <t>Cost of Sofa Wooden Leg</t>
  </si>
  <si>
    <t>(3'+2')x2</t>
  </si>
  <si>
    <t>looking Mirror 5mm thick</t>
  </si>
  <si>
    <t>(3'x2')</t>
  </si>
  <si>
    <t>Water Proof Ply</t>
  </si>
  <si>
    <t xml:space="preserve">Fixing Concealed cistern with Floor mounting frame and flush plate </t>
  </si>
  <si>
    <t xml:space="preserve">premium quality waste  coupling  32mm  half  thread </t>
  </si>
  <si>
    <t xml:space="preserve">Premium quality Bottle trap internal portion 32mm, size 250mm long </t>
  </si>
  <si>
    <t>Premium Towel rack 600mm long 260mm wide with lower hangers</t>
  </si>
  <si>
    <t>Premium quality Angular stop cock with wall flange</t>
  </si>
  <si>
    <t>Premium quality Two way Bib cock with wall flange</t>
  </si>
  <si>
    <t>C.I. Saddle pieces 100mm dia</t>
  </si>
  <si>
    <t xml:space="preserve">Sluice valve 100mm dia </t>
  </si>
  <si>
    <t xml:space="preserve">DI Pipe (Ductile iron pipe) of 100 mm dia </t>
  </si>
  <si>
    <t>Sweeper</t>
  </si>
  <si>
    <t>Autoclave aerated blocks of Conforming to Grade-I</t>
  </si>
  <si>
    <t>per 100 gram pack</t>
  </si>
  <si>
    <t>Cement, Concrete Flooring/Cement Plaster/Cement Comcrete Road, Plain or RCC work &amp; water retaining works providing and mixing admixture of Synthetic Nylon-6 Fibres or polycaprolactam free from any reprocess Olefins &amp; confirming to ASTM C 1116 Type III 4.1.3 Having grade 6mm / 12 mm /18 mm melting point 220 deg. C, Sp. Gravity:1.14 g/cc, diameter 10-40 microns. It is required in specific ratio @ 0.20% (100 gm Fibres in 50 Kg Cement) for use as specified by manufacture specification and direction of Engineer In-charges with all leads and lifts.</t>
  </si>
  <si>
    <t>Heavy Duty Vitrified Polished Digital tiles 60x60 cm</t>
  </si>
  <si>
    <t>Heavy Duty Vitrified glazed MAT tiles 60x60 cm</t>
  </si>
  <si>
    <t>Heavy Duty Vitrified Polished Digital tiles 60x120 cm</t>
  </si>
  <si>
    <t>Heavy Duty Vitrified glazed MAT tiles 60x120 cm</t>
  </si>
  <si>
    <t>Heavy Duty Vitrified Double Charged tiles 60x60 cm</t>
  </si>
  <si>
    <t>Heavy Duty Vitrified Double Charged tiles 80x80 cm</t>
  </si>
  <si>
    <t>Heavy Duty Vitrified Double Charged tiles 100x100 cm</t>
  </si>
  <si>
    <t xml:space="preserve">19mm thick BWP block board </t>
  </si>
  <si>
    <t>Front side finishing with 4mm thick teak veneer</t>
  </si>
  <si>
    <t>Outer Bidding 35mm x 12mm</t>
  </si>
  <si>
    <t>GI metal Tile Lay-in Perforated  Tegular edge global white color tiles of size 595x595mm and 0.5mm thick</t>
  </si>
  <si>
    <t>Mineral Fibre Anti Bacterial Suspended beveled tegular edge ceiling tiles</t>
  </si>
  <si>
    <t>Mineral Fibre Acoustical Suspended beveled tegular edge ceiling tiles</t>
  </si>
  <si>
    <t>Alumium grill section of size 7.5mm x 6.0mm and opening of size 50mmx48mm</t>
  </si>
  <si>
    <t>Alumium grill section of size 7.5mm x 6.0mm and opening of size 75mmx72mm</t>
  </si>
  <si>
    <t>Vacume Cleaner Shampoing/Drycleaning Machine</t>
  </si>
  <si>
    <t>100mm thick Joint less P.U. foam</t>
  </si>
  <si>
    <t>50mm thick Joint less P.U. foam</t>
  </si>
  <si>
    <t xml:space="preserve">Tapestry cloth of Sofa set </t>
  </si>
  <si>
    <t>Solution Required for Dry Cleaning of sofa sets</t>
  </si>
  <si>
    <t>25mm thick Joint less P.U. foam</t>
  </si>
  <si>
    <t>Synthetic Carpet  Carpet including 5% Wastage</t>
  </si>
  <si>
    <t>Chiken wire mesh</t>
  </si>
  <si>
    <t>Ornamental frame size 50x12 with 6mm Ply Board on Back Side</t>
  </si>
  <si>
    <t xml:space="preserve">Hydraulic Seat Cover for Europeon WC </t>
  </si>
  <si>
    <t>chair for wall hung W.C.</t>
  </si>
  <si>
    <t>New spindle for Bib cock/pillar cock</t>
  </si>
  <si>
    <t>Toilet corner Glass Shelf size 225x225mm with C.P. brass brackets</t>
  </si>
  <si>
    <t>PVC Tank Cover 300 Lt. capacity</t>
  </si>
  <si>
    <t>PVC Tank Cover 500 Lt. capacity</t>
  </si>
  <si>
    <t>PVC Tank Cover  Above 500 Lt. capacity</t>
  </si>
  <si>
    <t>alvanised iron L-Shape level Adjuster</t>
  </si>
  <si>
    <t>A' Class</t>
  </si>
  <si>
    <t>B' Class</t>
  </si>
  <si>
    <t>per pack 
of 125 gm</t>
  </si>
  <si>
    <t>Wooden stage height 120 to 180 cm.with steps made of 50 mm dia iron pipe frame with adjustable height system and having smooth top wooden board complete .</t>
  </si>
  <si>
    <t>Poly propylene - Random - Co - polymer (PPR) pipes SDR 7.4 - 25mm Outer dia.</t>
  </si>
  <si>
    <t>Poly propylene - Random - Co - polymer (PPR) pipes SDR 7.4 - 20mm Outer dia.</t>
  </si>
  <si>
    <t>Poly propylene - Random - Co - polymer (PPR) pipes SDR 7.4 - 32mm Outer dia.</t>
  </si>
  <si>
    <t>Chlorinated Polyvinyl - chloride (CPVC) pipe 20 mm outer dia.</t>
  </si>
  <si>
    <t>Chlorinated Polyvinyl - chloride (CPVC) pipe 25 mm outer dia.</t>
  </si>
  <si>
    <t>Chlorinated Polyvinyl - chloride (CPVC) pipe 32 mm outer dia.</t>
  </si>
  <si>
    <t>Stainless steel screws 30mmx4mm</t>
  </si>
  <si>
    <t>Bonding Plaster for Gypsum Panel</t>
  </si>
  <si>
    <t>Mechanised Autoclaved flyash lime bricks 100</t>
  </si>
  <si>
    <t>Water proof ply 12mm thick.</t>
  </si>
  <si>
    <t>Manglore ridge tiles .........x.......mm 20mm thick.</t>
  </si>
  <si>
    <t>Red sand stone gang saw cut 30mm thick.</t>
  </si>
  <si>
    <t>Squatting Pan (Indian type) white glazed vitreous China Ist quality W.C. Pan Size 450 mm.</t>
  </si>
  <si>
    <t>Squatting Pan (Indian type) white glazed vitreous China Ist quality W.C. Pan Size 580 mm.</t>
  </si>
  <si>
    <t xml:space="preserve">Barricading </t>
  </si>
  <si>
    <t>ENCASING ROLLED STEEL SECTION</t>
  </si>
  <si>
    <t>Stone work (machine cut edges) for Wall cladding/ Veneering work up to 10m height  with 20 to 30 mm thick Red Sand Stone (Karauli ) and backing filled with a grout of 12mm thick cement mortar 1:3 (1 cement : 3 coarse sand) including pointing in white cement mortar 1:2 (1 white cement : 2 stone dust) with an admixture of pigment matching the stone shade :(To be secured to the backing by means of cramps which shall be paid separately)</t>
  </si>
  <si>
    <t>Note for item no. 1.24:- The extra percentage rate is applicable in respect of each item but limited to quantities of work executed in these difficult conditions. The unit, namely, metre depth, to be considered for payment, shall be the depth measured from the sub soil water level up to the centre of gravity of the qty executed in difficult condition. The depth shall be reckoned correct to 0.10m, 0.05m or more shall be taken as 0.10m and less than 0.05m ignorel.</t>
  </si>
  <si>
    <t>Diluting and injecting by hand operated pressure pumps chemical Emulsion timber ground treatment [TCGT] in ratio 1: 2 as per manufacturers specification for POST CONSTRUCTIONAL Anti-termite treatment (as per IS 6313) part - III 1971 as amended from time to time) (excluding the cost of chemical emulsion)  :</t>
  </si>
  <si>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excluding the cost of centering, shuttering and reinforcement  for Beams, suspended floors, roofs, griders having slopes up to 15º, landings, balconies, shelves, chajjas, lintels, bands, plain windows sills, staircases and spiral staircases etc.
M20 grade Nominal Mix /   Design Mix </t>
  </si>
  <si>
    <t xml:space="preserve">Centering and Shuttering with plywood or steel sheets including strutting, propping bracing both ways and removal of formwork for foundation , footings,  strap beam, raft , bases of columns etc.  </t>
  </si>
  <si>
    <t xml:space="preserve">Brick work with clay flyash F.P.S. brick  (IS 13757- 1993 ) of class designation 75 in superstructure  above  plinth level upto floor five level in :  </t>
  </si>
  <si>
    <t>Stone work (machine cut edges) for Wall cladding/ Veneering work up to 10 m height  with 20 to 30 mm thick Pink Sand stone (Bansi Paharpur) and backing filled with a grout of 12mm thick cement mortar 1:3 (1 cement : 3 coarse sand) including pointing in white cement mortar 1:2 (1 white cement : 2 stone dust) with an admixture of pigment matching the stone shade : (To be secured to the backing by means of cramps which shall be paid separately)</t>
  </si>
  <si>
    <t xml:space="preserve">Supplying and fixing machine cut fine dressed  Red/Pink sand stone dasa or  coping,  with full moulding if required laid on cement mortar 1:4 including pointing with admixture of pigment matching with the stone shade. </t>
  </si>
  <si>
    <t xml:space="preserve">Supplying and fixing machine cut  dressed 75 mm Pink  sand stone (Bansi Paharpur) dasa/ coping wth ornamental shape having moulding and "PAN Shape" engraving as per required pattern with engraving depth of 5 mm (average) in single piece of length 90 cm to be laid on cement mortar 1:4 (12 to 20mm thick) including pointing with admixture of pigment matching with the stone shade. </t>
  </si>
  <si>
    <t>Providing and fixing Stone jali 40mm thick Red/Pink sand stone throughout  in cement mortar 1:3 (1 cement : 3 coarse sand) including pointing in white cement mortar 1:2 (1 white cement : 2 stone dust) with an admixture of pigment, matching the stone shade, jali patterns to be cut square to jali slab without any chamfers etc:</t>
  </si>
  <si>
    <t xml:space="preserve">Providing and fixing Stone jali 50mm thick Red/Pink sand stone as per ornamental design  to fixed with white cement/epoxy mortar   including pointing in white cement mortar 1:2 (1 white cement : 2 stone dust) with an admixture of pigment, matching the stone shade. </t>
  </si>
  <si>
    <t xml:space="preserve">Providing and fixing Red/Pink sand stone post (Mataga) having size 100x100mm heights 600 to 750 mm as per ornamental design such as like flower octonogal head border etc. to fixed with white cement/epoxy mortar   including pointing in white cement mortar 1:2 (1 white cement : 2 stone dust) with an admixture of pigment, matching the stone shade. </t>
  </si>
  <si>
    <t>Providing and fixing wood panelling or panelling and glazing in panelled or panelled and glazed shutters for doors, windows and clerestory windows (Area of opening for panel inserts excluding portion inside grooves or rebates to be measured). Panelling for panelled and glazed shutter 25 mm to 40 mm thick</t>
  </si>
  <si>
    <t>Providing and fixing M.S. sheet 1mm thick  single leaf door shutter in angle iron frame 35x35x5mm suitabilly diagonally braced with 25x3mm flat iron above and below lock rail of size 50x5mm beading extra including all fittings, as per direction of Engg. incharge but excluding cost of chowkhats: including two coats of anit-corrosive red oxide primer paint</t>
  </si>
  <si>
    <t xml:space="preserve">Providing and fixing 14 mm thick  Acoustical  with fine fissured tiles/ Mineral fibre high density tiles with butt edges  false ceiling tiles of size  595x595 mm  in true horizontal level suspended on inter locking metal grid of hot dipped galvanised steel sections ( galvanized @ 170 gsm/sqm.) consisting of main “T” runner with suitably spaced joints to get required length and of size 24x38mm made from 0.30mm thick (minimum) sheet spaced at 1200mm center to center and cross “T” of size 24x25mm made of 0.30mm thick (minimum) sheet, 1200mm long spaced between main “T” at 600mm center to center to form a grid of 1200x600 mm and secondary cross “T” of length 600mm and size 24x25mm made of 0.30 mm thick (minimum) sheet to be interlocked at middle of the 1200x600mm panel to form grids of 600x600mm and wall angle of size 21x21x0.30 mm and laying false ceiling tiles of approved texture in the grid including, wherever, required, cutting/making, opening for services like diffusers, grills, light fittings, fixtures, smoke detectors etc. Main “T” runners to be suspended from ceiling using GI slotted cleats fixed to ceiling with 6 mm dia and 50mm long dash fasteners, 4mm GI adjustable rods with galvanised level clips spaced at 1200mm center to center along main T, bottom exposed width of 24mm of all T-sections shall be pre-painted with polyester paint, all complete at all heights as per specifications drawings and as directed by Engineer-in-Charge. ( The tiles should of 90 % RH avg. NCR 0.55 light reflectance&gt; 80% thermal conductiveity K = 0.052-0.057 w/m K colour white. Fire performance class 0/class I(BS 476) with warranty against sag) </t>
  </si>
  <si>
    <t xml:space="preserve">Providing &amp; fixing 12 mm thick tegular edge Glass Fibre Reinforced Gypsum False ceiling tiles of size 595 x 595 mm in true horizontal level suspended on inter locking metal grid of hot dipped galvanised steel sections ( galvanized @ 170 gsm/sqm.) consisting of main “T” runner with suitably spaced joints to get required length and of size 24x38mm made from 0.30mm thick (minimum) sheet spaced at 1200mm center to center and cross “T” of size 24x25mm made of 0.30mm thick (minimum) sheet, 1200mm long spaced between main “T” at 600mm center to center to form a grid of 1200x600 mm and secondary cross “T” of length 600mm and size 24x25mm made of 0.30 mm thick (minimum) sheet to be interlocked at middle of the 1200x600mm panel to form grids of 600x600mm and wall angle of size 21x21x0.30 mm and laying false ceiling tiles of approved texture in the grid including, wherever, required, cutting/making, opening for services like diffusers, grills, light fittings, fixtures, smoke detectors etc. Main “T” runners to be suspended from ceiling using GI slotted cleats fixed to ceiling with 6 mm dia and 50mm long dash fasteners, 4mm GI adjustable rods with galvanised level clips spaced at 1200mm center to center along main T, bottom exposed width of 24mm of all T-sections shall be pre-painted with polyester paint, all complete at all heights as per specifications drawings and as directed by Engineer-in-Charge. </t>
  </si>
  <si>
    <t xml:space="preserve">Providing and fixing calcium silicate board false ceiling at all heights including providing and fixing of frame work made of special sections power pressed from M.S. sheet and galvanised in accordance with zinc coating of grade 350 as per IS : 277 and consisting of angle cleats of size 25mm wide x 1.6mm thick with flanges of 22mm and 37mm at 1200mm centre to centre one flange fixed to the ceiling with dash fastener 12.5mm diax40mm long with 6mm dia bolts to the angle hangers of 25x25x0.55mm of required length, and other end of angle hanger being fixed with nut and bolts to G.I. channels 45x15x0.9mm running at the rate of 1200mm centre to centre to which the ceiling section 0.5mm thick bottom wedge of 80mm with tapered flanges of 26mm each having clips of 10.5mm at 450mm centre to centre shall be fixed in a direction perpendicular to G.I. channel with connecting clips made out of 2.64mm diax230mm long G.I. wire at every junction including fixing the calcium silicate board with ceiling section and perimeter channels 0.5mm thick 27mm high having flanges of 20mm and 30mm long, the perimeter of ceiling fixed to wall/partition with the help of rawl plugs at 450mm centre to centre with 25mm long drive-all screws @ 230mm interval including jointing and fixing to a flush finish of tapered and square edges of the board with recommended filler, jointing tapes, finisher and two coats of primer suitable for board as per manufactures specification and also including the cost of making openings for light fittings, grills, diffusers, cutouts made with frame of perimeter channels suitably fixed all complete as per drawing and specification and direction of the Engineer in Charge but excluding the cost of painting of thickness of calcium silicate board as below:-
</t>
  </si>
  <si>
    <t>Providing &amp; fixing calcium silicate ceiling tiles of size 595 x 595 mm in true horizontal level suspended on inter locking metal grid of hot dipped galvanised steel sections ( galvanized @ 170 gsm/sqm.) consisting of main “T” runner with suitably spaced joints to get required length and of size 24x38mm made from 0.30mm thick (minimum) sheet spaced at 1200mm center to center and cross “T” of size 24x25mm made of 0.30mm thick (minimum) sheet, 1200mm long spaced between main “T” at 600mm center to center to form a grid of 1200x600 mm and secondary cross “T” of length 600mm and size 24x25mm made of 0.30 mm thick (minimum) sheet to be interlocked at middle of the 1200x600mm panel to form grids of 600x600mm and wall angle of size 21x21x0.30 mm and laying false ceiling tiles of approved texture in the grid including, wherever, required, cutting/making, opening for services like diffusers, grills, light fittings, fixtures, smoke detectors etc. Main “T” runners to be suspended from ceiling using GI slotted cleats fixed to ceiling with 6 mm dia and 50mm long dash fasteners, 4mm GI adjustable rods with galvanised level clips spaced at 1200mm center to center along main T, bottom exposed width of 24mm of all T-sections shall be pre-painted with polyester paint, all complete at all heights as per specifications drawings and as directed by Engineer-in-Charge of thickness of tiles as mentioned below:-</t>
  </si>
  <si>
    <t xml:space="preserve">Providing and fixing calcium silicate perforated board false ceiling at all heights including providing and fixing of frame work made of special sections power pressed from M.S. sheet and galvanised in accordance with zinc coating of grade 350 as per IS : 277 and consisting of angle cleats of size 25mm wide x 1.6mm thick with flanges of 22mm and 37mm at 1200mm centre to centre one flange fixed to the ceiling with dash fastener 12.5mm diax40mm long with 6mm dia bolts to the angle hangers of 25x25x0.55mm of required length, and other end of angle hanger being fixed with nut and bolts to G.I. channels 45x15x0.9mm running at the rate of 1200mm centre to centre to which the ceiling section 0.5mm thick bottom wedge of 80mm with tapered flanges of 26mm each having clips of 10.5mm at 450mm centre to centre shall be fixed in a direction perpendicular to G.I. channel with connecting clips made out of 2.64mm diax230mm long G.I. wire at every junction including fixing the calcium silicate board with ceiling section and perimeter channels 0.5mm thick 27mm high having flanges of 20mm and 30mm long, the perimeter of ceiling fixed to wall/partition with the help of rawl plugs at 450mm centre to centre with 25mm long drive-all screws @ 230mm interval including jointing and fixing to a flush finish of tapered and square edges of the board with recommended filler, jointing tapes, finisher and two coats of primer suitable for board as per manufactures specification and also including the cost of making openings for light fittings, grills, diffusers, cutouts made with frame of perimeter channels suitably fixed all complete as per drawing and specification and direction of the Engineer in Charge but  but excluding the cost of painting of thickness of calcium silicate board as below:-
</t>
  </si>
  <si>
    <t>Providing &amp; fixing calcium silicate perforated ceiling tiles of size 595 x 595 mm in true horizontal level suspended on inter locking metal grid of hot dipped galvanised steel sections ( galvanized @ 170 gsm/sqm.) consisting of main “T” runner with suitably spaced joints to get required length and of size 24x38mm made from 0.30mm thick (minimum) sheet spaced at 1200mm center to center and cross “T” of size 24x25mm made of 0.30mm thick (minimum) sheet, 1200mm long spaced between main “T” at 600mm center to center to form a grid of 1200x600 mm and secondary cross “T” of length 600mm and size 24x25mm made of 0.30 mm thick (minimum) sheet to be interlocked at middle of the 1200x600mm panel to form grids of 600x600mm and wall angle of size 21x21x0.30 mm and laying false ceiling tiles of approved texture in the grid including, wherever, required, cutting/making, opening for services like diffusers, grills, light fittings, fixtures, smoke detectors etc. Main “T” runners to be suspended from ceiling using GI slotted cleats fixed to ceiling with 6 mm dia and 50mm long dash fasteners, 4mm GI adjustable rods with galvanised level clips spaced at 1200mm center to center along main T, bottom exposed width of 24mm of all T-sections shall be pre-painted with polyester paint, all complete at all heights as per specifications drawings and as directed by Engineer-in-Charge of thickness of tiles as mentioned below:-</t>
  </si>
  <si>
    <t>Crazy marble stone flooring 20mm thick marble stone with black or of specified colour topping including filling the gaps with cement marble chips mix  in proportion of 4 : 7 (4cement  : 7 white black or white or black marble chips) size from 1mm to 4mm by volume and under layer of 25mm thick cement concrete [1:2:4, graded stone aggregate 12.5mm nominal size] rubbing and polishing and cement slurry etc. complete :
In ordinary cement.</t>
  </si>
  <si>
    <t>6mm thick cement plaster 1:3 ( 1cement : 3 fine sand) finished with a floating coat of neat cement and thick coat of  Lime wash on top of walls when dry for bearing of R.C.C slabs and beams.</t>
  </si>
  <si>
    <t xml:space="preserve">Float glass panes of thickness 5 mm  </t>
  </si>
  <si>
    <t>Providing and laying four courses water proofing treatment with bitumen felt over roofs consisting of first and third courses of blown  bitumen 85/25 or 90/15 conforming to IS : 702 applied hot 1.45Kg. per square meter of area for each course, second course of roofing felt type 3 grade –I  (Hessian based self finished bitumen felt )and fourth and final course of stone grit 6mm and down size of pea sized gravel spread at 6cubes diameter  per square meter including preparation of surface, but excluding grading, complete  with  Bitumen  felt  (Hessian  base)  type  3  grade - I  conforming to : 1322.</t>
  </si>
  <si>
    <t>Providing and laying APP (Atactic Polypropylene Polymer) modified prefabricated five layer 3mm thick water proofing membrane, black finished reinforced with glass fibre matt consisting of a coat of bitumen primer for bitumen membrane @ 0.40 Itr/sq.mt. by the same membrane manufacture of density at 25°C, 0.87-0.89 kg/ltr and viscosity 70-160 cps. Over the primer coat the layer of membrane shall be laid using Butane Torch and sealing all joints etc., and preparing the surface complete. The vital physical and chemical parameters of the membrane shall be as under Joint strength in longitudinal and transverse direction at 23°C as 650/450N/5cm. Tear strength in longitudinal and transverse direction as 300/250N. Softening point of membrane not less than 150°C. Cold flexibility shall be upto -2°C when tested in accordance with ASTM, D-5147. The laying of membrane shall be got done through the authorized applicator of the manufacturer of membrane.
3 mm thick</t>
  </si>
  <si>
    <t>Providing and laying APP (Atactic Polypropylene Polymer) modified prefabricated five layer 3mm thick water proofing membrane, black finished reinforced with non-woven polyester matt  consisting of a coat of bitumen primer for bitumen membran @ 0.40 Itr/sq.mt. by the same membrane manufacture of density at 25°C, 0.87-0.89 kg/ltr and viscosity 70-160 cps. Over the primer coat the layer of membrane shall be laid using Butane Torch and sealing all joints etc., and preparing the surface complete. The vital physical and chemical parameters of the membrane shall be as under Joint strength in longitudinal and transverse direction at 23°C as 650/450N/5cm. Tear strength in longitudinal and transverse direction as 300/250N. Softening point of membrane not less than 150°C. Cold flexibility shall be upto -2°C when tested in accordance with ASTM, D-5147. The laying of membrane shall be got done through the authorized applicator of the manufacturer of membrane.
3 mm thick</t>
  </si>
  <si>
    <t xml:space="preserve">Providing and fixing to existing door frames 30mm thick factory made polyvinyl chloride (PVC) door shutter made of stiles and rails of a uPVC hollow section of size 60x30 mm and wall thickness 2mm +/- 0.2mm with inbuilt  decorative moulding edging on one side. The stiles and rails mitred and joined and the corners by means of M.S.galvanized/plastic brackets of size 75x220 mm having wall thickness 1.0mmand stainless steel screws. The stiles of the shutter reinforced by inserting galvanized M.S.tube of size 25x20 mm and 1mm +/- 0.1mm wall thickness. The lock rail made up of ‘H’ section, a uPVC hollow section of size 100x30 mm and 2mm +/- 0.2mm wall thickness fixed to the shutter stiles by means of plastic/galvanized M.S.tube ‘U’ cleats. The shutter frame filled with a uPVC multi-chambered single panel of size not less than 610mm,having overall thickness of 20mm and 1mm+/- 0.1mm wall thickness.
The panels filled vertically and tie bar at two places by inserting horizontally 6mm galvanized M.S.rod and fastened with nuts and washers.complete as per manufacturer’s specification and direction of Engineer-in-charge.(For W.C.and bathroom door shutter) </t>
  </si>
  <si>
    <t>Squatting Pan (Indian type) white glazed vitreous China Ist quality W.C. Pan Size 510 mm.</t>
  </si>
  <si>
    <t>Water tanker 6 kL capacity</t>
  </si>
  <si>
    <t>100 mm Nominal bore of pipe</t>
  </si>
  <si>
    <t>125 mm Nominal bore of pipe</t>
  </si>
  <si>
    <t>150 mm Nominal bore of pipe</t>
  </si>
  <si>
    <t>200 mm Nominal bore of pipe</t>
  </si>
  <si>
    <t>250 mm Nominal bore of pipe</t>
  </si>
  <si>
    <t xml:space="preserve">Stainless steel (SS 304 grade) adjustable friction window stay.  205 x 19mm   </t>
  </si>
  <si>
    <t>S.W. gully trap P type 225x150 mm</t>
  </si>
  <si>
    <t>C.I. grating 225x225 mm</t>
  </si>
  <si>
    <t>Premium Quality white glazed vitreous china W.C. orissa pan  (IS:2556 Mark) Size 580x440 mm.</t>
  </si>
  <si>
    <t>Premium Quality white glazed vitreous china Universal (anglo-Indian type)  WC Pan</t>
  </si>
  <si>
    <t xml:space="preserve">Premium Quality WVC Wall Hunged WC Pan </t>
  </si>
  <si>
    <t>Double Syphonic European W.C. with mounted W.V.C. flushing cisternand seat cover (complete set)</t>
  </si>
  <si>
    <t xml:space="preserve"> premium qulaity WVC Urinal Flat Back (small) size 440x265x315 mm.</t>
  </si>
  <si>
    <t>premium qulaity  WVC Urinal Flat Back (large) or half stall size 590x375x390 mm.</t>
  </si>
  <si>
    <t xml:space="preserve">premium qulaity  W.V.C. Urinal Partition plate of size 630x315 mm </t>
  </si>
  <si>
    <t>premium qulaity  WVC Wash basin Size 550 mm x 400 mm</t>
  </si>
  <si>
    <t>premium qulaity WVC Wash basin  with C.I. brackets</t>
  </si>
  <si>
    <t>premium qulaity WVC Wash basin Size 550 mm x 400 mm dia for counter top.</t>
  </si>
  <si>
    <t>Premium quality water closet Seat Cover Solid PVC (ISI marked) grade-I White for EWC.</t>
  </si>
  <si>
    <t>Premium quality Low level Flushing Cistern of 10 litres capacity PVC with PVC bend as per IS : 7231</t>
  </si>
  <si>
    <t>Toilet shelf Hard Plastic of superior quality  size 590x140mm</t>
  </si>
  <si>
    <t>Coloured Pedestal type W.C. pan (European type)</t>
  </si>
  <si>
    <t>ferrow cement cover and frame 300x300 mm inside</t>
  </si>
  <si>
    <t>Grating Cast Iron.</t>
  </si>
  <si>
    <t>INPUTS</t>
  </si>
  <si>
    <t>New Plastered Surface (three or more coats)</t>
  </si>
  <si>
    <t>Old Plastered Surface (two or more coats)</t>
  </si>
  <si>
    <t>Supply of dry manure including loading unloading,transportation &amp; stacking at site.</t>
  </si>
  <si>
    <t>Farm yard manure(organic)</t>
  </si>
  <si>
    <t>1.1.4</t>
  </si>
  <si>
    <t xml:space="preserve">Vermi compost </t>
  </si>
  <si>
    <t>Per 50 kg Bag</t>
  </si>
  <si>
    <t>1.1.5</t>
  </si>
  <si>
    <t xml:space="preserve">Neemcack </t>
  </si>
  <si>
    <t xml:space="preserve">Supply of Chemical Fertilizers at store in bags weighing not less than 50 kg each including loading unloading &amp; transportation </t>
  </si>
  <si>
    <t>DAP</t>
  </si>
  <si>
    <t>Super Phosphate</t>
  </si>
  <si>
    <t>Murrate of Photash</t>
  </si>
  <si>
    <t>Straw Meal</t>
  </si>
  <si>
    <t>1.2.6</t>
  </si>
  <si>
    <t>Bonemeal</t>
  </si>
  <si>
    <t>1.2.7</t>
  </si>
  <si>
    <t>Calcium Nitrate</t>
  </si>
  <si>
    <t>Supply &amp; Stacking good soil of earth at site complete including loading unloading &amp; Transportation etc.</t>
  </si>
  <si>
    <t>1.3.1</t>
  </si>
  <si>
    <t>Good soil of earth</t>
  </si>
  <si>
    <t>Supply of insecticides &amp; Pesticides at store in dust/liquid form complete.</t>
  </si>
  <si>
    <t>Methyl Prathion 2%</t>
  </si>
  <si>
    <t>Per 25 kg Bag</t>
  </si>
  <si>
    <t>Karathion (Liquid)</t>
  </si>
  <si>
    <t>Per 250 ml</t>
  </si>
  <si>
    <t>Metacid(Liquid)</t>
  </si>
  <si>
    <t>Per Litre</t>
  </si>
  <si>
    <t>Rogor(Liquid)</t>
  </si>
  <si>
    <t>Bauiston 50%</t>
  </si>
  <si>
    <t>Per 100 Grams</t>
  </si>
  <si>
    <t>Supply of Garden Tools &amp; implements at store complete.</t>
  </si>
  <si>
    <t>Spade weighing 1.5kg with Handle</t>
  </si>
  <si>
    <t>Khurpa weighing 500gm with Handle</t>
  </si>
  <si>
    <t>Gurvana weighing 800 gm with Handle(Kamani Steel)</t>
  </si>
  <si>
    <t>Hedge Shear(Kamani Steel)</t>
  </si>
  <si>
    <t>Garden Rack with Handle</t>
  </si>
  <si>
    <t>Pick Axe</t>
  </si>
  <si>
    <t>Supply of different sized pots at site store including loading unloading &amp; transportation etc. complete.</t>
  </si>
  <si>
    <t xml:space="preserve">Cement pot 300 mm size </t>
  </si>
  <si>
    <t>Cement pot 375 mm size</t>
  </si>
  <si>
    <t>1.6.4</t>
  </si>
  <si>
    <t>Cement pot 450 mm size</t>
  </si>
  <si>
    <t>1.6.5</t>
  </si>
  <si>
    <t>Cement pot 525 mm size</t>
  </si>
  <si>
    <t>1.6.6</t>
  </si>
  <si>
    <t>1.6.7</t>
  </si>
  <si>
    <t>Asbestos pot 400 mm size</t>
  </si>
  <si>
    <t>1.6.8</t>
  </si>
  <si>
    <t>Asbestos pot 450 mm size</t>
  </si>
  <si>
    <t>1.6.9</t>
  </si>
  <si>
    <t>Asbestos pot 600 mm size</t>
  </si>
  <si>
    <t>Supply of different sized earthen pots at site/store including loading unloading &amp; transportation etc.complete</t>
  </si>
  <si>
    <t>Earthen pot 150 mm size</t>
  </si>
  <si>
    <t>Earthen pot 225 mm size</t>
  </si>
  <si>
    <t>Earthen pot 300 mm size</t>
  </si>
  <si>
    <t>1.7.4</t>
  </si>
  <si>
    <t>Earthen pot 350 mm size</t>
  </si>
  <si>
    <t>1.7.5</t>
  </si>
  <si>
    <t>Earthen pot 225 mm size( Kundi shape)</t>
  </si>
  <si>
    <t>1.7.6</t>
  </si>
  <si>
    <t>Earthen pot 300 mm size( Kundi shape)</t>
  </si>
  <si>
    <t>1.7.7</t>
  </si>
  <si>
    <t>Earthen pot 350 mm size( Kundi shape)</t>
  </si>
  <si>
    <t>Supply of different sized lawn mower including transportation etc. as store complete.</t>
  </si>
  <si>
    <t>300 mm size Hand Lawn Mower(Roller Type)</t>
  </si>
  <si>
    <t>350 mm size Hand Lawn Mower(Roller Type)</t>
  </si>
  <si>
    <t>450 mm size Hand Lawn Mower(Roller Type)</t>
  </si>
  <si>
    <t>500 mm size Hand Lawn Mower(Roller Type)</t>
  </si>
  <si>
    <t>600 mm size Hand Lawn Mower(Roller Type)</t>
  </si>
  <si>
    <t>300 mm Electric Lawn Mower</t>
  </si>
  <si>
    <t>1.8.7</t>
  </si>
  <si>
    <t>350 mm Electric Lawn Mower</t>
  </si>
  <si>
    <t>1.8.8</t>
  </si>
  <si>
    <t>400 mm Electric Lawn Mower</t>
  </si>
  <si>
    <t>1.8.9</t>
  </si>
  <si>
    <t>450 mm Electric Lawn Mower</t>
  </si>
  <si>
    <t>1.8.10</t>
  </si>
  <si>
    <t>500 mm Electric Lawn Mower</t>
  </si>
  <si>
    <t>Electric Lawn Mower sarfex 16 EL</t>
  </si>
  <si>
    <t>Electric Lawn Mower sarfex 18 EL</t>
  </si>
  <si>
    <t>Electric Lawn Mower sarfex 21 EL</t>
  </si>
  <si>
    <t>Supply of different size Tokaras/Tokaries etc at store complete</t>
  </si>
  <si>
    <t>Big size(600mm dia)</t>
  </si>
  <si>
    <t>Small size(450 mm dia)</t>
  </si>
  <si>
    <t>Jute Band( Ssutli)</t>
  </si>
  <si>
    <t>Per kg</t>
  </si>
  <si>
    <t>1.9.4</t>
  </si>
  <si>
    <t>Broom ( Bamboo)</t>
  </si>
  <si>
    <t>1.9.5</t>
  </si>
  <si>
    <t>Anti Bird Net</t>
  </si>
  <si>
    <t>1.9.6</t>
  </si>
  <si>
    <t>Shed Net 50%</t>
  </si>
  <si>
    <t>1.9.7</t>
  </si>
  <si>
    <t>Shed Net 75%</t>
  </si>
  <si>
    <t>1.9.8</t>
  </si>
  <si>
    <t>Shed Net 90%</t>
  </si>
  <si>
    <t>Supply of PVC hose pipe of different sizes at store including transportation etc. complete.</t>
  </si>
  <si>
    <t>R/Mtr.</t>
  </si>
  <si>
    <t>38 mm dia</t>
  </si>
  <si>
    <t>17 mm dia</t>
  </si>
  <si>
    <t>1.10.5</t>
  </si>
  <si>
    <t>12.5 mm dia</t>
  </si>
  <si>
    <t>1.11.2</t>
  </si>
  <si>
    <t>1.11.3</t>
  </si>
  <si>
    <t>Supply of different varities of tree/shrubs/climbers according to height and age of the plant at side including loading/unloading &amp; transportation etc.complete</t>
  </si>
  <si>
    <t>Different flowering plants 900mm to1500mm</t>
  </si>
  <si>
    <t>Different varieties of shrubs 600mm to 900 mm</t>
  </si>
  <si>
    <t>25 to 160</t>
  </si>
  <si>
    <t>Different varieties of climbers 900mm to 1500 mm</t>
  </si>
  <si>
    <t>50 to 150</t>
  </si>
  <si>
    <t xml:space="preserve">Supply of different varieties of bougainvillea in ply bags/earthen pot according to height growth and age of plant at site including loading unloading and transportation etc. complete </t>
  </si>
  <si>
    <t>Local variety of bougainvillea 600mm to 900mm</t>
  </si>
  <si>
    <t>25 to 60</t>
  </si>
  <si>
    <t>Different varieties of bougainvillea 600mm to 900mm</t>
  </si>
  <si>
    <t xml:space="preserve">Supply of different varieties of rose plants in poly bag/ earthen pot according to height growth and age of the plant at site including loading unloading and transportation etc. complete </t>
  </si>
  <si>
    <t xml:space="preserve">Desi rose / root stock plant </t>
  </si>
  <si>
    <t>40 to 50</t>
  </si>
  <si>
    <t xml:space="preserve">Ganganagari rose plant in poly beg </t>
  </si>
  <si>
    <t>80 to 125</t>
  </si>
  <si>
    <t>1.14.3</t>
  </si>
  <si>
    <t>1.14.4</t>
  </si>
  <si>
    <t>200 t0 250</t>
  </si>
  <si>
    <t>Supply of different varieties of palms in poly bags/earthen pot according to height growth and age of plant at site including loading unloading and transportation etc. complete</t>
  </si>
  <si>
    <t xml:space="preserve">Raffish palm 2 to 2.2 feet </t>
  </si>
  <si>
    <t>Deshi palm 2 to 3 feet</t>
  </si>
  <si>
    <t>China palm 1 to 1.5 feet</t>
  </si>
  <si>
    <t>1.15.4</t>
  </si>
  <si>
    <t xml:space="preserve">Arica palm many branches 5 to 6 feet </t>
  </si>
  <si>
    <t>400 to 500</t>
  </si>
  <si>
    <t>1.15.5</t>
  </si>
  <si>
    <t xml:space="preserve">Bottle palm   5 to 8 feet </t>
  </si>
  <si>
    <t>700 to 900</t>
  </si>
  <si>
    <t>1.15.6</t>
  </si>
  <si>
    <t xml:space="preserve">Fox tale  palm 5 to 8 feet </t>
  </si>
  <si>
    <t>900 to 1200</t>
  </si>
  <si>
    <t>1.15.7</t>
  </si>
  <si>
    <t xml:space="preserve">Fish tale palm 5 to 8 feet </t>
  </si>
  <si>
    <t>1.15.8</t>
  </si>
  <si>
    <t xml:space="preserve">T cycuss  3 feet 5 feet </t>
  </si>
  <si>
    <t>Supply of different varieties of indoor plants  in poly bags/earthen pot according to height growth and age of plant at site including loading unloading and transportation etc. complete</t>
  </si>
  <si>
    <t xml:space="preserve">Deshi crotons </t>
  </si>
  <si>
    <t>50 to 60</t>
  </si>
  <si>
    <t xml:space="preserve">Selective varieties of crotons 2 to 3 feet </t>
  </si>
  <si>
    <t>Crotons Bangalore 1.5 to 2 feet</t>
  </si>
  <si>
    <t>250 to 2300</t>
  </si>
  <si>
    <t xml:space="preserve">Rubber plants etc </t>
  </si>
  <si>
    <t>100 to 250</t>
  </si>
  <si>
    <t>100 to 200</t>
  </si>
  <si>
    <t>110 to 175</t>
  </si>
  <si>
    <t>125 to 250</t>
  </si>
  <si>
    <t>Cycussevelta 50mm to 75 mm dia</t>
  </si>
  <si>
    <t>Furcaria gignita 50mm to 75 mm</t>
  </si>
  <si>
    <t>900 to 1000</t>
  </si>
  <si>
    <t>Different  fycus plants tolairy 100mm to 125 cm height</t>
  </si>
  <si>
    <t>800 to 1000</t>
  </si>
  <si>
    <t xml:space="preserve">Different champa 125 cm to 215 cm height </t>
  </si>
  <si>
    <t>400 to 900</t>
  </si>
  <si>
    <t>Supply of different varieties of blubs  including loading unloading and transportation etc. complete</t>
  </si>
  <si>
    <t xml:space="preserve">Supply of different varieties of caladium  blubs  </t>
  </si>
  <si>
    <t>Supply of different varieties of amrilis lilly bulb</t>
  </si>
  <si>
    <t>Supply  of tube rose bulbs</t>
  </si>
  <si>
    <t>1.17.4</t>
  </si>
  <si>
    <t>Supply  of hemaniths bulb</t>
  </si>
  <si>
    <t>1.17.5</t>
  </si>
  <si>
    <t>Supply  of Asiatic Lilly bulb</t>
  </si>
  <si>
    <t>1.17.6</t>
  </si>
  <si>
    <t>Supply  of oriental lilly bulb</t>
  </si>
  <si>
    <t>Supply  of  different variety of gladioli bulb</t>
  </si>
  <si>
    <t>Supply of flower Garlands &amp; Flower petal’s including transportation at site.(Complete)</t>
  </si>
  <si>
    <t>Merigold Garland A Class ( Big flowers) 2 feet long</t>
  </si>
  <si>
    <t>Merigold Garland B Class ( Small flowers) 1.5 feet long</t>
  </si>
  <si>
    <t>Green Garland ( Ashok Leaf) 2 feet long</t>
  </si>
  <si>
    <t>1.18.4</t>
  </si>
  <si>
    <t>Rose Garland 1.5 feet long</t>
  </si>
  <si>
    <t>1.18.5</t>
  </si>
  <si>
    <t>Jalusi Garland( VIP A Class) Double fold</t>
  </si>
  <si>
    <t>1.18.6</t>
  </si>
  <si>
    <t>Jalusi Garland( VIP B Class) Single fold</t>
  </si>
  <si>
    <t>1.18.7</t>
  </si>
  <si>
    <t>Mogra Garland 1.5 feet long</t>
  </si>
  <si>
    <t>1.18.8</t>
  </si>
  <si>
    <t>Kunj Garland 1.0 feet long</t>
  </si>
  <si>
    <t>1.18.9</t>
  </si>
  <si>
    <t>Rose petal’s</t>
  </si>
  <si>
    <t>Per Kg.</t>
  </si>
  <si>
    <t>1.18.10</t>
  </si>
  <si>
    <t>Merigold petal’s</t>
  </si>
  <si>
    <t>1.18.11</t>
  </si>
  <si>
    <t>Crisenthimum petal’s</t>
  </si>
  <si>
    <t>1.18.12</t>
  </si>
  <si>
    <t>Chandine flower</t>
  </si>
  <si>
    <t>1.18.13</t>
  </si>
  <si>
    <t>Mogra Flower</t>
  </si>
  <si>
    <t>1.18.14</t>
  </si>
  <si>
    <t>Kunj Flower</t>
  </si>
  <si>
    <t>Supply of Cut Flower at site including transportation Complete</t>
  </si>
  <si>
    <t>Tata Rose</t>
  </si>
  <si>
    <t>1.19.2</t>
  </si>
  <si>
    <t>Carnation</t>
  </si>
  <si>
    <t>1.19.3</t>
  </si>
  <si>
    <t>Gladioli</t>
  </si>
  <si>
    <t>1.19.4</t>
  </si>
  <si>
    <t>Tube rose single</t>
  </si>
  <si>
    <t>1.19.5</t>
  </si>
  <si>
    <t>Tube rose double</t>
  </si>
  <si>
    <t>1.19.6</t>
  </si>
  <si>
    <t>Ilium  Asiatic</t>
  </si>
  <si>
    <t>1.19.7</t>
  </si>
  <si>
    <t>Ilium Oriental</t>
  </si>
  <si>
    <t>1.19.8</t>
  </si>
  <si>
    <t>An thorium</t>
  </si>
  <si>
    <t>1.19.9</t>
  </si>
  <si>
    <t>Arched Mix</t>
  </si>
  <si>
    <t>1.19.10</t>
  </si>
  <si>
    <t>Zarbera</t>
  </si>
  <si>
    <t>Dasy</t>
  </si>
  <si>
    <t>Chrysanthemum</t>
  </si>
  <si>
    <t>Candytuft</t>
  </si>
  <si>
    <t>Aster</t>
  </si>
  <si>
    <t>Lotus</t>
  </si>
  <si>
    <t>Supply of Flower Bucket &amp; flower Bunch at site including transportation ( Complete)</t>
  </si>
  <si>
    <t>Flower Bunch / Bucket ( 20 Roses)</t>
  </si>
  <si>
    <t>Flower Bunch / Bucket ( 30 Roses, Carnation)</t>
  </si>
  <si>
    <t>Flower Bunch / Bucket ( 7 Lily &amp; 15 Roses)</t>
  </si>
  <si>
    <t>1.20.4</t>
  </si>
  <si>
    <t>Flower Bunch / Bucket ( 10 Lily,  20 Roses &amp; Carnation Mix)</t>
  </si>
  <si>
    <t>1.20.5</t>
  </si>
  <si>
    <t>Flower Bunch / Bucket ( 15 Lily )</t>
  </si>
  <si>
    <t>Flat Flower  Bucket ( 20 Mix Flower’s)</t>
  </si>
  <si>
    <t>Flat Flower  Bunch   ( 25 Mix Flower’s) lily Carnation Rose</t>
  </si>
  <si>
    <t>Flower Bunch / Bucket (Small 15 Flower Stic)</t>
  </si>
  <si>
    <t>Flower Bunch / Bucket ( 10 Roses, 5 Carnation)</t>
  </si>
  <si>
    <t>Flower Bunch / Bucket ( 15 Roses)</t>
  </si>
  <si>
    <t xml:space="preserve">Maintenance of lawn </t>
  </si>
  <si>
    <t>-</t>
  </si>
  <si>
    <t xml:space="preserve">2.1.1 </t>
  </si>
  <si>
    <t>Spreading of manure , good earth in required thickness (cost of manure and good earth to be separately )</t>
  </si>
  <si>
    <t>cub</t>
  </si>
  <si>
    <t xml:space="preserve">2.1.2 </t>
  </si>
  <si>
    <t xml:space="preserve">Irrigation of lawn </t>
  </si>
  <si>
    <t>Per hect. Per day</t>
  </si>
  <si>
    <t xml:space="preserve">Uprooting weeds from the lawn plots and trenched area after 10 to 15 days of its flooding with including disposal of uprooted vegetation </t>
  </si>
  <si>
    <t>100 sqm</t>
  </si>
  <si>
    <t xml:space="preserve">Moving manually / with power machines </t>
  </si>
  <si>
    <t>Per hect</t>
  </si>
  <si>
    <t xml:space="preserve">Maintenance of shrubbery or hedges cutting including disposal of rubbish with all leads and lifts </t>
  </si>
  <si>
    <t>Sweeping / cleaning of gardens roads lawns paths and disposal of all rubbish</t>
  </si>
  <si>
    <t>100sqm</t>
  </si>
  <si>
    <t xml:space="preserve">Security of the garden per gate for 24 hours in 3 shift with the exilitary persons  </t>
  </si>
  <si>
    <t xml:space="preserve">Per day 24 hours </t>
  </si>
  <si>
    <t>Maintenance /fitting of permanent ornamental pots/ seasonal pots</t>
  </si>
  <si>
    <t xml:space="preserve">Mixing earth and manure in per portion  as specified or directed for pots </t>
  </si>
  <si>
    <t>Filling and planting of sapling and watering of pots</t>
  </si>
  <si>
    <t>Per 100 pots per day</t>
  </si>
  <si>
    <t xml:space="preserve">Weeding hoeing stacking and coloring of pots material will be supplied by the department </t>
  </si>
  <si>
    <t>Digging pits in ordinary soil and refilling the same with the excavated earth mixed with manure in the ratio of 2:1 by volume ( 2parts of stacked volume of earth after reduction by 20% 1 part of stacked volume of manure after reduction by 8%) flooding wit</t>
  </si>
  <si>
    <t xml:space="preserve">Planting of annual saplings watering in the bed </t>
  </si>
  <si>
    <t>watering of group plantation in bed</t>
  </si>
  <si>
    <t xml:space="preserve">Group plantation in the bed at specified place </t>
  </si>
  <si>
    <t>Laying of lawns including ploughing leveling  breaking of clods manuring and removal of stones etc. (cost of manure or extra good earth to be paid separately )maintenance of lawn foe 30 days or more till the grass forms a thick lawns free from weeds and fit for moving in the duration of planting if lawn die some where the contractor will replant it at his own cost</t>
  </si>
  <si>
    <t>In rows 15 cm apart in either direction</t>
  </si>
  <si>
    <t>in rows 7.5 cm  apart in either direction</t>
  </si>
  <si>
    <t>100 plants</t>
  </si>
  <si>
    <t>Preparation  of different sized bed as directed</t>
  </si>
  <si>
    <t>Per 100 Sqm</t>
  </si>
  <si>
    <t>Digging of pits size 60x60x60 cms. Including removal of stones Manuring applicable of insecticides &amp; watering atleast 15 litre per plant after plan ting.</t>
  </si>
  <si>
    <t>Per Pit</t>
  </si>
  <si>
    <t>Per 1000 Plants</t>
  </si>
  <si>
    <t>Per Thawala</t>
  </si>
  <si>
    <t>Per Plants</t>
  </si>
  <si>
    <t>Transportation of tree guards from Depot to the plantation site including loading &amp; unloading.</t>
  </si>
  <si>
    <t>Per Plant Per month</t>
  </si>
  <si>
    <t>Per tree</t>
  </si>
  <si>
    <t>Supply &amp; Planting  of shady plants ( Neem. Peepal, Goolar, Jamun, Imli or other specified) along road side including the following activities:-</t>
  </si>
  <si>
    <t>Per Plant</t>
  </si>
  <si>
    <t>Supply &amp; Panting of ornamental plants ( Kachnar, Amaltas, Gulmohar, Arjun, Kala, Siris, Jacranda etc. or other specified) along road side including the following activities :-</t>
  </si>
  <si>
    <t>Planting &amp; Maintenance of shrubs.</t>
  </si>
  <si>
    <t>Planting of shrubs in central verge</t>
  </si>
  <si>
    <t>Providing and Applying ACRYLIC emulsion polymer waterproofing chemical coating, on over roof on over roof  slabs/terrace/balconies/parapet wall etc.with following method/specification:
Paint the surface with regular paint brush so as to obtain approximately 0.3mm thickness coating. apply the 2nd coat next day at right angles to the 1st coat so that total thickness of the coating should be approximately 0.6mm coverage by using above formulation will be 40 ft2/ litre of chemical. painted surface does not require any external water curing since chemical will hold sufficient water for curing.After the primer coat Apply 2 coats of modified acrylic emulsion polymer water proofing compound having solar heat reduction properties coating @ 0.330 KG/SQM on the surface of the interval of 3-4 hours. Undulation on the surface is repair before the waterproofing work.</t>
  </si>
  <si>
    <t>The powder is conforming with the performance requirements of the AAMA2603.02 &amp; Qualicoat Claa 1 specifications. 
The coating thickness will be minimum 60 microns with properties of Salt Spray of 1500 hrs in exposure in SST Cabinet with Minimum blister rating 8.  
(Tensile strength of suspension-344/413 mpa and fastner strength-110kg)
All Ceiling Panels shall adhere to GreenPro Certifications.</t>
  </si>
  <si>
    <t xml:space="preserve">Supply &amp; Fixing of torsion spring  Plank Ceiling System, comprising of Plank of 600mm wide and 600mm long manufactured out of 0.7mm thick Aluminium  Alloy 3105 perforated 1.5mm dia With 22% open area. The metal ceiling panels shall be downward accessible with a minimum of four (4) torsion springs per panel . The Plank will be manufactured on advanced CAD/CAM equipment that includes several levelling stages in the manufacturing process. Torsion Spring panel with two side legs die formed and two end legs die formed and punched to receive torsion springs (min two springs each end or side) for secure engagement into Tee Grid main runners which are factory punched to receive torsion springs.  Planks will   be square edged. The metal ceiling panels shall be downward accessible with a minimum of four (4) torsion springs per panel.  The Plank shall be Polyester powder coated in desired colour. Main Runners:  24mm deep, inverted “Tee” sections, 3.6m long, with factory punched flanges to receive torsion spring assembly. Main Tee on center spacing to match panel length. Cross Runners: 24 mm deep, inverted “Tee” sections designed to interlock in to web of main tee section on designated spacing. Cross tee length to match panel length. Cross tees are spaced spacing 1200mm on center maximum. </t>
  </si>
  <si>
    <t xml:space="preserve">Supply &amp; Fixing of torsion spring  Plank Ceiling System, comprising of Plank of 600mm wide and 1200mm long manufactured out of 0.6mm thick GALVANISED IRON perforated 1.5mm dia With 22% open area. The metal ceiling panels shall be downward accessible with a minimum of four (4) torsion springs per panel . The Plank will be manufactured on advanced CAD/CAM equipment that includes several levelling stages in the manufacturing process. Torsion Spring panel with two side legs die formed and two end legs die formed and punched to receive torsion springs (min two springs each end or side) for secure engagement into Tee Grid main runners which are factory punched to receive torsion springs.  Planks will   be square edged. The metal ceiling panels shall be downward accessible with a minimum of four (4) torsion springs per panel.  The Plank shall be Polyester powder coated in desired colour. Main Runners:  24mm deep, inverted “Tee” sections, 3.6m long, with factory punched flanges to receive torsion spring assembly. Main Tee on center spacing to match panel length. Cross Runners: 24 mm deep, inverted “Tee” sections designed to interlock in to web of main tee section on designated spacing. Cross tee length to match panel length. Cross tees are spaced spacing 1200mm on center maximum. </t>
  </si>
  <si>
    <t>The powder is conforming with the performance requirements of the AAMA2603.02 &amp; Qualicoat Claa 1 specifications. 
The coating thickness will be minimum 60 microns with properties of Salt Spray of 1500 hrs in exposure in SST Cabinet with Minimum blister rating 8. 
(Tensile strength of suspension-344/413 mpa and fastner strength-110kg)
All Ceiling Panels shall adhere to GreenPro Certifications.</t>
  </si>
  <si>
    <t xml:space="preserve">Deluxe sofa </t>
  </si>
  <si>
    <t>Spray painting in approved shade and approved quality  with Duco paint of required colour to give even shade with two or more coats by compressor including sand papering, NC putty filler coat etc complete in all respect as per design given by Engineeer incharge on new work.</t>
  </si>
  <si>
    <t>Fly ash bricks shall be invariably be used in building works except petty or repair works, where clay bricks can be used.</t>
  </si>
  <si>
    <t>Providing and Fixing Aluminium composite panel of  approved make 3mm thick with 0.5mm thick skin &amp; PVDF coated approved shade for wall panelling. Main framing work to be done using 50mmx25mmx1.6mm tubular section of approved make. Stainless steel screw to be used to fix the ACP panel to be fixed to the main frame with industrial adhesive tape and panel groove to be sealed with weather proof silicon sealant suitable for glass/aluminium etc. complete in all respect as approved by Engineer-in-charge.</t>
  </si>
  <si>
    <t>Providing and fixing of uPVC Sliding windows: Frame Made from the Extruded uPVC Window Profile Section of size 106w x 50h mm having outer wall thickness of 2.5mm (+/- 0.2mm) and 3 box multi-chamber construction, White in finish, duly reinforced with 1.2 mm thick GI section. Frame shall have three track configuration, two for sliding of window shutter and one for mosquito mesh shutter. Vertical member of frame which bears the sliding shutter load shall have aluminium rail/track for smooth sliding of shutter rollers. All the four corners shall be mitered cut &amp; thermal welded so as to form window frame. Frame shall be milled with drain and air equalizer hole in order to be water tight and for drainage of accumulated water, if any, to outer side.
Shutter : The shutter of sliding window shall be made of 39w x 69h mm Extruded 3 box multi- chamber uPVC Window Profile Section of white colour having outer wall thickness of 2.5mm (+/- 0.2mm) provided with reinforcement of 1.5mm thick GI section duly mitered cut &amp; thermal welded at all corners and fitted with uPVC glazing bead of size 22 x 20 mm with inner and outer co-extruded EPDM/TPE-E  weather seal gaskets alongwith 6mm thick ISI make plain float glass. Mesh shutter  shall be made of 39w x 69h mm Extruded 3 box multi-chamber  UPVC Window profile section of white colour having outer wall thickness of 2.5mm (+/- 0.2mm) provided with reinforcement of 1.5 mm thick GI section duly mitered cut &amp; thermal welded at all corners and fitted with nylon/polymer mesh and rollers/pully.</t>
  </si>
  <si>
    <t xml:space="preserve">Providing and fixing of uPVC Sliding windows: Frame Made from the Extruded uPVC Window Profile Section of size 106w x 50h mm having outer wall thickness of 2.5mm (+/- 0.2mm) and 3 box multi-chamber construction, White in finish, duly reinforced with 1.2 mm thick GI section. Frame shall have three track configuration, Vertical member of frame which bears the sliding shutter load shall have aluminium rail/track for smooth sliding of shutter rollers. All the four corners shall be mitered cut &amp; thermal welded so as to form window frame. Frame shall be milled with drain and air equalizer hole in order to be water tight and for drainage of accumulated water, if any, to outer side.
Shutter : The shutter of sliding window shall be made of 39w x 69h mm Extruded 3 box multi- chamber uPVC Window Profile Section of white colour having outer wall thickness of 2.5mm (+/- 0.2mm) provided with reinforcement of 1.5mm thick GI section duly mitered cut &amp; thermal welded at all corners and fitted with uPVC glazing bead of size 22 x 20 mm with inner and outer co-extruded EPDM/TPE-E  weather seal gaskets alongwith 6mm thick ISI make plain float glass. </t>
  </si>
  <si>
    <t xml:space="preserve">Providing and fixing of uPVC Sliding windows: Frame Made from the Extruded uPVC Window Profile Section of size 106w x 50h mm having outer wall thickness of 2.5mm (+/- 0.2mm) and 3 box multi-chamber construction, Laminated (colour) finish, duly reinforced with 1.2 mm thick GI section. Frame shall have three track configuration, Vertical member of frame which bears the sliding shutter load shall have aluminium rail/track for smooth sliding of shutter rollers. All the four corners shall be mitered cut &amp; thermal welded so as to form window frame. Frame shall be milled with drain and air equalizer hole in order to be water tight and for drainage of accumulated water, if any, to outer side.
Shutter : The shutter of sliding window shall be made of 39w x 69h mm Extruded 3 box multi- chamber uPVC Window Profile Section of laminated (colour) having outer wall thickness of 2.5mm (+/- 0.2mm) provided with reinforcement of 1.5mm thick GI section duly mitered cut &amp; thermal welded at all corners and fitted with uPVC glazing bead of size 22 x 20 mm with inner and outer co-extruded EPDM/TPE-E  weather seal gaskets alongwith 6mm thick ISI make plain float glass. </t>
  </si>
  <si>
    <t>Providing and fixing of UPVC casement fully (french)open-able windows Laminated Profile ( Colour )  (outward / inward) : Frame made from the Extruded UPVC Windows profile section of size 60w X 60h mm having outer wall thickness of 2.5 mm (+/- 0.2mm) and 3 box multi-chamber constuction, Laminated(colour)  finish, duly reinforced with 1.5 mm thick GI section. All the four corners shall be mitered cut &amp; thermal welded so as to form window frame. Frame shall be milled with drain and air equalizer hole in order to be water tight and for drainage of accumulated water, if any, to outer side. Fix Mullion made of 60w X 80h mm UPVC profile section with steel reinforcement shall be provided for the fix portion of the window and for the window area having 2 or more openable shutters / fix part as per the requirement. Frame shall have co-extruded EPDM/TPE-E gasket fitted in in-built groove of frame profile for proper air &amp; sound insulation of the shutter.                                                                                                                                                                                                                                                                                     Shutter: The shutter of outward openable window shall be made of size 60w X 74h mm and shutter of inward openable window shall be made of size 60w X 77h mm Extruded 3 box multi-chamber UPVC Window profile section of laminated (colour) having outer wall thickness of 2.5 mm (+/- 0.2mm) provided with reinforcement of 1.5 mm thick GI section duly mitered cut &amp; thermal welded at all corners. shutter as well as fix part of the window shall be fitted with UPVC glazing bead of size 36 X 20 mm with inner and outer co-extruded EPDM/TPE-E Gasket.</t>
  </si>
  <si>
    <t>Providing and fixing of uPVC Sliding windows: Frame Made from the Extruded uPVC Window Profile Section of size 106w x 50h mm having outer wall thickness of 2.5mm (+/- 0.2mm) and 3 box multi-chamber construction, Laminated (colour) finish, duly reinforced with 1.2 mm thick GI section. Frame shall have three track configuration, two for sliding of window shutter and one for mosquito mesh shutter. Vertical member of frame which bears the sliding shutter load shall have aluminium rail/track for smooth sliding of shutter rollers. All the four corners shall be mitered cut &amp; thermal welded so as to form window frame. Frame shall be milled with drain and air equalizer hole in order to be water tight and for drainage of accumulated water, if any, to outer side.
Shutter : The shutter of sliding window shall be made of 39w x 69h mm Extruded 3 box multi- chamber uPVC Window Profile Section of laminated ( colour) having outer wall thickness of 2.5mm (+/- 0.2mm) provided with reinforcement of 1.5mm thick GI section duly mitered cut &amp; thermal welded at all corners and fitted with uPVC glazing bead of size 22 x 20 mm with inner and outer co-extruded EPDM/TPE-E  weather seal gaskets alongwith 6mm thick ISI make plain float glass. Mesh shutter shall be made of 39w x 69h mm Extruded 3 box multi-chamber  UPVC Window profile section of laminated ( colour) having outer wall thickness of 2.5mm (+/- 0.2mm) provided with reinforcement of 1.5 mm thick GI section duly mitered cut &amp; thermal welded at all corners and fitted with nylon/polymer mesh and rollers/pully.</t>
  </si>
  <si>
    <t xml:space="preserve">Providing and fixing of UPVC casement openable windows (outward / inward): Outer Frame made from the Extruded UPVC Windows profile section of size 60w X 60h mm having outer wall thickness of 2.5mm (+/- 0.2mm) and three chamber constuction in Laminated (colour) finish, duly reinforced with 1.5mm thick GI section. All the four corners shall be mitered cut &amp; thermal welded so as to form window frame. Frame shall be milled with drain and air equalizer hole in order to be water tight and for drainage of accumulated water, if any, to outer side. Fix Mullion made of 60w X 80h mm UPVC profile section with steel reinforcement shall be provided in windows having 2 or more openable shutters, as per the requirement. Frame shall have co-extruded with EPDM/TPE-E gasket fitted in in-built groove of frame profile for proper air &amp; sound insulation of the shutter.                                                                                                                                                                                         </t>
  </si>
  <si>
    <t xml:space="preserve">Providing and fixing of openable uPVC Doors with or without fix top: Frame Made of Extruded uPVC Window Profile Section of size 60w x 70h mm having outer wall thickness of 2.75mm (+/- 0.2mm) and 3 box multi-chamber construction, White in finish, duly reinforced with 1.2mm thick GI section. All the corners shall be mitered cut &amp; thermal welded so as to form door frame. Fix Mullion made of 60w x 80h mm uPVC Profile Section with steel reinforcement shall be provided for the top fix portion of the doors or in case of the doors having more than two openable shutters, as per the requirement / drawing. Frame of openable door shall have „O‟ type EPDM gasket fitted in in-built groove of frame profile for proper air &amp; sound insulation of the shutter. Shutter : The shutters of openable door shall be made of 60w x 95h mm Extruded 3 box multi-chamber uPVC Window Profile Section of white colour having outer wall thickness of 2.75mm (+/- 0.2mm) provided with reinforcement of 2.0 mm thick GI section duly mitered cut &amp; thermal welded at all corners, provided with center mullion (if specified in drawing) of size 60w x 80h mm uPVC Profile Section and fitted with uPVC glazing
bead of size 36 x 20mm with inner and outer co-extruded EPDM/TPE-E weather seal gaskets alongwith 6mm thick ISI make plain float glass. </t>
  </si>
  <si>
    <t>All welding joints of frame and shutter shall be cleaned and milled with the CNC mechanism to provide uniform grooved finish on all visible joints. Hardware: Each openable door shutters is to be fixed with three load beading butt hinges and locking of doors is to be provided with multi-point transmission gear (ESPAG) with white finish powder- coated lockable handle. Installation at site: Complete door is to be installed on site with 10 X 100mm fastners with white cap in existing pre-finished wall cut-out cemented to glass level plane at all height &amp; width and silicon glue is applied to fill up the crevices between wall and door frame. Complete in all respect as per the drawing and specification and direction of engineer-in-charge.</t>
  </si>
  <si>
    <t>Providing &amp; applying one coat of UV resistant polymer cement based waterproofing slurry coating of approved make and quality on concrete or plastered surface as per  specifications including preparation of surface by cleaning brushing and dust removing, filling of cracks and making the surface leak proof by mixing one part of chemical  with 2 parts of cement and 2 parts of water (covering area 1.86 Sq.M/Kg of chemical) including cost of cement, labour, tools &amp; plant, scaffolding if necessary etc., complete as directed by Engineer in Charge.
Note: Undulations/cracks found on the surface should be rectified with Cement Motor before application and the same will be paid under relavent items.</t>
  </si>
  <si>
    <t>Providing &amp; applying Three coat of Acrylic Water Proof membrane having sunlight and UV resistant properties  over waterproofing slurry coat , initial coat of 50-75 micron thickness with diluting 1 part of chemical with 2 parts of clean water, over  which applying 2 coats at 2 Hrs .intervals each with diluting 1 part of  chemical with 20% of clean water for total thickness of 400 to 450 microns (covering area 0.9 Sq.M/Kg of chemical including preparation of surface by cleaning, brushing and dust removing, scaffolding if necessary etc., with contractor's labour, tools,  machinery etc, complete as directed by Engineer in Charge.</t>
  </si>
  <si>
    <t>Providing &amp; applying Three coat of pure Acrylic Water based elastomeric brush applied insulating coating  on exterior surface overwaterproofing slurry coat , initial coat of 50-75 micron thickness with diluting 1 part of chemical  with 2 parts of clean water, over which applying 2 coats at 2 Hrs, intervals each with diluting 1 part of chemical with 10% of clean water for total thickness of 400 to 450 microns (covering area 0.9 Sq.M/Kg of chemical) including preparation of surface by cleaning, brushing and dust removing, scaffolding if necessary etc., with contractor's labour, tools,  machinery etc, complete as directed by Engineer in Charge.</t>
  </si>
  <si>
    <t>5.3.3</t>
  </si>
  <si>
    <t>5.3.4</t>
  </si>
  <si>
    <t>5.7.1</t>
  </si>
  <si>
    <t>5.7.3</t>
  </si>
  <si>
    <t>5.7.2</t>
  </si>
  <si>
    <t>7.25.2</t>
  </si>
  <si>
    <t>11.32.1</t>
  </si>
  <si>
    <t>11.37.1</t>
  </si>
  <si>
    <t>11.32.2</t>
  </si>
  <si>
    <t>11.32.3</t>
  </si>
  <si>
    <t>11.32.4</t>
  </si>
  <si>
    <t>11.37.2</t>
  </si>
  <si>
    <t>11.37.3</t>
  </si>
  <si>
    <t>11.38.4</t>
  </si>
  <si>
    <t>11.38.5</t>
  </si>
  <si>
    <t>12.34.1</t>
  </si>
  <si>
    <t>12.34.2</t>
  </si>
  <si>
    <t>12.34.3</t>
  </si>
  <si>
    <t>12.35.4</t>
  </si>
  <si>
    <t>12.35.5</t>
  </si>
  <si>
    <t>12.35.6</t>
  </si>
  <si>
    <t>12.35.7</t>
  </si>
  <si>
    <t>12.40.1</t>
  </si>
  <si>
    <t>12.40.2</t>
  </si>
  <si>
    <t>12.41.1</t>
  </si>
  <si>
    <t>12.41.2</t>
  </si>
  <si>
    <t>12.44.1</t>
  </si>
  <si>
    <t>12.44.2</t>
  </si>
  <si>
    <t>12.44.3</t>
  </si>
  <si>
    <t>12.44.4</t>
  </si>
  <si>
    <t>12.45.3</t>
  </si>
  <si>
    <t>12.45.4</t>
  </si>
  <si>
    <t>12.52.3</t>
  </si>
  <si>
    <t>12.53.1</t>
  </si>
  <si>
    <t>12.53.2</t>
  </si>
  <si>
    <t>12.53.3</t>
  </si>
  <si>
    <t>12.53.4</t>
  </si>
  <si>
    <t>12.54.3</t>
  </si>
  <si>
    <t>12.55.4</t>
  </si>
  <si>
    <t>12.60.1</t>
  </si>
  <si>
    <t>12.60.2</t>
  </si>
  <si>
    <t>12.61.1</t>
  </si>
  <si>
    <t>12.61.2</t>
  </si>
  <si>
    <t>14.41.1</t>
  </si>
  <si>
    <t>14.41.2</t>
  </si>
  <si>
    <t>14.41.3</t>
  </si>
  <si>
    <t>14.43.1</t>
  </si>
  <si>
    <t>14.43.2</t>
  </si>
  <si>
    <t>14.44.3</t>
  </si>
  <si>
    <t>14.52.1</t>
  </si>
  <si>
    <t>14.52.2</t>
  </si>
  <si>
    <t>14.54.1</t>
  </si>
  <si>
    <t>14.54.2</t>
  </si>
  <si>
    <t>14.54.3</t>
  </si>
  <si>
    <t>14.58.1</t>
  </si>
  <si>
    <t>14.58.2</t>
  </si>
  <si>
    <t>14.59.1</t>
  </si>
  <si>
    <t>14.59.2</t>
  </si>
  <si>
    <t>15.2.1</t>
  </si>
  <si>
    <t>15.2.2</t>
  </si>
  <si>
    <t>15.2.3</t>
  </si>
  <si>
    <t>15.10.1</t>
  </si>
  <si>
    <t>15.10.2</t>
  </si>
  <si>
    <t>15.15.1</t>
  </si>
  <si>
    <t>15.15.2</t>
  </si>
  <si>
    <t>15.16.1</t>
  </si>
  <si>
    <t>15.16.2</t>
  </si>
  <si>
    <t>15.16.3</t>
  </si>
  <si>
    <t>15.17.1</t>
  </si>
  <si>
    <t>15.17.2</t>
  </si>
  <si>
    <t>15.17.3</t>
  </si>
  <si>
    <t>15.17.4</t>
  </si>
  <si>
    <t>15.18.3</t>
  </si>
  <si>
    <t>15.21.4</t>
  </si>
  <si>
    <t>15.24.5</t>
  </si>
  <si>
    <t>15.25.1</t>
  </si>
  <si>
    <t>15.25.2</t>
  </si>
  <si>
    <t>16.43.1</t>
  </si>
  <si>
    <t>16.43.2</t>
  </si>
  <si>
    <t>16.43.3</t>
  </si>
  <si>
    <t>16.44.1</t>
  </si>
  <si>
    <t>16.44.2</t>
  </si>
  <si>
    <t>16.44.3</t>
  </si>
  <si>
    <t>1.29.1</t>
  </si>
  <si>
    <t>1.28.1</t>
  </si>
  <si>
    <t>1.28.2</t>
  </si>
  <si>
    <t>1.28.3</t>
  </si>
  <si>
    <t>1.28.4</t>
  </si>
  <si>
    <t>1.29.2</t>
  </si>
  <si>
    <t>1.35.6</t>
  </si>
  <si>
    <t>1.36.1</t>
  </si>
  <si>
    <t>1.36.2</t>
  </si>
  <si>
    <t>1.36.3</t>
  </si>
  <si>
    <t>1.36.4</t>
  </si>
  <si>
    <t>1.36.5</t>
  </si>
  <si>
    <t>1.36.6</t>
  </si>
  <si>
    <t>1.36.7</t>
  </si>
  <si>
    <t>1.36.8</t>
  </si>
  <si>
    <t>1.36.9</t>
  </si>
  <si>
    <t>1.36.10</t>
  </si>
  <si>
    <t>1.38.9.1</t>
  </si>
  <si>
    <t>1.38.9.2</t>
  </si>
  <si>
    <t>1.38.9.3</t>
  </si>
  <si>
    <t>1.38.9.4</t>
  </si>
  <si>
    <t>1.38.9.5</t>
  </si>
  <si>
    <t>1.41.3</t>
  </si>
  <si>
    <t>1.41.4</t>
  </si>
  <si>
    <t>1.41.5</t>
  </si>
  <si>
    <t>1.42.1</t>
  </si>
  <si>
    <t>1.42.2</t>
  </si>
  <si>
    <t>1.42.3</t>
  </si>
  <si>
    <t>1.42.4</t>
  </si>
  <si>
    <t>1.46.3</t>
  </si>
  <si>
    <t>1.46.4</t>
  </si>
  <si>
    <t>1.46.5</t>
  </si>
  <si>
    <t>1.46.6</t>
  </si>
  <si>
    <t>1.47.4</t>
  </si>
  <si>
    <t>1.47.5</t>
  </si>
  <si>
    <t>1.47.6</t>
  </si>
  <si>
    <t>1.47.7</t>
  </si>
  <si>
    <t>1.47.8</t>
  </si>
  <si>
    <t>1.47.9</t>
  </si>
  <si>
    <t>1.48.7</t>
  </si>
  <si>
    <t>1.48.8</t>
  </si>
  <si>
    <t>1.51.3</t>
  </si>
  <si>
    <t>1.51.4</t>
  </si>
  <si>
    <t>1.52.4</t>
  </si>
  <si>
    <t>1.52.5</t>
  </si>
  <si>
    <t>1.52.6</t>
  </si>
  <si>
    <t>1.56.3</t>
  </si>
  <si>
    <t>1.69.1</t>
  </si>
  <si>
    <t>3.16.1</t>
  </si>
  <si>
    <t>3.16.2</t>
  </si>
  <si>
    <t>3.16.3</t>
  </si>
  <si>
    <t>3.16.4</t>
  </si>
  <si>
    <t>3.16.5</t>
  </si>
  <si>
    <t>3.16.5.2</t>
  </si>
  <si>
    <t>3.16.5.1</t>
  </si>
  <si>
    <t>3.17.6</t>
  </si>
  <si>
    <t>3.17.7</t>
  </si>
  <si>
    <t>3.17.8</t>
  </si>
  <si>
    <t>3.17.9</t>
  </si>
  <si>
    <t>3.17.10</t>
  </si>
  <si>
    <t>3.17.11</t>
  </si>
  <si>
    <t>3.17.12</t>
  </si>
  <si>
    <t>3.17.13</t>
  </si>
  <si>
    <t>3.17.14</t>
  </si>
  <si>
    <t>3.17.15</t>
  </si>
  <si>
    <t>3.17.16</t>
  </si>
  <si>
    <t>3.17.17</t>
  </si>
  <si>
    <t>3.17.18</t>
  </si>
  <si>
    <t>3.17.19</t>
  </si>
  <si>
    <t>3.17.20</t>
  </si>
  <si>
    <t>3.17.21</t>
  </si>
  <si>
    <t>3.17.22</t>
  </si>
  <si>
    <t>3.17.23</t>
  </si>
  <si>
    <t>3.17.24</t>
  </si>
  <si>
    <t>3.17.25</t>
  </si>
  <si>
    <t>3.17.26</t>
  </si>
  <si>
    <t>3.17.274</t>
  </si>
  <si>
    <t>3.19.3</t>
  </si>
  <si>
    <t>3.21.3</t>
  </si>
  <si>
    <t>3.21.1.1</t>
  </si>
  <si>
    <t>3.21.2.1</t>
  </si>
  <si>
    <t>3.21.3.1</t>
  </si>
  <si>
    <t>3.21.4.1</t>
  </si>
  <si>
    <t>3.27.1</t>
  </si>
  <si>
    <t>3.27.2</t>
  </si>
  <si>
    <t>3.27.3</t>
  </si>
  <si>
    <t>3.32.1</t>
  </si>
  <si>
    <t>3.32.3</t>
  </si>
  <si>
    <t>3.32.2</t>
  </si>
  <si>
    <t>3.32.4</t>
  </si>
  <si>
    <t>3.32.5</t>
  </si>
  <si>
    <t>3.33.6</t>
  </si>
  <si>
    <t>3.33.7</t>
  </si>
  <si>
    <t>3.33.8</t>
  </si>
  <si>
    <t>3.33.9</t>
  </si>
  <si>
    <t>3.37.1</t>
  </si>
  <si>
    <t>3.37.2</t>
  </si>
  <si>
    <t>3.37.3</t>
  </si>
  <si>
    <t>3.38.4</t>
  </si>
  <si>
    <t>3.41.4</t>
  </si>
  <si>
    <t>3.41.5</t>
  </si>
  <si>
    <t>3.41.6</t>
  </si>
  <si>
    <t>3.44.1</t>
  </si>
  <si>
    <t>3.44.2</t>
  </si>
  <si>
    <t>3.45.3</t>
  </si>
  <si>
    <t>3.45.4</t>
  </si>
  <si>
    <t>3.45.5</t>
  </si>
  <si>
    <t>3.45.6</t>
  </si>
  <si>
    <t>3.45.7</t>
  </si>
  <si>
    <t>3.45.8</t>
  </si>
  <si>
    <t>3.45.9</t>
  </si>
  <si>
    <t>3.45.10</t>
  </si>
  <si>
    <t>3.45.11</t>
  </si>
  <si>
    <t>3.45.12</t>
  </si>
  <si>
    <t>3.45.13</t>
  </si>
  <si>
    <t>3.45.14</t>
  </si>
  <si>
    <t>3.45.15</t>
  </si>
  <si>
    <t>3.45.16</t>
  </si>
  <si>
    <t>3.45.17</t>
  </si>
  <si>
    <t>3.45.18</t>
  </si>
  <si>
    <t>3.45.19</t>
  </si>
  <si>
    <t>3.45.20</t>
  </si>
  <si>
    <t>3.45.21</t>
  </si>
  <si>
    <t>3.45.22</t>
  </si>
  <si>
    <t>3.45.23</t>
  </si>
  <si>
    <t>3.45.24</t>
  </si>
  <si>
    <t>3.45.25</t>
  </si>
  <si>
    <t>3.45.26</t>
  </si>
  <si>
    <t>3.45.27</t>
  </si>
  <si>
    <t>3.45.28</t>
  </si>
  <si>
    <t>3.45.29</t>
  </si>
  <si>
    <t>3.45.30</t>
  </si>
  <si>
    <t>3.51.1</t>
  </si>
  <si>
    <t>3.51.2</t>
  </si>
  <si>
    <t>3.51.3</t>
  </si>
  <si>
    <t>3.52.4</t>
  </si>
  <si>
    <t>3.52.5</t>
  </si>
  <si>
    <t>3.55.1</t>
  </si>
  <si>
    <t>3.55.2</t>
  </si>
  <si>
    <t>3.55.3</t>
  </si>
  <si>
    <t>3.55.4</t>
  </si>
  <si>
    <t>3.55.5</t>
  </si>
  <si>
    <t>5.15.1</t>
  </si>
  <si>
    <t>5.15.2</t>
  </si>
  <si>
    <t>Carriage and  fixing of material (Seat Cover etc.)</t>
  </si>
  <si>
    <t>5mm thick Acrylic sheet (150mm wide)</t>
  </si>
  <si>
    <t>Toilet shelf Synthetic Material with tumbler size 470 x 114 x 36mm</t>
  </si>
  <si>
    <t>Toilet shelf Acrylic shelf on C.P. brass casted brackets &amp; guard rail of superior quality size 550x125mm</t>
  </si>
  <si>
    <t xml:space="preserve">Low level Flushing Cistern of 10 litres capacity : PVC with  PVC  bend and superior internal fittings </t>
  </si>
  <si>
    <t xml:space="preserve">Factory made PVC rigid foam panelled shutter as per IS : 4020 </t>
  </si>
  <si>
    <t>Factory made PVC rigid foam panelled shutter</t>
  </si>
  <si>
    <t>30 mm thick factory made glass fiber reinforced plastic flush door shutter</t>
  </si>
  <si>
    <t>Concrete Cutter diamond saw</t>
  </si>
  <si>
    <t xml:space="preserve">Alumium grill (size 7.5mm x 6.0mm and opening of size 102mm x 99mm) </t>
  </si>
  <si>
    <t>Drapery rod (20 gauge, 25.4 mm diameter)</t>
  </si>
  <si>
    <t>Door frame RCC Size 75 x 75mm</t>
  </si>
  <si>
    <t>Door frame RCC Size 100 x 75mm</t>
  </si>
  <si>
    <t>Door frame RCC Size 125 x 75mm</t>
  </si>
  <si>
    <t>Door frame RCC Size 75x50 mm</t>
  </si>
  <si>
    <t>Stone Door frame Double paitam Size 100x 75mm</t>
  </si>
  <si>
    <t>Stone Door frame Double paitam Size 125 x 100mm</t>
  </si>
  <si>
    <t>Stone Door frame single paitam Size 75 x 60mm</t>
  </si>
  <si>
    <t>Stone Door frame single paitam Size 75 x 75mm</t>
  </si>
  <si>
    <t>Stone Door frame single paitam Size 100 x 60mm</t>
  </si>
  <si>
    <t>Stone Door frame single paitam Size 100x 75mm</t>
  </si>
  <si>
    <t>Stone Door frame single paitam Size 125 x 100mm</t>
  </si>
  <si>
    <t>Imidacloprid 30.5% EC</t>
  </si>
  <si>
    <t>Anti-termite treatment of existing floor and wall using Imidacloprid 30.5% EC non repellent, odorless, low dose, environimentally safe Termiticide with rapid action non corrosive stain free, by injecting the emulsion as per specification and plugging with cement mortar 1:2 ( 1 cement : 2 coarse sand) in the whole floor area. The pesticide emulsion of imidacloprid 30.5% EC mixed with water in the ration of 1:474 will be pumped by a motorized spray pump specified manner. The net floor and wall area treated will be measured for payment.</t>
  </si>
  <si>
    <t>Anti termite treatment of floor using Imidacloprid 30.5% EC non repellent, odorless, low dose, environmentally safe terniticide with rapid action non corrosive stain free, by drilling 12mm diameter holes 300mm apart injecting the emulsion as per specification and plugging with cement mortar 1:2 ( 1 cement : 2 coarse sand) in the whole floor area DPE 12mm dia termitube system with required number of junction boxes are to be installed. The termitube will run all along the perimeter wall both inside and outside. In the middle area the termitube to be installed at an interval of 1.00 Mtr. or less both ways as required with sufficient number of junction boxes to pump the emulsion. After successful testing of termitube, pesticide emulsion of imidacloprid 30.5% EC mixed with water in the ration of 1:474 will be pumped by a motorized spray pump from the junction box in specified manner. The plinth area of the area treated will be measured for payment.</t>
  </si>
  <si>
    <t>Junction Box for antitermite work</t>
  </si>
  <si>
    <t xml:space="preserve">Brass Lock </t>
  </si>
  <si>
    <t>GI metal Tile Lay-in Plain Tegular edge global white color tiles of size 595x595mm and 0.5mm thick</t>
  </si>
  <si>
    <t>Main T Ceiling sections 24x38x0.3mm (3 metre long)</t>
  </si>
  <si>
    <t xml:space="preserve">Perimeter wall angle 24x24x0.3mm(3 metre long) </t>
  </si>
  <si>
    <t>Intermediate cross T-ection 24x25x0.3mm (1.2 m long)
on grid for cut outs</t>
  </si>
  <si>
    <t>Intermediate cross T-Section 24x25x0.3 mm (0.6 m long)
on grid for cut outs</t>
  </si>
  <si>
    <t>G.I. Main Runner 15mm x 32mm 3000 mm Length 0.33 mm thick</t>
  </si>
  <si>
    <t>G.I. Cross Tee 15mm x 32mm 1200 mm Length 0.33 mm thick</t>
  </si>
  <si>
    <t>G.I. Cross Tee 15mm x 32mm 600 mm Length 0.33 mm thick</t>
  </si>
  <si>
    <t>Nano Technology 5mm Crack Filling High Strength Chemical</t>
  </si>
  <si>
    <t xml:space="preserve">Nano Technology Highly Hydrophobic Deep Penetrating Primer </t>
  </si>
  <si>
    <t xml:space="preserve">Fiber Mess Net Pasting on Roof </t>
  </si>
  <si>
    <t xml:space="preserve">Nano Technology Oiliphobic Water Proof, Water Based, Breathable Coat </t>
  </si>
  <si>
    <t xml:space="preserve">Aerogel Green Based Thermal Insulation 1000 Micron Coating With Sri Value 102 or More </t>
  </si>
  <si>
    <t xml:space="preserve">Nano Technology Anti Static + Anti Stain+ Anti Skid+High Gloss Top Coat </t>
  </si>
  <si>
    <t>Nano Technology Degreasing Stone Cleaner, Non Acidec, Non Alcaline, Non Harmful For Cleaning of Stones, Without Damaging Stones</t>
  </si>
  <si>
    <t>Nano Technology Deep Penetrating Primer Deep Penetrating 2-3 MM Inside.</t>
  </si>
  <si>
    <t>sqm.</t>
  </si>
  <si>
    <t>Polycrete wall 125x125 (main member pillar)</t>
  </si>
  <si>
    <t>Polycrete wall 20x305 (Horizontal panel)</t>
  </si>
  <si>
    <t>C.P.  Brass  flush  Valve for 225 mm</t>
  </si>
  <si>
    <t>Anti Stain Treatment with nano technology  with Transparent matt or high shine protective coat formulated with pure silica, Flexible in Nature for Sealing stone Joints and Making Stones anti stain, Anti Slippery with Absolutely Natural Appearance, Avoides Stone Loosing and Giving Firm Grip to Stone Facades</t>
  </si>
  <si>
    <t xml:space="preserve">Silicon Dioxide formulated with nano technology sol gel process, water based, UV Protection &amp; Breathable Product- Giving Effects of water proof stone, Breathable, with no change in Stoe color, Absolutely Natural &amp; Food Safe, No Coating visible on stone, only impregnation Material, Upto 5 mm Penetrating power </t>
  </si>
  <si>
    <t>9.35.1</t>
  </si>
  <si>
    <t>1.68.1</t>
  </si>
  <si>
    <t>1.68.2</t>
  </si>
  <si>
    <t>1.68.3</t>
  </si>
  <si>
    <t>1.68.4</t>
  </si>
  <si>
    <t>1..69.2</t>
  </si>
  <si>
    <t>48 to 144</t>
  </si>
  <si>
    <t>60 to 120</t>
  </si>
  <si>
    <t>84 to 102</t>
  </si>
  <si>
    <t>120 to 150</t>
  </si>
  <si>
    <t>100 to 240</t>
  </si>
  <si>
    <t>72 to 180</t>
  </si>
  <si>
    <t>1.13.4</t>
  </si>
  <si>
    <t>1.14.5</t>
  </si>
  <si>
    <t>1.14.6</t>
  </si>
  <si>
    <t>1.14.7</t>
  </si>
  <si>
    <t>1.14.8</t>
  </si>
  <si>
    <t xml:space="preserve">1.15.1 </t>
  </si>
  <si>
    <t>1.15.9</t>
  </si>
  <si>
    <t>1.15.10</t>
  </si>
  <si>
    <t>1.15.11</t>
  </si>
  <si>
    <t>1.15.12</t>
  </si>
  <si>
    <t>1.15.13</t>
  </si>
  <si>
    <t>1.16.5</t>
  </si>
  <si>
    <t>1.17.7</t>
  </si>
  <si>
    <t>1.17.8</t>
  </si>
  <si>
    <t>1.17.9</t>
  </si>
  <si>
    <t>1.17.10</t>
  </si>
  <si>
    <t>1.17.11</t>
  </si>
  <si>
    <t>1.17.12</t>
  </si>
  <si>
    <t>1.17.13</t>
  </si>
  <si>
    <t>1.17.14</t>
  </si>
  <si>
    <t>1.18.15</t>
  </si>
  <si>
    <t>Preparation of beds for budging and shrubbery by excavating 60cms. Deep and trenching the excavated base to a further depth of 30 cms . refilling the excavated earth after breaking clods and mixing with manure in ratio of 8:1 ( 8 part of stacked volume )</t>
  </si>
  <si>
    <t xml:space="preserve">Arica palm </t>
  </si>
  <si>
    <t>Different varieties of grafted rose plants in poly bag</t>
  </si>
  <si>
    <t>in rows 5 cm  apart in either direction</t>
  </si>
  <si>
    <t>Planting of trees /shrubs/ hedge and climbers plants at desired distance in row and watering</t>
  </si>
  <si>
    <t>Manually</t>
  </si>
  <si>
    <t>with power machine</t>
  </si>
  <si>
    <t>Different varieties of grafted rose plants in poly pot/earthen pot</t>
  </si>
  <si>
    <t>Add extra over item 3.19.1 for every additional 0.10m depth above 0.5 m depth.</t>
  </si>
  <si>
    <t xml:space="preserve">Deduct in Item No 3.19.1 for manhole with  brick work 230 mm thick in place of 300 mm thick stone masonry </t>
  </si>
  <si>
    <t>Add extra over item 3.20.1 for every additional 0.10m depth above 1.5 m depth .</t>
  </si>
  <si>
    <t xml:space="preserve">500 Lt. capacity </t>
  </si>
  <si>
    <t xml:space="preserve">300 Lt. capacity </t>
  </si>
  <si>
    <t>Above 500 Lt. capacity</t>
  </si>
  <si>
    <t>Add extra over  item No. 1.1 to 1.7, 1.14, 1.15, 1.19, 1.22 ,1.23,1.38 &amp; 1.42 for using approved light coloured vitreous china ware i.e.ivory champagne , perl , soft green , soft blue ,pink, ,light grey etc. instead of white vitreous chinawares.</t>
  </si>
  <si>
    <t>Add extra over  item No.1.1 to 1.7, 1.14, 1.15, 1.19, 1.22 ,1.23,1.38 &amp; 1.42 for using approved dark colored vitreous china ware i.e.Cherry  Red , Dark blue, Jet black, Magenta, Burgandy  instead of white vitreous chinawares.</t>
  </si>
  <si>
    <t>1.0 mm thick stainless steel AISI -304 &amp; IS 13983-1994  kitchen sink of approved make as per Engineer-in-charge  with large waste coupling.</t>
  </si>
  <si>
    <t>Deduct for item No 1.40.9 for using any other make than specified above.</t>
  </si>
  <si>
    <t xml:space="preserve">Supply &amp; Fixing of torsion spring  Plank Ceiling System, comprising of Plank of 600mm wide and 1200mm long manufactured out of 0.7mm thick Aluminium  Alloy 3105 perforated 1.5mm dia With 22% open area. The metal ceiling panels shall be downward accessible with a minimum of four (4) torsion springs per panel . The Plank will be manufactured on advanced CAD/CAM equipment that includes several levelling stages in the manufacturing process. Torsion Spring panel with two side legs die formed and two end legs die formed and punched to receive torsion springs (min two springs each end or side) for secure engagement into Tee Grid main runners which are factory punched to receive torsion springs.  Planks will   be square edged. The metal ceiling panels shall be downward accessible with a minimum of four (4) torsion springs per panel.  The Plank shall be Polyester powder coated in desired colour. Main Runners:  24mm deep, inverted “Tee” sections, 3.6m long, with factory punched flanges to receive torsion spring assembly. Main Tee on center spacing to match panel length. Cross Runners: 24 mm deep, inverted “Tee” sections designed to interlock in to web of main tee section on designated spacing. Cross tee length to match panel length. Cross tees are spaced spacing 1200mm on center maximum. Suspension System: </t>
  </si>
  <si>
    <t>W.C. orissa pan with 100 mm vitreous china P or S trap (Size 580x440 mm.)</t>
  </si>
  <si>
    <t>Providing and fixing premium quality Angular stop cock  15mm with wall flange complete as per sample approved by Engineer in charge</t>
  </si>
  <si>
    <t>Providing and fixing premium quality Two way Bib cock 15mm  with wall flange complete as per sample approved by Engineer in charge</t>
  </si>
  <si>
    <t xml:space="preserve">Internal dia 0.56m </t>
  </si>
  <si>
    <t xml:space="preserve">Internal dia 0.60m </t>
  </si>
  <si>
    <t>Internal Size 0.45 m x 0.60 m</t>
  </si>
  <si>
    <t>Internal Size 0.45 m x 0.90 m</t>
  </si>
  <si>
    <t>Internal Size 0.60 m x 0.90 m</t>
  </si>
  <si>
    <t>Internal Size 0.90 mx 1.20 m</t>
  </si>
  <si>
    <t>Internal Size 0.45 m x 0.45 m</t>
  </si>
  <si>
    <t>Internal Size 0.50 m x 0.60 m</t>
  </si>
  <si>
    <t>Internal Size 0.60 m x 0.75 m</t>
  </si>
  <si>
    <t>Internal Size 0.90 m x 0.60 m</t>
  </si>
  <si>
    <t>Internal Size 0.90 m x 0.90 m</t>
  </si>
  <si>
    <t>Internal Size 1.20 m x 0.60 m</t>
  </si>
  <si>
    <t>Providing and fixing circular air tight composite resin (FRP) manhole cover without frame of approved brand with grade designation C-250 HD as per EN-124 standard. Manhole Cover shall have top abrasion resistant layer conforming to IS-15658:2006 and permissible permanent set value of 1.9mm after the application of 2/3 test load in five continuous application as per EN-124, the testing shall be performed in fully equipped and NABL certified test lab with random batch test (2% of lot size) as per testing procedure stated in EN-124 standard including fixing in existing manhole frame etc. complete in all respect as directed by Engineer in Charge.</t>
  </si>
  <si>
    <t>Providing and fixing circular air tight composite resin (FRP) manhole cover without frame of approved brand with grade designation D-400 EHD as per EN-124 standard. Manhole Cover shall have top abrasion resistant layer conforming to IS-15658:2006 and permissible permanent set value of 1.9mm after the application of 2/3 test load in five continuous application as per EN-124, the testing shall be performed in fully equipped and NABL certified test lab with random batch test (2% of lot size) as per testing procedure stated in EN-124 standard including fixing in existing manhole frame etc. complete in all respect as directed by Engineer in Charge.</t>
  </si>
  <si>
    <t>Providing and fixing circular air tight composite resin (FRP) manhole cover with frame of approved brand with grade designation C-250 HD as per EN-124 standard. Manhole Cover &amp; Frame shall have top abrasion resistant layer conforming to IS-15658:2006 and permissible permanent set value of 1.9mm after the application of 2/3 test load in five continuous application as per EN-124, the testing shall be performed in fully equipped and NABL certified test lab with random batch test (2% of lot size) as per testing procedure stated in EN-124 standard including fixing with M-20 concrete etc. complete in all respect as directed by Engineer in Charge.</t>
  </si>
  <si>
    <t>Providing and fixing circular air tight composite resin (FRP) manhole cover with frame of approved brand with grade designation D-400 EHD as per EN-124 standard. Manhole Cover &amp; Frame shall have top abrasion resistant layer conforming to IS-15658:2006 and permissible permanent set value of 1.9mm after the application of 2/3 test load in five continuous application as per EN-124, the testing shall be performed in fully equipped and NABL certified test lab with random batch test (2% of lot size) as per testing procedure stated in EN-124 standard including fixing with M-20 concrete etc. complete in all respect as directed by Engineer in Charge.</t>
  </si>
  <si>
    <t>Providing and fixing rectangular air tight composite resin (FRP) Manhole Cover with frame of approved brand with grade designation C-250 HD as per EN-124 standard. Manhole Cover &amp; Frame shall have top abrasion resistant layer conforming to IS-15658:2006 and permissible permanent set value of 1.9mm after the application of 2/3 test load in five continuous application as per EN-124, the testing shall be performed in fully equipped and NABL certified test lab with random batch test (2% of lot size) as per testing procedure stated in EN-124 standard including fixing with M-20 concrete etc. complete in all respect as directed by Engineer in Charge.</t>
  </si>
  <si>
    <t xml:space="preserve">Providing and fixing rectangular air tight composite resin (FRP) Manhole Cover with frame of approved brand with grade designation D-400 EHD as per EN-124 standard. Manhole Cover &amp; Frame shall have top abrasion resistant layer conforming to IS-15658:2006 and permissible permanent set value of 1.9mm after the application of 2/3 test load in five continuous application as per EN-124, the testing shall be performed in fully equipped and NABL certified test lab with random batch test (2% of lot size) as per testing procedure stated in EN-124 standard including fixing with M-20 concrete etc. complete in all respect as directed by Engineer in Charge.                      </t>
  </si>
  <si>
    <t>Providing and fixing rectangular air tight composite resin (FRP) Grating with frame of approved brand with grade designation C-250 HD as per EN-124 standard. Grating with &amp; Frame shall have top abrasion resistant layer conforming to IS-15658:2006 and permissible permanent set value of 1.9mm after the application of 2/3 test load in five continuous application as per EN-124, the testing shall be performed in fully equipped and NABL certified test lab with random batch test (2% of lot size) as per testing procedure stated in EN-124 standard including fixing with M-20 concrete etc. completein all respect as directed by Engineer in Charge.</t>
  </si>
  <si>
    <t>Providing and fixing rectangular air tight composite resin (FRP) Grating with frame of approved brand with grade designation D-400 EHD as per EN-124 standard. Grating &amp; Frame shall have top abrasion resistant layer conforming to IS-15658:2006 and permissible permanent set value of 1.9mm after the application of 2/3 test load in five continuous application as per EN-124, the testing shall be performed in fully equipped and NABL certified test lab with random batch test (2% of lot size) as per testing procedure stated in EN-124 standard including fixing with M-20 concrete etc. complete in all respect as  directed by Engineer in Charge.</t>
  </si>
  <si>
    <t>P  &amp;  F  foot valve  of  superior   quality  and  approved  make  with fittings :</t>
  </si>
  <si>
    <t>Providing and fixing 3-layer PP-R (Polypropylene random coplymer ) pipes SDR 7.4 UV stabilized and antimicrobial fusion welded, having thermal stability for hot &amp; cold water supply including all PP-R plain &amp; brass threaded Polypropylene random fittings including trenching, refilling and testing of joint complete as per direction of Engineer - in charge. (EXTERNAL WORKS)</t>
  </si>
  <si>
    <t>Anodised aluminum (anodised transparent 81 dyed to required shade according to IS : 1868. (Minimum anodic coating of grade AC 15, Anodizing to be got done from approved Anodizer) Anodised aluminum (anodised transparent 81 dyed to required shade according to IS : 1868. (Minimum anodic coating of grade AC 15, Anodizing to be got done from approved Anodizer)</t>
  </si>
  <si>
    <t>Filling available excavated earth (excluding rock) in trenches, plinth side of foundation etc. in layers not exceeding 20 cm. in depth, consolidating each deposited layer by ramming and watering including lead up to 50 meter and with all lift.</t>
  </si>
  <si>
    <t>8.6.5A</t>
  </si>
  <si>
    <t xml:space="preserve">  IS 710- 1976 marked 19 mm thick commerical ply </t>
  </si>
  <si>
    <t xml:space="preserve">Each              </t>
  </si>
  <si>
    <t>7.25.1</t>
  </si>
  <si>
    <t>Providing &amp; Fixing of ward robe shutters made out of 19mm thick BWP block board ISI of superior quality make with following details :-</t>
  </si>
  <si>
    <t>Front side finishing with 1mm thick superior quality mica approved make and 0.8mm thick  approved shade mica in the inner side. Covering with teak wood beading 25x12mm all the sides of shutter &amp; 35x12mm on outer frame for making good the wall joint including heavy brass S.S. fittings (Handle 200mm 2 Nos., Tower Bolt 150mm 2 Nos., Brass Lock 1 Nos., Magnetic Catcher 2 Nos., Brass Hinges 75x40x2.5 mm 6 Nos., SS Hanger Rod 20mm dia)  complete as per drawing and design approved by Engineer in Charge.</t>
  </si>
  <si>
    <t xml:space="preserve"> Jalore (P-white / S-white/ Rosy Pink colour)</t>
  </si>
  <si>
    <t>Rajasthan Black</t>
  </si>
  <si>
    <t>Providing and fixing stainless steel railing made of Hollow tubes, channels, plates etc., including welding, grinding, buffing, polishing and making curvature (wherever required) and fitting the same with necessary stainless steel nuts and bolts complete, i/c fixing the railing with necessary accessories &amp; stainless steel dash fasteners , stainless steel bolts etc., of required size, on the top of the floor or the side of waist slab with suitable arrangement as per approval of Engineer-in-charge, (for payment purpose only weight of stainless steel members shall be considered excluding fixing accessories such as nuts, bolts, fasteners etc.).</t>
  </si>
  <si>
    <t>Grade 204</t>
  </si>
  <si>
    <t>Grade 304</t>
  </si>
  <si>
    <t>Stainless steel (Grade-204)hollow section round/square tubes</t>
  </si>
  <si>
    <t>Providing &amp; Fixing of Mineral Fibre Anti Bacterial Suspended Ceiling System with  (Bevelled Tegular) EDGE TILES WITH 15 mm Exposed GRID. The tiles should have Humidity Resistance (RH) of 95% Light Reflectance 90%, Thermal Conductivity K =0.052-0.057 w/m K, Colour White, Fire Performance UK Class 0/Class 1 (BS 476 Part 6 &amp; 7), in module size of 600 x 600 x 15 mm with Anti Microbial coating on the face of the tile, suitable for Green Building application, with Recycled content of 34 % The tile shall be laid on Silhouette profile grid system with 15 mm white/black flanges incorporating a 6 mm central reveal in white/black colour and with a web height of 45mm and a load carrying capacity of minimum 15.68 Kgs/M2 &amp; minimum pull out strength of 100 kgs. Silhouette, Main Runners &amp; Cross Tees to have mitred ends &amp; "birdsmouth" notches to provide mitred cruciform junctions. The T Sections have a Galvanizing of 90 grams per M2 and need to be installed with suspension system of make. The Tile &amp; Grid system used together should carry a 10 year warranty. INSTALLATION :- To comprise main runner spaced at 1200 mm centres securely fixed to the structural soffit using suspension system (Specifications below) at 1200mm maximum centre. The First/Last suspension system at the end of each main runner should not be greater than 450 mm from the adjacent wall. Flush fitting 1200 mm long cross tees to be interlocked between main runners at 600 mm centre to form 1200 x 600 mm module. Cut cross tees longer than 600mm require independent support. 600 x 600 mm module to be formed by fitting 600 mm long flush fitting cross tees centrally between the 1200 mm cross tees. Perimeter trim to be wall angles of size 3000 x 19 x 19mm, secured to walls at 450 mm maximum centres. SUSPENSION SYSTEM accessories consisting of M6 Anchor Fasteners with Vertical Hangers made of Galvanised steel of size 26 x 26x 25x1.2 mm with a Galvanised Thickness of 80 gsm, A pre Straightened Hanger wire of dia-2.5 mm of 1.8 m length., thickness of 80 gsm and a tensile strength of 344-413 MPa, along with Adjustable hook clips of 0.8 mm thick, galvanised spring steel for 2.68 mm with a minimum pull strength of 110 kg. The adjustable clip also consists of a 3.5 mm aquiline wire to be used with the main runner.</t>
  </si>
  <si>
    <t>Providing &amp; Fixing of Mineral Fibre Acoustical Suspended Ceiling System with (Bevelled Tegular) EDGE TILES WITH 15 mm Exposed GRID. The tiles should have Humidity Resistance (RH) of 99% NRC 0.5, Light Reflectance _&gt;85%, Thermal Conductivity K =0.052-0.057 w/m K, Colour White, Fire Performance UK Class 0/Class 1 (BS 476 Part 6 &amp; 7), in module size of 600 x 600 x 16 mm, suitable for Green Building application, with Recycled content of 32 %. The tile shall be laid on Silhouette profile grid system with 15 mm white/black flanges incorporating a 6 mm central reveal in white/black colour and with a web height of 45mm and a load carrying capacity of minimum 15.68 Kgs/Sqm minimum pull out strength of 100 kgs. Silhouette, Main Runners &amp; Cross Tees to have mitred ends &amp; "birdsmouth" notches to provide mitred cruciform junctions. The T Sections have a Galvanizing of 90 grams per sqm and need to be installed with suspension system of make. The Tile &amp; Grid system used together should carry a 30 year warranty. INSTALLATION :- To comprise main runner spaced at 1200 mm centres securely fixed to the structural soffit using suspension system (Specifications below) at 1200mm maximum centre. The First/Last suspension system at the end of each main runner should not be greater than 450 mm from the adjacent wall. Flush fitting 1200 mm long cross tees to be interlocked between main runners at 600 mm centre to form 1200 x 600 mm module. Cut cross tees longer than 600mm require independent support. 600 x 600 mm module to be formed by fitting 600 mm long flush fitting cross tees centrally between the 1200 mm cross tees. Perimeter trim to be wall angles of size 3000 x 19 x 19mm, secured to walls at 450 mm maximum centers. SUSPENSION SYSTEM consisting of M6 Anchor Fasteners with Vertical Hangers made of Galvanised steel of size 26 x 26x 25x1.2 mm with a Galvanised Thickness of 80 gsm, A pre Straightened Hanger wire of dia-2.5 mm of 1.8 m length., thickness of 80 gsm and a tensile strength of 344-413 MPa, along with Adjustable hook clips of 0.8 mm thick, galvanised spring steel for 2.68 mm with a minimum pull strength of 110 kg. The adjustable clip also consists of a 3.5 mm aquiline wire to be used with the main runner.</t>
  </si>
  <si>
    <t>Float glass sheet of nominal thickness 6 mm</t>
  </si>
  <si>
    <t>Float glass sheet of nominal thickness 10 mm</t>
  </si>
  <si>
    <t>Float glass sheet of nominal thickness 12 mm</t>
  </si>
  <si>
    <t>8.6.13</t>
  </si>
  <si>
    <t>6 mm thick glass</t>
  </si>
  <si>
    <t>8.6.14</t>
  </si>
  <si>
    <t>10 mm thick glass</t>
  </si>
  <si>
    <t>8.6.15</t>
  </si>
  <si>
    <t>12 mm thick glass</t>
  </si>
  <si>
    <t xml:space="preserve">Extra for providing toughened glass panes instead of ordinary float glass panes in doors, windows and clerestory window shutters. (Area of opening for glass panes excluding portion inside rebate shall be measured).  </t>
  </si>
  <si>
    <t>Per mm Per Sqm</t>
  </si>
  <si>
    <t>5 mm tinted glass</t>
  </si>
  <si>
    <t>5 mm reflected glass</t>
  </si>
  <si>
    <t>8.7 (a)</t>
  </si>
  <si>
    <t>8.6.16</t>
  </si>
  <si>
    <t>8.6.17</t>
  </si>
  <si>
    <t xml:space="preserve">Ist quality MAT &amp; GLOSSY finished ceramic tile 600mm x 600mm  </t>
  </si>
  <si>
    <t>Providing and fixing 1st quality standard Marble printed/ Granite Shade or Light/dark shad glazed tiles confirming to IS : 13753 &amp; IS :15622 of size 300mm x 600mm in walls, floors, steps, pillars etc. laid on a bed of neat cement slurry finished with flush pointing in the white cement mixed with pigment to match the shade of the tile complete (excluding the cost of cement plaster on walls and pillar).</t>
  </si>
  <si>
    <t>1.27 (b)</t>
  </si>
  <si>
    <t>Supplying and Filling in plinth with blown sand under floors including watering ramming consolidating and dressing complete including cost of sand.</t>
  </si>
  <si>
    <t>Rebarring  work in old R.C.C structures including making bore hole to adjust required bar diameter and filling a good quality filler to provide a tensil strength as per requirement and fix the Bar to the saction including cost of bars.</t>
  </si>
  <si>
    <t>8 mm bar</t>
  </si>
  <si>
    <t>10 mm bar</t>
  </si>
  <si>
    <t>12 mm bar</t>
  </si>
  <si>
    <t>16 mm bar</t>
  </si>
  <si>
    <t>20 mm bar</t>
  </si>
  <si>
    <t>25 mm bar</t>
  </si>
  <si>
    <t>Providing and laying Autoclaved Aerated Concrete (AAC) blocks masonary 100mm/125mm thick with Grade-I AAC blocks of density 551 to 650 kg/cum conforming to IS : 2185 (Part-3) in superstructure above plinth level upto floor V level in cement mortar 1:4 (1 cement : 4 coarse sand). The rate includes providing and placing in position 2 Nos. 6 mm dia MS bars at every third course of masonary work.</t>
  </si>
  <si>
    <t>Providing and laying Autoclaved Aerated Concrete (AAC) blocks masonary 150mm/230mm/300mm thick with Grade-I AAC blocks in superstructure above plinth level upto floor V level with RCC band at sill level and lintel level with approved block laying polymer modified adhesive mortar all complete as per direction of Engineer-in-charge. (The payment of RCC band and reinforcement shall be made for seperately).</t>
  </si>
  <si>
    <t>7.5.4</t>
  </si>
  <si>
    <t>7.5.5</t>
  </si>
  <si>
    <t>7.5.6</t>
  </si>
  <si>
    <t>Granite/Kota Stone Work</t>
  </si>
  <si>
    <t>7.11.1</t>
  </si>
  <si>
    <t>7.11.2</t>
  </si>
  <si>
    <t>7.17.1</t>
  </si>
  <si>
    <t>7.17.2</t>
  </si>
  <si>
    <t>7.17.3</t>
  </si>
  <si>
    <t>7.17.4</t>
  </si>
  <si>
    <t>7.17.5</t>
  </si>
  <si>
    <t>7.20.1</t>
  </si>
  <si>
    <t>7.20.2</t>
  </si>
  <si>
    <t>7.20.3</t>
  </si>
  <si>
    <t xml:space="preserve">size  600 mm X 1200mm </t>
  </si>
  <si>
    <t>18 mm thick</t>
  </si>
  <si>
    <t xml:space="preserve">300mm long </t>
  </si>
  <si>
    <t xml:space="preserve">400mm long </t>
  </si>
  <si>
    <t>450mm long.</t>
  </si>
  <si>
    <t xml:space="preserve">500mm long </t>
  </si>
  <si>
    <t xml:space="preserve">600mm long </t>
  </si>
  <si>
    <t xml:space="preserve">100mm long </t>
  </si>
  <si>
    <t xml:space="preserve">150mm long </t>
  </si>
  <si>
    <t>Providing &amp; Fixing drawer lock of approved make for drawers with screws complete  as per approved by engineer in charge.</t>
  </si>
  <si>
    <t>Providing and installation of Poly Carbonate Sheet roofing over existing steel framing as per drawing and design including fixing with non-corrodible nuts and water proof washers as per instruction of Engineer-in-charge.</t>
  </si>
  <si>
    <t xml:space="preserve">6 mm thick </t>
  </si>
  <si>
    <t>10 mm thick</t>
  </si>
  <si>
    <t>12.31.3</t>
  </si>
  <si>
    <t xml:space="preserve">Deep groove pointing  </t>
  </si>
  <si>
    <t>Providing and fixing in position wall panelling at all heights with intergral densified calcium silicate panels/tiles of size 595x595mm, having NRC (Noise Reduction coefficient) of 0.50 minimum) as per IS 8225:1987, Light reflectance of 85%  (minimum). Non combustible as per BS:476 (part-4), fire performance as per BS:476 (part 6&amp; 7), Humidity resistance of 100 %, thermal conductivity &lt;0.043 W/m K as per ASTM 518:1991, comprising of a frame made from especially fabricated galvanised mild steel sheet 0.50 mm thick pressed section (galvanizing @120 grams per sqm including both sides)</t>
  </si>
  <si>
    <t xml:space="preserve">i.e. vertical studs of size 48x34x36 mm are placed at 600mm center to center in a floor and ceiling channel section of size 50x32m fixed to the floor and soffit at 600mm centers using 12mm dia, 50mm long wedge type expanded zinc alloy dash fastner with 10mm bolt. </t>
  </si>
  <si>
    <t xml:space="preserve">The joints between the panels are to be duly jointed and finished using recommended jointing calcium sillcated based compound and fiber joint tape roll 50mm wide (90 metre) roll and two coats of primer suitable for panelling as per manufacturer's specification as per direcrtion of Enginner-in-Charge all complete. </t>
  </si>
  <si>
    <t>2.15.9</t>
  </si>
  <si>
    <t>(-do-)100 mm dia nominal bore</t>
  </si>
  <si>
    <t>2.23.5</t>
  </si>
  <si>
    <t>2.48.1</t>
  </si>
  <si>
    <t>2.48.2</t>
  </si>
  <si>
    <t>2.33.23</t>
  </si>
  <si>
    <t>P &amp; F of Water Spout Superior Quality of approve make.</t>
  </si>
  <si>
    <t>CI 100 mm</t>
  </si>
  <si>
    <t>Aluminium German Hanger Tent Roof made up of Waterproof, Fire resistant Synthetic Rubber fabric of  885 GSM.</t>
  </si>
  <si>
    <t>Add extra for rock facing using Jodhpur white sand stone with porper projection and chiesel dressing of edges of stone 2 line dressing for building corners,jambs including uniform joints.</t>
  </si>
  <si>
    <t>6.4.6</t>
  </si>
  <si>
    <t>ARCH MASONRY</t>
  </si>
  <si>
    <t>Stone masonary for arches in cement sand mortar 1:3 including centering shuttering and pointing etc. up to 4.5 Mtr. height from plinth level:</t>
  </si>
  <si>
    <t>6.25.1</t>
  </si>
  <si>
    <t>With hammer dressed stone (to be plastered).</t>
  </si>
  <si>
    <t>6.25.2</t>
  </si>
  <si>
    <t>With coursed rubble stone (to be pointed).</t>
  </si>
  <si>
    <t>6.25.3</t>
  </si>
  <si>
    <t>Block-in-Course chisel dressed, arch span up to 1.5 Mtr.</t>
  </si>
  <si>
    <t>6.25.4</t>
  </si>
  <si>
    <t>Block-in-Course chisel dressed, arch span above 1.5 Mtr.</t>
  </si>
  <si>
    <t>6.25.5</t>
  </si>
  <si>
    <t>Cut stone fine dressed with fine joints, arch span up to 1.5 Mtr.</t>
  </si>
  <si>
    <t>6.25.6</t>
  </si>
  <si>
    <t>Cut stone fine dressed with fine joints, arch span above 1.5 Mtr.</t>
  </si>
  <si>
    <t>6.25.7</t>
  </si>
  <si>
    <t>Relieving arch stone masonary.</t>
  </si>
  <si>
    <t>6.25.8</t>
  </si>
  <si>
    <t>Extra over item No. 6.25 for dome masonary.  Shuttering and Form work if required to be paid separately.</t>
  </si>
  <si>
    <t>ASHLAR-STONE WORK</t>
  </si>
  <si>
    <t>Supplying and fixing ashlar sills, jambs, skirting, steps etc. rough dressed:</t>
  </si>
  <si>
    <t>6.26.1</t>
  </si>
  <si>
    <t>(A) Upto 15 cm thick Soorsagar or eqvt. White Ashlar</t>
  </si>
  <si>
    <t>(B) Upto 15 cm thick Red Ashlar</t>
  </si>
  <si>
    <t>6.26.2</t>
  </si>
  <si>
    <t>Above 15 cm. and upto 20 cm. thick</t>
  </si>
  <si>
    <t>(A) Red Ashlar</t>
  </si>
  <si>
    <t>(B) Soorsagar or eqvt. White Ashlar</t>
  </si>
  <si>
    <t>6.26.3</t>
  </si>
  <si>
    <t>Above 20 cm. thick &amp; upto 2.15 m length (Pats.)</t>
  </si>
  <si>
    <t>6.26.4</t>
  </si>
  <si>
    <t>Above 20 cm. thick &amp; above 2.15 m. length</t>
  </si>
  <si>
    <t>Supplying and fixing Soorsagar Bhura or Equivalent ashlar sills, lintels and dassa, bearing, bed &amp; top surface made perfenctly even, jambs, skirting steps etc. rough dressed:</t>
  </si>
  <si>
    <t>6.27.1</t>
  </si>
  <si>
    <t>Upto 15 cm. thick</t>
  </si>
  <si>
    <t>6.27.2</t>
  </si>
  <si>
    <t>6.27.3</t>
  </si>
  <si>
    <t>Above 20 cm. thick (pats) &amp; upto 2.15 m length</t>
  </si>
  <si>
    <t>6.27.4</t>
  </si>
  <si>
    <t>Above 20 cm. thick (pats) &amp; above 2.15 m length</t>
  </si>
  <si>
    <t>Supply and fixing ashlar lintels and Dassa exposed horizontal and vertical faces 3 - lines fine dressed (bearing bed &amp; top surface made perfectly even)</t>
  </si>
  <si>
    <t>6.28.1</t>
  </si>
  <si>
    <t>(a) upto 15 cm thick Red Ashlar</t>
  </si>
  <si>
    <t>(b) upto 15 cm thick White Ashlar</t>
  </si>
  <si>
    <t>6.28.2</t>
  </si>
  <si>
    <t>(a) Soorsagar or eqvt. White Ashlar</t>
  </si>
  <si>
    <t>(b) Red Ashlar</t>
  </si>
  <si>
    <t>6.28.3</t>
  </si>
  <si>
    <t>6.28.4</t>
  </si>
  <si>
    <t>Above 20 cm. thick &amp; above 2.15 m length</t>
  </si>
  <si>
    <t>Supplying and fixing ashlar solid block pillars fully fine (3 lines) dressed</t>
  </si>
  <si>
    <t>(b) Red Stone</t>
  </si>
  <si>
    <t>Supplying and fixing ashlar stone arches fuly fine (3 lines) dressed for 1.5 to 5m. Span (Net content payable)</t>
  </si>
  <si>
    <t xml:space="preserve">(b) Red Stone Ashlar </t>
  </si>
  <si>
    <t>Supplying and fixing ashlar face stone 10 cm thick fine (3 lines) dressed</t>
  </si>
  <si>
    <t>Supplying and fixing ashlar coping ordinary 7 to 10 cm. thick 2-line dressed (normal length of single piece not less than 0.90m)</t>
  </si>
  <si>
    <t>Supplying and fixing ashlar coping moulded and counter slopped 7 to 10 cm. thick (2 line dressed) (normal length of single piece not less than 0.90m)</t>
  </si>
  <si>
    <t>P. Cum</t>
  </si>
  <si>
    <t>Supplying and fixing ashlar shrivan (Kharpa grooved) rough dressed  (normal length of single piece not less than 0.90m)</t>
  </si>
  <si>
    <t>Fine dressing of ashlar stone work (payable on Executive Engineer's test checking):</t>
  </si>
  <si>
    <t>(A) White Ashlar three line</t>
  </si>
  <si>
    <t>(B) Red Ashlar three line</t>
  </si>
  <si>
    <t>(A) White Ashlar two line</t>
  </si>
  <si>
    <t>(B) Red Ashlar two line</t>
  </si>
  <si>
    <t>(A) White Ashlar one line</t>
  </si>
  <si>
    <t>(B) Red Ashlar one line</t>
  </si>
  <si>
    <t>Rough dressing ashlar stone work (payable only for departmental work).</t>
  </si>
  <si>
    <t>(A) Soorsagar or eqvt. White Ashlar</t>
  </si>
  <si>
    <t>(B) Red Ashlar</t>
  </si>
  <si>
    <t>Supplying and fixing ashlar cantilever steps fine (3 lines) dressed (triangular exposed surface is to be measured)</t>
  </si>
  <si>
    <t>Supplying and fixing ashlar cantilever steps fine (2 lines) dressed (triangular exposed surface is to be measured)</t>
  </si>
  <si>
    <t>Deduct if the shape of cantilever and landing steps is rectangular</t>
  </si>
  <si>
    <t>Form item No. 6.37</t>
  </si>
  <si>
    <t>Form item No. 6.38</t>
  </si>
  <si>
    <t>Supplying and fixing ashlar rain water spouts fine (3 lines) dressed as per approved design of size :</t>
  </si>
  <si>
    <t>6.40.1</t>
  </si>
  <si>
    <t>(A) Red Ashlar 60x26x18 cm</t>
  </si>
  <si>
    <t>(B) White Ashlar 60x26x18 cm</t>
  </si>
  <si>
    <t>6.40.2</t>
  </si>
  <si>
    <t>(A) White Ashlar 60x30x25 cm</t>
  </si>
  <si>
    <t>(B) Red Ashlar 60x30x25 cm</t>
  </si>
  <si>
    <t>Supplying and fixing ashlar stone chhajja 5 to 7 cm. thick all exposed surface fully fine dressed, weather dripped includin 75x75mm. Cement batta (1:2:4) between chhajja &amp; wall (single piece upto 1:2m length) :</t>
  </si>
  <si>
    <t>6.41.1</t>
  </si>
  <si>
    <t>(A) Red Ashlar three line dressed</t>
  </si>
  <si>
    <t>(B) White Ashlar three line dressed</t>
  </si>
  <si>
    <t>6.41.2</t>
  </si>
  <si>
    <t>(A) Red Ashlar two line dressed</t>
  </si>
  <si>
    <t>(B) White Ashlar two line dressed</t>
  </si>
  <si>
    <t>(A) Red Ashlar one line dressed</t>
  </si>
  <si>
    <t>(B) White Ashlar one line dressed</t>
  </si>
  <si>
    <t>Supplying and fixing Red ashlar railing ordinary with takia and thambli complete fine dressed</t>
  </si>
  <si>
    <t>6.42.1</t>
  </si>
  <si>
    <t>6.42.2</t>
  </si>
  <si>
    <t>6.42.3</t>
  </si>
  <si>
    <t>Supplying and fixing Red ashlar stone Jali 5 to 7 cm. thick curved</t>
  </si>
  <si>
    <t>6.43.1</t>
  </si>
  <si>
    <t>6.43.2</t>
  </si>
  <si>
    <t>Re-fixing old ashlar stone w/o dressing</t>
  </si>
  <si>
    <t xml:space="preserve">(A) White Ashlar </t>
  </si>
  <si>
    <t xml:space="preserve">(B) Red Ashlar </t>
  </si>
  <si>
    <t>Re-fixing of old stone slab</t>
  </si>
  <si>
    <t>Supply &amp; fixing Red Ashlar shelves 5 to 7 cm. thick exposed surface rough dressed</t>
  </si>
  <si>
    <t>Supply and fixing Red Ashlar shelves 5 to 7 cm. thick exposed surface fine (3 lines) dressed</t>
  </si>
  <si>
    <t>Red ashlar todies for verandah (pillar and pat) fine (3 lines dressed)</t>
  </si>
  <si>
    <t>Supply and fixing Red Ashlar todies for chhajjas and shelves fine (3 lines) dressed 30x30x10cm.</t>
  </si>
  <si>
    <t>Supply and fixing chittar or equivalent stone slab perchits with making edges and top surface level in cement mortar 1:3 complete finished</t>
  </si>
  <si>
    <t>Upto 2.15m span</t>
  </si>
  <si>
    <t>Soorsagar or eqvt. White Ashlar</t>
  </si>
  <si>
    <t xml:space="preserve">Add extra for span more than 2.15m span </t>
  </si>
  <si>
    <t>Supply and fixing 7 to 10 cm. Soorsagar or equivalent stone chaps in lime mortar or gypsum rough dressed more than 0.60 m. length</t>
  </si>
  <si>
    <t>Supply and fixing 2.5 to 5 cm thick Darba Darbi wall of red (Ros) stone rough dressed fixed in lime mortar or gypsum</t>
  </si>
  <si>
    <t>Supply and fixing soorsagar or equivalent white stone slab steps 75 to 100 mm thick fine (3 lines) dressed for tread &amp; riser upto 2m. Length, simply supported or centrally fixed with both ends free (projection to be paid only)</t>
  </si>
  <si>
    <t>Deduct if soorsagar or equivalent Bhura Ashlar stone is used in place of white ashlar.</t>
  </si>
  <si>
    <t>Ornamental work (as per existing pattern of Umed Hospital, M.G. Hospital or Rajasthan High Court Building at Jodhpur)</t>
  </si>
  <si>
    <t>Supplying and fixing soorsagar or equivalent 35 cm. height ashlar face (3 line) fine dressin with 3.5 cm. gola/groove complete including cutting and moulding (excluding supply of Ashlar and fixing).</t>
  </si>
  <si>
    <t>Supplying and fixing 13 cm thick soorsagar face stone over vent lintel complete including cutting &amp; moulding (3 line fine dressed)</t>
  </si>
  <si>
    <t>Supplying and fixing 7 to 8 cm thick soorsagar stone chajja in slope (3 lines fine dressed)including cutting &amp; moulding weather dripped (both sides dressed)</t>
  </si>
  <si>
    <t>Supplying and fixing 7 to 8 cm thick soorsagar stone chajja outer and inner corner complete 3 lines fine dressed including cutting &amp; moulding weather dripped (both sides dressed)</t>
  </si>
  <si>
    <t>(A) For white Ashlar stone outer corner</t>
  </si>
  <si>
    <t>(B) For white Ashlar stone Inner corner</t>
  </si>
  <si>
    <t>Supplying and fixing 17 cm thick soorsagar dab stone (face 3 line dressed) including cutting and moulding</t>
  </si>
  <si>
    <t>Supplying and fixing Flat rain water spouts 25 Cm. Wide in Soorsagar stone clopped chhajja including cutting &amp; moulding.</t>
  </si>
  <si>
    <t>Supplying and fixing red Ashlar 17 cm thick ventsill with required slope (face &amp; sill 3 line dressed) complete including cutting and moulding</t>
  </si>
  <si>
    <t>Supplying and fixing red Ashlar 17 cm thick exposed width todies under slopped Chajja with alternate projection and cutting complete including cutting &amp; moulding.</t>
  </si>
  <si>
    <t>Supplying and fixing red Ashlar 17 cm thick exposed width todies under slopped Chajja F.F. type design 22x22 cm projection (all 0.60 x 0.95 x 0.25 m)</t>
  </si>
  <si>
    <t xml:space="preserve">Supplying and fixing 22 cm. Thick red Ashlar bed (pillar cap) 45 cm wide X 135 cm long (3 line dressed) all exposed side complete including cutting, moulding and chamffering etc. </t>
  </si>
  <si>
    <t xml:space="preserve">Supplying and fixing white soorsagar stone coping 13 Cm thick &amp; 45 cm wide with 3 set back groove &amp; one projection with sloped tope edge including cutting, moulding and chamffering etc. </t>
  </si>
  <si>
    <t>Labour charges for Animar dressing (old M.G.H. pattern) over Soorsagar or equivalent white Ashlar over already two line dressed surface by using special tools i.e. toothed chisel etc.</t>
  </si>
  <si>
    <t>Labour charges for soorsagar or equivalent white Ashlar stone cornice of approved shape and design 18 cm. thick 38 to 40 cm. wide and Animar dressing of M.G.H. pattern (including cutting and moulding).</t>
  </si>
  <si>
    <t>Labour charges for providing 8 to 10 cm. Gola with animar dressing as per old M.G.H. pattern on white Ashlar</t>
  </si>
  <si>
    <t>Labour charges for soorsagar or equivalent white Ashlar stone coping 15 Cm. thick with cutting, moulding and dressing as per old M.G.H. pattern</t>
  </si>
  <si>
    <t>Labour charges for fixing of stone chhajja and making good the same (exposed surface to be measured.</t>
  </si>
  <si>
    <t xml:space="preserve">(A) Red Ashlar </t>
  </si>
  <si>
    <t xml:space="preserve">(B) White Ashlar </t>
  </si>
  <si>
    <t xml:space="preserve">Supplying and fixing stone liri in CM 1:4 work facing with proper projection and chiesel dressing of edges of stone two line dressing of building corners, jambs etc. including uniform joints using aluminium square section of size 12 mm to 15 mm as per requirement of course and width of stone not less than 12 Cm., with requisite  number headers (minimum length of stone 0.9 M) 6 cm. to 9 Cm. thick. </t>
  </si>
  <si>
    <t>6 cm. to 9 Cm. thick including finsing face joint with white cement moartar and matching pigment.</t>
  </si>
  <si>
    <t>Add extra for 7 to 10 cm. thick courses.</t>
  </si>
  <si>
    <t>14 cm (5.5") thick including finising face joint with white cement moartar and matching pigment.</t>
  </si>
  <si>
    <t>Stone masonary 7 to 15 Cm. thick cladding in cement sand mortr 1:6 with C.R. First Sort facing and rock facing complete on R.C.C. or C.C. works up to 15 to 20 cm. height.</t>
  </si>
  <si>
    <t>Add extra for two line horizontal edges (Patti) dressing of course Khandas</t>
  </si>
  <si>
    <t>Providing and fixing of machine cut Soorsagar white stone pavement size 600x600 mm and 50 to 75 mm thick over 20 mm thick base cement sand mortar 1:6 be placed at 50-60 mm interval as per existing pavement design. (used single piece 60 cm x 60 cm.)</t>
  </si>
  <si>
    <t>S&amp;F 50 to 75 mm thick fine dressed and machine grained surface white Soorsgar stone partition in cement mortar 1:6 with joint finish flush pointing with white cement sand mortar 1:3 with colour pigment of approved shade as per existing shop &amp; as per direction of Engineer-in-charge.</t>
  </si>
  <si>
    <t>S&amp;F white ashlar stone machine cut Kangura as per approved design 5 cm to 7 cm thick and top portion half round up to 10-12 cm height. Both machine cut finished including excavation of earth work and fixing in cement sand mortar 1:6 as per direction of Engineer incharge complete in all respect size 35 cm wide 5/7 cm thick with all taxes.</t>
  </si>
  <si>
    <t>P&amp;F white ashlar Todies of machine cut for chhajja of porch fixing in cement mortar of gypsum etc. complete in all respect size 30x30x10 cm.</t>
  </si>
  <si>
    <t>P&amp;F white ashlar Todies of machine cut for corners of porch fixing in cement mortar or gypsum etc. complete in all respect size 45x30x10 cm.</t>
  </si>
  <si>
    <t>Supply &amp; fixing or equivelent white ashlar stone archess fully fine fine (3 line) dressed 0.90 M (3' span)</t>
  </si>
  <si>
    <t>Supply &amp; fixing or equivelent white ashlar stone archess fully fine fine (3 line) dressed 1.20 M (4' span) finished.</t>
  </si>
  <si>
    <t>Supply &amp; fixing or equivelent white ashlar stone archess fully fine fine (3 line) dressed 1.50 M (5' span) finished.</t>
  </si>
  <si>
    <t>Supply &amp; fixing or equivelent white ashlar stone archess fully fine fine (3 line) dressed 1.80 M (6' span) finished.</t>
  </si>
  <si>
    <t>Supply &amp; fixing or equivelent white ashlar stone archess fully fine fine (3 line) dressed 2.10 M (7' span) finished.</t>
  </si>
  <si>
    <t>Providing &amp; Installation of White ashlar stone Carved perforated Jali 50 to 70mm thick with height 600mm and length not exceeding 1250mm with pillar 900mm long with groove cutting etc. complete as per direction of Engineer-in-charge (excluding cost of providing &amp; fixing dassa).</t>
  </si>
  <si>
    <t>Supplying and fixing stone liri in CM 1:4 work facing with proper projection and chiesel dressing of edges of stone two line dressing of building corners, jambs etc. including uniform joints using aluminium square section of size 12 mm to 15 mm as per requirement of course and width of stone not less than 12 Cm., with requisite humber headers (minimum length of stone 0.9 M) 14 cm (5.5")thick.</t>
  </si>
  <si>
    <t xml:space="preserve">Supplying and fixing Jodhpur machine cut stone Kadau in CM 1:4 with rock facing with proper projection and machine cut edges of stone, two line dressing of building corners, jambs etc. including uniform joints using aluminium square section of size 12 mm to 15 mm as per requirement of course and width of stone not less than 12 Cm., with reqisite humber headers (minimum length of sotne 0.9 M) </t>
  </si>
  <si>
    <t>29cm (11.5")hight</t>
  </si>
  <si>
    <t>19cm (7.5")hight</t>
  </si>
  <si>
    <t>Supply and fixing Jodhpur sand stone Machine cut Dash, Coping,sill,lintel fixed in cement sand mortar 1:4.</t>
  </si>
  <si>
    <t xml:space="preserve">15 cm (6") thick </t>
  </si>
  <si>
    <t xml:space="preserve">9 cm (3.5") thick </t>
  </si>
  <si>
    <t xml:space="preserve">5 cm (2") thick </t>
  </si>
  <si>
    <t xml:space="preserve">3.5 cm (1.5") thick </t>
  </si>
  <si>
    <t>Supply and fixing Jodhpur sand stone Machine cut Kerb stone (10cm wide 40 cm. height)  fixed in white cement sand mortar 1:4 with pigment including EarthWork.</t>
  </si>
  <si>
    <t>Supply and fixing Jodhpur sand stone Machine cut Nali fixed in white cement sand mortar 1:4 with pigment including E/W</t>
  </si>
  <si>
    <t xml:space="preserve">(A) Single nali 55 cm wide 40 cm hight </t>
  </si>
  <si>
    <t xml:space="preserve">(B) Double nali 85 cm wide 40 cm hight </t>
  </si>
  <si>
    <t>Add extra for facing with white ashlar  stone three line dressed  of size 300x300mm with min. thickness of 125mm, including all four edge are chamfered cut 12mm x 12mm with 3 line dressing, every fifth stone header with thickness min.300 mm,including additional cost of stone as per drawing or as approved by Engineer In Charge, Complete with all respect .</t>
  </si>
  <si>
    <r>
      <t>Fine dressed stone flooring over 20 mm (average) thick base of cement mortar 1:4 ( 1cement : 4 coarse sand) with joints finished flush. Red Sand stone size not less than 1350 Cm</t>
    </r>
    <r>
      <rPr>
        <vertAlign val="superscript"/>
        <sz val="12"/>
        <rFont val="Times New Roman"/>
        <family val="1"/>
      </rPr>
      <t>2</t>
    </r>
    <r>
      <rPr>
        <sz val="12"/>
        <rFont val="Times New Roman"/>
        <family val="1"/>
      </rPr>
      <t xml:space="preserve">, </t>
    </r>
  </si>
  <si>
    <t>a) 40mm</t>
  </si>
  <si>
    <t>b) 50mm</t>
  </si>
  <si>
    <t>c) 75mm</t>
  </si>
  <si>
    <r>
      <t>Fine dressed stone flooring over 20 mm (average) thick base of cement mortar 1:4 ( 1cement : 4 coarse sand) with joints finished flush. White Sand stone size not less than 1350 Cm</t>
    </r>
    <r>
      <rPr>
        <vertAlign val="superscript"/>
        <sz val="12"/>
        <rFont val="Times New Roman"/>
        <family val="1"/>
      </rPr>
      <t>2</t>
    </r>
    <r>
      <rPr>
        <sz val="12"/>
        <rFont val="Times New Roman"/>
        <family val="1"/>
      </rPr>
      <t xml:space="preserve">, </t>
    </r>
  </si>
  <si>
    <t>Chiesel dressing of machine cut Jodhpur ashlar stone.</t>
  </si>
  <si>
    <t xml:space="preserve">25mm thick fine dressed and machine grinded surface stone flooring over 20mm (av.) thick base in cement in CM 1:6 with joints finished flush with: </t>
  </si>
  <si>
    <t>11.43.1</t>
  </si>
  <si>
    <t>Red sand stone</t>
  </si>
  <si>
    <t>11.43.2</t>
  </si>
  <si>
    <t>White sand stone</t>
  </si>
  <si>
    <t>Supply &amp; fixing of one side polished black granite/white marble stone 14-20mm thick of size 3'x2' with engraved and gold colour painted letters (upto 500 letters)  &amp; borders including soorsagar white stone pillars of size 0.15x0.15x2.1 Mtr. With moulding, carving &amp; making slot on pillars for fixing of granite stone including loading &amp; unloading with all leads &amp; lifts as per direction of Engineer Inchagre.</t>
  </si>
  <si>
    <t>Supply &amp; fixing of one side polished black granite/white marble stone 14-20mm thick of size 3'x2' with engraved and gold colour painted letters (upto 500 letters)  &amp; borders including dismatalling plaster for fixing stone and finishing the surface including cost of stone and other material, carriage, loading, unloading with all leads &amp; lifts as per direction of Engineer Inchagre.</t>
  </si>
  <si>
    <t>Providing and fixing Glass Brick with adhesive in line and length complete as per drawing and design and asapproved by Engineer-in-Charge.</t>
  </si>
  <si>
    <t>New Items</t>
  </si>
  <si>
    <t>1.21.4</t>
  </si>
  <si>
    <t>1.21.5</t>
  </si>
  <si>
    <t>1.21.6</t>
  </si>
  <si>
    <t>1.21.7</t>
  </si>
  <si>
    <t>1.23.1</t>
  </si>
  <si>
    <t>1.23.2</t>
  </si>
  <si>
    <t>1.23.3</t>
  </si>
  <si>
    <t>1.23.4</t>
  </si>
  <si>
    <t>1.23.5</t>
  </si>
  <si>
    <t>1.23.6</t>
  </si>
  <si>
    <t>1.24.3</t>
  </si>
  <si>
    <t>1.24.4</t>
  </si>
  <si>
    <t>1.24.5</t>
  </si>
  <si>
    <t>1.24.6</t>
  </si>
  <si>
    <t>1.24.7</t>
  </si>
  <si>
    <t>1.24.8</t>
  </si>
  <si>
    <t>1.24.9</t>
  </si>
  <si>
    <t>1.24.10</t>
  </si>
  <si>
    <t>1.24.11</t>
  </si>
  <si>
    <t>1.24.12</t>
  </si>
  <si>
    <t>1.24.13</t>
  </si>
  <si>
    <t>1.24.14</t>
  </si>
  <si>
    <t>1.24.15</t>
  </si>
  <si>
    <t>1.24.16</t>
  </si>
  <si>
    <t>1.24.17</t>
  </si>
  <si>
    <t>1.24.18</t>
  </si>
  <si>
    <t>1.24.19</t>
  </si>
  <si>
    <t>1.24.20</t>
  </si>
  <si>
    <t>1.24.21</t>
  </si>
  <si>
    <t>1.24.22</t>
  </si>
  <si>
    <t>1.24.23</t>
  </si>
  <si>
    <t>1.24.24</t>
  </si>
  <si>
    <t>1.25.1</t>
  </si>
  <si>
    <t>1.25.2</t>
  </si>
  <si>
    <t>Hybrid Seasonal Plants of Flowring</t>
  </si>
  <si>
    <t>In Tray (100 Plants)</t>
  </si>
  <si>
    <t>Fully developed many branches Marigold in pots</t>
  </si>
  <si>
    <t>Ground Cover of various varieties</t>
  </si>
  <si>
    <t>Lenthrain P.B  -   6”</t>
  </si>
  <si>
    <t>Vadaliain P.B  -   6”</t>
  </si>
  <si>
    <t>Hedges of various varieties</t>
  </si>
  <si>
    <t>Diffrant varieties of Scented Plants</t>
  </si>
  <si>
    <t>Ornamental Plants of different varieties</t>
  </si>
  <si>
    <t>Different varieties of Shady plants</t>
  </si>
  <si>
    <t xml:space="preserve">In  P.B many branches (7”X8”) </t>
  </si>
  <si>
    <t>Fully developed many branches Daheliya plant in pots (12” Pot’s)</t>
  </si>
  <si>
    <t xml:space="preserve">Fully developed many branches Chrysanthemum(Guldaudi) 
Plants Special varieties in pots (12” Pot’s)
</t>
  </si>
  <si>
    <t>Syngonium in P.B(7”X8”)  -   6”-1’</t>
  </si>
  <si>
    <t>Ribbion grass P.B (7”X8”)  -   6”</t>
  </si>
  <si>
    <t>Lalsaggin P.B(5”X5”)  -   6”</t>
  </si>
  <si>
    <t xml:space="preserve">Madhukamini(Round Shaped dwarf variety) 
in P.B(9”X11”) -1’
</t>
  </si>
  <si>
    <t>Raat Rani  in P.B(9”X11”)  -   2’-3’</t>
  </si>
  <si>
    <t>Florodendon Plant in P.B(9”X11”)  -  1’</t>
  </si>
  <si>
    <t>Florodendon Plant in round shape pot (12” Pot’s) 1½’- 2’</t>
  </si>
  <si>
    <t xml:space="preserve">Phonic Palm  in P.B(15”x15”) - 2’-3’ </t>
  </si>
  <si>
    <t>Ixora Palm Many branches at flowring stage in P.B(12”X12”)  -   2’-3’</t>
  </si>
  <si>
    <t>Bamboo plant of Different varieties in P.B(12”X12”)  -   2’-3’</t>
  </si>
  <si>
    <t>Bamboo plant of Different varieties P.B(14”X14”)  -   4’-5’</t>
  </si>
  <si>
    <t>Mussaenda plant of many branches in P.B(12”X12”)  -   1½’-2½’</t>
  </si>
  <si>
    <t>ThujaOrientalis plant (12” Pot’s) 1’-2’</t>
  </si>
  <si>
    <t xml:space="preserve">Laying of Selection No.1 grass tiles (2’X2’ size) for development of garden, including levelling of soil and spreading of manure </t>
  </si>
  <si>
    <t>Maxican(Carpet) grass tiles (2’X2’ size) for development of garden, including levelling of soil and spreading of manure</t>
  </si>
  <si>
    <t xml:space="preserve">Dugging of weedy soil from garden including loading and unloading of the soil and throwing it away out of the city </t>
  </si>
  <si>
    <t>Lining work on Yellow &amp; Pink Exterior Paint/ Colour wash including making Gola, Gardana, Kangoora and Orgnamental lining work as per approved  style and pattern complete in all respect with Exterior (White/Brown) paint as required complete in all respect as per direction givin by Engineer in charge.</t>
  </si>
  <si>
    <t>Face lifting (Doba Wash) with washing of stones by (1:20) acid &amp; water solution, rubbing by brush, washing by clear water, pointing of damaged grooves &amp; doba washing with good quality lime water and painting of doors, windows, ventilators upto all height &amp; lead including all scaffolding and T&amp;P etc. complete as per instructions and direction of Engineer-in-charge.</t>
  </si>
  <si>
    <t>15.17.5</t>
  </si>
  <si>
    <t xml:space="preserve">50 mm Thick </t>
  </si>
  <si>
    <t xml:space="preserve">Supply &amp; Fixing of superior quality wall covering decorative paper of composition of paper and synthetic blend and providing material such as fevicol, cmc powder, chemical and water for fixing the wall paper as per enclosed photograph and direction Engineer-in Charge. </t>
  </si>
  <si>
    <t>Supplying and fixing Rollor Blinds of good quality and approved make made out of Imported fabric including Roller Mechanism and lock with chain system with all necessary hooks etc. complete as per direction and sample approved by engineer-in-charge.</t>
  </si>
  <si>
    <t>Providing &amp; Fixing brass handle 125mm with plate 175x22mm with screw complete in all respect as per direction of Engineer in charges.</t>
  </si>
  <si>
    <t>Labour Charges for removing and refixing Aluminium Partitions door including minor repair on alteration  in the same.</t>
  </si>
  <si>
    <t>17.42.1</t>
  </si>
  <si>
    <t>Replacing/Adding 25mm thick P.U. Sleep Well Foam of 32 Density in seat &amp; back as per existing pattern (pasted with Rubber Solution)</t>
  </si>
  <si>
    <t>Low Back Chair</t>
  </si>
  <si>
    <t xml:space="preserve">Medium Back Chair </t>
  </si>
  <si>
    <t>High Back Chair</t>
  </si>
  <si>
    <t>17.42.2</t>
  </si>
  <si>
    <t>Replacement/pasting of leatherite seat as per approved sample costing @ Rs. 300/- per Mtr. (Appx) as approved by the Engineer in Charge.</t>
  </si>
  <si>
    <t>17.42.3</t>
  </si>
  <si>
    <t>Repair of Chair of NYLON wheel including all material of fixing and labour Charge.</t>
  </si>
  <si>
    <t>17.42.4</t>
  </si>
  <si>
    <t>Replacing Bolt/Screw (of existing pattern) in the chair.</t>
  </si>
  <si>
    <t>17.42.5</t>
  </si>
  <si>
    <t>Repair/Change of Gas lift mechanism use for adjustion purpose with fitting material and labour charges.</t>
  </si>
  <si>
    <t>17.42.6</t>
  </si>
  <si>
    <t>Repair/Change of Chrome base plate including all materal of fixing and labour charge.</t>
  </si>
  <si>
    <t>Repair/ Change of PU handle including all material of fixing and labour charge .</t>
  </si>
  <si>
    <t>Repair and polish work of peacock chair/padded chair including required all material complete in all respect as per direction of the Engineer in Charge.</t>
  </si>
  <si>
    <t>Replacing/Adding 25mm thick P.U. sleep well foam of 32 Density in seat &amp; back as per existing pattern (Pasted with Rubber solution)</t>
  </si>
  <si>
    <t>Replacement of Baniyan foam/tapestry cloth in seat as per approved sample costing @ Rs. 200/- per Mtr. (Appx.) as approved by the Engineer in Charge.</t>
  </si>
  <si>
    <t>Replacing linning cloth in bottom of the chair with nail/screw/fevicol etc. of existing type &amp; pattern.</t>
  </si>
  <si>
    <t>Replacing bolt/screw (of existing pattern) in the chair.</t>
  </si>
  <si>
    <t>Repair of wooden frame of chair including required raw material i.e. replacement of teak wood arms, legs, wooden required including tighting work as per existing pattern complete in all respect.</t>
  </si>
  <si>
    <t>Spirit polish on wooden chair with rubbing old surface cleaning and good finishing inlucding cost of polish material.</t>
  </si>
  <si>
    <t>Per Bag</t>
  </si>
  <si>
    <t>Supplying and Spreading 25 to 30mm thick layer of Screened approved Samod Bajari of Uniform colour from approved quarry with all lead.</t>
  </si>
  <si>
    <t>Per Cum</t>
  </si>
  <si>
    <t>P/f wall mounted inverted L Shaped grab bar with 700mm long bar as approved design, made of 35mm stainless steel pipe having anti-bacterial Nylon surface with contour finish for better grip. Grab bar should be mounted on wall at height of 700mm from the finish floor level complete in all respect as per Harmonized guidline &amp; Satisfaction of Engineer-in-Charge. Cera make (B2210103)</t>
  </si>
  <si>
    <t>P/F wall mounted 600mm long grab bar as approved  design, made of 35mm stainless stell pipe having anti-bacterial Nylon surface with contour finish for better grip. Grab bar should be mounted on wall at height of 800mm from the finish floor level complete in all respect as per Harmonized guidline &amp; Satification of Engineer-in Charges. Make Cera (B2210106)</t>
  </si>
  <si>
    <t>Supply and fixing of solid stainless steel grade 304 C type door handle of dia 32mm length 600 (outside measurement) having hole dia 14 mm of with i/c key arrangement.</t>
  </si>
  <si>
    <t xml:space="preserve">Providing factory made pvc internal door frame of  size 100mm x 45mm with a wall thickness of 5mm (±0.25), made out of extruded 5mm (±0.25) thick PVC Sheet  of Density 600 Kg /Cbm  Manufactured by an ISO-9001-2015 certified Company,and by joining 3nos. heat bent PVC sheet sections.The inside section of size 90x30mm shall be made from plain colour PVC sheet of 5mm (±0.25) thickness. The inside section will be covered by sticking two sections of size 30x35mm and 70x45mm made from 5mm (±0.25) thick plain PVC sheet. The frame shall be mitre cut at two corners and joined with 4nos. of 150mm long brackets of 15mm x 15mm M.S. Square tube. </t>
  </si>
  <si>
    <t xml:space="preserve">The two vertical door frames are to be reinforced with 40mm x 20mm M.S. tube of 19 guage through out the frame. The door frame shall be fixed to the wall using 8/100mm long M.S. Screws through the frame by using anchor fastners. A minimum of 4nos. of screws to be provided for each vertical member &amp; minimum 2nos. for horizontal member etc. complete as per manufactures specification and direction of Engineer-in-charge.    </t>
  </si>
  <si>
    <t>Providing Factory Made 100% Solid WPC (Wood polymer Composite) Board of 12MM of Single Side Lamination      ( 14 Micron ) required size comprising of  virign PVC resin of K Value 58-60 ( Suspemsion Grade), Calcium Corbonate and natural Fibers ( Wood Powders/ rice husk/ wheat husk) and Non toxic additives , made from Extrusion process WPC foam sheet Single Extruded ( Inner) with density not less than 550 kg/cbm  manufactured by an ISO 9001 - 2015 Certified Company, having good screw holding capacity ( Screw Withrawal strength of  1800 N ( Face) &amp; 900 N ( Edge), Minimum Compissive Stength of 58 N/mm2, Modulus of elasticity 900N/mm2 and resistance of spread of flam of Class A caegory wih Property of being Termite/ Borer Free.</t>
  </si>
  <si>
    <t>Water/ Moisture Proof and Fire Retardant and fixinng stainless Steel butt hinges of required size with necessary full body threaded star headed counter sunk SS Screws. All as per direction of Engineer -In-Charge, Material test certificate and authentication should be compulsory provided by the manufacturing company :  For KITCHEN CABINET &amp; CUPBOARDS..</t>
  </si>
  <si>
    <t xml:space="preserve">Providing Factory Made 100% Solid WPC (Wood polymer Composite) Board of  18mm thicknesss of required size comprising of  virign PVC resin of K Value 58-60 ( Suspemsion Grade), Calcium Corbonate and natural Fibers ( Wood Powders/ rice husk/ wheat husk) and Non toxic additives , made from Extrusion process WPC foam sheet Single Extruded ( Inner) with density not less than 550 kg/cbm  manufactured by an ISO 9001 - 2015 Certified Company, having good screw holding capacity ( Screw Withrawal strength of  1800 N ( Face) &amp; 900 N ( Edge), Minimum Compissive Stength of 58 N/mm2, Modulus of elasticity 900N/mm2 and resistance of spread of flam of Class A caegory wih Property of being Termite/ Borer Free.Water/ Moisture Proof and Fire Retardant and fixinng stainless Steel butt hinges of required size with necessary full body threaded star headed counter sunk SS Screws. </t>
  </si>
  <si>
    <t>All as per direction of Engineer -In-Charge, Material test certificate and authentication should be compulsory provided by the manufacturing company :  For KITCHEN CABINET &amp; CUPBOARDS..</t>
  </si>
  <si>
    <t xml:space="preserve">Providing &amp; fixing factory  made 100% Solid WPC (Wood Polymer Composite) Door Frame 90mm x 45 mm ( Moulded ) Single Rebated,, made from Wood Polymer Composite (Single Extruded Process) material comparising of virign PVC polymer of K Value 58-60 ( Suspemsion Grade), Calcium Corbonate and Natural Fibers ( Wood Powder/ Rice Husk/ Wheat Husk) and Nor toxic additives fabricated with meter Joints after applying PVC solvent Cement &amp; screwed with full body treaded star headed srews having minimum frame density of 780 kg/ cbm &amp; manufactured by an ISO 9001 - 2015 Certified Company, having good screw holding capacity ( Screw Withrawal strength of 2200 N ( Face) &amp; 1100 N ( Edge), </t>
  </si>
  <si>
    <t xml:space="preserve">Minimum Compissive Stength of 58 N/mm2, Moduus of elasticity 900N/mm2 and resistance to spread of flame of class A category with property of being termite / borer proof , water / Moisture Proof &amp; Fire retardant &amp; Fixed in postion with SS Dash Fasterns / Hold Fast of reuired dia and lenght, all as per specifications drawings as directed by the Engineer-In-Charge. Material test certificate and authentication should be compulsory provided by the manufacturing company ( Hold Fast or Dash Fastners shall be paid seperately)  </t>
  </si>
  <si>
    <t>Providing Solid PVC false Ceiling consisting of 600mm x 600mm, 5mm (±0.25) thick Plain embossed  PVC sheet  of Density 600 Kg /Cbm Manufactured by an   ISO-9001-2015 certified Company, used as panel insert in a frame work made using powder coated aluminum T- section of sizes 1” x1”( 25x25mm, 19 gauge or 1mm thick )    in square pattern of grid sizes of 2’x2’( 600x600mm ). The aluminum framework is supported from the ceiling with the help of 'J' hook and G.I. wire / 6mm M.S. rods of required sizes to maintain proper level etc. The aluminum framework is supported on side wall with the use of aluminum L-section of size 1”x1” ( 25x25mm ) angles etc. Complete as per direction of Engineer-In-charge, manufacturer’s specification &amp; drawing.</t>
  </si>
  <si>
    <t>Providing and fixing thermal insulation with Resin Bonded rock wool conforming to IS:8183, having density 48 kg/m3, 50 mm thick, fixed on the roof top with screws, rawel plug &amp; washers and held and in position by criss crossing GI wire etc. complete as per directions of Engineer-in-charge.</t>
  </si>
  <si>
    <t>Providing and fixing designer cement concrete polished tiles over 20mm average thick base of CM 1 :4 (1 Cement : 4 sand) jointing with cement mortar 1 :2 ( 1cement : 2 sand) with pigment to match the shade of the tiles having minimum thickness of 25mm complete with all respect.  ( as per IS 1237:2012)</t>
  </si>
  <si>
    <t>Autoclaved Aerated Concrete (AAC) blocks Grade-I of density 551 to 650 kg/cum</t>
  </si>
  <si>
    <t>8821(a)</t>
  </si>
  <si>
    <r>
      <t>Jalore (P-white / S-white/ Rosy Pink colour),Up to 1500 Cm</t>
    </r>
    <r>
      <rPr>
        <vertAlign val="superscript"/>
        <sz val="12"/>
        <rFont val="Times New Roman"/>
        <family val="1"/>
      </rPr>
      <t>2</t>
    </r>
    <r>
      <rPr>
        <sz val="12"/>
        <rFont val="Times New Roman"/>
        <family val="1"/>
      </rPr>
      <t xml:space="preserve"> Tiles</t>
    </r>
  </si>
  <si>
    <r>
      <t>Jalore (P-white / S-white/ Rosy Pink colour),1501 Cm</t>
    </r>
    <r>
      <rPr>
        <vertAlign val="superscript"/>
        <sz val="12"/>
        <rFont val="Times New Roman"/>
        <family val="1"/>
      </rPr>
      <t>2</t>
    </r>
    <r>
      <rPr>
        <sz val="12"/>
        <rFont val="Times New Roman"/>
        <family val="1"/>
      </rPr>
      <t xml:space="preserve"> to 3600 Cm</t>
    </r>
    <r>
      <rPr>
        <vertAlign val="superscript"/>
        <sz val="12"/>
        <rFont val="Times New Roman"/>
        <family val="1"/>
      </rPr>
      <t>2</t>
    </r>
    <r>
      <rPr>
        <sz val="12"/>
        <rFont val="Times New Roman"/>
        <family val="1"/>
      </rPr>
      <t xml:space="preserve"> Tiles</t>
    </r>
  </si>
  <si>
    <r>
      <t>Jalore (P-white / S-white/ Rosy Pink colour),Above 3601 Cm</t>
    </r>
    <r>
      <rPr>
        <vertAlign val="superscript"/>
        <sz val="12"/>
        <rFont val="Times New Roman"/>
        <family val="1"/>
      </rPr>
      <t>2</t>
    </r>
    <r>
      <rPr>
        <sz val="12"/>
        <rFont val="Times New Roman"/>
        <family val="1"/>
      </rPr>
      <t xml:space="preserve"> Slabs</t>
    </r>
  </si>
  <si>
    <r>
      <t>Rajasthan Black,Up to 1500 Cm</t>
    </r>
    <r>
      <rPr>
        <vertAlign val="superscript"/>
        <sz val="12"/>
        <rFont val="Times New Roman"/>
        <family val="1"/>
      </rPr>
      <t>2</t>
    </r>
    <r>
      <rPr>
        <sz val="12"/>
        <rFont val="Times New Roman"/>
        <family val="1"/>
      </rPr>
      <t xml:space="preserve"> Tiles</t>
    </r>
  </si>
  <si>
    <r>
      <t>Rajasthan Black,1501 Cm</t>
    </r>
    <r>
      <rPr>
        <vertAlign val="superscript"/>
        <sz val="12"/>
        <rFont val="Times New Roman"/>
        <family val="1"/>
      </rPr>
      <t>2</t>
    </r>
    <r>
      <rPr>
        <sz val="12"/>
        <rFont val="Times New Roman"/>
        <family val="1"/>
      </rPr>
      <t xml:space="preserve"> to 3600 Cm</t>
    </r>
    <r>
      <rPr>
        <vertAlign val="superscript"/>
        <sz val="12"/>
        <rFont val="Times New Roman"/>
        <family val="1"/>
      </rPr>
      <t>2</t>
    </r>
    <r>
      <rPr>
        <sz val="12"/>
        <rFont val="Times New Roman"/>
        <family val="1"/>
      </rPr>
      <t xml:space="preserve"> Tiles</t>
    </r>
  </si>
  <si>
    <r>
      <t>Rajasthan Black,Above 3601 Cm</t>
    </r>
    <r>
      <rPr>
        <vertAlign val="superscript"/>
        <sz val="12"/>
        <rFont val="Times New Roman"/>
        <family val="1"/>
      </rPr>
      <t>2</t>
    </r>
    <r>
      <rPr>
        <sz val="12"/>
        <rFont val="Times New Roman"/>
        <family val="1"/>
      </rPr>
      <t xml:space="preserve"> Slabs</t>
    </r>
  </si>
  <si>
    <t>Machine for rubbing of floors with driver &amp; car</t>
  </si>
  <si>
    <t>inter–locking block , M-30, 60 mm thick ,Category A Denated units to key into each other on four faces zigzag shape as per IRC SP 63:2004</t>
  </si>
  <si>
    <t>inter–locking block , M-30, 60 mm thick,Category  ‘B’ Denated only two side like I,Z,T shape etc. as per IRC SP 63:2004</t>
  </si>
  <si>
    <t xml:space="preserve">inter–locking block , M-30, 60 mm thick ,Category ‘C’not denated on any its faces like Hexagon, Rectangular, square shape as per IRC SP 63:2004 </t>
  </si>
  <si>
    <t>inter–locking block , M-35, 60 mm thick ,Category A Denated units to key into each other on four faces zigzag shape as per IRC SP 63:2004</t>
  </si>
  <si>
    <t>inter–locking block , M-35, 60 mm thick ,Category B Denated units to key into each other on four faces zigzag shape as per IRC SP 63:2004</t>
  </si>
  <si>
    <t>inter–locking block , M-35, 60 mm thick ,Category C Denated units to key into each other on four faces zigzag shape as per IRC SP 63:2004</t>
  </si>
  <si>
    <t>inter–locking block , M-40, 80 mm thick ,Category A Denated units to key into each other on four faces zigzag shape as per IRC SP 63:2004</t>
  </si>
  <si>
    <t>inter–locking block , M-40, 80 mm thick ,Category B Denated units to key into each other on four faces zigzag shape as per IRC SP 63:2004</t>
  </si>
  <si>
    <t>inter–locking block , M-40, 80 mm thick ,Category C Denated units to key into each other on four faces zigzag shape as per IRC SP 63:2004</t>
  </si>
  <si>
    <t>inter–locking block , M-50, 100 mm thick ,Category A Denated units to key into each other on four faces zigzag shape as per IRC SP 63:2004</t>
  </si>
  <si>
    <t>inter–locking block , M-50, 100 mm thick ,Category B Denated units to key into each other on four faces zigzag shape as per IRC SP 63:2004</t>
  </si>
  <si>
    <t>inter–locking block , M-50, 100 mm thick ,Category C Denated units to key into each other on four faces zigzag shape as per IRC SP 63:2004</t>
  </si>
  <si>
    <t>inter–locking block , M-55, 120 mm thick ,Category A Denated units to key into each other on four faces zigzag shape as per IRC SP 63:2004</t>
  </si>
  <si>
    <t>inter–locking block , M-55, 120 mm thick ,Category B Denated units to key into each other on four faces zigzag shape as per IRC SP 63:2004</t>
  </si>
  <si>
    <t>inter–locking block , M-55, 120 mm thick ,Category C Denated units to key into each other on four faces zigzag shape as per IRC SP 63:2004</t>
  </si>
  <si>
    <t>Blown Sand</t>
  </si>
  <si>
    <t>White sand stone 100mm thick</t>
  </si>
  <si>
    <t>Colored interlocking C.C. paver Block</t>
  </si>
  <si>
    <t>Vitrified tile</t>
  </si>
  <si>
    <t>Extruded polystyene rigid insulation board 50mm thick</t>
  </si>
  <si>
    <t>CHAPTER : G-4.1 : CARRIAGE OF MATERIALS</t>
  </si>
  <si>
    <r>
      <t xml:space="preserve">Wooden Table </t>
    </r>
    <r>
      <rPr>
        <b/>
        <sz val="12"/>
        <rFont val="Times New Roman"/>
        <family val="1"/>
      </rPr>
      <t>6' x  2'</t>
    </r>
    <r>
      <rPr>
        <sz val="12"/>
        <rFont val="Times New Roman"/>
        <family val="1"/>
      </rPr>
      <t xml:space="preserve"> (Babool).</t>
    </r>
  </si>
  <si>
    <r>
      <t xml:space="preserve">Pipe Pandal with covering ht </t>
    </r>
    <r>
      <rPr>
        <b/>
        <sz val="12"/>
        <rFont val="Times New Roman"/>
        <family val="1"/>
      </rPr>
      <t>from</t>
    </r>
    <r>
      <rPr>
        <sz val="12"/>
        <rFont val="Times New Roman"/>
        <family val="1"/>
      </rPr>
      <t xml:space="preserve"> to 12 to 18 ft </t>
    </r>
  </si>
  <si>
    <r>
      <t xml:space="preserve">Kanat fixed with Tent. </t>
    </r>
    <r>
      <rPr>
        <b/>
        <sz val="12"/>
        <rFont val="Times New Roman"/>
        <family val="1"/>
      </rPr>
      <t>(15'x6')</t>
    </r>
  </si>
  <si>
    <r>
      <t xml:space="preserve">Kanat fixed without Tent. </t>
    </r>
    <r>
      <rPr>
        <b/>
        <sz val="12"/>
        <rFont val="Times New Roman"/>
        <family val="1"/>
      </rPr>
      <t>(15'x6')</t>
    </r>
  </si>
  <si>
    <t xml:space="preserve">VIP Chair with cushion </t>
  </si>
  <si>
    <t>Water Proof Tent with pipe pandal supported with Bamboo/Balli /MS Pipe frame.</t>
  </si>
  <si>
    <t>5.3.5</t>
  </si>
  <si>
    <t>5.3.6</t>
  </si>
  <si>
    <r>
      <t xml:space="preserve">Add extra for item No. </t>
    </r>
    <r>
      <rPr>
        <b/>
        <sz val="12"/>
        <rFont val="Times New Roman"/>
        <family val="1"/>
      </rPr>
      <t>5.18 &amp; 5.19</t>
    </r>
    <r>
      <rPr>
        <sz val="12"/>
        <rFont val="Times New Roman"/>
        <family val="1"/>
      </rPr>
      <t xml:space="preserve"> in barricading for each subsequent day after 3 days</t>
    </r>
  </si>
  <si>
    <t xml:space="preserve">5.26 .1
</t>
  </si>
  <si>
    <t xml:space="preserve">5.26.2
</t>
  </si>
  <si>
    <t>5.27.1</t>
  </si>
  <si>
    <t>5.27.2</t>
  </si>
  <si>
    <t>5.27.3</t>
  </si>
  <si>
    <t>5.29.1</t>
  </si>
  <si>
    <t>5.29.2</t>
  </si>
  <si>
    <t>5.29.3</t>
  </si>
  <si>
    <t xml:space="preserve">Excavation work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 a lead in a 50 meter including stacking of useful material if available : </t>
  </si>
  <si>
    <r>
      <t xml:space="preserve">Earth work in   surface excavation   not exceeding 30cm. in depth but exceeding 1.5 meter in width as well as10 Sqm on plan including disposal of excavated earth up to 50 Mtr. and lift up to 1.5 Mtr. disposed soil to be levelled and neatly dressed </t>
    </r>
    <r>
      <rPr>
        <b/>
        <sz val="12"/>
        <rFont val="Times New Roman"/>
        <family val="1"/>
      </rPr>
      <t>: All kinds of soil</t>
    </r>
  </si>
  <si>
    <t>Deduct  for not rolling with power roller of 8 to 10 tonne capacity for banking excavated earth in layers not exceeding 20 cm in depth.</t>
  </si>
  <si>
    <r>
      <t xml:space="preserve">Earth work in excavation by mechanical means (Hydraulic excavator )/ manual means over areas (exceeding 30cm in depth. 1.5m in width as well as 10 sqm on plan) including disposal of  excavated earth, lead upto 50m and  lift upto 1.5 m , disposed earth to be levelled and neatly dressed : </t>
    </r>
    <r>
      <rPr>
        <b/>
        <sz val="12"/>
        <rFont val="Times New Roman"/>
        <family val="1"/>
      </rPr>
      <t>All kinds of soil</t>
    </r>
  </si>
  <si>
    <r>
      <t xml:space="preserve">Earth work in excavation by mechanical means (Hydraulic Excavator )/ manual means in foundation trenches or drains (not exceeding 1.5 m in width or 10 sqm on plan) including dressing of sides and ramming of bottoms, lift upto 1.5 m, including taking out the excavated soil and depositing and refilling of jhiri with watering &amp; ramming and disposal of surplus excavated soil as directed with in a lead of 50 meter. </t>
    </r>
    <r>
      <rPr>
        <b/>
        <sz val="12"/>
        <rFont val="Times New Roman"/>
        <family val="1"/>
      </rPr>
      <t xml:space="preserve">All kinds of soils </t>
    </r>
  </si>
  <si>
    <r>
      <t xml:space="preserve">Excavating trenches of required width for pipe cables, etc. including excavation for sockets, and dressing of sides, ramming of bottoms, depth up to 1.5 Mtr. including taking out the excavated soil, and then returning the soil as required in layers not exceeding 20cm in depth including consolidating each deposited layer by ramming, watering etc. and disposal of surplus excavated soil as directed within a lead of 50 Mtr.: </t>
    </r>
    <r>
      <rPr>
        <b/>
        <sz val="12"/>
        <rFont val="Times New Roman"/>
        <family val="1"/>
      </rPr>
      <t>All kinds of soil</t>
    </r>
  </si>
  <si>
    <t>ORDINARY ROCK</t>
  </si>
  <si>
    <r>
      <t>Ploughing the existing ground to a depth of 15 cm to 25 cm and watering the same</t>
    </r>
    <r>
      <rPr>
        <b/>
        <sz val="12"/>
        <rFont val="Times New Roman"/>
        <family val="1"/>
      </rPr>
      <t xml:space="preserve"> : All kinds of soil</t>
    </r>
  </si>
  <si>
    <r>
      <t>Surface dressing of the ground including removing vegetation and inequalities not exceeding 15cm deep and disposal of rubbish lead up to 50 Mtr. and lift up to 1.5 Mtr.</t>
    </r>
    <r>
      <rPr>
        <b/>
        <sz val="12"/>
        <rFont val="Times New Roman"/>
        <family val="1"/>
      </rPr>
      <t xml:space="preserve"> : All kinds of soil</t>
    </r>
  </si>
  <si>
    <r>
      <t>Treatment of existing masonry using chemical emulsion@ one litre per hole at 300mm interval including  drilling holes at 45 degree and plugging them with  cement mortar 1:2(1 cement : 2 coarse sand) to the full depth of the hole.</t>
    </r>
    <r>
      <rPr>
        <b/>
        <sz val="12"/>
        <rFont val="Times New Roman"/>
        <family val="1"/>
      </rPr>
      <t xml:space="preserve"> With Chlorpyriphos/Lindane E.C. 20% with 1% concentration
</t>
    </r>
  </si>
  <si>
    <t>Diluting and injection Chloropyrifos Emulsifiable concentrate 20% with 1% concentration for PRE-CONSTRUCTIONAL Anti termite treatment as per IS 6313 part III as amended from time to time and creating a continuous chemical barrier under and around the column pits, wall trenches, basement excavation, top surface of plinth filling, junction of wall and floor along the external perimeter of building expansion joints, over the top surface of consolidated earth of which aproch is to be laid surrounding of pipes and conduits etc. complete as per specification (Plinth floor area only shall be measured for payment and excluding the cost of chemical emulsion) .</t>
  </si>
  <si>
    <r>
      <t xml:space="preserve">Cement, Concrete flooring/ cement plaster/ Cement Concret Road, Plain or RCC work &amp; water retaining works providing and mixing Additive of Synthetic polypropylene Fibrillated mesh fibers free form any reprocess Olefins &amp;comfirming to ASTM C 1116 Type III 4.1.3 Having grade 6mm/12mm </t>
    </r>
    <r>
      <rPr>
        <b/>
        <sz val="12"/>
        <rFont val="Times New Roman"/>
        <family val="1"/>
      </rPr>
      <t>/18mm</t>
    </r>
    <r>
      <rPr>
        <sz val="12"/>
        <rFont val="Times New Roman"/>
        <family val="1"/>
      </rPr>
      <t xml:space="preserve"> melting point of 165 deg.C., strength&gt;600 mpa Sp. Gravity:0.92g/cc, diameter 10-70 microns. It is required in specified ratio @ 0.25% (125 Gm. Fibers in 50 Kg. cement) for use. Mix it directly with contents in rotating site mixer direction of Engineer in charge with all leads and lifts.</t>
    </r>
  </si>
  <si>
    <r>
      <t xml:space="preserve">Providing and laying in position cement concrete including curing, compaction etc. complete in specified grade excluding the cost of centering and shuttering - </t>
    </r>
    <r>
      <rPr>
        <b/>
        <sz val="12"/>
        <rFont val="Times New Roman"/>
        <family val="1"/>
      </rPr>
      <t xml:space="preserve">All work up to plinth level. </t>
    </r>
  </si>
  <si>
    <r>
      <t xml:space="preserve">Providing and laying cement concrete including curing, compaction etc. complete in retaining walls, return walls, walls (any thickness) including attached pilasters, columns, piers, abutments, pillars, posts, struts, buttresses, string or lacing courses, parapets, coping, bed blocks, anchor blocks, plain window sills, fillets, levelling course etc </t>
    </r>
    <r>
      <rPr>
        <b/>
        <sz val="12"/>
        <rFont val="Times New Roman"/>
        <family val="1"/>
      </rPr>
      <t xml:space="preserve">up to floor five level </t>
    </r>
    <r>
      <rPr>
        <sz val="12"/>
        <rFont val="Times New Roman"/>
        <family val="1"/>
      </rPr>
      <t>excluding the cost of centering and shuttering.</t>
    </r>
  </si>
  <si>
    <r>
      <t>The Concrete for all grade shall be produced in conformation to the laid down procedures and all relevant clauses of IS 456 : 2000</t>
    </r>
    <r>
      <rPr>
        <b/>
        <sz val="12"/>
        <rFont val="Times New Roman"/>
        <family val="1"/>
      </rPr>
      <t xml:space="preserve"> and further amendments.</t>
    </r>
  </si>
  <si>
    <r>
      <t xml:space="preserve">Providing M-25 grade concrete by using  cement </t>
    </r>
    <r>
      <rPr>
        <b/>
        <sz val="12"/>
        <rFont val="Times New Roman"/>
        <family val="1"/>
      </rPr>
      <t>as per codal provision</t>
    </r>
    <r>
      <rPr>
        <sz val="12"/>
        <rFont val="Times New Roman"/>
        <family val="1"/>
      </rPr>
      <t xml:space="preserve"> instead of  M-20 grade design mix. </t>
    </r>
  </si>
  <si>
    <r>
      <t xml:space="preserve">Providing M-30 grade concrete by using  cement </t>
    </r>
    <r>
      <rPr>
        <b/>
        <sz val="12"/>
        <rFont val="Times New Roman"/>
        <family val="1"/>
      </rPr>
      <t xml:space="preserve">as per codal provision </t>
    </r>
    <r>
      <rPr>
        <sz val="12"/>
        <rFont val="Times New Roman"/>
        <family val="1"/>
      </rPr>
      <t xml:space="preserve">instead of  M-20 grade design mix. </t>
    </r>
  </si>
  <si>
    <r>
      <t xml:space="preserve">Providing M-35 grade concrete </t>
    </r>
    <r>
      <rPr>
        <b/>
        <sz val="12"/>
        <rFont val="Times New Roman"/>
        <family val="1"/>
      </rPr>
      <t xml:space="preserve"> </t>
    </r>
    <r>
      <rPr>
        <sz val="12"/>
        <rFont val="Times New Roman"/>
        <family val="1"/>
      </rPr>
      <t>by using  cement</t>
    </r>
    <r>
      <rPr>
        <b/>
        <sz val="12"/>
        <rFont val="Times New Roman"/>
        <family val="1"/>
      </rPr>
      <t xml:space="preserve"> as per codal provision</t>
    </r>
    <r>
      <rPr>
        <sz val="12"/>
        <rFont val="Times New Roman"/>
        <family val="1"/>
      </rPr>
      <t xml:space="preserve"> instead of  M-20 grade design mix. </t>
    </r>
  </si>
  <si>
    <r>
      <t xml:space="preserve">Providing M- 40 grade concrete by using  cement </t>
    </r>
    <r>
      <rPr>
        <b/>
        <sz val="12"/>
        <rFont val="Times New Roman"/>
        <family val="1"/>
      </rPr>
      <t>as per codal provision</t>
    </r>
    <r>
      <rPr>
        <sz val="12"/>
        <rFont val="Times New Roman"/>
        <family val="1"/>
      </rPr>
      <t xml:space="preserve"> instead of  M-20 grade design mix. </t>
    </r>
  </si>
  <si>
    <r>
      <t xml:space="preserve">Providing and fabricating reinforcement for R.C.C. work including straightening, cutting, bending, placing in position and binding (including cost of binding wire) all complete up to floor five level. 
</t>
    </r>
    <r>
      <rPr>
        <b/>
        <sz val="12"/>
        <rFont val="Times New Roman"/>
        <family val="1"/>
      </rPr>
      <t>('Original producers' who manufacture billet directly from iron ores and roll the bilets to produce steel conforming to IS:1786)</t>
    </r>
  </si>
  <si>
    <r>
      <t xml:space="preserve">Providing and fixing of 200mm thick RCC precast panel made of M35 grade concrete with required steel, rebar chair, wire mesh, connection bolt, fastener and beveled washer with </t>
    </r>
    <r>
      <rPr>
        <b/>
        <sz val="12"/>
        <rFont val="Times New Roman"/>
        <family val="1"/>
      </rPr>
      <t>erection</t>
    </r>
    <r>
      <rPr>
        <sz val="12"/>
        <rFont val="Times New Roman"/>
        <family val="1"/>
      </rPr>
      <t xml:space="preserve"> ready complete in all respect with all lead.</t>
    </r>
  </si>
  <si>
    <r>
      <t xml:space="preserve">Providing and fixing of 150 mm thick RCC precast panel made of M35 grade concrete with required steel, rebar chair, wire mesh, connection bolt, fastener and beveled washer with </t>
    </r>
    <r>
      <rPr>
        <b/>
        <sz val="12"/>
        <rFont val="Times New Roman"/>
        <family val="1"/>
      </rPr>
      <t>erection</t>
    </r>
    <r>
      <rPr>
        <sz val="12"/>
        <rFont val="Times New Roman"/>
        <family val="1"/>
      </rPr>
      <t xml:space="preserve"> ready complete in all respect with all lead.</t>
    </r>
  </si>
  <si>
    <r>
      <t>Add Extra for providing and fixing expanded metal mesh of size 20x60mm and strands 3.25mm wide 1.6mm thick weighing 3.64 kg. per</t>
    </r>
    <r>
      <rPr>
        <b/>
        <sz val="12"/>
        <rFont val="Times New Roman"/>
        <family val="1"/>
      </rPr>
      <t xml:space="preserve"> sqm.</t>
    </r>
    <r>
      <rPr>
        <sz val="12"/>
        <rFont val="Times New Roman"/>
        <family val="1"/>
      </rPr>
      <t xml:space="preserve"> for encasing of rolled steel sections in beams, columns and grillages excluding cost of hangers.  </t>
    </r>
  </si>
  <si>
    <r>
      <t xml:space="preserve">Providing and laying in position specified grade of  cement concrete for  all RCC structural elements upto plinth level including curing, compaction, finishing with rendering in cement sand mortar 1:3 (1 cement: 3 coarse sand) and making good the joints and cost of plastizers( if required) excluding the cost of centering, shuttering and reinforcement. 
</t>
    </r>
    <r>
      <rPr>
        <b/>
        <sz val="12"/>
        <rFont val="Times New Roman"/>
        <family val="1"/>
      </rPr>
      <t xml:space="preserve">M20 grade Nominal Mix / Design Mix </t>
    </r>
  </si>
  <si>
    <r>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 excluding the cost of centering, shuttering and reinforcement  for Walls (any thickness) including attached pilasters, buttresses, plinth and string courses, fillets, columns, pillars, piers, abutments, posts and struts etc.
</t>
    </r>
    <r>
      <rPr>
        <b/>
        <sz val="12"/>
        <rFont val="Times New Roman"/>
        <family val="1"/>
      </rPr>
      <t xml:space="preserve">M20 grade Nominal Mix /   Design Mix  </t>
    </r>
  </si>
  <si>
    <r>
      <t>Recover cost of useful stone @ 2/3</t>
    </r>
    <r>
      <rPr>
        <vertAlign val="superscript"/>
        <sz val="12"/>
        <rFont val="Times New Roman"/>
        <family val="1"/>
      </rPr>
      <t>rd</t>
    </r>
    <r>
      <rPr>
        <sz val="12"/>
        <rFont val="Times New Roman"/>
        <family val="1"/>
      </rPr>
      <t xml:space="preserve"> of masonry work dismantaled  quantity.</t>
    </r>
  </si>
  <si>
    <r>
      <t>Kota stone</t>
    </r>
    <r>
      <rPr>
        <b/>
        <sz val="12"/>
        <rFont val="Times New Roman"/>
        <family val="1"/>
      </rPr>
      <t xml:space="preserve"> minimum 30mm thick.</t>
    </r>
  </si>
  <si>
    <t>Wall lining butch work upto 10m height with Red/ Pink Sand stone  20 to 30 mm thick (machine cut  edges)  stone strips of minimum length 300 mm and required width including embedding every tenth layer and bottom most layer in masonry or concrte after making necessary chases of size 75x75 mm and by providing layer of 75 mm thick strips i/c 12 mm thick bed of cement mortar 1 : 3 (1 cement : 3 Coarse sand) i/c ruled pointing in cement mortar 1 :2 ( 1 white cement : 2 stone dust) with an admixture of pigment to match the shade of stone complete as per direction of Engineer in Charge.</t>
  </si>
  <si>
    <t>Providing and fixing stainless steel cramps of required size and shape for anchoring stone wall lining to the backing or securing adjacent stones in stone wall lining in cement mortar 1:2 (1 cement : 2 coarse sand) including making the necessary chases in stone and holes in walls wherever required.</t>
  </si>
  <si>
    <t>6.36.1</t>
  </si>
  <si>
    <t>6.36.2</t>
  </si>
  <si>
    <t>6.36.3</t>
  </si>
  <si>
    <t>6.43.3</t>
  </si>
  <si>
    <t>Red Ashlar three line dressed</t>
  </si>
  <si>
    <t>Red Ashlar two line dressed</t>
  </si>
  <si>
    <t>Red Ashlar one line dressed</t>
  </si>
  <si>
    <t>6.44.1</t>
  </si>
  <si>
    <t>6.44.2</t>
  </si>
  <si>
    <t>Red Ashlar upto half depth</t>
  </si>
  <si>
    <t>Red Ashlar upto full depth</t>
  </si>
  <si>
    <t>6.51.1</t>
  </si>
  <si>
    <t>6.51.2</t>
  </si>
  <si>
    <r>
      <t>Upto to 1500 Cm</t>
    </r>
    <r>
      <rPr>
        <vertAlign val="superscript"/>
        <sz val="12"/>
        <rFont val="Times New Roman"/>
        <family val="1"/>
      </rPr>
      <t>2</t>
    </r>
    <r>
      <rPr>
        <sz val="12"/>
        <rFont val="Times New Roman"/>
        <family val="1"/>
      </rPr>
      <t xml:space="preserve"> Tiles</t>
    </r>
  </si>
  <si>
    <r>
      <t>1501 Cm</t>
    </r>
    <r>
      <rPr>
        <vertAlign val="superscript"/>
        <sz val="12"/>
        <rFont val="Times New Roman"/>
        <family val="1"/>
      </rPr>
      <t>2</t>
    </r>
    <r>
      <rPr>
        <sz val="12"/>
        <rFont val="Times New Roman"/>
        <family val="1"/>
      </rPr>
      <t xml:space="preserve"> to 3600 Cm</t>
    </r>
    <r>
      <rPr>
        <vertAlign val="superscript"/>
        <sz val="12"/>
        <rFont val="Times New Roman"/>
        <family val="1"/>
      </rPr>
      <t>2</t>
    </r>
    <r>
      <rPr>
        <sz val="12"/>
        <rFont val="Times New Roman"/>
        <family val="1"/>
      </rPr>
      <t xml:space="preserve"> Tiles</t>
    </r>
  </si>
  <si>
    <r>
      <t>Above 3601 Cm</t>
    </r>
    <r>
      <rPr>
        <vertAlign val="superscript"/>
        <sz val="12"/>
        <rFont val="Times New Roman"/>
        <family val="1"/>
      </rPr>
      <t>2</t>
    </r>
    <r>
      <rPr>
        <sz val="12"/>
        <rFont val="Times New Roman"/>
        <family val="1"/>
      </rPr>
      <t xml:space="preserve"> Slabs</t>
    </r>
  </si>
  <si>
    <r>
      <t>Up to 1500 Cm</t>
    </r>
    <r>
      <rPr>
        <vertAlign val="superscript"/>
        <sz val="12"/>
        <rFont val="Times New Roman"/>
        <family val="1"/>
      </rPr>
      <t>2</t>
    </r>
    <r>
      <rPr>
        <sz val="12"/>
        <rFont val="Times New Roman"/>
        <family val="1"/>
      </rPr>
      <t xml:space="preserve"> Tiles</t>
    </r>
  </si>
  <si>
    <r>
      <t>up to 1500 Cm</t>
    </r>
    <r>
      <rPr>
        <vertAlign val="superscript"/>
        <sz val="12"/>
        <rFont val="Times New Roman"/>
        <family val="1"/>
      </rPr>
      <t>2</t>
    </r>
    <r>
      <rPr>
        <sz val="12"/>
        <rFont val="Times New Roman"/>
        <family val="1"/>
      </rPr>
      <t xml:space="preserve"> Tiles</t>
    </r>
  </si>
  <si>
    <t>7.24.1</t>
  </si>
  <si>
    <t xml:space="preserve">Providing and  fixing Motive pieces  all  colours  for  glazed  tiles laid over 12 mm thick bed of cement mortar 1:3 (1 cement : 3 coarse sand) and jointing with grey cement slurry @ 3.3 kg per sqm including pointing in white mixed with pigment of matching shade complete.. </t>
  </si>
  <si>
    <t xml:space="preserve">Add extra for Fixing glazed/ Ceramic/ Vitrified floor tiles with cement based high polymer modified quick-set tile adhesive (Water based) conforming to IS: 15477 , using 5kg. adhesive per sqm of tile area, in average 3mm  thickness instead of cement mortar.  </t>
  </si>
  <si>
    <t xml:space="preserve">Providing and fixing Almirah lock (50 to 70 mm size )of approved make  without pair of handles for door with necessary screws etc complete  as per direction of Engineer-in-charge.  </t>
  </si>
  <si>
    <t xml:space="preserve">Extra if louvers (not exceeding 0.2 sqm) are provided in flush door shutters (overall area of door shutters to be measured).  .  </t>
  </si>
  <si>
    <t xml:space="preserve">Providing and fixing 50 mm thick resin bounded glass wool 32 kg/cum density wrapped in julities cloth bag (box type) and held in position using chicken mesh </t>
  </si>
  <si>
    <t xml:space="preserve">Providing and fixing Hassian cloth of approved colour and texture over soft wood frame glass wool &amp; fibre glass tissue paper </t>
  </si>
  <si>
    <t>Providing  and  fixing  Nigeria  /  Ghana /Ivory Coast Teak  wood   grade-I mouldings and beadings in doors and windows size :-</t>
  </si>
  <si>
    <t>Providing and fixing 18 mm thick, 150 mm wide pelmet of flat pressed 3 layer or graded wood particle board medium density grade I, IS : 3087 marked including top cover of  6 mm commercial ply wood conforming to IS: 303 BWR grade, nickel plate MS 20 mm dia curtain rod with nickel plated bracket including fixing with 25x3 mm MS flat  10 cm long all complete</t>
  </si>
  <si>
    <r>
      <t xml:space="preserve">Fixing standard steel glazed doors, windows and ventilators in walls with 15x3mm lugs 10cm long embedded in cement concrete blocks </t>
    </r>
    <r>
      <rPr>
        <i/>
        <sz val="12"/>
        <rFont val="Times New Roman"/>
        <family val="1"/>
      </rPr>
      <t>15x10</t>
    </r>
    <r>
      <rPr>
        <sz val="12"/>
        <rFont val="Times New Roman"/>
        <family val="1"/>
      </rPr>
      <t xml:space="preserve">x10 cm of 1:3:6 (1 cement: 3 coarse sand: 6 graded stone aggregate 20 mm nominal size) or with wooden plugs and screws or rawl plugs and screws or with fixing clips or with bolts and nuts as required, including fixing of glass panes with glazing clips and special metal-sash putty of approved make, or metal beading with screws (only steel windows with lugs, glass pane cut to size and glazing clips or metal beading with screws, shall be supplied by department free of cost.) </t>
    </r>
  </si>
  <si>
    <t>180cm high fencing with angle iron post 55x55x6mm. placed at every 3Mtr. apart 45cm. in ground embedded in cement concrete 1:3:6 (30x30x60cm) corner and every tenth post to be strutted with 55x55x6mm. angle iron provided with 6 horizontal lines and two diagonals of black barbed wire between two posts fitted and fixed with G.I. staples including earth work in excavation etc. complete.</t>
  </si>
  <si>
    <t>150 cm high fencing of precast R.C. posts of 15cmx15cm tapered to 10x10cm at top placed at every 3m apart 30cm in ground embedded in cement concrete 1:3:6 (30x30x45cm) corner and every tenth posts to be strutted with same R.C. posts provided with 6 horizontal lines and two diagonals of black barbed wire between the two posts fitted and fixed with G.I. staples including earth work in excavation etc. complete</t>
  </si>
  <si>
    <t>150cm high fencing with angle iron 50x50x6mm. placed at every 3Mtr. apart 30cm. in ground embedded in cement concrete 1:3:6 (30x30x45cm) corner and every tenth post to be strutted with 50x50x6mm. angle iron provided with 5 horizontal lines and two diagonals of black barbed wire between two posts fitted and fixed with G.I. staples including earth work in excavation etc. complete.</t>
  </si>
  <si>
    <t>120cm. high fencing with angle iron posts 50x50x6mm. placed at every 3 Mtr. apart 30cm. in ground embedded in cement concrete 1:3:6 (30x30x45cm) corner &amp; every tenth posts to be strutted with 50x50x6mm angle iron provided with four horizontal lines and two diagonals of black barbed wire between two posts fitted and fixed with G.I. staple including earth work in excavation etc. complete.</t>
  </si>
  <si>
    <t>Mtr. Each wire</t>
  </si>
  <si>
    <r>
      <t>1.00 mm thick with zinc coating not less than 275 gm/m</t>
    </r>
    <r>
      <rPr>
        <vertAlign val="superscript"/>
        <sz val="12"/>
        <rFont val="Times New Roman"/>
        <family val="1"/>
      </rPr>
      <t>2</t>
    </r>
  </si>
  <si>
    <r>
      <t>0.80 mm thick with zinc coating not less than 275 gm/m</t>
    </r>
    <r>
      <rPr>
        <vertAlign val="superscript"/>
        <sz val="12"/>
        <rFont val="Times New Roman"/>
        <family val="1"/>
      </rPr>
      <t>2</t>
    </r>
  </si>
  <si>
    <r>
      <t>0.63 mm thick with zinc coating not less than 275 gm/m</t>
    </r>
    <r>
      <rPr>
        <vertAlign val="superscript"/>
        <sz val="12"/>
        <rFont val="Times New Roman"/>
        <family val="1"/>
      </rPr>
      <t>2</t>
    </r>
  </si>
  <si>
    <t>10.35.1</t>
  </si>
  <si>
    <t>10.35.2</t>
  </si>
  <si>
    <t>The powder is conforming with the performance requirements of the AAMA2603.02 &amp; Qualicoat Claa 1 specifications. The coating thickness will be minimum 60 microns with properties of Salt Spray of 1500 hrs in exposure in SST Cabinet with Minimum blister rating 8. (Tensile strength of suspension-344/413 mpa and fastner strength-110kg) All Ceiling Panels shall adhere to GreenPro Certifications.</t>
  </si>
  <si>
    <t>Providing and fixing of Perforated  Metal Tile Ceiling System  comprising  of Tile of 600mm wide  and 600mm long  manufactured out of 0.5mm thick Galvanised Iron  with beveled  edge of 4.15mm width height of 32mm. The tiles shall be perforated to 1.5mm dia with open area of 23%. The Tile  will  be manufactured on advanced equipment that includes several  leveling stages in the manufacturing process by approved manufacturers. Tile ends will be raised  with pips and slops to ensure positive engagement  into the spring to enable for de-mounting of individual  panels. The Tile sides will be sufficiently  high to ensure  a minimum deflection across the length of Tile. All Tiles  will be bevel edged. The Tile shall  be epoxy polyester powder coating  in white colour. The Tile shall  be cllpped  into clip in rail of 0.5mm thick GI. in  form of a grid system using a cross connector. The clip  in rail shall  be supported from slab by means of rigid  Suspension of 4mm G .I rod, Hold on Clamp with Clip. POWDER COATING SPECIFICATION: Aluminium PANELS, cleaned through eco friendly cleaning ,process and powder applied thru electrostatic charged Automatic Carona technology spray guns and cured in combination of Infrared &amp; hot air oven in a certified plant as Akzo International approved applicator .</t>
  </si>
  <si>
    <t>The powder is conforming with the performance requirements of the AAMA2603.02 &amp; Qualicoat Claa 1 specifications. The coating thickness will be minimum 60 microns with properties of Salt Spray of 1500 hrs in exposure in SST Cabinet with Minimum blister rating 8.  (Tensile strength of suspension-344/413 mpa and fastner strength-110kg) All Ceiling Panels shall adhere to GreenPro Certifications.</t>
  </si>
  <si>
    <t>Suspension System: As per manufacturer standard considering type of plenum and its height. Paint finish – POWDER COATING SPECIFICATION: Aluminium PANELS, cleaned through eco friendly cleaning ,process and powder applied thru electrostatic charged Automatic Carona technology spray guns and cured in combination of Infrared &amp; hot air oven in a certified plant as Akzo International approved applicator . The powder is conforming with the performance requirements of the AAMA2603.02 &amp; Qualicoat Claa 1 specifications. The coating thickness will be minimum 60 microns with properties of Salt Spray of 1500 hrs in exposure in SST Cabinet with Minimum blister rating 8. Acoustic Felt (Optional): Non-woven felt made of glass-reinforced fibre glued over the perforation for sound absorption. NRC- 0.7. (Tensile strength of suspension-344/413 mpa and fastner strength-110kg)
All Ceiling Panels shall adhere to GreenPro Certifications.</t>
  </si>
  <si>
    <r>
      <t xml:space="preserve">Providing and laying of skirting 89 mm wide having both side laminations with </t>
    </r>
    <r>
      <rPr>
        <b/>
        <sz val="12"/>
        <rFont val="Times New Roman"/>
        <family val="1"/>
      </rPr>
      <t>moulding</t>
    </r>
    <r>
      <rPr>
        <sz val="12"/>
        <rFont val="Times New Roman"/>
        <family val="1"/>
      </rPr>
      <t xml:space="preserve"> in upper side with matching of floor fixing with nails and screws &amp; fevicol complete in all respect as per direction of EI. </t>
    </r>
  </si>
  <si>
    <r>
      <t xml:space="preserve">M-30, </t>
    </r>
    <r>
      <rPr>
        <b/>
        <sz val="12"/>
        <rFont val="Times New Roman"/>
        <family val="1"/>
      </rPr>
      <t>60</t>
    </r>
    <r>
      <rPr>
        <sz val="12"/>
        <rFont val="Times New Roman"/>
        <family val="1"/>
      </rPr>
      <t xml:space="preserve"> mm thick to be used in non traffic areas like building premises, monument premises, land scapes, public gardens/ park, domestic drives, paths and patios, Embankment slopes, sand stabilization Area etc.( As per table 1 of  IS 15658:2006</t>
    </r>
  </si>
  <si>
    <r>
      <t xml:space="preserve">Add extra over item No. </t>
    </r>
    <r>
      <rPr>
        <b/>
        <sz val="12"/>
        <rFont val="Times New Roman"/>
        <family val="1"/>
      </rPr>
      <t>11.38, A to C</t>
    </r>
    <r>
      <rPr>
        <sz val="12"/>
        <rFont val="Times New Roman"/>
        <family val="1"/>
      </rPr>
      <t xml:space="preserve"> if reflective paver block, manufactured with wet cast vibration system in two layers is used.</t>
    </r>
  </si>
  <si>
    <r>
      <t xml:space="preserve">Add extra over rates of item No. </t>
    </r>
    <r>
      <rPr>
        <b/>
        <sz val="12"/>
        <rFont val="Times New Roman"/>
        <family val="1"/>
      </rPr>
      <t>11.38, A to C</t>
    </r>
    <r>
      <rPr>
        <sz val="12"/>
        <rFont val="Times New Roman"/>
        <family val="1"/>
      </rPr>
      <t xml:space="preserve"> if colored paver blocks are used</t>
    </r>
  </si>
  <si>
    <r>
      <t xml:space="preserve">Add extra over </t>
    </r>
    <r>
      <rPr>
        <b/>
        <sz val="12"/>
        <rFont val="Times New Roman"/>
        <family val="1"/>
      </rPr>
      <t>11.41, A &amp; B</t>
    </r>
    <r>
      <rPr>
        <sz val="12"/>
        <rFont val="Times New Roman"/>
        <family val="1"/>
      </rPr>
      <t xml:space="preserve">  if </t>
    </r>
    <r>
      <rPr>
        <b/>
        <sz val="12"/>
        <rFont val="Times New Roman"/>
        <family val="1"/>
      </rPr>
      <t>coloured</t>
    </r>
    <r>
      <rPr>
        <sz val="12"/>
        <rFont val="Times New Roman"/>
        <family val="1"/>
      </rPr>
      <t xml:space="preserve"> wearing course (as per IS 1237:1980) is used.</t>
    </r>
  </si>
  <si>
    <t>Cement plaster in skirting and/dado  18 mm thick with cement mortar 1:3 (1 cement : 3 course sand) finished with a floating coat of neat cement including rounding of junctions with floor .</t>
  </si>
  <si>
    <r>
      <t xml:space="preserve">Providing &amp; Laying Tactile tile (for vision impaired persons is standard of size 300x300x20mm and confirming to IS 1231 of 1980 (Re affirmed in 2006) in all colours &amp; sheds further product should confirm ASTM 303 for shad resistance and DIN51099 for colour fastness etc. laid on 20mm thick base of cement mortar 1:4 (1 cement : 4 course sand) in all shapes &amp; patterns including grouting the joint which white cement mixer) will matching pigments etc complete is per direction of Engineer-in-charges. </t>
    </r>
    <r>
      <rPr>
        <b/>
        <sz val="12"/>
        <rFont val="Times New Roman"/>
        <family val="1"/>
      </rPr>
      <t>Grade M 30</t>
    </r>
  </si>
  <si>
    <r>
      <t xml:space="preserve">Painting exterior surface of  Wall  with 100% acrylic exterior paint of approved brand and manufacture to give an even shade with two or more coats including prepartion of base with sand papering, primer, putty,  etc complete in all respect </t>
    </r>
    <r>
      <rPr>
        <b/>
        <sz val="12"/>
        <rFont val="Times New Roman"/>
        <family val="1"/>
      </rPr>
      <t xml:space="preserve">including scaffolding and safety provision </t>
    </r>
  </si>
  <si>
    <r>
      <t xml:space="preserve">Finishing walls with textured exterior paint of required shade as per approved colour complete as per manufacturers specifications  including primer coat and protecting coat </t>
    </r>
    <r>
      <rPr>
        <b/>
        <sz val="12"/>
        <rFont val="Times New Roman"/>
        <family val="1"/>
      </rPr>
      <t xml:space="preserve">including scaffolding and safety provision </t>
    </r>
  </si>
  <si>
    <r>
      <t xml:space="preserve">Providing and applying two coats of fire retardant paint unthinned on cleaned wood/ply surface @ 3.5 </t>
    </r>
    <r>
      <rPr>
        <b/>
        <sz val="12"/>
        <rFont val="Times New Roman"/>
        <family val="1"/>
      </rPr>
      <t>sqm</t>
    </r>
    <r>
      <rPr>
        <sz val="12"/>
        <rFont val="Times New Roman"/>
        <family val="1"/>
      </rPr>
      <t xml:space="preserve"> per litre per coat including preparation of base surface as per recommendations of manufacturer to make the surface fire retardant.  </t>
    </r>
  </si>
  <si>
    <r>
      <t>Replacement of stone Chajja with sriwan in damaged portion as per existing thickness and width in CM 1 : 3 with removal of old damaged pieces of chajja including top plaster of chajja and bottom pointing in CM 1 : 3 with scoffolding upto</t>
    </r>
    <r>
      <rPr>
        <b/>
        <sz val="12"/>
        <rFont val="Times New Roman"/>
        <family val="1"/>
      </rPr>
      <t xml:space="preserve"> Ground floor</t>
    </r>
    <r>
      <rPr>
        <sz val="12"/>
        <rFont val="Times New Roman"/>
        <family val="1"/>
      </rPr>
      <t xml:space="preserve"> level as per direction of Engineer in charge</t>
    </r>
  </si>
  <si>
    <t>Choping losse and cracked concrete to required depth, cleaning the exposed surface of steel and concrete with wire brush and sand papering , cleaning of concrete surface with water as necessary and getting dried.</t>
  </si>
  <si>
    <t>Applying Epoxy primer on the exposed steel bars.</t>
  </si>
  <si>
    <t>Applying Epoxy hardener and resin mix (as per manufectured's specification) on concrete and steel bars with brush.</t>
  </si>
  <si>
    <t>Speading dry cement mortar 1 : 2 mix over epoxy treated wet surface and allow it to dry for one day.</t>
  </si>
  <si>
    <t>Plastering the surface with cement sand mortar 1 : 3 upto depth of 30mm complete.</t>
  </si>
  <si>
    <t>Cure the plastered surface for 15 days, All work including scaffolding etc. complete in all respect.</t>
  </si>
  <si>
    <t>Desalting removal of leftover dirty water and sludge with sludge pump</t>
  </si>
  <si>
    <t>Cleaning of wall, ceiling and floor by high pressure water jet with help of equipments which creates a pressure of 100-150 bar</t>
  </si>
  <si>
    <t>Spraying of non toxic, bio degradable ecofriendly and bacterial agent certified by a govt approved laborary to disinfect the tank from all harmfull pathogens. The dose should be safe as per the UECD guidelines &amp; 23 adopted on 17 th december 2001.</t>
  </si>
  <si>
    <t>Treatment of inside tank by exposing UV radiation to kill further suspended or floating bacteria if any</t>
  </si>
  <si>
    <t>Mechanised cleaning of storage tanks comprises of following 6 stage as mentioned below :</t>
  </si>
  <si>
    <t>Mechanical dewatering</t>
  </si>
  <si>
    <r>
      <rPr>
        <b/>
        <sz val="12"/>
        <rFont val="Times New Roman"/>
        <family val="1"/>
      </rPr>
      <t>Removing</t>
    </r>
    <r>
      <rPr>
        <sz val="12"/>
        <rFont val="Times New Roman"/>
        <family val="1"/>
      </rPr>
      <t xml:space="preserve"> aluminium/Gypsum partitions, doors, windows, fixed glazing and false ceiling including disposal of unserviceable material and stacking of serviceable material with in 50 meters lead as directed by Engineer-in-charge.</t>
    </r>
  </si>
  <si>
    <t xml:space="preserve"> All items of demolition &amp; dismantling of building shall be conform to IS 4130 for handling , IS 7969  for  storage and IS 3696 for scaffolding </t>
  </si>
  <si>
    <t xml:space="preserve">Providing and fixing 150 mm wide sheet covering over expansion joints with iron screws as per design to match the colour / shade  of  wall treatment.      </t>
  </si>
  <si>
    <r>
      <t>At 6dm</t>
    </r>
    <r>
      <rPr>
        <vertAlign val="superscript"/>
        <sz val="12"/>
        <rFont val="Times New Roman"/>
        <family val="1"/>
      </rPr>
      <t>3</t>
    </r>
    <r>
      <rPr>
        <sz val="12"/>
        <rFont val="Times New Roman"/>
        <family val="1"/>
      </rPr>
      <t xml:space="preserve"> per Sqm.</t>
    </r>
  </si>
  <si>
    <r>
      <t>At 8dm</t>
    </r>
    <r>
      <rPr>
        <vertAlign val="superscript"/>
        <sz val="12"/>
        <rFont val="Times New Roman"/>
        <family val="1"/>
      </rPr>
      <t>3</t>
    </r>
    <r>
      <rPr>
        <sz val="12"/>
        <rFont val="Times New Roman"/>
        <family val="1"/>
      </rPr>
      <t xml:space="preserve"> per Sqm.</t>
    </r>
  </si>
  <si>
    <r>
      <t>Providing and fixing expansion joint board for building RCC column beams, walls, slab of Polyethylene foam of density 30 to 35 Kg/m</t>
    </r>
    <r>
      <rPr>
        <vertAlign val="superscript"/>
        <sz val="12"/>
        <rFont val="Times New Roman"/>
        <family val="1"/>
      </rPr>
      <t>3</t>
    </r>
    <r>
      <rPr>
        <sz val="12"/>
        <rFont val="Times New Roman"/>
        <family val="1"/>
      </rPr>
      <t xml:space="preserve"> of Armour Board.</t>
    </r>
  </si>
  <si>
    <t>Ist course of applying cement slurry @ 4.4 Kg/sum mixed with water proofing compound conforming to IS 2645 in recommended proportions including rounding off junction of vertical and horizontal surface.</t>
  </si>
  <si>
    <t>IInd course of 20mm cement plaster 1:3 (1 cement: 3 coarse sand) mixed with water. proofing compound in recommended proportion including rounding off junction of vertical and horizontal surface..</t>
  </si>
  <si>
    <t>IIIrd course of applying blown or residual bitumen applied hot at 1.7 Kg per sqm. of area.</t>
  </si>
  <si>
    <t>IVth course of 400 micron thick PVC sheet .(Overlaps at joints of PVC sheet should be 100 mm wide and pasted to each other with bitumen  @ 1.7 Kg/sqm.)</t>
  </si>
  <si>
    <t xml:space="preserve"> Providing and laying water proofing treatment in sunken portion of WCs, bathroom etc., by applying cement slurry mixed with water proofing cement compound consisting of applying : </t>
  </si>
  <si>
    <t>laying second  layer of Fiber glass cloth  when the first layer is still green  . Overlaps of joints of fiber cloth should not be less than 10 cm .</t>
  </si>
  <si>
    <t>Third layer of 1.5 mm thickness consisting of slurry of cement @ 1.289  kg/sqm mixed with water proffing cement compound  @ 0.670  kg/sqm and coarse sand @ 1.289 kg/sqm. This will be allowed to air cure for  4 hours followed   by water curing for 48 hours. The entire treatment will be taken upto 30cm on parapet wall and tucked into groove in parapet all around</t>
  </si>
  <si>
    <t>fourth and final layer of brick tiling ‘with cement mortar or any other approved protective coarse.   (which will be paid for separately) For the purpose of measurement the entire treated surface will be measured</t>
  </si>
  <si>
    <t xml:space="preserve">Nano technology water proofing, thermal insulation protection coating : </t>
  </si>
  <si>
    <t>Providing and fixing of UPVC casement openable windows (outward / inward): Outer Frame made from the Extruded UPVC Windows profile section of size 60w X 60h mm having outer wall thickness of 2.5mm (+/- 0.2mm) and three chamber constuction, White in finish, duly reinforced with 1.5mm thick GI section. All the four corners shall be mitered cut &amp; thermal welded so as to form window frame. Frame shall be milled with drain and air equalizer hole in order to be water tight and for drainage of accumulated water, if any, to outer side. Fix Mullion made of 60w X 80h mm UPVC profile section with steel reinforcement shall be provided in windows having 2 or more openable shutters, as per the requirement. Frame shall have co-extruded with EPDM/TPE-E gasket fitted in in-built groove of frame profile for proper air &amp; sound insulation of the shutter.                                                                                                                                                                                                                                        Shutter:</t>
  </si>
  <si>
    <t xml:space="preserve">Providing and fixing of UPVC casement fully (french) open-able windows (outward / inward) : Frame made from the Extruded UPVC Windows profile section of size 60w X 60h mm having outer wall thickness of 2.5 mm (+/- 0.2mm) and 3 box multi-chamber constuction, White in finish, duly reinforced with 1.5 mm thick G/J/U/O TYPE GI section. All the four corners shall be mitered cut &amp; thermal welded so as to form window frame. Frame shall be milled with drain and air equalizer hole in order to be water tight and for drainage of accumulated water, if any, to outer side. Fix Mullion made of 60w X 80h mm UPVC profile section with steel reinforcement shall be provided for the fix portion of the window and for the window area having 2 or more openable shutters / fix part as per the requirement. Frame shall have co-extruded EPDM/TPE-E gasket fitted in in-built groove of frame profile for proper air &amp; sound insulation of the shutter.                                                                                                                                                                                                                                                                                     </t>
  </si>
  <si>
    <t>Shutter: The shutter of outward openable window shall be made of size 60w X 74h mm and shutter of inward openable window shall be made of size 60w X 77h mm Extruded 3 box multi-chamber UPVC Window profile section of white colour having outer wall thickness of 2.5 mm (+/- 0.2mm) provided with reinforcement of 1.5 mm thick GI section duly mitered cut &amp; thermal welded at all corners. shutter as well as fix part of the window shall be fitted with UPVC glazing bead of size 36 X 20 mm with inner and outer co-extruded EPDM/TPE-E Gasket.</t>
  </si>
  <si>
    <t>Supply and Installation of WALL – PREFABRICATED INSULATED LAMINATED FACE PANEL:</t>
  </si>
  <si>
    <t>Factory-readymade interior wall panel of thickness mentioned below. The panels shall have suitable provision for joining adjacent panels. Interior panels may have optional provision for inbuilt electrical conduit running lengthwise at vertical center of specified panels. The insulation core shall be self-extinguishing DIN 4102,Class B3 fire retardant class rigid PUR with thermal conductivity of 0.025 W/mK and with density of 40kg/m3 (+/-2kg) suitable for temperature range of -30 degree C to +80 degree C. The panel must be made using glue-free high pressure hot pressing self-bonding method and shall be free from major surface undulations. both sides of panel shall have a min15 micron protective plastic guard film to avoid scratches during transportation. 
1. Panel shall be made of min 4mm (+/- 0.5mm) thick laminated wood based medium density fiber board sheet on both sides of rigid PUR insulation.</t>
  </si>
  <si>
    <t>AccessoriesSupply and Installation of (Labour rate included in main item) Bottom and Top U track :</t>
  </si>
  <si>
    <r>
      <t xml:space="preserve">P &amp; F </t>
    </r>
    <r>
      <rPr>
        <i/>
        <sz val="12"/>
        <rFont val="Times New Roman"/>
        <family val="1"/>
      </rPr>
      <t>Indian type</t>
    </r>
    <r>
      <rPr>
        <sz val="12"/>
        <rFont val="Times New Roman"/>
        <family val="1"/>
      </rPr>
      <t xml:space="preserve"> white glazed vitreous china 1</t>
    </r>
    <r>
      <rPr>
        <vertAlign val="superscript"/>
        <sz val="12"/>
        <rFont val="Times New Roman"/>
        <family val="1"/>
      </rPr>
      <t>st</t>
    </r>
    <r>
      <rPr>
        <sz val="12"/>
        <rFont val="Times New Roman"/>
        <family val="1"/>
      </rPr>
      <t xml:space="preserve"> quality W.C. orissa pan (IS :2556 Mark) with 100 mm vitreous china P or S trap including cutting and making good the wall and floor: </t>
    </r>
  </si>
  <si>
    <r>
      <t>P &amp; F European type white glazed vitreous china 1</t>
    </r>
    <r>
      <rPr>
        <vertAlign val="superscript"/>
        <sz val="12"/>
        <rFont val="Times New Roman"/>
        <family val="1"/>
      </rPr>
      <t>st</t>
    </r>
    <r>
      <rPr>
        <sz val="12"/>
        <rFont val="Times New Roman"/>
        <family val="1"/>
      </rPr>
      <t xml:space="preserve"> quality W.C pan (IS : 2556 Mark) with P or S trap including cutting and making good the wall and floor </t>
    </r>
  </si>
  <si>
    <r>
      <t>P &amp; F</t>
    </r>
    <r>
      <rPr>
        <i/>
        <sz val="12"/>
        <rFont val="Times New Roman"/>
        <family val="1"/>
      </rPr>
      <t xml:space="preserve"> European  type </t>
    </r>
    <r>
      <rPr>
        <sz val="12"/>
        <rFont val="Times New Roman"/>
        <family val="1"/>
      </rPr>
      <t>white glazed vitreous china 1</t>
    </r>
    <r>
      <rPr>
        <vertAlign val="superscript"/>
        <sz val="12"/>
        <rFont val="Times New Roman"/>
        <family val="1"/>
      </rPr>
      <t>st</t>
    </r>
    <r>
      <rPr>
        <sz val="12"/>
        <rFont val="Times New Roman"/>
        <family val="1"/>
      </rPr>
      <t xml:space="preserve"> quality W.C. (IS : 2556 Mark)   including cutting and making good the wall and floor </t>
    </r>
  </si>
  <si>
    <r>
      <t xml:space="preserve">P &amp; F White Vitreous China </t>
    </r>
    <r>
      <rPr>
        <i/>
        <sz val="12"/>
        <rFont val="Times New Roman"/>
        <family val="1"/>
      </rPr>
      <t>Double Syphonic European</t>
    </r>
    <r>
      <rPr>
        <sz val="12"/>
        <rFont val="Times New Roman"/>
        <family val="1"/>
      </rPr>
      <t xml:space="preserve"> </t>
    </r>
    <r>
      <rPr>
        <i/>
        <sz val="12"/>
        <rFont val="Times New Roman"/>
        <family val="1"/>
      </rPr>
      <t>W.C.</t>
    </r>
    <r>
      <rPr>
        <sz val="12"/>
        <rFont val="Times New Roman"/>
        <family val="1"/>
      </rPr>
      <t xml:space="preserve"> (I.S:2556Mark) with mounted W.V.C. flushing cistern of (IS : 2556 Mark) of 10 litre capacity complete with all necessary internal fittings including cutting and making good the wall and floor. </t>
    </r>
  </si>
  <si>
    <r>
      <t>P &amp; F lst quality</t>
    </r>
    <r>
      <rPr>
        <i/>
        <sz val="12"/>
        <rFont val="Times New Roman"/>
        <family val="1"/>
      </rPr>
      <t xml:space="preserve"> WVC </t>
    </r>
    <r>
      <rPr>
        <sz val="12"/>
        <rFont val="Times New Roman"/>
        <family val="1"/>
      </rPr>
      <t xml:space="preserve">Urinal (IS:2556 mark) with 25mm dia G.I. waste pipe, dome waste couplings, concealed iron brackets or screws etc complete.  </t>
    </r>
  </si>
  <si>
    <r>
      <t>P &amp; F W.V.C.</t>
    </r>
    <r>
      <rPr>
        <i/>
        <sz val="12"/>
        <rFont val="Times New Roman"/>
        <family val="1"/>
      </rPr>
      <t xml:space="preserve"> Urinal Partition Plate</t>
    </r>
    <r>
      <rPr>
        <sz val="12"/>
        <rFont val="Times New Roman"/>
        <family val="1"/>
      </rPr>
      <t xml:space="preserve"> of approved standard make of size 630x315mm including making good the wall.</t>
    </r>
  </si>
  <si>
    <r>
      <t xml:space="preserve">P&amp;F Marble </t>
    </r>
    <r>
      <rPr>
        <i/>
        <sz val="12"/>
        <rFont val="Times New Roman"/>
        <family val="1"/>
      </rPr>
      <t>Urinal Partition slab</t>
    </r>
    <r>
      <rPr>
        <sz val="12"/>
        <rFont val="Times New Roman"/>
        <family val="1"/>
      </rPr>
      <t xml:space="preserve"> both sides polished of approved design cut from marble size 900x600mm.</t>
    </r>
  </si>
  <si>
    <r>
      <t>Makrana `Adanga` or Raj Nagar 1</t>
    </r>
    <r>
      <rPr>
        <vertAlign val="superscript"/>
        <sz val="12"/>
        <rFont val="Times New Roman"/>
        <family val="1"/>
      </rPr>
      <t>St</t>
    </r>
    <r>
      <rPr>
        <sz val="12"/>
        <rFont val="Times New Roman"/>
        <family val="1"/>
      </rPr>
      <t xml:space="preserve"> Quality White or Andhi Indo-Italian marble.</t>
    </r>
  </si>
  <si>
    <r>
      <t xml:space="preserve">P  &amp;  F   W.V.C.  </t>
    </r>
    <r>
      <rPr>
        <i/>
        <sz val="12"/>
        <rFont val="Times New Roman"/>
        <family val="1"/>
      </rPr>
      <t>Half-Round  Channel</t>
    </r>
    <r>
      <rPr>
        <sz val="12"/>
        <rFont val="Times New Roman"/>
        <family val="1"/>
      </rPr>
      <t xml:space="preserve">  of  approved  make  in  C.M.  1:3,  joints  finished  in  white  cement of:</t>
    </r>
  </si>
  <si>
    <r>
      <t>P &amp; F W.V.C. (IS: 2556 Mark)</t>
    </r>
    <r>
      <rPr>
        <i/>
        <sz val="12"/>
        <rFont val="Times New Roman"/>
        <family val="1"/>
      </rPr>
      <t xml:space="preserve"> Squatting Urinal</t>
    </r>
    <r>
      <rPr>
        <sz val="12"/>
        <rFont val="Times New Roman"/>
        <family val="1"/>
      </rPr>
      <t xml:space="preserve"> of standard make complete. Including cutting &amp; making good the floor:</t>
    </r>
  </si>
  <si>
    <r>
      <t>P &amp; F</t>
    </r>
    <r>
      <rPr>
        <i/>
        <sz val="12"/>
        <rFont val="Times New Roman"/>
        <family val="1"/>
      </rPr>
      <t xml:space="preserve"> Automatic Flushing Cistern</t>
    </r>
    <r>
      <rPr>
        <sz val="12"/>
        <rFont val="Times New Roman"/>
        <family val="1"/>
      </rPr>
      <t xml:space="preserve"> of first quality (IS : 774 mark) of approved make fitting, siphon with copper tube, C.I. brackets complete including cutting and making good the wall.</t>
    </r>
  </si>
  <si>
    <r>
      <t xml:space="preserve">P &amp; F </t>
    </r>
    <r>
      <rPr>
        <i/>
        <sz val="12"/>
        <rFont val="Times New Roman"/>
        <family val="1"/>
      </rPr>
      <t>Flush Pipe</t>
    </r>
    <r>
      <rPr>
        <sz val="12"/>
        <rFont val="Times New Roman"/>
        <family val="1"/>
      </rPr>
      <t xml:space="preserve"> of approved make with complete fittings for high level flushing cistern:</t>
    </r>
  </si>
  <si>
    <r>
      <t xml:space="preserve">P  &amp;  F  C.P.  brass  </t>
    </r>
    <r>
      <rPr>
        <i/>
        <sz val="12"/>
        <rFont val="Times New Roman"/>
        <family val="1"/>
      </rPr>
      <t>Urinal  Flush  Pipe</t>
    </r>
    <r>
      <rPr>
        <sz val="12"/>
        <rFont val="Times New Roman"/>
        <family val="1"/>
      </rPr>
      <t xml:space="preserve">  set   complete   with   flanged   brackets   of         approved make.</t>
    </r>
  </si>
  <si>
    <r>
      <t>P &amp; F C.P. brass</t>
    </r>
    <r>
      <rPr>
        <i/>
        <sz val="12"/>
        <rFont val="Times New Roman"/>
        <family val="1"/>
      </rPr>
      <t xml:space="preserve"> Urinal Spreader</t>
    </r>
    <r>
      <rPr>
        <sz val="12"/>
        <rFont val="Times New Roman"/>
        <family val="1"/>
      </rPr>
      <t xml:space="preserve"> for stall urinal of approved make. </t>
    </r>
  </si>
  <si>
    <r>
      <t>P &amp; F</t>
    </r>
    <r>
      <rPr>
        <i/>
        <sz val="12"/>
        <rFont val="Times New Roman"/>
        <family val="1"/>
      </rPr>
      <t xml:space="preserve"> Plastic Syphon</t>
    </r>
    <r>
      <rPr>
        <sz val="12"/>
        <rFont val="Times New Roman"/>
        <family val="1"/>
      </rPr>
      <t xml:space="preserve"> of approved make for automatic flush tank. </t>
    </r>
  </si>
  <si>
    <r>
      <t xml:space="preserve">P &amp; F </t>
    </r>
    <r>
      <rPr>
        <i/>
        <sz val="12"/>
        <rFont val="Times New Roman"/>
        <family val="1"/>
      </rPr>
      <t xml:space="preserve">C.P. Brass flush Valve </t>
    </r>
    <r>
      <rPr>
        <sz val="12"/>
        <rFont val="Times New Roman"/>
        <family val="1"/>
      </rPr>
      <t>with C.P. flush bend of approved make.</t>
    </r>
  </si>
  <si>
    <r>
      <t xml:space="preserve">P &amp; </t>
    </r>
    <r>
      <rPr>
        <i/>
        <sz val="12"/>
        <rFont val="Times New Roman"/>
        <family val="1"/>
      </rPr>
      <t>F Kitchen &amp; Lab. Sink</t>
    </r>
    <r>
      <rPr>
        <sz val="12"/>
        <rFont val="Times New Roman"/>
        <family val="1"/>
      </rPr>
      <t xml:space="preserve"> of approved make with C.I. brackets duly painted, 40 mm C.P. waste coupling, C.P. Brass chain with rubber plug, 40 mm G.I. waste pipe up-to floor level complete including cutting and making good the wall &amp; floor :</t>
    </r>
  </si>
  <si>
    <r>
      <t xml:space="preserve">Overall size       </t>
    </r>
    <r>
      <rPr>
        <u/>
        <sz val="12"/>
        <rFont val="Times New Roman"/>
        <family val="1"/>
      </rPr>
      <t>Bowl size</t>
    </r>
  </si>
  <si>
    <r>
      <t>P &amp; F 1</t>
    </r>
    <r>
      <rPr>
        <vertAlign val="superscript"/>
        <sz val="12"/>
        <rFont val="Times New Roman"/>
        <family val="1"/>
      </rPr>
      <t>st</t>
    </r>
    <r>
      <rPr>
        <sz val="12"/>
        <rFont val="Times New Roman"/>
        <family val="1"/>
      </rPr>
      <t xml:space="preserve"> quality WVC pedestal for wash basin.</t>
    </r>
  </si>
  <si>
    <r>
      <t xml:space="preserve">P &amp; F </t>
    </r>
    <r>
      <rPr>
        <i/>
        <sz val="12"/>
        <rFont val="Times New Roman"/>
        <family val="1"/>
      </rPr>
      <t xml:space="preserve">Bevelled edge Mirror/mirror with teak wood lipping around </t>
    </r>
    <r>
      <rPr>
        <sz val="12"/>
        <rFont val="Times New Roman"/>
        <family val="1"/>
      </rPr>
      <t xml:space="preserve">of special glass of approved make as per direction of Engineer-in-charge complete with 6mm thick commercial ply base fixed to wooden screws &amp; washers. </t>
    </r>
  </si>
  <si>
    <r>
      <t xml:space="preserve">P &amp; F </t>
    </r>
    <r>
      <rPr>
        <i/>
        <sz val="12"/>
        <rFont val="Times New Roman"/>
        <family val="1"/>
      </rPr>
      <t>Looking Mirrors</t>
    </r>
    <r>
      <rPr>
        <sz val="12"/>
        <rFont val="Times New Roman"/>
        <family val="1"/>
      </rPr>
      <t xml:space="preserve"> with P.V.C. frame of approved make as per direction of Engineer-in-charge </t>
    </r>
  </si>
  <si>
    <r>
      <t xml:space="preserve">P &amp; F </t>
    </r>
    <r>
      <rPr>
        <i/>
        <sz val="12"/>
        <rFont val="Times New Roman"/>
        <family val="1"/>
      </rPr>
      <t>Towel Rail or Ring</t>
    </r>
    <r>
      <rPr>
        <sz val="12"/>
        <rFont val="Times New Roman"/>
        <family val="1"/>
      </rPr>
      <t xml:space="preserve"> of approved quality/make: </t>
    </r>
  </si>
  <si>
    <r>
      <t>WVC (1</t>
    </r>
    <r>
      <rPr>
        <vertAlign val="superscript"/>
        <sz val="12"/>
        <rFont val="Times New Roman"/>
        <family val="1"/>
      </rPr>
      <t>st</t>
    </r>
    <r>
      <rPr>
        <sz val="12"/>
        <rFont val="Times New Roman"/>
        <family val="1"/>
      </rPr>
      <t>quality, IS2556  Marked) of approved make. Recessed towel Hanger size 108 x 108mm.</t>
    </r>
  </si>
  <si>
    <r>
      <t xml:space="preserve">P &amp; F </t>
    </r>
    <r>
      <rPr>
        <i/>
        <sz val="12"/>
        <rFont val="Times New Roman"/>
        <family val="1"/>
      </rPr>
      <t>Liquid Soap Container</t>
    </r>
    <r>
      <rPr>
        <sz val="12"/>
        <rFont val="Times New Roman"/>
        <family val="1"/>
      </rPr>
      <t xml:space="preserve"> with brackets complete of approved make:</t>
    </r>
  </si>
  <si>
    <r>
      <t>P &amp; F</t>
    </r>
    <r>
      <rPr>
        <i/>
        <sz val="12"/>
        <rFont val="Times New Roman"/>
        <family val="1"/>
      </rPr>
      <t xml:space="preserve"> Tooth Paste &amp; Brush Holder</t>
    </r>
    <r>
      <rPr>
        <sz val="12"/>
        <rFont val="Times New Roman"/>
        <family val="1"/>
      </rPr>
      <t xml:space="preserve"> of approved quality/make:</t>
    </r>
  </si>
  <si>
    <r>
      <t xml:space="preserve">P &amp; F </t>
    </r>
    <r>
      <rPr>
        <i/>
        <sz val="12"/>
        <rFont val="Times New Roman"/>
        <family val="1"/>
      </rPr>
      <t xml:space="preserve">Toilet Paper Holder </t>
    </r>
    <r>
      <rPr>
        <sz val="12"/>
        <rFont val="Times New Roman"/>
        <family val="1"/>
      </rPr>
      <t>with rod of approved quality/make:</t>
    </r>
  </si>
  <si>
    <r>
      <t>WVC (1</t>
    </r>
    <r>
      <rPr>
        <vertAlign val="superscript"/>
        <sz val="12"/>
        <rFont val="Times New Roman"/>
        <family val="1"/>
      </rPr>
      <t>st</t>
    </r>
    <r>
      <rPr>
        <sz val="12"/>
        <rFont val="Times New Roman"/>
        <family val="1"/>
      </rPr>
      <t>quality, IS 2556  Marked) recessed size 150x150mm.</t>
    </r>
  </si>
  <si>
    <r>
      <t xml:space="preserve">P &amp; F </t>
    </r>
    <r>
      <rPr>
        <i/>
        <sz val="12"/>
        <rFont val="Times New Roman"/>
        <family val="1"/>
      </rPr>
      <t>Soap Dish or Tray</t>
    </r>
    <r>
      <rPr>
        <sz val="12"/>
        <rFont val="Times New Roman"/>
        <family val="1"/>
      </rPr>
      <t xml:space="preserve"> of approved quality/make</t>
    </r>
  </si>
  <si>
    <r>
      <t>WVC (1</t>
    </r>
    <r>
      <rPr>
        <vertAlign val="superscript"/>
        <sz val="12"/>
        <rFont val="Times New Roman"/>
        <family val="1"/>
      </rPr>
      <t>st</t>
    </r>
    <r>
      <rPr>
        <sz val="12"/>
        <rFont val="Times New Roman"/>
        <family val="1"/>
      </rPr>
      <t xml:space="preserve"> Quality, IS 2556  Marked) recessed size 150 x 150 mm.</t>
    </r>
  </si>
  <si>
    <r>
      <t xml:space="preserve">P &amp; F </t>
    </r>
    <r>
      <rPr>
        <i/>
        <sz val="12"/>
        <rFont val="Times New Roman"/>
        <family val="1"/>
      </rPr>
      <t xml:space="preserve">Acrylic Toilet accessories set </t>
    </r>
    <r>
      <rPr>
        <sz val="12"/>
        <rFont val="Times New Roman"/>
        <family val="1"/>
      </rPr>
      <t>consisting of Towel rail, shelf, towel ring, soap dish, paste &amp; brush holder &amp; twin peg of approved quality/make.</t>
    </r>
  </si>
  <si>
    <r>
      <t xml:space="preserve">P &amp; F </t>
    </r>
    <r>
      <rPr>
        <i/>
        <sz val="12"/>
        <rFont val="Times New Roman"/>
        <family val="1"/>
      </rPr>
      <t>Jet spray</t>
    </r>
    <r>
      <rPr>
        <sz val="12"/>
        <rFont val="Times New Roman"/>
        <family val="1"/>
      </rPr>
      <t xml:space="preserve"> for water closet with C.P. Copper Tube flange of approved make.</t>
    </r>
  </si>
  <si>
    <t>P &amp; F WVC Wash basin (Ist quality IS:2556 Mark) of approved make with C.I. brackets duly painted 1 No. 15 mm C.P. Pillar cock (IS:8934 Mark) &amp; 32 mm C.P. brass waste coupling of approved make, P.V.C Waste pipe with PVC   nut 32 mm complete including cutting &amp; making good the wall :</t>
  </si>
  <si>
    <r>
      <t>P &amp; F</t>
    </r>
    <r>
      <rPr>
        <i/>
        <sz val="12"/>
        <rFont val="Times New Roman"/>
        <family val="1"/>
      </rPr>
      <t xml:space="preserve"> G.I.</t>
    </r>
    <r>
      <rPr>
        <sz val="12"/>
        <rFont val="Times New Roman"/>
        <family val="1"/>
      </rPr>
      <t xml:space="preserve"> </t>
    </r>
    <r>
      <rPr>
        <i/>
        <sz val="12"/>
        <rFont val="Times New Roman"/>
        <family val="1"/>
      </rPr>
      <t xml:space="preserve">pipes (Internal Work) </t>
    </r>
    <r>
      <rPr>
        <sz val="12"/>
        <rFont val="Times New Roman"/>
        <family val="1"/>
      </rPr>
      <t>with G.I. Fittings excluding union (IS:1239 Mark) &amp; MS clamps including cutting and making good the walls and floors:</t>
    </r>
  </si>
  <si>
    <r>
      <t xml:space="preserve">P &amp; F </t>
    </r>
    <r>
      <rPr>
        <i/>
        <sz val="12"/>
        <rFont val="Times New Roman"/>
        <family val="1"/>
      </rPr>
      <t xml:space="preserve">Stop Cock </t>
    </r>
    <r>
      <rPr>
        <sz val="12"/>
        <rFont val="Times New Roman"/>
        <family val="1"/>
      </rPr>
      <t xml:space="preserve"> (IS :8931 Mark),  superior quality &amp; of  approved make:</t>
    </r>
  </si>
  <si>
    <r>
      <t xml:space="preserve">P &amp; F </t>
    </r>
    <r>
      <rPr>
        <i/>
        <sz val="12"/>
        <rFont val="Times New Roman"/>
        <family val="1"/>
      </rPr>
      <t>Push Cock</t>
    </r>
    <r>
      <rPr>
        <sz val="12"/>
        <rFont val="Times New Roman"/>
        <family val="1"/>
      </rPr>
      <t xml:space="preserve"> superior  quality, of approved make</t>
    </r>
  </si>
  <si>
    <r>
      <t xml:space="preserve">P &amp; F </t>
    </r>
    <r>
      <rPr>
        <i/>
        <sz val="12"/>
        <rFont val="Times New Roman"/>
        <family val="1"/>
      </rPr>
      <t>Ball Cock</t>
    </r>
    <r>
      <rPr>
        <sz val="12"/>
        <rFont val="Times New Roman"/>
        <family val="1"/>
      </rPr>
      <t xml:space="preserve"> (IS :1703 Mark) with Rod    &amp; P.V.C. Ball complete :</t>
    </r>
  </si>
  <si>
    <r>
      <t xml:space="preserve">P </t>
    </r>
    <r>
      <rPr>
        <i/>
        <sz val="12"/>
        <rFont val="Times New Roman"/>
        <family val="1"/>
      </rPr>
      <t xml:space="preserve">&amp; F Inlet Connection </t>
    </r>
    <r>
      <rPr>
        <sz val="12"/>
        <rFont val="Times New Roman"/>
        <family val="1"/>
      </rPr>
      <t xml:space="preserve">(Angle Valves) Superior quality, of approved make, for Wash basin, Gyser etc. </t>
    </r>
  </si>
  <si>
    <r>
      <t xml:space="preserve">P &amp; F 15 mm. Dia </t>
    </r>
    <r>
      <rPr>
        <i/>
        <sz val="12"/>
        <rFont val="Times New Roman"/>
        <family val="1"/>
      </rPr>
      <t xml:space="preserve">Connection Pipe </t>
    </r>
    <r>
      <rPr>
        <sz val="12"/>
        <rFont val="Times New Roman"/>
        <family val="1"/>
      </rPr>
      <t>of approved quality/make :</t>
    </r>
  </si>
  <si>
    <r>
      <t xml:space="preserve">P  &amp;  F  </t>
    </r>
    <r>
      <rPr>
        <i/>
        <sz val="12"/>
        <rFont val="Times New Roman"/>
        <family val="1"/>
      </rPr>
      <t>Flush  Cock / Flush  Valve</t>
    </r>
    <r>
      <rPr>
        <sz val="12"/>
        <rFont val="Times New Roman"/>
        <family val="1"/>
      </rPr>
      <t xml:space="preserve">                           (IS :  9758  Mark)  for  WC  of  approved quality make :</t>
    </r>
  </si>
  <si>
    <r>
      <t xml:space="preserve">P &amp; F </t>
    </r>
    <r>
      <rPr>
        <i/>
        <sz val="12"/>
        <rFont val="Times New Roman"/>
        <family val="1"/>
      </rPr>
      <t xml:space="preserve">Full-way Valve </t>
    </r>
    <r>
      <rPr>
        <sz val="12"/>
        <rFont val="Times New Roman"/>
        <family val="1"/>
      </rPr>
      <t>(IS:778 Mark) or wheel valve of approved make :</t>
    </r>
  </si>
  <si>
    <r>
      <t xml:space="preserve">P  &amp;  F  </t>
    </r>
    <r>
      <rPr>
        <i/>
        <sz val="12"/>
        <rFont val="Times New Roman"/>
        <family val="1"/>
      </rPr>
      <t>Flush  Valve</t>
    </r>
    <r>
      <rPr>
        <sz val="12"/>
        <rFont val="Times New Roman"/>
        <family val="1"/>
      </rPr>
      <t xml:space="preserve">  (Hydraulic)  with  level  complete  (IS : 9758  Mark)  of  approved  make :</t>
    </r>
  </si>
  <si>
    <r>
      <t xml:space="preserve">P  &amp;  F  Chromium  plated  </t>
    </r>
    <r>
      <rPr>
        <i/>
        <sz val="12"/>
        <rFont val="Times New Roman"/>
        <family val="1"/>
      </rPr>
      <t xml:space="preserve">Swan-neck  Laboratory  Cock  </t>
    </r>
    <r>
      <rPr>
        <sz val="12"/>
        <rFont val="Times New Roman"/>
        <family val="1"/>
      </rPr>
      <t>of  approved  quality /  make:</t>
    </r>
  </si>
  <si>
    <r>
      <t>P &amp; F</t>
    </r>
    <r>
      <rPr>
        <i/>
        <sz val="12"/>
        <rFont val="Times New Roman"/>
        <family val="1"/>
      </rPr>
      <t xml:space="preserve"> Spouts</t>
    </r>
    <r>
      <rPr>
        <sz val="12"/>
        <rFont val="Times New Roman"/>
        <family val="1"/>
      </rPr>
      <t xml:space="preserve"> of superior quality and approved make:</t>
    </r>
  </si>
  <si>
    <r>
      <t xml:space="preserve">P &amp; F </t>
    </r>
    <r>
      <rPr>
        <i/>
        <sz val="12"/>
        <rFont val="Times New Roman"/>
        <family val="1"/>
      </rPr>
      <t>Mixing Range</t>
    </r>
    <r>
      <rPr>
        <sz val="12"/>
        <rFont val="Times New Roman"/>
        <family val="1"/>
      </rPr>
      <t xml:space="preserve"> (15mm)</t>
    </r>
  </si>
  <si>
    <r>
      <t xml:space="preserve">P &amp; F </t>
    </r>
    <r>
      <rPr>
        <i/>
        <sz val="12"/>
        <rFont val="Times New Roman"/>
        <family val="1"/>
      </rPr>
      <t>Divertors</t>
    </r>
    <r>
      <rPr>
        <sz val="12"/>
        <rFont val="Times New Roman"/>
        <family val="1"/>
      </rPr>
      <t xml:space="preserve"> of superior quality and approved
make:</t>
    </r>
  </si>
  <si>
    <r>
      <t xml:space="preserve">P &amp; F </t>
    </r>
    <r>
      <rPr>
        <i/>
        <sz val="12"/>
        <rFont val="Times New Roman"/>
        <family val="1"/>
      </rPr>
      <t>Precast R.C.C. Water Storage Tank</t>
    </r>
    <r>
      <rPr>
        <sz val="12"/>
        <rFont val="Times New Roman"/>
        <family val="1"/>
      </rPr>
      <t xml:space="preserve"> with R.C.C. cover 25mm thick and 15 Cm. Long G.I. over-flow pipe including making connections etc. &amp; hoisting upto 1M. ht. From ground level having:</t>
    </r>
  </si>
  <si>
    <r>
      <t xml:space="preserve">P &amp; F </t>
    </r>
    <r>
      <rPr>
        <i/>
        <sz val="12"/>
        <rFont val="Times New Roman"/>
        <family val="1"/>
      </rPr>
      <t>PVC Storage Tank</t>
    </r>
    <r>
      <rPr>
        <sz val="12"/>
        <rFont val="Times New Roman"/>
        <family val="1"/>
      </rPr>
      <t xml:space="preserve"> ISI Marked (IS : 12701) indicating the  BIS license No),  of approved make with cover, 25mm dia 1M long G.I. over-flow pipe &amp; 25 Cm. long wash out pipe with plug &amp; socket, including making connection etc., complete of approved design: </t>
    </r>
  </si>
  <si>
    <t>Brass 400 gm,15mm nominal bore.</t>
  </si>
  <si>
    <t>Brass wt. Not less than 300 gm,15mm.</t>
  </si>
  <si>
    <t>Brass wt.Not less than 400 gm, 20mm.</t>
  </si>
  <si>
    <t>(-do-) wt.Not less than 600 gm, 25mm.</t>
  </si>
  <si>
    <t xml:space="preserve"> (-do-) wt.Not less than 800 gm, 32mm.</t>
  </si>
  <si>
    <t>(-do-) wt.Not less than 1000 gm 40mm.:</t>
  </si>
  <si>
    <t>(-do-) wt.Not less than 1200 gm 50mm.</t>
  </si>
  <si>
    <r>
      <t xml:space="preserve">Providing &amp; fixing S.W. </t>
    </r>
    <r>
      <rPr>
        <i/>
        <sz val="12"/>
        <rFont val="Times New Roman"/>
        <family val="1"/>
      </rPr>
      <t>square mouth Gully trap</t>
    </r>
    <r>
      <rPr>
        <sz val="12"/>
        <rFont val="Times New Roman"/>
        <family val="1"/>
      </rPr>
      <t xml:space="preserve"> `A` grade (IS 651-1992  marked) of approved make &amp; design in existing man-hole.</t>
    </r>
  </si>
  <si>
    <r>
      <t xml:space="preserve">P &amp; F </t>
    </r>
    <r>
      <rPr>
        <i/>
        <sz val="12"/>
        <rFont val="Times New Roman"/>
        <family val="1"/>
      </rPr>
      <t xml:space="preserve">Square-mouth </t>
    </r>
    <r>
      <rPr>
        <sz val="12"/>
        <rFont val="Times New Roman"/>
        <family val="1"/>
      </rPr>
      <t>gully trap `A` grade (IS 651-1992 :marked) of approved make complete with C.I. grating, frame &amp; Cover masonary chamber in C.M. 1:6, 100mm thick C.C. 1:5:10 base concrete, 40mm thick C.C.M-15 grade coping, 12mm thick cement plaster in CM 1:3 complete as per approved design &amp; type.</t>
    </r>
  </si>
  <si>
    <r>
      <t xml:space="preserve">P &amp; F S.W. </t>
    </r>
    <r>
      <rPr>
        <i/>
        <sz val="12"/>
        <rFont val="Times New Roman"/>
        <family val="1"/>
      </rPr>
      <t>Master Trap</t>
    </r>
    <r>
      <rPr>
        <sz val="12"/>
        <rFont val="Times New Roman"/>
        <family val="1"/>
      </rPr>
      <t xml:space="preserve"> (Inter-cepting) `A` grade (I.S.: 651 marked) of approved quality/make</t>
    </r>
  </si>
  <si>
    <r>
      <t xml:space="preserve">P &amp; F </t>
    </r>
    <r>
      <rPr>
        <i/>
        <sz val="12"/>
        <rFont val="Times New Roman"/>
        <family val="1"/>
      </rPr>
      <t>Sand-cast Iron</t>
    </r>
    <r>
      <rPr>
        <sz val="12"/>
        <rFont val="Times New Roman"/>
        <family val="1"/>
      </rPr>
      <t xml:space="preserve"> (S.C.I.) Pipe (IS : 1729mark) of approved make in wall or in floor with M.S. holder bat clamps in 10 X 10 X 10 Cm. M-15 grade concrete blocks, joints filled with CM 1:4 with spun yarn including cutting holes and making good the wall:</t>
    </r>
  </si>
  <si>
    <r>
      <t xml:space="preserve">Add extra for </t>
    </r>
    <r>
      <rPr>
        <i/>
        <sz val="12"/>
        <rFont val="Times New Roman"/>
        <family val="1"/>
      </rPr>
      <t>Lead caulked joints</t>
    </r>
    <r>
      <rPr>
        <sz val="12"/>
        <rFont val="Times New Roman"/>
        <family val="1"/>
      </rPr>
      <t xml:space="preserve"> (IS:782-1978) in sand cast iron pipes/spun-</t>
    </r>
  </si>
  <si>
    <r>
      <t>P &amp;F</t>
    </r>
    <r>
      <rPr>
        <i/>
        <sz val="12"/>
        <rFont val="Times New Roman"/>
        <family val="1"/>
      </rPr>
      <t xml:space="preserve"> S.C.I. Fittings</t>
    </r>
    <r>
      <rPr>
        <sz val="12"/>
        <rFont val="Times New Roman"/>
        <family val="1"/>
      </rPr>
      <t xml:space="preserve"> (IS : 1729 mark) in CM 1:4 with spun yarn.</t>
    </r>
  </si>
  <si>
    <r>
      <t xml:space="preserve">P &amp; F </t>
    </r>
    <r>
      <rPr>
        <i/>
        <sz val="12"/>
        <rFont val="Times New Roman"/>
        <family val="1"/>
      </rPr>
      <t>Sand –cast Floor Trap (Nahni)</t>
    </r>
    <r>
      <rPr>
        <sz val="12"/>
        <rFont val="Times New Roman"/>
        <family val="1"/>
      </rPr>
      <t xml:space="preserve"> of (IS:1729 mark) of approved quality/make with socket down or hinged grating including cutting and making good the floor.</t>
    </r>
  </si>
  <si>
    <r>
      <t xml:space="preserve">P &amp; F </t>
    </r>
    <r>
      <rPr>
        <i/>
        <sz val="12"/>
        <rFont val="Times New Roman"/>
        <family val="1"/>
      </rPr>
      <t>Sand-cast</t>
    </r>
    <r>
      <rPr>
        <sz val="12"/>
        <rFont val="Times New Roman"/>
        <family val="1"/>
      </rPr>
      <t xml:space="preserve"> Iron `P` or `S` Trap (IS:1729 make) of approved make.</t>
    </r>
  </si>
  <si>
    <r>
      <t xml:space="preserve">Labour charges for </t>
    </r>
    <r>
      <rPr>
        <i/>
        <sz val="12"/>
        <rFont val="Times New Roman"/>
        <family val="1"/>
      </rPr>
      <t>removing C.I./A.C</t>
    </r>
    <r>
      <rPr>
        <sz val="12"/>
        <rFont val="Times New Roman"/>
        <family val="1"/>
      </rPr>
      <t>. pipes of all sizes including accessories with care and stacking of useful material.</t>
    </r>
  </si>
  <si>
    <r>
      <t xml:space="preserve">P&amp;F rigid </t>
    </r>
    <r>
      <rPr>
        <i/>
        <sz val="12"/>
        <rFont val="Times New Roman"/>
        <family val="1"/>
      </rPr>
      <t>PVC Pipe</t>
    </r>
    <r>
      <rPr>
        <sz val="12"/>
        <rFont val="Times New Roman"/>
        <family val="1"/>
      </rPr>
      <t xml:space="preserve"> (IS:4985 mark) class II/ (4 Kg. /Cm</t>
    </r>
    <r>
      <rPr>
        <vertAlign val="superscript"/>
        <sz val="12"/>
        <rFont val="Times New Roman"/>
        <family val="1"/>
      </rPr>
      <t>2</t>
    </r>
    <r>
      <rPr>
        <sz val="12"/>
        <rFont val="Times New Roman"/>
        <family val="1"/>
      </rPr>
      <t>.) approved quality /make  including joining the pipe with solvent cement rubber ring and lubricant.</t>
    </r>
  </si>
  <si>
    <r>
      <t xml:space="preserve">P&amp;F rigid </t>
    </r>
    <r>
      <rPr>
        <i/>
        <sz val="12"/>
        <rFont val="Times New Roman"/>
        <family val="1"/>
      </rPr>
      <t>PVC pipe fittings</t>
    </r>
    <r>
      <rPr>
        <sz val="12"/>
        <rFont val="Times New Roman"/>
        <family val="1"/>
      </rPr>
      <t xml:space="preserve"> (IS: 4985 mark) of approved quality /make including joining the pipe with solvent cement rubber ring and lubricant:</t>
    </r>
  </si>
  <si>
    <r>
      <t>Construction of</t>
    </r>
    <r>
      <rPr>
        <i/>
        <sz val="12"/>
        <rFont val="Times New Roman"/>
        <family val="1"/>
      </rPr>
      <t xml:space="preserve"> manhole </t>
    </r>
    <r>
      <rPr>
        <sz val="12"/>
        <rFont val="Times New Roman"/>
        <family val="1"/>
      </rPr>
      <t>in all type of soil inner size 90 X 60 Cm. 300 mm thick masonry in CM 1:6, 10 Cm. thick cement concrete 1:5:10 in foundation, 20 mm thick inside plaster in CM 1:6, finished with floating neat cement, 50mm thick M-15 grade C.C. flooring, making channels, 80mm thick stone slab covering with 40mm thick M-15 grade C.C. flooring, Cement cover with frame of 450mm dia, earthwork etc. complete as per design including disposal of surplus earth within 50 mtr. lead.</t>
    </r>
  </si>
  <si>
    <r>
      <t xml:space="preserve">Construction of </t>
    </r>
    <r>
      <rPr>
        <i/>
        <sz val="12"/>
        <rFont val="Times New Roman"/>
        <family val="1"/>
      </rPr>
      <t>chamber</t>
    </r>
    <r>
      <rPr>
        <sz val="12"/>
        <rFont val="Times New Roman"/>
        <family val="1"/>
      </rPr>
      <t xml:space="preserve"> in all type of soil with 300 mm thick masonry in CM 1:6 m,10 cm thick C.C. 1:5:10 in foundation, 20mm thick insider plaster in Cm 1:6, finished with floating neat cement, 50mm thick M-15 grade C.C. flooring , earthwork etc. complete as per design including disposal of surplus earth within a lead of 50 mtr.</t>
    </r>
  </si>
  <si>
    <r>
      <t>P &amp; F precast dense cement concrete (Vibro-pressed) drain section Block of different size as per approved drawing and design and strength as per IS code 2185 part I of grade 'D' (5.00mm</t>
    </r>
    <r>
      <rPr>
        <vertAlign val="superscript"/>
        <sz val="12"/>
        <rFont val="Times New Roman"/>
        <family val="1"/>
      </rPr>
      <t>2</t>
    </r>
    <r>
      <rPr>
        <sz val="12"/>
        <rFont val="Times New Roman"/>
        <family val="1"/>
      </rPr>
      <t>) proper quality of additive/admixture like plasticizer etc. added to produce high quality and durable drain section Blocks of 'L' shape 'U' shape etc. as per approved design and drawing complete with fixing and joining in C.M.1:4 in proper grade and level complete in all respect including earth work and disposal of surplus earth within 0.5 Km. lead. (cost of Steel/ welded mesh etc. shall be paid extra).</t>
    </r>
  </si>
  <si>
    <t xml:space="preserve">Construction of septic Tank in all types of soil with 40 Cm .thick masonry in CM 1:6, 15 Cm thick C.C bed of 1:5:10, M-15 grade  C.C floor &amp;  RCC slab covering with M15 grade c.c. floor,  50 mm thick stone slab partition walls, 20 mm thick plaster in CM 1:6 finished with neat floating cement, 4 Nos stone foot rests of approved design ,two No. 450 mm dia each Ferro cement  cover with frame, earth work etc. complete as per approved drawing including disposal of surplus earth within a lead of 50 mtr:-  </t>
  </si>
  <si>
    <t>250 mm drain,225mm Av. depth width 25 Cm S.W. glazed channel.</t>
  </si>
  <si>
    <r>
      <t xml:space="preserve">Construction of </t>
    </r>
    <r>
      <rPr>
        <i/>
        <sz val="12"/>
        <rFont val="Times New Roman"/>
        <family val="1"/>
      </rPr>
      <t>tube-well</t>
    </r>
    <r>
      <rPr>
        <sz val="12"/>
        <rFont val="Times New Roman"/>
        <family val="1"/>
      </rPr>
      <t xml:space="preserve"> from ground levels and upto 100 Meter depth and above to accommodate housing and assembly pipe of following sizes in all types of alluvium strata by percussion/ rotary drilling method and with gravel as per IS:4097-1967 and packing as per IS:2800 (Part I -&amp; II) 1979 as amended upto date (the work includes the cost of gravel &amp; its primary packing and packing during development, lowering of housing &amp; strainer assembly pipes, with supply and wrapping of coir-rope, wherever necessary, for arresting fine sand particles. The work will not include cost of housing pipe and strainer pipe assembly and development work, but work would be completed after obtaining sand free water).</t>
    </r>
  </si>
  <si>
    <r>
      <t xml:space="preserve">Supply of </t>
    </r>
    <r>
      <rPr>
        <i/>
        <sz val="12"/>
        <rFont val="Times New Roman"/>
        <family val="1"/>
      </rPr>
      <t>ERW M.S. black casing pipe</t>
    </r>
    <r>
      <rPr>
        <sz val="12"/>
        <rFont val="Times New Roman"/>
        <family val="1"/>
      </rPr>
      <t xml:space="preserve"> ISI marked (IS:4270/1992) of grade Fe410 of following sizes at site of work.</t>
    </r>
  </si>
  <si>
    <r>
      <t xml:space="preserve">Supply of </t>
    </r>
    <r>
      <rPr>
        <i/>
        <sz val="12"/>
        <rFont val="Times New Roman"/>
        <family val="1"/>
      </rPr>
      <t>strainer pipes</t>
    </r>
    <r>
      <rPr>
        <sz val="12"/>
        <rFont val="Times New Roman"/>
        <family val="1"/>
      </rPr>
      <t xml:space="preserve"> made of ERW M.S. black pipe ISI mark of following sizes at the site of work including required size of slotting as per IS:8110-1985.</t>
    </r>
  </si>
  <si>
    <r>
      <t xml:space="preserve">S &amp; F </t>
    </r>
    <r>
      <rPr>
        <i/>
        <sz val="12"/>
        <rFont val="Times New Roman"/>
        <family val="1"/>
      </rPr>
      <t>tube well</t>
    </r>
    <r>
      <rPr>
        <sz val="12"/>
        <rFont val="Times New Roman"/>
        <family val="1"/>
      </rPr>
      <t xml:space="preserve"> cover of  M.S.sheet (6mm thick) with nuts and bolts complete for casing size:</t>
    </r>
  </si>
  <si>
    <r>
      <t xml:space="preserve">S &amp; F M.S. </t>
    </r>
    <r>
      <rPr>
        <i/>
        <sz val="12"/>
        <rFont val="Times New Roman"/>
        <family val="1"/>
      </rPr>
      <t>clamp,</t>
    </r>
    <r>
      <rPr>
        <sz val="12"/>
        <rFont val="Times New Roman"/>
        <family val="1"/>
      </rPr>
      <t xml:space="preserve"> set of 50 ×6mm flat iron with nuts and bolts etc. for holding the riser pipe assembly of submersible pump set.</t>
    </r>
  </si>
  <si>
    <r>
      <t xml:space="preserve">P &amp; F 60 cm. wide </t>
    </r>
    <r>
      <rPr>
        <i/>
        <sz val="12"/>
        <rFont val="Times New Roman"/>
        <family val="1"/>
      </rPr>
      <t>M.S. ladder</t>
    </r>
    <r>
      <rPr>
        <sz val="12"/>
        <rFont val="Times New Roman"/>
        <family val="1"/>
      </rPr>
      <t xml:space="preserve"> in open well made of flat iron 32×5mm and 10mm dia bars @ 200mm c/c with angle iron hold fasts at suitable interval complete as per drawing.</t>
    </r>
  </si>
  <si>
    <r>
      <t>Installation of India mark</t>
    </r>
    <r>
      <rPr>
        <i/>
        <sz val="12"/>
        <rFont val="Times New Roman"/>
        <family val="1"/>
      </rPr>
      <t xml:space="preserve"> II hand pump </t>
    </r>
    <r>
      <rPr>
        <sz val="12"/>
        <rFont val="Times New Roman"/>
        <family val="1"/>
      </rPr>
      <t xml:space="preserve">set, complete on existing plate form. </t>
    </r>
  </si>
  <si>
    <r>
      <t xml:space="preserve">Supplying  of India mark </t>
    </r>
    <r>
      <rPr>
        <i/>
        <sz val="12"/>
        <rFont val="Times New Roman"/>
        <family val="1"/>
      </rPr>
      <t xml:space="preserve">II hand pump </t>
    </r>
    <r>
      <rPr>
        <sz val="12"/>
        <rFont val="Times New Roman"/>
        <family val="1"/>
      </rPr>
      <t>set complete  marked with cylinder and ten connecting rods etc. IS 1239</t>
    </r>
  </si>
  <si>
    <r>
      <t>Supplying and installation of 32 mm dia</t>
    </r>
    <r>
      <rPr>
        <i/>
        <sz val="12"/>
        <rFont val="Times New Roman"/>
        <family val="1"/>
      </rPr>
      <t xml:space="preserve"> G.I. pipe</t>
    </r>
    <r>
      <rPr>
        <sz val="12"/>
        <rFont val="Times New Roman"/>
        <family val="1"/>
      </rPr>
      <t xml:space="preserve"> medium class IS 1239  marked in 3m length including all accessories and fittings required for installation of hand pump.</t>
    </r>
  </si>
  <si>
    <r>
      <t xml:space="preserve">Supplying and installation of </t>
    </r>
    <r>
      <rPr>
        <i/>
        <sz val="12"/>
        <rFont val="Times New Roman"/>
        <family val="1"/>
      </rPr>
      <t>submersible pumping motor pump sets</t>
    </r>
    <r>
      <rPr>
        <sz val="12"/>
        <rFont val="Times New Roman"/>
        <family val="1"/>
      </rPr>
      <t xml:space="preserve"> I.S.I. Marked (IS : 8034-1989 ) of approved make like K.S.B., KIRLOSKAR, Calama etc. or equivalent, making connection suitable for T.W./D.C.B./Open well. The job includes screwing and welding of  flanges on G.I. riser pipes, installation of complete fitting and accessories, with riser pipes, jointing of electrical cables and other connections making switch board electrical connections, all labour for testing of submersible pump set and supply of water to water mains, complete in all respect (Refer Electrical BSR )</t>
    </r>
  </si>
  <si>
    <t>Chopping loose and cracked plaster to required depth, cleaning the exposed surface with wire brush, cleaning of plaster surface with water as necessary and getting dried.</t>
  </si>
  <si>
    <t>Plastering the surface with above mentioned high performance cement sand mortar 1:4 upto depth of 25 mm complete with all scaffolding.</t>
  </si>
  <si>
    <t xml:space="preserve">Curing Free, compressive strength of 15 MPa within 2 hours, Quick Setting, bond strength of 4 MPa within 24 hours and repaired surface should be ready to use within 3 hours.  </t>
  </si>
  <si>
    <t>(This item is to be used in only emergency situation after decided by Engineer in  charge )</t>
  </si>
  <si>
    <t>Note</t>
  </si>
  <si>
    <t>Providing &amp; mixing admixture in Cement Concrete flooring/Cement Plaster/Plain or RCC work, Synthetic Polyster Triangular Construction Fiber of length 6mm/12mm/18mm with specific gravity 1.34 to 1.40 and diameter 10-40 microns and melting point&gt;220 degrres centigrade by using 125 gm fiber for 50 kgs cement used as per direction of Engineer-in-charge as per IS Code : 16481-2016</t>
  </si>
  <si>
    <t xml:space="preserve">DAFFEN Bachia 1.5 to 2 feet </t>
  </si>
  <si>
    <t xml:space="preserve">Song of India 1.5 to 2.5 feet </t>
  </si>
  <si>
    <t xml:space="preserve">Aglonmia 1.5 to 2 feet </t>
  </si>
  <si>
    <t xml:space="preserve">Drassina 1 to 2 feet </t>
  </si>
  <si>
    <t>Sin gonium with moss stick 2 to 3 feet</t>
  </si>
  <si>
    <t xml:space="preserve">Preparation of edging  lawn </t>
  </si>
  <si>
    <t xml:space="preserve">Note : </t>
  </si>
  <si>
    <t>(viii)</t>
  </si>
  <si>
    <t>Preparation of soil including cleaning &amp; removing of unwanted shrubs removal of stones &amp; garbage.</t>
  </si>
  <si>
    <t>Supply of plant at site of two years of age &amp; height more than 1.50 Mtr.</t>
  </si>
  <si>
    <t>Supply of dry manure(Farm yard manure organic)</t>
  </si>
  <si>
    <t>Supply of Insecticides.</t>
  </si>
  <si>
    <t>Digging of pits size 60x60x60 cms. Including removal of stones. Manuring application of insecticides &amp; watering at least 1.5 Liter per plant after planting</t>
  </si>
  <si>
    <t>Half brick Circular tree guard in second class bricks, internal dia 1.25 meter and height 1.20 meter above ground and 0.20 meter above ground and 0.20 meterr below ground. Bottom two courses laid dry and top three couses in cement mortar 1:6 ( 1 Cement : 6 Sand) and the intermediate courseses being in dry honey comb masonry. As per design complete.</t>
  </si>
  <si>
    <t>Watering to plants</t>
  </si>
  <si>
    <t>Maintance of plants by the contractor including pits, preparation of Thavala Hoeing weeding etc &amp; application of insecticiedes etc. &amp; security. If the plant die during maintence contractor has to rplace same heingh plant at his own cost.</t>
  </si>
  <si>
    <t>Preparation of soil including cleaning &amp; removing of unwanted shrubs removal of stones &amp; garbage</t>
  </si>
  <si>
    <t>Supply of dry manure( Farm yard manure organic)</t>
  </si>
  <si>
    <t>Supply of Insecticides</t>
  </si>
  <si>
    <t>Digging of pits size 60x60x60 cms. Including removal of stones. Manuring application of insecticides &amp; watering at least 1.5 liter per plant after planting.</t>
  </si>
  <si>
    <t>Half brick Circular tree guard in second class bricks. Internal dia 1.25 meter and height 1.20 meter above ground and 0.20 meter below ground. Bottom two courses laid dry and top three courses in cement morter 1:6(1 Cement : 6 Sand) and the intermediate courses being in dry honey comb masonry. As per design complete.</t>
  </si>
  <si>
    <t>Waterring to Plants.</t>
  </si>
  <si>
    <t>Maintenance of plants by the contractor including pits. Preparation of Thavala Hoeing weeding etc. &amp; application of insecticides etc. &amp; security. If the plant die during maintencance contractor has to replace same height plant at his own cost.</t>
  </si>
  <si>
    <t>Supply of plant at site like Bouganvillia &amp; Kaner.</t>
  </si>
  <si>
    <t xml:space="preserve">Barricading with Sal ballies as per design including tying with vertical post by coconut strings including digging out holes in all types of soil complete in all respect with two horizontal members height 1.2 m upto 1.5m above ground level and vertical supports upto 2.5 centre and upto 3 days period including removal and cleaning the site complete in all respect &amp;  including dressing of sides and providing retro reflective tapes for traffic safety as per direction of Engineer-in charge in all types of soil. </t>
  </si>
  <si>
    <t xml:space="preserve">Barricading with M.S. Pipe as per design including tying with vertical post including digging out holes in all types of soil complete in all respect with two horizontal members height 1.2 m upto 1.5m above ground level and vertical supports upto 2.5 centre and upto 3 days period including removal and cleaning the site complete in all respect &amp;  including dressing of sides and providing retro reflective tapes for traffic safety as per direction of Engineer-in charge in all types of soil. </t>
  </si>
  <si>
    <t>1.27 (a)</t>
  </si>
  <si>
    <t xml:space="preserve">Add Extra for laying concrete in or under water or liquid mud including cost of pumping or bailing out water and removing slush etc. complete.  </t>
  </si>
  <si>
    <t>8.7 (b)</t>
  </si>
  <si>
    <t>Providing and fixing tiled false ceiling of approved materials of size 595X595 mm in true    horizontal level suspended on inter locking metal grid of hot dipped galvanized steel sections ( galvanized @ 120 grams per sqm both side inclusive )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 making, opening for services like diffusers, grills, light fittings, fixtures, smoke detectors etc. Main “T” runners to be suspended from ceiling using GI slotted cleats of size 27 X 37 X 25 X 1.6 mm fixed to ceiling with 12.5 mm dia and 50 mm long dash fasteners, 4 mm GI adjustable rods with galvanized  butterfly level clips of size 85 X 30 X 0.8 mm spaced at 1200 mm center to center  along main T, bottom exposed width of 24 mm of all T-sections shall be pre-painted with polyester paint, all complete for all heights as per specifications, drawings and as directed by Engineer-in-charge.</t>
  </si>
  <si>
    <t xml:space="preserve">Providing and fixing of perforated  Metal Tile Ceiling System  comprising  of Tile of 600mm wide  and 600mm long  manufactured out of 0.7mm thick aluminium  alloy 3105  with beveled  edge of 4.15mm width height of 32mm. The tiles shall be perforated to 1.5mm dia with open area of 23%. The Tile  will  be manufactured on advanced includes several  leveling stages in the manufacturing process by approved manufacturers. Tile ends will be raised  with pips and slops to ensure positive engagement  into the spring to enable for de-mounting of individual  panels. The Tile sides will be sufficiently  high to ensure  a minimum deflection across the length of Tile. All Tiles  will be bevel edged. The Tile shall  be epoxy polyester powder coating  in white colour. The Tile shall  be cllpped  into clip in rail of 0.5mm thick GI. in  form of a grid system using a cross connector. The clip  in rail shall  be supported from slab by means of rigid  Suspension of 4mm G .I rod, Hold on Clamp with Clip. POWDER COATING SPECIFICATION: Aluminium PANELS, cleaned through eco friendly cleaning ,process and powder applied through electrostatic charged Automatic Carona technology spray guns and cured in combination of Infrared &amp; hot air oven in a certified plant as Akzo International approved applicator . </t>
  </si>
  <si>
    <t xml:space="preserve">Providing and fixing of Un-perforated Metal Tile Ceiling System  comprising  of Tile of 600mm wide  and 600mm long  manufactured out of 0.7mm thick aluminium  alloy 3105  with beveled  edge of 4.15mm width height of 32mm. The Tile  will  be manufactured on advanced equipment that includes several  leveling stages in the manufacturing process by approved manufacturers . Tile ends will be raised  with pips and slops to ensure positive engagement  into the spring to enable for de-mounting of individual  panels. The Tile sides will be sufficiently  high to ensure  a minimum deflection across the length of Tile. All Tiles  will be bevel edged. The Tile shall  be epoxy polyester powder coating with in white colour. The Tile shall  be cllpped  into clip in rail of 0.5mm thick GI. in  form of a grid system using a cross connector. The clip  in rail shall  be supported from slab by means of rigid  Suspension of 4mm G .I rod, Hold on Clamp with Clip. POWDER COATING SPECIFICATION: Aluminium PANELS, cleaned through eco friendly cleaning ,process and powder applied through electrostatic charged Automatic Carona technology spray guns and cured in combination of Infrared &amp; hot air oven in a certified plant as Akzo International approved applicator . </t>
  </si>
  <si>
    <t xml:space="preserve">Providing and fixing of Un perforated Antibacterial Metal Tile Ceiling System  comprising  of Tile of 600mm wide  and 600mm long  manufactured out of 0.7mm thick aluminium  alloy 3105  with beveled  edge of 4.15mm width height of 32mm. The Tile  will  be manufactured on advanced equipment that includes several  leveling stages in the manufacturing process by approved manufacturers. Tile ends will be raised  with pips and slops to ensure positive engagement  into the spring to enable for de-mounting of individual  panels. The Tile sides will be sufficiently  high to ensure  a minimum deflection across the length of Tile. All Tiles  will be bevel edged. The Tile shall  be epoxy polyester powder coating with ANTIBAC in white colour which is in compliant to ROHS directive. The Tile shall  be cllpped  into clip in rail of 0.5mm thick GI. in  form of a grid system using a cross connector. The clip  in rail shall  be supported from slab by means of rigid  Suspension of 4mm G .I rod, Hold on Clamp with Clip. POWDER COATING SPECIFICATION: Aluminium PANELS, cleaned through eco friendly cleaning ,process and powder applied through electrostatic charged Automatic Carona technology spray guns and cured in combination of Infrared &amp; hot air oven in a certified plant as Akzo International approved applicator . </t>
  </si>
  <si>
    <t>Providing and fixing of Unperforated  Metal Tile Ceiling System  comprising  of Tile of 600mm wide  and 600mm long  manufactured out of 0.5mm thick Galvanised Iron  with beveled  edge of 4.15mm width height of 32mm. The tiles shall be plain. The Tile  will  be manufactured on advanced equipment that includes several  leveling stages in the manufacturing process by approved manufacturers. Tile ends will be raised  with pips and slops to ensure positive engagement  into the spring to enable for de-mounting of individual  panels. The Tile sides will be sufficiently  high to ensure  a minimum deflection across the length of Tile. All Tiles  will be bevel edged. The Tile shall  be epoxy polyester powder coating  in white colour. The Tile shall  be cllpped  into clip in rail of 0.5mm thick GI. in  form of a grid system using a cross connector. The clip  in rail shall  be supported from slab by means of rigid  Suspension of 4mm G .I rod, Hold on Clamp with Clip. POWDER COATING SPECIFICATION: Aluminium PANELS, cleaned through eco friendly cleaning ,process and powder applied through electrostatic charged Automatic Carona technology spray guns and cured in combination of Infrared &amp; hot air oven in a certified plant as Akzo International approved applicator .</t>
  </si>
  <si>
    <t>As per manufacturer standard considering type of plenum and its height. Paint finish –
POWDER COATING SPECIFICATION: Aluminium PANELS, cleaned through eco friendly cleaning ,process and powder applied through electrostatic charged Automatic Carona technology spray guns and cured in combination of Infrared &amp; hot air oven in a certified plant as Akzo International approved applicator . The powder is conforming with the performance requirements of the AAMA2603.02 &amp; Qualicoat Claa 1 specifications. The coating thickness will be minimum 60 microns with properties of Salt Spray of 1500 hrs in exposure in SST Cabinet with Minimum blister rating 8 Acoustic Felt (Optional): Non-woven felt made of glass-reinforced fibre glued over the perforation for sound absorption. NRC- 0.7. 
(Tensile strength of suspension-344/413 mpa and fastner strength-110kg)
All Ceiling Panels shall adhere to GreenPro Certifications.</t>
  </si>
  <si>
    <t>Fixing chowkhats in existing opening including embedding chowkhats in floors or walls cutting masonry for holdfasts embedding hold fasts in cement concrete blocks with cement concrete 1:3:6 (1 cement : 3 coarse sand : 6 graded stone aggregate 20 mm nominal size) painting two coats of coal tar to sides of chaukhats and making good the damages to walls and floors as required complete including disposal of rubbish to the dumping ground within 50 metres lead.</t>
  </si>
  <si>
    <r>
      <t xml:space="preserve">Providing and fixing double scaffolding system on the exterior side, upto five story made with 4" </t>
    </r>
    <r>
      <rPr>
        <b/>
        <sz val="12"/>
        <rFont val="Times New Roman"/>
        <family val="1"/>
      </rPr>
      <t xml:space="preserve">wooden </t>
    </r>
    <r>
      <rPr>
        <sz val="12"/>
        <rFont val="Times New Roman"/>
        <family val="1"/>
      </rPr>
      <t xml:space="preserve">member 1.5 m c/c horizontal and vertical direction joining with rassi, clamps, challies. The scaffolding system shall be stiffened with bracing, runner, connection of building if necessary with all essential safty features for the workmen etc complete as per direction of EI.The lavation area of the scaffolding shall be </t>
    </r>
    <r>
      <rPr>
        <b/>
        <sz val="12"/>
        <rFont val="Times New Roman"/>
        <family val="1"/>
      </rPr>
      <t>measured</t>
    </r>
    <r>
      <rPr>
        <sz val="12"/>
        <rFont val="Times New Roman"/>
        <family val="1"/>
      </rPr>
      <t xml:space="preserve"> for payment. The</t>
    </r>
    <r>
      <rPr>
        <b/>
        <sz val="12"/>
        <rFont val="Times New Roman"/>
        <family val="1"/>
      </rPr>
      <t xml:space="preserve"> payment</t>
    </r>
    <r>
      <rPr>
        <sz val="12"/>
        <rFont val="Times New Roman"/>
        <family val="1"/>
      </rPr>
      <t xml:space="preserve"> will be made once irrespective of duration of scaffolding.
</t>
    </r>
    <r>
      <rPr>
        <b/>
        <sz val="12"/>
        <rFont val="Times New Roman"/>
        <family val="1"/>
      </rPr>
      <t>Note : This item to be used for maintence work judicially</t>
    </r>
  </si>
  <si>
    <t xml:space="preserve">Repair of rolling shutter with using any material such as bend repair , tightening of spring,bolt and screw etc complete </t>
  </si>
  <si>
    <t>Removal of remaing sludge from floor with the help of industrial vacum cleaner.</t>
  </si>
  <si>
    <t>first layer of slurry of cement @ 0.488 kg/sqm mixed with water proofing cement compound @0.253 kg//sqm .This layer will be allowed to air cure for 4 hours.</t>
  </si>
  <si>
    <t xml:space="preserve">Second layer of slurry  of cement @ 0.242 kg/sqm mixed with water proofing cement compound @ 0.126 kg/sqm This layer will be allowed to air cure for  4 hours followed by water curing for 48 hours. The rates includes preparation of surface treatment &amp; sealing of all joints ,corners,  junction with polymer mixed slurry. </t>
  </si>
  <si>
    <t>after surface preparation, first layer of slurry of cement @ 0.488 kg/sqm mixed with water proofing cement compound  @ 0.253 kg/sqm.</t>
  </si>
  <si>
    <t>Supplying and applying bituminous solution primer on roofs or on wall surface at 0.24 litre per sqm.</t>
  </si>
  <si>
    <t xml:space="preserve">To vertical joint between RCC columns, bricks &amp; stone masonry in size 40 mm width and 12 mm depth, including providing back up material (Thermocol foam) if required. </t>
  </si>
  <si>
    <t>Supply and Application of Solar IR Heat Reflective Coating System conforming to BIS Std IS 17218:2019 for concrete surface having minor leakage by thorough surface preparation to remove dust, dirt, molds etc. using High Pressure WaterJet / Wire Brush etc, opening of cracks and filling with elastomeric crack filler, then applying one absorption coat of UV resI tan1 elastomeric coating having min. 50% solids (i.e. Thermacool WP 51/or Equivalent), followed by application of "elastomeric clear coating White Cement" waterproofing coat having min. 400% elongation and tensile strength of 2.2 MPa and than top coating with 2 Coats of Solar lR Heat Reflective Coating conforming to BIS Standard IS 17218:2019 (i.e. Therrnacool 0.3C/or Equivalent) of cementitious surfaces, white colour, matt, surface coverage 3.25 sqm/Ltr/2 wat, dft 100- 120microns.The work shall be done as per the directions of Engineer-in-charges.water based pure acrylic, UV resistant, Solar lR Heat Reflective coating with Pull off Adhesion 2.8 Mpa, passes 2000 hrs accelerated durability test, suitable for all types of cementitious surfaces, white colour, matt, surface coverage 3.25 sqm/Ltr/2 wat, dft 100- 120microns.The work shall be done as per the directions of Engineer-in-charges.</t>
  </si>
  <si>
    <t>Providing and fixing expanded grill made of aluminum as per design and drawing having members section of size 7.5mm x 6.0mm and opening of size 102mm x 99mm to aluminum window/vent with required screws, Y and H aluminium section (as per drawing) at the ends and middle joints respectively complete in all respect as per direction of engineer in charge.</t>
  </si>
  <si>
    <t>S&amp;f fixed wire gauge of stainless steel of 14 mesh x 24 gauge to the aluminium window by Aluminium beading 20x3mm with suitable screws not exceeding 150mm distance at all heights with all lead and lift with scafolding.</t>
  </si>
  <si>
    <t xml:space="preserve">Providing and fixing vertical Blinds, headrail shall be oriented aluminum alloy 50 mm wide x 18 mm high the thickness shall be 1.2 mm. Control unit shall be made of high grade polymer and shall be housed in side the headrail, which shall transfer motion from chain tilter to tilt rod. Chain tilter shall be made of plastic bead of diameter 4.5 mm through which 2 mm thick polyester code passes. Tilt rod shall be extruded aluminum having 3 key ways. Runner shall be moulded plastic and shall have to plastic wheels mounted on plastic axles to enable runner to slide unhindered in headrail. Luver shall be made of fabric 100 mm colour fast and shall have protective scotchgard coating to resist stains and dust. Bottom mechanism consist bottom weight made of powder coated galvanized steel for maximum corrosion resistance. The bottom weight shall be attached with bottom.   </t>
  </si>
  <si>
    <t xml:space="preserve">Providing and fixing Horizontal blinds /Venation blind  shall be cold rolled formed U shape 23 mm high x 25 mm wide with flanged edges. It shall be made of heavy gaze 0.56 mm galvanized steel, Slates shall be made of virgin Al. alloy (having 3.5 – 4.5% of Mg. Content of width 25 mm. The slat shall have dust guard paint coating, the chord lock shall be of thick tomized steel and shall be securely attach in the head rail. It shall provide locking arrangement of the cord. Tilt rod shall be made of galvanized steel it shall have a D shaped with an average cross section with diameter of 6 mm to achieve minimum torsional deflection.  </t>
  </si>
  <si>
    <t xml:space="preserve">Providing and fixing Drapery rod  shall be made of 20 gauge cold rolled steel strip, which is electrical resistance welded. The section will be available 25.4 mm diameter the section shall be coated with acid resistance polymer finish shall made from ABS material in nearest matching colour of rod. The ring shall be made from ABS material in nearest matching colour to rod. Brackets made of galvanized steel. </t>
  </si>
  <si>
    <t>Providing and fixing Structural glazing work with toughened glass of 6mm thick and reflective colour as approved in dark shade like Blue/Dark Blue etc. with frame work of curtain section 65x60mm (Weight 1.64 kg/m min.) made of aluminium with chrome plating. Internal frame work will also be of curtain section 65x60mm of chrome plated aluminium section with20x20mm aluminium tube section and structural spacer made of rubber. The aluminium frame work  size as per instruction of Engineer-in-charge and including openable panels with all necesary sections and fitting.The work include silicon structural adhesive for complete gripping of glass with framing members and silicon weather seal sealant to prevent moisture/water through joints. Glass will be fixed in plumb and with uniform spacing of 10-12mm wide duly filled with silicon weather seal sealant. The work includes all labour,scaffolding , structural aluminium work, toughened glasses,silicon weather seal sealant, silicon structural adhesive structural spacer, all accessories like handles, peg stays, M-15 grade cement concrete for fixing holdfast .(Face area of glass shall be measured)</t>
  </si>
  <si>
    <t>Providing and fixing expanded grill made of aluminum as per design and drawing having members section of size 7.5mm x 6.0mm and opening of size 50mmx48mm to aluminum window/vent with required screws, Y and H aluminium section (as per drawing) at the ends and middle joints respectively complete in all respect as per direction of engineer in charge.</t>
  </si>
  <si>
    <t xml:space="preserve"> The shutter of outward openable window shall be made of size 60w X 74h mm and shutter of inward openable window shall be made of size 60w x 77h mm Extruded 3 box multi-chamber UPVC Window profile section of white colour having outer wall thickness of 2.25mm (+/- 0.2mm) provided with reinforcement of 1.5mm thick GI section duly mitered cut &amp; thermal welded at all corners and fitted with UPVC glazing bead of size 36 X 20mm with inner and outer co-extruded EPDM/TPE-E weather seal gasket alongwith 6mm thick ISI make plain float glass. All welding joints of frame and shutter shall be cleaned and milled with the CNC mechainism to provide uniform grooved finish on all visible jaints. Hardware: Window shutter are fixed with frame on 2.5mm  thick SS301 Grade friction hinge system to keep the window opened at desired angle. Friction Hinge also enables easy cleaning of glass on both side from the inside of building.</t>
  </si>
  <si>
    <t>Shutter: The shutter of outward openable window shall be made of size 60w X 74h mm and shutter of inward openable window shall be made of size 60w x 77h mm Extruded 3 box multi-chamber UPVC Window profile section of laminated( colour) having outer wall thickness of 2.25mm (+/- 0.2mm) provided with reinforcement of 1.5mm thick GI section duly mitered cut &amp; thermal welded at all corners and fitted with UPVC glazing bead of size 36 X 20mm with inner and outer co-extruded EPDM/TPE-E weather seal gasket alongwith 6mm thick ISI make plain float glass. All welding joints of frame and shutter shall be cleaned and milled with the CNC mechainism to provide uniform grooved finish on all visible joints. Hardware: Window shutter are fixed with frame on 2.5mm  thick SS301 Grade friction hinge system to keep the window opened at desired angle. Friction Hinge also enables easy cleaning of glass on both side from the inside of building.</t>
  </si>
  <si>
    <t>Supply and installation of Multi Rib Proofing/cladding Sheet Manufacture out of  0.50mm TCT (Total Coated Thickness) high tensile Zinc aluminum alloy coated galvalume steel (as per 150gsm zinc aluminum coated 550Mpa tuekd strength) confirming to IS: 1397/astm A-792 sheet to have wide pens 30mm high NB at 250 centre and centre width of 1020mm sheets be casted with regular modified polyster system on a continuous with line on centre for face and with a polyster coating respectively sheet shall have proportionality with siphoned plate made to prevent leakage sheet shall be fixed by more of sell drilling lift tapping hot dip zinc coated hox head fasterner of size 12x14x55mm long. The sheet shall be supplied in cost one length and for a minimum up to 12mts with all scaffolding.</t>
  </si>
  <si>
    <t>Add extra for 0.60mm TCT (Total Coated Thickness) high tensile Zinc aluminum alloy coated galvalume steel sheet in place of 0.50mm thick</t>
  </si>
  <si>
    <t>Add extra for 0.80mm TCT (Total Coated Thickness) high tensile Zinc aluminum alloy coated galvalume steel sheet in place of 0.50mm thick</t>
  </si>
  <si>
    <t>Providing and fixing up to floor five level of cement concrete Hollow Rectangular blocks of different sizes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including hoisting and setting in position with cement mortar 1:3 (1 Cement : 3 Coarse Sand), cost of required centering, shuttering complete.</t>
  </si>
  <si>
    <t>Providing and fixing up to floor five level of cement concrete insulated blocks of different sizes having a layer of polysterene as insulating material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including hoisting and setting in position with cement mortar 1:3 (1 Cement : 3 Coarse Sand) including cost of required centering, shuttering complete.</t>
  </si>
  <si>
    <t>Providing and Laying 80 mm thick cement concrete blocks of M-40 Grade (Manufactured with fully mechanised dry cast process with forced action mixer whose arms revolve along the main axis and rotate about its own axis also, having humidity sensor for moisture control of w/c ratio in concrete mix. Manufactured with steel moulds(Milled and manufactured in CSI diamond or CSI Nitro process for accuracy) on steel base plate of min 16 mm thick;  Having Vibration and pressing action both together with  the help ofmultiple synchronised vibrators.  Power of hydraulic station should be minimum 50KW for compaction and cured in controlled chambers having humidity control and automated air circulation system) spreading 25mm thick sand underneath and filling joints with sand on existing W.B.M.base, as per IS15658:2006 and all materials shall conform to MoRTH Specification Clause 602.</t>
  </si>
  <si>
    <t>Providing and Laying 100 mm thick cement concrete blocks of M-50 Grade(Manufactured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spreading 25mm thick sand underneath and filling joints with sand on existing W.B.M.base, as per IS15658:2006 and all materials shall conform to MoRTH Specification Clause 602.</t>
  </si>
  <si>
    <t>Providing and Laying 120 mm thick cement concrete blocks of M-50 Grade(Manufactured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spreading 25mm thick sand underneath and filling joints with sand on existing W.B.M.base, as per IS15658:2006 and all materials shall conform to MoRTH Specification Clause 602.</t>
  </si>
  <si>
    <t>Providing and Laying 100 mm thick cement concrete blocks of M-55 Grade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spreading 25mm thick sand underneath and filling joints with sand on existing W.B.M.base, as per IS15658:2006 and all materials shall conform to MoRTH Specification Clause 602.</t>
  </si>
  <si>
    <t>Providing and Laying 120 mm thick cement concrete blocks of M-55 Grade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spreading 25mm thick sand underneath and filling joints with sand on existing W.B.M.base, as per IS15658:2006 and all materials shall conform to MoRTH Specification Clause 602.</t>
  </si>
  <si>
    <t>Providing and Laying cement concrete Kerb Stones of different sizes in M-30 grade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in position to the required line, level and curvature jointed with cement mortar 1:3 (1 Cement : 3 Coarse sand) including making of joints, drainage opening wherever required.</t>
  </si>
  <si>
    <t>Providing and Laying cement concrete Kerb Stones of different sizes in M-40 grade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in position to the required line, level and curvature jointed with cement mortar 1:3 (1 Cement : 3 Coarse sand) including making of joints, drainage opening wherever required.</t>
  </si>
  <si>
    <t>Providing and fixing Cellular concrete blocks (M-30 Grade), 600x400x80 mm sizes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including hoisting and setting in position with cement mortar 1:3 (1 Cement : 3 Coarse Sand), cost of required centering, shuttering complete.</t>
  </si>
  <si>
    <t>Providing and fixing Precast concrete flooring slabs (M-30 Grade) of different sizes(Manufactured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including hoisting and setting in position with cement mortar 1:3 (1 Cement : 3 Coarse Sand), cost of required centering, shuttering complete and spreading 25mm thick sand underneath.</t>
  </si>
  <si>
    <t>Providing and fixing Precast concreteUdrains (M-30 Grade) of different sizes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including hoisting and setting in position with cement mortar 1:3 (1 Cement : 3 Coarse Sand), cost of required centering, shuttering complete and spreading 25mm thick sand underneath.</t>
  </si>
  <si>
    <t>Providing and fixing up to floor five level of cement concrete solid blocks (M-20 Grade) of different sizes (Manufactured with fully mechanised dry cast process with forced action mixer whose arms revolve along the main axis and rotate about its own axis also, having humidity sensor for moisture control of w/c ratio in concrete mix. Manufactured with steel moulds (Milled and manufactured in CSI diamond or CSI Nitro process for accuracy) on steel base plate of min 16 mm thick;  Having Vibration and pressing action both together with  the help of multiple synchronised vibrators.  Power of hydraulic station should be minimum 50KW for compaction and cured in controlled chambers having humidity control and automated air circulation system) including hoisting and setting in position with cement mortar 1:3 (1 Cement : 3 Coarse Sand), cost of required centering, shuttering complete.</t>
  </si>
  <si>
    <t>Renovating lawns including weeding cheeping  the grass forking the ground top dressing with manure . Mixing the same with forked soil watering maintaining the lawn for 30 days for till the grass forms a thick lawns free from weeds and fit for moving in the duration of planting if lawn die some where the contractor will replant it at his own cost</t>
  </si>
  <si>
    <t>Preparation of soil including cleaning &amp; removing of unwanted shrubs removal of stones &amp; Garbage.</t>
  </si>
  <si>
    <t>Maintenace of Plants by the contractor including of pits/bids watering preparation of Thavala Hoeing weeding etc. &amp; application of insecticides etc. &amp; security if the plant die during maintenance contractor has to replace same height plant at his own cost.</t>
  </si>
  <si>
    <t>Item no. 12.1 to 12.6 rates increased by 20%</t>
  </si>
  <si>
    <t>5.2.5</t>
  </si>
  <si>
    <t>Centre Table Glass Top 2'x4'</t>
  </si>
  <si>
    <t>7.24.2</t>
  </si>
  <si>
    <t>7.25.3</t>
  </si>
  <si>
    <t>7.25.4</t>
  </si>
  <si>
    <t>Deduct for providing Single leaf shutter instead of double leaf.</t>
  </si>
  <si>
    <t>Add extra for double leaf shutters.</t>
  </si>
  <si>
    <r>
      <t>P &amp; F Universal (anglo-Indian type) white glazed vitreous china W.C. pan 1</t>
    </r>
    <r>
      <rPr>
        <vertAlign val="superscript"/>
        <sz val="12"/>
        <rFont val="Times New Roman"/>
        <family val="1"/>
      </rPr>
      <t>st</t>
    </r>
    <r>
      <rPr>
        <sz val="12"/>
        <rFont val="Times New Roman"/>
        <family val="1"/>
      </rPr>
      <t xml:space="preserve"> quality (IS 2556 Marked ) with P or S trap including cutting and making good the wall and floor.</t>
    </r>
  </si>
  <si>
    <r>
      <t xml:space="preserve">P &amp; F </t>
    </r>
    <r>
      <rPr>
        <i/>
        <sz val="12"/>
        <rFont val="Times New Roman"/>
        <family val="1"/>
      </rPr>
      <t>Low level Flushing Cistern</t>
    </r>
    <r>
      <rPr>
        <sz val="12"/>
        <rFont val="Times New Roman"/>
        <family val="1"/>
      </rPr>
      <t xml:space="preserve"> of 10 litres capacity (IS : 2556 mark) of approved make with complete fittings C.I. brackets duly painted, brass ball cock with ball (IS: 1703 mark) complete including cutting and making good the wall:</t>
    </r>
  </si>
  <si>
    <t>PVC with  PVC  bend and superior internal fittings as per IS : 7231 .</t>
  </si>
  <si>
    <t xml:space="preserve">PVC with  CP brass long band as per IS : 7231 . </t>
  </si>
  <si>
    <r>
      <t xml:space="preserve">P &amp; F </t>
    </r>
    <r>
      <rPr>
        <i/>
        <sz val="12"/>
        <rFont val="Times New Roman"/>
        <family val="1"/>
      </rPr>
      <t>Drain Board</t>
    </r>
    <r>
      <rPr>
        <sz val="12"/>
        <rFont val="Times New Roman"/>
        <family val="1"/>
      </rPr>
      <t xml:space="preserve"> of approved make with C.I. brackets duly painted complete including cutting &amp; making good the wall:</t>
    </r>
  </si>
  <si>
    <t>Providing and fixing 1st quality MAT finished ceremic tile size 300x300mm confirming  to code IS : 15622 colour such as white, grey, ivory, fume red brown, light green, light blue and other light shades in floors, steps, pillars etc. laid on a bed of neat cement slurry finished with flush pointing in the white cement mixed with pigment to match the shade of the tile complete (including the cost of cement mortar bed 1:4).</t>
  </si>
  <si>
    <t>Providing and fixing 1st quality standard white, grey, ivory, fume red brown, light green, light blue and other light shades glazed tiles confirming to code IS : 15622 of size 200mm x 300mm in walls, floors, steps, pillars etc. laid on a bed of neat cement slurry finished with flush pointing in the white cement mixed with pigment to match the shade of the tile complete (excluding the cost of cement plaster on walls and pillar).</t>
  </si>
  <si>
    <t>IS 8931 : 1993</t>
  </si>
  <si>
    <r>
      <t xml:space="preserve">P &amp; F </t>
    </r>
    <r>
      <rPr>
        <i/>
        <sz val="12"/>
        <rFont val="Times New Roman"/>
        <family val="1"/>
      </rPr>
      <t>Gun-metal Non-return Valve or Check Valve</t>
    </r>
    <r>
      <rPr>
        <sz val="12"/>
        <rFont val="Times New Roman"/>
        <family val="1"/>
      </rPr>
      <t xml:space="preserve"> (IS : 778 Make) of approved make, superior quality:</t>
    </r>
  </si>
  <si>
    <t>Providing and fixing Polyethylene - Aluminium -Polyethylene (PE-AL-PE) Composite Pressure Pipes as per 15450 : 2004 U.V. stablised with carbon black having thermal stabillity for hot and cold water supply, capable to withstand temperature upto 80ºC including all special fittings of composite material (engineering plastic blend and brass inserts wherever required) e.g. elbows, tees, reducers, couplers connectors etc.with clamps at 1.00 metre spacing.This include the cost of cutting chases and including testing of joints complete as per direction of Engineer In charge 
Internal work - Exposed on Wall</t>
  </si>
  <si>
    <t>Providing and fixing Polyethylene - Aluminium -Polyethylene (PE-AL-PE) Composite Pressure Pipes as per 15450 : 2004 U.V. stablised with carbon black having thermal stabillity for hot and cold water supply, capable to withstand temperature upto 80ºC including all special fittings of composite material (engineering plastic blend and brass inserts wherever required) e.g. elbows, tees, reducers, couplers connectors etc.with clamps at 1.00 metre spacing.This include the cost of cutting chases and including testing of joints complete as per direction of Engineer In charge 
Concealed installation including cutting chases and making good the walls etc. complete.</t>
  </si>
  <si>
    <t>Providing and fixing Polyethylene - Aluminium -Polyethylene (PE-AL-PE) Composite Pressure Pipes as per 15450 : 2004 U.V. stablised with carbon black having thermal stabillity for hot and cold water supply, capable to withstand temperature upto 80ºC including all special fittings of composite material (engineering plastic blend and brass inserts wherever required) e.g. elbows, tees, reducers, couplers connectors etc.with  trenching &amp; refilling and testing of joints complete as per direction of Engineer In charge  
External work</t>
  </si>
  <si>
    <t>Providing and fixing 3-layer PP-R (Polypropylene random coplymer ) pipes SDR 7.4 UV stabilized and antimicrobial fusion welded, having thermal stability for hot &amp; cold water supply including all PP-R plain &amp; brass threaded Polypropylene random fittings and fixing the pipe with clamps at 1 metre spacing. This includes testing of joint complete as per direction of Engineer - in charge.( INTERNAL WORK- EXPOSED ON WALL)</t>
  </si>
  <si>
    <t>Providing and fixing 3-layer PP-R (Polypropylene random coplymer ) pipes SDR 7.4 UV stabilized and antimicrobial fusion welded, having thermal stability for hot &amp; cold water supply including all PP-R plain &amp; brass threaded Polypropylene random fittings and fixing the pipe with clamps at 1  metre spacing. This includes cost of cutting chases and making good the same including testing of joint complete as per direction of Engineer - in charge.(CONCEALED WORK INCLUDING CUTTING CHASES AND MAKING GOOD THE WALL ETC.)</t>
  </si>
  <si>
    <t>Providing and fixing Chlorinated Polyvinyl Chloride (CPVC) pipes (IS 15778 : 2007 code) having thermal stability for hot &amp; cold water supply including all CPVC plain &amp; brass threaded fittings i/c fixing the pipe with clamps at 1 metre spacing. This includes jointing of pipes &amp; fittings with one step CPVC solvent cement and testing of joints complete as per direction of Engineer in Charge. (Internal work Exposed on wall)</t>
  </si>
  <si>
    <t>15 mm nominal size</t>
  </si>
  <si>
    <t>20mm nominal size</t>
  </si>
  <si>
    <t>25 mm nominal size</t>
  </si>
  <si>
    <t>32mm nominal size</t>
  </si>
  <si>
    <t>40 mm nominal size</t>
  </si>
  <si>
    <t>50 mm nominal size</t>
  </si>
  <si>
    <t>Providing and fixing Chlorinated Polyvinyl Chloride (CPVC) pipes (IS 15778 : 2007 code) having thermal stability for hot &amp; cold water supply including all CPVC plain &amp; brass threaded fittings i/c fixing the pipe with clamps at 1.00 m spacing. This includes jointing of pipes &amp; fittings with one step CPVC solvent cement and the cost of cutting chases and making good the same including testing of joints complete as per direction of Engineer in Charge. (Concealed work including cutting chases and making good the walls etc.,)</t>
  </si>
  <si>
    <t xml:space="preserve">Providing and fixing Chlorinated Polyvinyl Chloride (CPVC) pipes (IS 15778 : 2007 code) having thermal stability for hot &amp; cold water supply including all CPVC plain &amp; brass threaded fittings, this included jointing of pipes &amp; fittings with one step CPVC solvent cement , trenching refilling &amp; testing of joints complete as per direction of Engineer in Charge.
(External work).
</t>
  </si>
  <si>
    <t>100 mm dia nominal bore</t>
  </si>
  <si>
    <t>75 mm dia nominal bore</t>
  </si>
  <si>
    <t>P&amp;F Sluice valve of approved code IS 14846 : 2000 make</t>
  </si>
  <si>
    <t>P&amp;F Sink Mixture of (Adjustable or Non Adjustable) Superior quality Swan Neck.</t>
  </si>
  <si>
    <t>P &amp; F Pilllar Cocks (IS :8931 : 1993 Mark) of superior quality and approved make:</t>
  </si>
  <si>
    <t>Providing and fixing 1st quality standard white, grey, ivory, fume red brown, light green, light blue and other light shades ceramic glazed vitrified tiles with water absortion less than or equal to 0.08% confirming to IS:13753 &amp; IS : 15622 on walls, pillars etc. laid on a bed of neat cement slurry finished with flush pointing in the white cement mixed with pigment to match the shade of the tile complete (excluding the cost of cement plaster on walls and pillar).</t>
  </si>
  <si>
    <t>Factory made 35 mm thick shutters with laminated veneer lumber styles rails as per TADS IS:1995 and panels of 12 mm thick one side prelaminated  type-I, and other side balancing lamination, medium density flat pressed three layer, graded particle board.</t>
  </si>
  <si>
    <t>Providing and applying P.U. paint of apporved brand and manufature to even shade. 
Two or more coats on New works.</t>
  </si>
  <si>
    <t>rate increased more than 10%</t>
  </si>
  <si>
    <t>Loading &amp; unloading of plant from Deptt.Nursery to site per km.</t>
  </si>
  <si>
    <t>Watering of plants with the own tanker i.e. at least 20 liter water for plant at one time</t>
  </si>
  <si>
    <t>Providing and applying superior quality emulsion for wall painting with Velvet touch/Royal paint etc of approved brand and manufacture to give an even shade with putty and preparation of surface applying with the help of paint roller the work complete in all respect as per direction of Engineer-in-charge.</t>
  </si>
  <si>
    <t>Providing and Fixing powder coated aluminium angle corners of size 75 x 75 x 6mm over extruded/exposed corners of walls/colom etc. fixed with glazing tape on all four sides including filling of all inside edges of 6mm thickness with weather silicone sealant by backer rod of approved quality to make it completely air tight and water tight over the surface as per dirction of Engineer-in-charge.</t>
  </si>
  <si>
    <t>Health  focet (Premium heavy Quality) as approved by Engineer-in-Charge</t>
  </si>
  <si>
    <t>Jet Spray  (Premium heavy Quality) as approved by Engineer-in-Charge</t>
  </si>
  <si>
    <t>10.35.3</t>
  </si>
  <si>
    <t>12.5mm thick square edge PVC laminated Gypsum tiles of size 595mm x 595mm,  made of Gypsum plasterboard, manufactured from natural gypsum as per IS 2095 part I and laminated with white 0.16mm thick fire retardant PVC film on the face side and 12 micron metalized polyester on the back side with all edges sealed with the face side PVC film which goes around and wraps the edges and is bonded to the edged and the back side metalized polyester film so as to make the tile a completely sealed unit.</t>
  </si>
  <si>
    <t>10.35.4</t>
  </si>
  <si>
    <t>Providing &amp; Fixing Aluminium composite panel of indo bond/euro/flexi bond of equivalent made 3mm that with 0.5mm thick skin&amp; PVDF coated of approved shads for toilet door in double layer in Aluminium frame complete in all respect as per sample approved by Engineer in Charges.</t>
  </si>
  <si>
    <t xml:space="preserve">Providing &amp; Fixing BWR ISI marked 19 mm board of approved make for making wardrobe/shelves and other furniture  with fevicol &amp; nails complete  as per approved by engineer in charge. </t>
  </si>
  <si>
    <t xml:space="preserve">Providing &amp; Fixing Commercial Ply as per IS 710 : 1976 BWR of approved make for making wardrobe/shelves and other furniture  with fevicol &amp; nails complete  as per approved by engineer in charge. </t>
  </si>
  <si>
    <r>
      <t xml:space="preserve">Providing and fixing 50mm thick extruded polystyrene rigid insulation board of required size </t>
    </r>
    <r>
      <rPr>
        <b/>
        <sz val="12"/>
        <rFont val="Times New Roman"/>
        <family val="1"/>
      </rPr>
      <t>between cavity wall</t>
    </r>
    <r>
      <rPr>
        <sz val="12"/>
        <rFont val="Times New Roman"/>
        <family val="1"/>
      </rPr>
      <t xml:space="preserve">, complying with ISO 4898:2008 &amp; ASTM C 578-08b - type VI having thermal conductivity of 0.0289 W/m K as per ASTM C 578 (measured as per IS 3346), compressive strength of &gt;350 kPa listed as per ASTM D 1621, density of 34-36 kg/m3 as per ASTM D 1622, water absorptions =&lt; 1% by volume as per ASTM D 2842, oxygen index of 24.1 to 28.1 listed as per ASTM D 2863, cell size 0.4 mm of dia (max) as per ASTM D 3576. Fire retardent property as per DIN 4102, part 1 of class B2 and as per ASTm E84 class A, fixed with suitable water based adhesive and fastener, complete in all respect as per the diretion of Engineer-in-Charge. </t>
    </r>
  </si>
  <si>
    <r>
      <t>Providing &amp; fixing 50mm extruded polystyrene (XPS) insulation board density 36kg/m3,</t>
    </r>
    <r>
      <rPr>
        <b/>
        <sz val="12"/>
        <rFont val="Times New Roman"/>
        <family val="1"/>
      </rPr>
      <t xml:space="preserve"> under or over RCC roof slab</t>
    </r>
    <r>
      <rPr>
        <sz val="12"/>
        <rFont val="Times New Roman"/>
        <family val="1"/>
      </rPr>
      <t xml:space="preserve"> complete as per manufacturing specifications fixed with 1% suitable water based adhesive and fastener, complete in all respect as per the direction of Engineer-in-Charge.</t>
    </r>
  </si>
  <si>
    <r>
      <t>Jade Plant in P.B</t>
    </r>
    <r>
      <rPr>
        <sz val="12"/>
        <color indexed="8"/>
        <rFont val="Times New Roman"/>
        <family val="1"/>
      </rPr>
      <t>(7”X8”)  -   6”</t>
    </r>
  </si>
  <si>
    <r>
      <t>Pendanus in  P.B</t>
    </r>
    <r>
      <rPr>
        <sz val="12"/>
        <color indexed="8"/>
        <rFont val="Times New Roman"/>
        <family val="1"/>
      </rPr>
      <t>(9”X11”)  -   1’</t>
    </r>
  </si>
  <si>
    <r>
      <t>Golden durantain P.B</t>
    </r>
    <r>
      <rPr>
        <sz val="12"/>
        <color indexed="8"/>
        <rFont val="Times New Roman"/>
        <family val="1"/>
      </rPr>
      <t>(5”X6”)  -  6”-1’</t>
    </r>
  </si>
  <si>
    <r>
      <t>TecomaGoudichoudi in P.B</t>
    </r>
    <r>
      <rPr>
        <sz val="12"/>
        <color indexed="8"/>
        <rFont val="Times New Roman"/>
        <family val="1"/>
      </rPr>
      <t>(9”X11”)  -   2’</t>
    </r>
  </si>
  <si>
    <r>
      <t>Enarmi in P.B(</t>
    </r>
    <r>
      <rPr>
        <sz val="12"/>
        <color indexed="8"/>
        <rFont val="Times New Roman"/>
        <family val="1"/>
      </rPr>
      <t>5”X5”)  -   1’</t>
    </r>
  </si>
  <si>
    <r>
      <t>Mograin P.B</t>
    </r>
    <r>
      <rPr>
        <sz val="12"/>
        <color indexed="8"/>
        <rFont val="Times New Roman"/>
        <family val="1"/>
      </rPr>
      <t>(9”X11”)  -   1’</t>
    </r>
  </si>
  <si>
    <r>
      <t>Gardenia in P.B</t>
    </r>
    <r>
      <rPr>
        <sz val="12"/>
        <color indexed="8"/>
        <rFont val="Times New Roman"/>
        <family val="1"/>
      </rPr>
      <t>(9”X11”)  -   1’</t>
    </r>
  </si>
  <si>
    <r>
      <t>Juhiin P.B</t>
    </r>
    <r>
      <rPr>
        <sz val="12"/>
        <color indexed="8"/>
        <rFont val="Times New Roman"/>
        <family val="1"/>
      </rPr>
      <t>(9”X11”)  -   1’</t>
    </r>
  </si>
  <si>
    <r>
      <t>Kunjin P.B</t>
    </r>
    <r>
      <rPr>
        <sz val="12"/>
        <color indexed="8"/>
        <rFont val="Times New Roman"/>
        <family val="1"/>
      </rPr>
      <t>(9”X11”)  -   1’</t>
    </r>
  </si>
  <si>
    <r>
      <t>Arucaria Plant in P.B</t>
    </r>
    <r>
      <rPr>
        <sz val="12"/>
        <color indexed="8"/>
        <rFont val="Times New Roman"/>
        <family val="1"/>
      </rPr>
      <t>(9”X11”)  -  1½’- 2’</t>
    </r>
  </si>
  <si>
    <r>
      <t>Saplera variegated in P.B</t>
    </r>
    <r>
      <rPr>
        <sz val="12"/>
        <color indexed="8"/>
        <rFont val="Times New Roman"/>
        <family val="1"/>
      </rPr>
      <t>(9”X11”)  -   1’-2’</t>
    </r>
  </si>
  <si>
    <r>
      <t>Money Plant in P.B</t>
    </r>
    <r>
      <rPr>
        <sz val="12"/>
        <color indexed="8"/>
        <rFont val="Times New Roman"/>
        <family val="1"/>
      </rPr>
      <t>(9”X11”)  -   1’</t>
    </r>
  </si>
  <si>
    <r>
      <t>IxoraChinesisin Pot (8</t>
    </r>
    <r>
      <rPr>
        <sz val="12"/>
        <color indexed="8"/>
        <rFont val="Times New Roman"/>
        <family val="1"/>
      </rPr>
      <t>” Pot’s)  - 6”-1’</t>
    </r>
  </si>
  <si>
    <r>
      <t>Silver Eucain P.B</t>
    </r>
    <r>
      <rPr>
        <sz val="12"/>
        <color indexed="8"/>
        <rFont val="Times New Roman"/>
        <family val="1"/>
      </rPr>
      <t>(9”X11”)  -   1’-2’</t>
    </r>
  </si>
  <si>
    <r>
      <t>Umbrella Palm in P.B</t>
    </r>
    <r>
      <rPr>
        <sz val="12"/>
        <color indexed="8"/>
        <rFont val="Times New Roman"/>
        <family val="1"/>
      </rPr>
      <t>(9”X12”)  -   2’</t>
    </r>
  </si>
  <si>
    <r>
      <t>Salem in Pot  (</t>
    </r>
    <r>
      <rPr>
        <sz val="12"/>
        <color indexed="8"/>
        <rFont val="Times New Roman"/>
        <family val="1"/>
      </rPr>
      <t>12” Pot’s)-       2’</t>
    </r>
  </si>
  <si>
    <r>
      <t>Geranium in P.B</t>
    </r>
    <r>
      <rPr>
        <sz val="12"/>
        <color indexed="8"/>
        <rFont val="Times New Roman"/>
        <family val="1"/>
      </rPr>
      <t>(9”X11”)  -   1’</t>
    </r>
  </si>
  <si>
    <r>
      <t>Nolinaplamin P.B</t>
    </r>
    <r>
      <rPr>
        <sz val="12"/>
        <color indexed="8"/>
        <rFont val="Times New Roman"/>
        <family val="1"/>
      </rPr>
      <t>(12”X12”)  -   1’-2’</t>
    </r>
  </si>
  <si>
    <r>
      <t xml:space="preserve">Supplying and fixing in cement sand mortar 1:4 sand or other approved stone dassa or coping of thickness 75 to 100 mm (fine dressed) : </t>
    </r>
    <r>
      <rPr>
        <b/>
        <sz val="12"/>
        <rFont val="Times New Roman"/>
        <family val="1"/>
      </rPr>
      <t xml:space="preserve">Plain ornamental/Jhalar coping (face area measured) </t>
    </r>
  </si>
  <si>
    <t>Chapter Code No</t>
  </si>
  <si>
    <r>
      <t>Banking   excavated earth   in layers not exceeding 20cm. in depth breaking clods watering, rolling each layer with 1/2 tonne roller, or stone or steel rammers, and rolling   every 3rd and top- most layer with power roller of 8-10 tonne capacity and dressing up in embankments   for roads, flood banks marginal banks, and guide banks etc. lead up to 50 Mtr. and lift up to 1.5 Mtr.</t>
    </r>
    <r>
      <rPr>
        <b/>
        <sz val="12"/>
        <rFont val="Times New Roman"/>
        <family val="1"/>
      </rPr>
      <t xml:space="preserve"> All kinds of soils</t>
    </r>
  </si>
  <si>
    <r>
      <t>Earth work in rough excavation, banking excavated earth in layers not exceeding 20cm in depth, breaking clods watering, rolling each layer with 1/2 tonne roller, or stone or steel rammers and    rolling every 3rd and top- most layer with power roller of minimum 8-10 tonne capacity and dressing up in embankment for roads, flood banks marginal banks and guide banks or filling up ground depressions, lead up to 50 Mtr. and lift up to 1.5 Mtr.:</t>
    </r>
    <r>
      <rPr>
        <b/>
        <sz val="12"/>
        <rFont val="Times New Roman"/>
        <family val="1"/>
      </rPr>
      <t>All kinds of soil</t>
    </r>
  </si>
  <si>
    <t>Earth work in excavation/ by mechanical means (Hydraulic Excavator)/ manual means over areas (exceeding 30 cm in depth, 1.5m in width as well as 10 sqm on plan) including disposal of excavated earth, lead upto 50 m and  lift upto 1.5 m , disposed earth to be levelled and neatly dressed:</t>
  </si>
  <si>
    <r>
      <t xml:space="preserve">Supplying chemical emulsion  in sealed containers including delivery as specified. </t>
    </r>
    <r>
      <rPr>
        <b/>
        <sz val="12"/>
        <rFont val="Times New Roman"/>
        <family val="1"/>
      </rPr>
      <t xml:space="preserve">Chlorpyriphos/Lindane emulsifiable concentrate of 20%    </t>
    </r>
  </si>
  <si>
    <r>
      <t xml:space="preserve">Treatment of soil under existing floors using chemical emulsion @ one litre per hole, 300 mm apart including drilling 12 mm diameter holes and plugging with cement mortar 1 :2 (1 cement : 2 Coarse sand) to match the existing floor. </t>
    </r>
    <r>
      <rPr>
        <b/>
        <sz val="12"/>
        <rFont val="Times New Roman"/>
        <family val="1"/>
      </rPr>
      <t>With Chlorpyriphos/Lindane E.C. 20% with 1% concentration</t>
    </r>
  </si>
  <si>
    <r>
      <t xml:space="preserve">Along the external wall below concrete or masonry apron using chemical emulsion @ 2.25 litres per linear metre including drilling and plugging holes etc. </t>
    </r>
    <r>
      <rPr>
        <b/>
        <sz val="12"/>
        <rFont val="Times New Roman"/>
        <family val="1"/>
      </rPr>
      <t>With Chlorpyriphos/Lindane E.C. 20% with 1% concentration</t>
    </r>
  </si>
  <si>
    <r>
      <t xml:space="preserve">Along external wall where the apron is not provided using chemical emulsion @ 7.5 litres / sqm of the vertical surface of the substructure to a depth of  300mm including excavation channel along the wall &amp; rodding etc. complete : </t>
    </r>
    <r>
      <rPr>
        <b/>
        <sz val="12"/>
        <rFont val="Times New Roman"/>
        <family val="1"/>
      </rPr>
      <t>With Chlorpyriphos/Lindane E.C. 20% with 1% concentration</t>
    </r>
  </si>
  <si>
    <r>
      <t xml:space="preserve">Treatment at points of contact of wood work by chemical emulsion Chlorpyriphos/Lindane  (in oil or kerosene based solution) @ 0.5 litres per hole by drilling 6 mm dia holes at downward  angle of 45  degree at 150mm centre to centre and sealing  the same. </t>
    </r>
    <r>
      <rPr>
        <b/>
        <sz val="12"/>
        <rFont val="Times New Roman"/>
        <family val="1"/>
      </rPr>
      <t>With Chlorpyriphos/Lindane E.C. 20% with 1% concentration</t>
    </r>
  </si>
  <si>
    <r>
      <t xml:space="preserve">Providing and laying in position specified grade of  cement concrete for RCC structural elements upto floor five level including curing, compaction, finishing with rendering in cement sand mortar 1:3 (1 cement: 3 coarse sand) and making good the joints and cost of plastizers( if required) excluding the cost of centering, shuttering and reinforcement  for Arches, arch ribs, domes, vaults, shells, folded plate, chimneys, shafts , roofs having slope more than 15º ,vertical and horizontal fins individually or forming box louvers, facias and eaves boards </t>
    </r>
    <r>
      <rPr>
        <b/>
        <sz val="12"/>
        <rFont val="Times New Roman"/>
        <family val="1"/>
      </rPr>
      <t xml:space="preserve">M20 grade Nominal Mix /   Design Mix </t>
    </r>
  </si>
  <si>
    <r>
      <t xml:space="preserve">Providing and laying in position Ready mix concrete manufactured in fully  automatic Batching Plant and  transported to site in  transit mixer for having continous agitated mixer, manufactured as per approved mix design of specified grade of RCC work including pumping of R.M.C. from transit mixer to site of laying , exculding the cost of centering, shuttering and reinforcement with all lead and lift including cost of admixtures in recommended portion as per IS 9103 to accelerate/ retard setting of concrete, improve workability without impairing strength and durability as per direction of Engineer in charge. </t>
    </r>
    <r>
      <rPr>
        <b/>
        <sz val="12"/>
        <rFont val="Times New Roman"/>
        <family val="1"/>
      </rPr>
      <t>All works upto floor V floor M20 grade Design Mix by using   cement  as per codal provision.</t>
    </r>
  </si>
  <si>
    <t>Beams, Columns, slabs, Shelves, Vertical &amp; horizontal fins individually or forming box louvers setting in cement mortar 1:2 (1 cement: 2 sand) or grouts as per requirements</t>
  </si>
  <si>
    <t xml:space="preserve">  IS 710- 1976 marked 9 mm thick Teak BWR  ply both side</t>
  </si>
  <si>
    <t xml:space="preserve"> IS 710- 1976 marked 12mm thick Teak ply BWR both  side </t>
  </si>
  <si>
    <t xml:space="preserve">Extra for providing external lipping with 2nd  class teak wood battens 6 mm minimum depth on all edges of shutters (over all area of door shutter to be measured) Over item no. 8.13.  </t>
  </si>
  <si>
    <t>Providing &amp; Fixing drawer handle of approved make for drawers with screws complete  as per approved by engineer in charge.</t>
  </si>
  <si>
    <t>Providing &amp; Fixing telescopic channel of approved make for drawers with screws complete  as per approved by engineer in charge.</t>
  </si>
  <si>
    <t xml:space="preserve">Extra for circular cutting in C.G.S. sheet roofing for making opening of area exceeding 40 square decimetre :  </t>
  </si>
  <si>
    <t>Painting top of roofs with bitumen of approved quality at 17kg per 10 sqm impregnated with a coat of coarse sand at 60 cudm per 10sqm including cleaning the slab surface with brushes and finally with a piece of cloth lightly soaked in kerosene oil complete: With residual type petroleum bitumen of penetration 80/100</t>
  </si>
  <si>
    <t xml:space="preserve">Providing and laying integral cement based water proofing treatment including preparation of surface as required for treatment of roofs, balconies, terraces etc consisting of  following operations.  
 (a) Applying and grouting a slurry coat of neat cement using 2.75 kg/sqm. of cement admixed with proprietary water proofing compound conforming to IS. 2645 over the RCC slab including cleaning the surface before treatment.  
 (b)   Laying cement concrete using broken bricks/brick bats 25 mm to 100mm size with 50% of cement mortar 1:4 (1 cement : 4 coarse sand) admixed with proprietary water proofing compound conforming to IS : 2645 over 20 mm thick layer of cement mortar of mix 1:4  (1 cement :4 coarse sand )  admixed with proprietary water proofing compound conforming to IS : 2645 to required slope and treating similarly the adjoining walls upto 300 mm height including rounding of junctions of walls and slabs.     </t>
  </si>
  <si>
    <t>(c) After two days of proper curing applying a second coat of cement slurry admixed with proprietary water proofing compound conforming to IS : 2645.     
(d)   Finishing the surface with 20 mm thick jointless cement mortar of mix  1:4 (1 cement :4 coarse sand) admixed with proprietary water proofing compound conforming to IS : 2645  and finally finishing the surface with trowel with neat cement slurry and making of 300x300xmm square   
(e)    The whole terrace so finished shall be flooded with water for  a minimum period of two weeks for curing and for final test.  All above operations to be done in order and as directed and specified by the Engineer-in-Charge.
With average thickness of 120mm and minimum  thickness at khurra as  65 mm.</t>
  </si>
  <si>
    <t>Providing and fixing 12.5 mm thick tapered edge gypsum board conforming to IS 2095- Part I at all height false ceiling including providing and fixing of frame work made of special sections power pressed from M.S. sheet and galvanised in accordance with zinc coating of grade 350 as per IS : 277 and consisting of angle cleats of size 25mm wide x 1.6mm thick with flanges of 22mm and 37mm at 1200mm centre to centre one flange fixed to the ceiling with dash fastener 12.5mm diax40mm long with 6mm dia bolts to the angle hangers of 25x25x0.55mm of required length, and other end of angle hanger being fixed with nut and bolts to G.I. channels 45x15x0.9mm running at the rate of 1200mm centre to centre to which the ceiling section 0.5mm thick bottom wedge of 80mm with tapered flanges of 26mm each having clips of 10.5mm at 450mm centre to centre shall be fixed in a direction perpendicular to G.I. channel with connecting clips made out of 2.64mm diax230mm long G.I. wire at every junction including fixing the gypsum board with ceiling section and perimeter channels 0.5mm thick 27mm high having flanges of 20mm and 30mm long, the perimeter of ceiling fixed to wall/partition with the help of rawl plugs at 450mm centre to centre with 25mm long drive-all screws @ 230mm interval including jointing and fixing to a flush finish of tapered and square edges of the board with recommended filler, jointing tapes, finisher and two coats of primer suitable for board as per manufactures specification and also including the cost of making openings for light fittings, grills, diffusers, cutouts made with frame of perimeter channels suitably fixed all complete as per drawing and specification and direction of the Engineer in Charge but excluding the cost of painting.</t>
  </si>
  <si>
    <t>Providing and fixing 15 mm thick densified tegular edged eco friendly light weight calcium silicate false ceiling tiles of approved texture as per direction of Engineer-in-charge of size 595 X 595 mm in true horizontal level suspended on inter locking metal grid of hot dipped galvanized steel sections (galvanizing @120 grams per sqm) consisting of main ‘T’ runner suitably spaced at joints to get required length and size of 24X38mm made from 0.33 mm thick (minimum) sheet, 1200mm centre to centre, and cross  ‘T’ of size 24X32mm made out of 0.33mm (Minimum) sheet, 1200mm long spaced between main ‘T’ at 600mm centre to centre to form a grid of 1200X600mm and secondary cross ’T’ of length 600mm and size 24X32mm made out of 0.33 mm thick (Minimum) sheet to be interlocked at middle of the 1200X600mm panel to form grid of size 600X600mm resting...</t>
  </si>
  <si>
    <r>
      <t xml:space="preserve">Marble chips skirting/dado rubbed and polished to granolithic finish 6mm thick with white marble chips of approved colour and size from smallest to 4mm nominal size laid in cement marble chips mix  in proportion of 4:7(4 cement  : 7 marble chips) by volume including fixing of dividing strips (excluding the cost of strips) complete in all respects : </t>
    </r>
    <r>
      <rPr>
        <b/>
        <sz val="11"/>
        <rFont val="Times New Roman"/>
        <family val="1"/>
      </rPr>
      <t>18mm thick with under layer of 12mm thick cement plaster 1:3 (1 cement : 3 coarse sand) :</t>
    </r>
  </si>
  <si>
    <r>
      <t xml:space="preserve">Providing and laying M30 grade controlled cement concrete  pavements including mixing and vibrations concrete with necessary needle vibrators and surface with screed board vibrating complete in all respect with 20/25 mm stone aggregate (crusher broken) including anti-skid textured finish to required camber/ super </t>
    </r>
    <r>
      <rPr>
        <b/>
        <sz val="12"/>
        <rFont val="Times New Roman"/>
        <family val="1"/>
      </rPr>
      <t>elevation</t>
    </r>
    <r>
      <rPr>
        <sz val="12"/>
        <rFont val="Times New Roman"/>
        <family val="1"/>
      </rPr>
      <t xml:space="preserve"> and grade including curing etc. as per specification with cement concrete M-30 grade including cost of Steel frame work for sides of C.C. pavement consisting of M. S. channels flats and angles with required steel pegs ( some of them may left embedded in concrete/ including providing frame work)</t>
    </r>
  </si>
  <si>
    <t>Wall painting with Royal Play paint with various types of designs as approved of approved brand and manufacture to give an even shade including all scaffalding. 
Two or more coats on New work including preparation of base with primer, putty lippy etc. Complete in all respect.</t>
  </si>
  <si>
    <r>
      <t xml:space="preserve">Repairs to plaster of thickness 12mm to 20mm in patches of area 2.5 sq. metres and under including cutting the patch in proper shape, raking out joints and preparing and plastering the surface of the walls complete including disposal of rubbish to the dumping ground within 50 m lead </t>
    </r>
    <r>
      <rPr>
        <b/>
        <sz val="12"/>
        <rFont val="Times New Roman"/>
        <family val="1"/>
      </rPr>
      <t>With cement mortar 1 :4 ( 1 cement : 4 coarse sand)</t>
    </r>
  </si>
  <si>
    <r>
      <t xml:space="preserve">Making the opening in  masonry including dismantling in floor or walls by cutting masonry and making good the damages to walls, flooring and jambs complete to match existing surface i/c disposal of mulba/ rubbish to the nearest municipal dumping ground. </t>
    </r>
    <r>
      <rPr>
        <b/>
        <sz val="12"/>
        <rFont val="Times New Roman"/>
        <family val="1"/>
      </rPr>
      <t>For door/windows/clerestory windows</t>
    </r>
  </si>
  <si>
    <t>Renewing glass panes,with putty and nails wherever necessary</t>
  </si>
  <si>
    <t>Repair to damaged RCC slabs, beams and columns etc for strengthening with cement mortar 1 : 2 in following steps :-</t>
  </si>
  <si>
    <t>DISMANTLING &amp; DEMOLISHING WORK</t>
  </si>
  <si>
    <t xml:space="preserve">Providing and laying water proofing treatment to vertical and horizontal surfaces of depressed portions of W.C., kitchen and the like consisting of  : </t>
  </si>
  <si>
    <t xml:space="preserve">Providing and fixing aluminium U shape handle of size 100mm with SS screws etc. Complete as per direction of Engineer-in-charge  </t>
  </si>
  <si>
    <t>Providing and fixing factory made of uPVC Extruded section having an overall dimension as below (tolerance+/-1mm) with wall thickness 2.0mm+/-0.2mm,corners of the door frame to be mitred and welded of plastic ,galvanized brackets and stain less steel screws.The hinge side vertical of the frames reinforced by galvanized M.S.tube of size 19x19mm and 1mm+/-0.1mm wall thickness and 3 nos.stainless steel hinges fixed to the frame complete as per manufacturers specification and direction of Engineer-in-charge.</t>
  </si>
  <si>
    <t>Providing and fixing to existing door frames 24mm thick factory made PVC door shutters made of stiles and rails of a uPVC hollow section of size 59x24 mm and wall thickness 2mm +/- 0.2 mm with inbuilt edging on both sides.The stiles and rails mitred and joined at the corners by means of M.S.galvanized/plastic brackets of size 75x220mm having wall thickness 1.0mm+/- 0.1mm and stainless steel screws. The stiles of the shutter reinforced by inserting galvanized M.S.tube of size 20x20mm and 1mm +/-0.1mm wall thickness. The lock rail made up of ‘H’ section,a uPVC hollow section of size 100x24mm and 2mm +/- 0.2mm wall thickness fixed to the shutter stiles by means of  plastic/ galvanized M.S.’U’ cleats.The shutter frame  fitted with a uPVC multi-shambered single panel of size not less than 610mm, having overall thickness of 20mm and 1mm +/- 0.1mm wall thickness. The panels fitted vertically and tie bar at two places by inserting horizontally 6mm galvanized M.S.rod and fastened with nuts and washers, complete as per manufacturer’s specification and direction of Engineer-in-charge (For W.C.and bathroom door shutter).</t>
  </si>
  <si>
    <t xml:space="preserve">Supply of “ Computer Table” of Modular nature having all the necessary arrangement for keyboard, CPU, UPS, Printer and wire manager Table Top :  The table top of size 900 x 600mm(WxD) would be made out of post formed on 25 mm thick particle board  with 0.7mm thick Carvica sheet in half round post formed finish on the front and rear side, matching color compensating laminate fixed on the bottom side. Other two sides are edge banded and duly sealed with 1.5 mm thick PVC edge banding of matching color with high pressure through feed machine.   
Keyboard Below the table top the keyboard pull out tray having sliding arrangement   fixed on side supporting legs with 450mm G.I. telescopic channel. Keyboard of size 750 x 450 made out of 18 mm thick Particle board laminate with 0.7mm thick laminate sheet having all four sides  Flat edge banded and duly sealed with 1.5 mm thick PVC edge banding of matching color with high pressure through feed machine.  Side Support  :Two supporting side leg of size 600 x 750mm(WxH) made out of post formed on 18 mm thick particle board with 0.7mm thick Carvica sheet in half round post formed finish on two sides and other two sides are edge banded and sealed with 1.5mm thick PVC edge banding of matching color with high pressure through feed machine.Modesty Panel : 
Made out of  18 mm thick Particle board laminate with 0.7mm thick laminate sheet of size 900 x 750mm(WxH) having all four sides  Flat edge banded and duly sealed with 1.5 mm thick PVC edge banding of matching color with high pressure through feed machine. </t>
  </si>
  <si>
    <t>Supply and fixing of Modular work Station with Partition 22mm thick Aluminum top 25 mm thick particle  board with post formed one drawer or one open able shutter one KBT or one CPU trolley Two 1200mm height storage unit. Size 3000 x 2700 x 1200mm single seat in combination</t>
  </si>
  <si>
    <t>Supply and fixing of Modular work Station with Partition 22mm thick Aluminum top 25mm thick particle  board with post formed one drawer or one open able shutter one KBT or one CPU trolley Two 1200mm height storage unit. Size 2400 x 1200 x 1200mm single seat in combination</t>
  </si>
  <si>
    <t>Supply and fixing of Modular work Station with Partition 60mm thick Aluminum top 25mm thick particle board with post formed one drawer or one open able shutter one KBT or one CPU trolley Two 1200mm height storage unit. Size 1200 x 1200 x 1200mm single seat in combination</t>
  </si>
  <si>
    <t>Supply and fixing of Modular work Station with Partition 22mm thick Aluminum top 25mm thick particle  board with post formed one drawer or one open able shutter one KBT or one CPU trolley Two 1200mm height storage unit. Size 2400 x 600 x 1200mm single seat in combination</t>
  </si>
  <si>
    <t>Supply and fixing of Modular work Station with Partition 60mm thick Aluminum top 25mm thick particle  board with post formed one drawer or one open able shutter one KBT or one CPU trolley Two 1200mm height storage unit. Size 1800 x 1800 x 1950mm single seat in combination</t>
  </si>
  <si>
    <t>Supply and fixing of Modular work Station with Partition 60mm thick Aluminum top 25 mm thick particle  board with post formed legs 18mm particle board with four side edge banding with three drawer one KBT or one CPU trolley Two 1200mm height storage unit. Size 6000 x 3000 x 1200mm single seat in combination</t>
  </si>
  <si>
    <t>Supply and fixing of Modular work Station with Partition 32mm thick Aluminum top 25 mm thick particle  board with post formed legs 18mm particle board with four side edge banding one KBT or one CPU trolley. Size 2100 x 2100 x 1200mm single seat in combination</t>
  </si>
  <si>
    <t>Supply and fixing of Modular work Station with Partition 32mm thick Aluminum top 25 mm thick particale board with post formed three drawer one KBT or one CPU trolley. Size 2100 x 2100 x 1200mm single seat in combination</t>
  </si>
  <si>
    <t>Supply and fixing of Modular work Station with Partition 32mm thick Aluminum top 25 mm thick particle board with four side edage banding 1200mm height storage unit with two drawer one KBT or one CPU trolley. Size 1500 x 3000 x 1650mm single seat in combination</t>
  </si>
  <si>
    <t>Supply and fixing of Modular work Station with Partition 32mm thick Aluminum top 25 mm thick particle  board with post formed three drawer pedestal unit one KBT or one CPU trolley. Size 3600 x 2400 x 1200mm single seat in combination</t>
  </si>
  <si>
    <t>Supply and fixing of Modular work Station with Partition 32mm thick Aluminum top 25 mm thickparticle board with post formed one drawer or one open able shutter pedestal unit one KBT or one CPU trolley. Size 4500 x 3000 x 1200mm single seat in combination</t>
  </si>
  <si>
    <t>Supply and fixing of Modular work Station with Partition 32mm thick Aluminum top 25 mm thick MDF board with Membrane three drawer pedestal unit one KBT or one CPU trolley. Size 6600 x 3000 x 1200mm single seat in combination</t>
  </si>
  <si>
    <t xml:space="preserve">Supply and fixing of Modular work Station with Partition 32mm thick Aluminum top 25 mm thick particle board with post formed three drawer pedestal unit one KBT or one CPU trolley. Size 4500 x 2400 x 1200mm single seat in combination
(Rate of this item is effective from 01.12.2016) </t>
  </si>
  <si>
    <t>Supply and fixing of Modular work Station with Partition 32mm thick Aluminum top 25 mm thick MDF board with Membrane three drawer pedestal unit one KBT or one CPU trolley. Size 4600 x 2100 x 1200mm single seat in combination</t>
  </si>
  <si>
    <t>Supply and fixing of Modular work Station with Partition 32mm thick Aluminum top 25 mm thick particale board with post forming three drawer pedestal unit one KBT or one CPU trolley. Size 4800 x 1500 x 1200mm single seat in combination</t>
  </si>
  <si>
    <t>Supply and fixing of Modular work Station with Partition 32mm thick Aluminum top 25 mm thick particle board with four side edage banding one drawer and one open able shutter pedestal unit one KBT or one CPU trolley. Size 6000 x 3000 x 1200mm single seat in combination</t>
  </si>
  <si>
    <t>CPU, UPS &amp; Printer Places
Table having the provision for CPU of size 300 x 600 x 600mm(WxDxH) below the table top on the right side of table adjoining to this on left side below the table the provision for UPS  of size 450 x 600 x 250mm (WxDxH)  and above this the provision for the Printer and stationary having overall dimension of  450 x 600 x 300mm(WxDxH). All this is made out of 18 mm thick Particle board laminate with 0.7mm thick laminate sheet having all four sides  flat edge banded and duly sealed with 1.5 mm thick PVC edge banding of matching color with high pressure through feed machine.
All  the parts of the table are duly fixed with mini fix dowel system with each other having matching drilled holes to be made on CNC multi hole boring machine for proper matching and alignment of the different part of the table, 4nos. of Self Adjusting level screw of size 45 x 6mm are provide at the bottom of the both legs for the proper leveling of the table.</t>
  </si>
  <si>
    <t xml:space="preserve">Providing and fixing of openable uPVC Doors with or without fix top: Frame Made of Extruded uPVC Window Profile Section of size 60w x 70h mm having outer wall thickness of 2.75mm (+/- 0.2mm) and 3 box multi-chamber construction, Laminated (colour) finish, duly reinforced with 1.2mm thick GI section. All the corners shall be mitered cut &amp; thermal welded so as to form door frame. Fix Mullion made of 60w x 80h mm uPVC Profile Section with steel reinforcement shall be provided for the top fix portion of the doors or in case of the doors having more than two openable shutters, as per the requirement / drawing. Frame of openable door shall have co-extruded EPDM/TPE-E gasket fitted in in-built groove of frame profile for proper air &amp; sound insulation of the shutter. Shutter : The shutters of openable door shall be made of 60w x 95h mm Extruded 3 box multi-chamber uPVC Window Profile Section of laminated( colour) having outer wall thickness of 2.75mm (+/- 0.2mm) provided with reinforcement of 2.0 mm thick GI section duly mitered cut &amp; thermal welded at all corners, provided with center mullion (if specified in drawing) of size 60w x 80h mm uPVC Profile Section and fitted with uPVC glazing
bead of size 36 x 20mm with inner and outer co-extruded EPDM/TPE-E weather seal gaskets alongwith 6mm thick ISI make plain float glass. </t>
  </si>
  <si>
    <t>Supply and fixing of Cement Bonded Particle Board (as per 14276) wall paneling using 10 MM thick Cement Board with frame work made of GI stud section of size 48mm x 35mm x 0.55mm thick placed at every 610 mm C/C intervals vertically and at 1200mm internals horizontally fixed to the wall by means of self expansion screws and caps. Cement Board panel is to be fixed to frame by means of self taping screws placed at every 300 mm intervals leaving 3mm gap between two panels. The cost inclusive of one coat of Altek primer and two coats of Altek smooth finish and cost &amp; conveyance of all materials, labor charges etc. complete as per the direction of Engineer in charge.</t>
  </si>
  <si>
    <t>Repairing of High Back, Low Back and Medium Back Revolving Padded Chair including required all material complete in all respect as per directin of the Engineer-in-Charge.</t>
  </si>
  <si>
    <t xml:space="preserve">Labour Charge for providing and fixing 20' long 2" dia G.I. pipe with flags (Flags to be provided by department) in straight line etc. as per direction and removing all the flags complete before sunset as per direction of Engineer in charge. </t>
  </si>
  <si>
    <t xml:space="preserve">Supplying, Filling and stitching of empty cement bags either of plastic or jute with earth avaiable at site of wieght not less than 40 kg including stacking and removing. </t>
  </si>
  <si>
    <t>P/F  wall mounted foldable hinged (Grab rail) size 750mm x 100mm (LxW) as approved design, made of 35mm stainless steel pipe having anti-bacterial Nylon surface with contour finish for better grip. Grab bar should be mounted on wall between height 200mm to 250mm from the top of W.C seat and extending 100mm to 150mm beyond the front of the W.C. Complete in all respect as per Harmonized guideline &amp; Satisfaction of Engineer-in-Charge.  Cera make (B2210108)</t>
  </si>
  <si>
    <t>No curing has to be done as the high performance cement used should be curing free. 
(This item is to be used in only emergency situation after decided by Engineer in charge )</t>
  </si>
  <si>
    <t xml:space="preserve">Providing and laying treatment of wear &amp; tear concrete surface with pre-mixed, ready to use, geopolymer based mortar &amp; confirming to ASTM C 1600 upto 10 mm thickness with following property – </t>
  </si>
  <si>
    <r>
      <t xml:space="preserve">Repair to damaged plaster with high performance curing free, quick setting cement mortar &amp; confirming to ASTM C 1600  in ratio of 1:4 with following properties of cement :  </t>
    </r>
    <r>
      <rPr>
        <b/>
        <sz val="11"/>
        <rFont val="Times New Roman"/>
        <family val="1"/>
      </rPr>
      <t>Compressive strength of 20 MPa within 4 Hours, Curing free, bond strength of 4 MPa within 24 Hours, Non shrink &amp; Non toxic in following steps-</t>
    </r>
  </si>
  <si>
    <t xml:space="preserve">Providing and applying treatment of plaster and masonry cracks with pre-mixed, ready to use, geo polymer based mortar &amp; confirming to ASTM C 1600   upto 15 mm width and 15 mm depth by making V-Groove with following property – </t>
  </si>
  <si>
    <t xml:space="preserve">Curing Free, compressive strength of 15 MPa within 2 hours, Quick Setting and with bond strength of 4 MPa within 24 hours with all scaffolding.  </t>
  </si>
  <si>
    <t>(This item is to be used in only emergency situation after decided by Engineer in charge )</t>
  </si>
  <si>
    <r>
      <t xml:space="preserve">P &amp; F C.P. brass </t>
    </r>
    <r>
      <rPr>
        <i/>
        <sz val="12"/>
        <rFont val="Times New Roman"/>
        <family val="1"/>
      </rPr>
      <t xml:space="preserve">Doom Waste Coupling </t>
    </r>
    <r>
      <rPr>
        <sz val="12"/>
        <rFont val="Times New Roman"/>
        <family val="1"/>
      </rPr>
      <t xml:space="preserve">40 mm dia. </t>
    </r>
  </si>
  <si>
    <r>
      <t xml:space="preserve">P &amp; F C.P. brass </t>
    </r>
    <r>
      <rPr>
        <i/>
        <sz val="12"/>
        <rFont val="Times New Roman"/>
        <family val="1"/>
      </rPr>
      <t xml:space="preserve">Doom Waste Coupling </t>
    </r>
    <r>
      <rPr>
        <sz val="12"/>
        <rFont val="Times New Roman"/>
        <family val="1"/>
      </rPr>
      <t xml:space="preserve">32 mm dia. </t>
    </r>
  </si>
  <si>
    <r>
      <t xml:space="preserve">P &amp; F </t>
    </r>
    <r>
      <rPr>
        <i/>
        <sz val="11"/>
        <rFont val="Times New Roman"/>
        <family val="1"/>
      </rPr>
      <t>G.I. Pipes (External Work)</t>
    </r>
    <r>
      <rPr>
        <sz val="11"/>
        <rFont val="Times New Roman"/>
        <family val="1"/>
      </rPr>
      <t xml:space="preserve"> with G.I. fittings excluding union (IS : 1239 Mark) including trenching &amp; refilling earth etc.</t>
    </r>
  </si>
  <si>
    <t>P&amp;F Divertors in water supply lines for walls, wash basin etc</t>
  </si>
  <si>
    <t>Spathiphyllum (peace lily) in pot (8” Pot’s)  - 6”-1’</t>
  </si>
  <si>
    <t>Different varieties of Poinsettia in Fiber pot (10” Pot’s) – 1’</t>
  </si>
  <si>
    <t>Different varieties of Ficus plant  in P.B(9”X11”)  -   2’</t>
  </si>
  <si>
    <t>Height 5’-6’ (14”x14”) Many Branches</t>
  </si>
  <si>
    <t>Height 7’-8’ (18”x18”)Many Branches state steam</t>
  </si>
  <si>
    <t>Kalanchoe of Different varieties in  P.B(8”X8”)  -   6”-1’</t>
  </si>
  <si>
    <t>Euphorbia Milii
D.varietiesin P.B(12”X2”)  -  1’-1½’</t>
  </si>
  <si>
    <t>Canna variegated, yellow, red and pink etc. 
In P.B(8”X8”)  -   6”-1’</t>
  </si>
  <si>
    <t>Money Plant (with moss stick) 
In (12” Pot’s)  -   2’-3’</t>
  </si>
  <si>
    <t>CHAPTER H-3</t>
  </si>
  <si>
    <t>DEVELOPMENT OF GRADENS</t>
  </si>
  <si>
    <t>BASIC RATES OF MATERIALS</t>
  </si>
  <si>
    <t>BASIC RATES OF LABOUR</t>
  </si>
  <si>
    <t>NAME OF MECHINERY</t>
  </si>
  <si>
    <t>BASIC RATES OF MECHINERY</t>
  </si>
  <si>
    <t>The rates are inclusive of stacking. If stacking is not required, no deduction is to be done.</t>
  </si>
  <si>
    <t>CHAPTER : G-4.2</t>
  </si>
  <si>
    <t>Loading &amp; Unloading</t>
  </si>
  <si>
    <t>Subsequent days(per Day)</t>
  </si>
  <si>
    <t>CHAPTER G-5</t>
  </si>
  <si>
    <t>HIRE CHARGES OF TENT ARTICLES</t>
  </si>
  <si>
    <t>Add extra for hire charge for providing welded mesh size 25x25 mm (16SWG) over barricating (excluding hire charge of barricating)</t>
  </si>
  <si>
    <t>...on periphery walls/partitions on a perimeter wall angle pre-coated steel of size (24X24X3000mm made of 0.40mm thick  (minimum) sheet with the help of rawl plugs at 450mm centre to centre with 25mm long dry wall screws @ 230mm interval and laying 15mm thick densified edged calcium silicate ceiling tiles of approved texture in the grid including cutting /making opening for services like diffusers, grills, light fitting, fixtures, smoke detectors etc., wherever required, Main ‘T’ runners to be suspended from ceiling using 50 mm long M 6 dash fasteners, 6mm G.I. fully threaded rods with galvnised steel L cleat level adjusters of size 80x25x2mm, spaced at 1200mm centre to centre long main ‘T’ bottom exposed with 24mm of all T-sections shall be pre-painted with polyster baked paint, for all heights, as per specifications, drawing and as directed by engineer-in-charge. Note :- Only calcium silicate false ceiling area will be measured from wall to wall. No deduction shall be made for exposed frames/opening (cut outs)having area less than 0.30 Sqm.  The calcium silicate ceiling tiles shall have NRC. Value 0.50 (Minimum), light reflection&gt; 85% non-combustible as per B.S. 476 part IV, 100% humidity resistance and also having thermal conductivity &lt;= 0.043 w/m0KC.</t>
  </si>
  <si>
    <t>Providing and fixing 300C Aluminium Panel with perforation of 2mm diameter and 5mm centre to centre to give 15% open area with Non woven textile False Ceiling system of approved colour consisting of Panel 300 mm wide X 30 mm deep X 0.7 mm thick with bevelled edges having panel length upto 6 mtrs, Coil Coated on a Continuous Paint Line, Double baked and roll formed for higher strength and good roll forming characteristics. The panel ends will be raised upto 29mm. Panel shall be clipped to a baked enamelled aluminium panel carrier of 41.5mm wide x 62mm deep x 0.95 mm thick in standard length of 5 mtrs. made of double baked stove enamelled aluminium magnesium alloy AA3005 black with cut outs to hold the panels. The Carrier shall be suspended by means of G.I. threaded rod of  6-mm diameter directly fixed to the Carrier. The Carrier tabs to be bent down to secure the panels at all Panel Carrier intersections. The panels will be installed in a module of 300MM. (Tensile strength of suspension-344/413 mpa and fastner strength-110kg) All Ceiling Panels shall adhere to GreenPro Certifications.</t>
  </si>
  <si>
    <t xml:space="preserve">Providing and laying water proofing treatment on roofs of slabs by applying cement slurry mixed with water proofing cement compound  consisting of applying : </t>
  </si>
  <si>
    <t>Providing and fixing in CM 1 : 4 double paitam (rebated) stone door window and ventilator frames of approved quarry:</t>
  </si>
  <si>
    <t>Frame  shall  be  made  out  of  min 1.15mm  thick  press  steel sheet.</t>
  </si>
  <si>
    <t>FORM WORK</t>
  </si>
  <si>
    <t>17.41.1</t>
  </si>
  <si>
    <t>17.41.2</t>
  </si>
  <si>
    <t>17.41.3</t>
  </si>
  <si>
    <t>17.41.4</t>
  </si>
  <si>
    <t>17.41.5</t>
  </si>
  <si>
    <t>17.41.6</t>
  </si>
  <si>
    <t>17.41.7</t>
  </si>
  <si>
    <t>5.21.3</t>
  </si>
  <si>
    <t xml:space="preserve">Add extra for  AAC block masonary work in superstructure above floor five level, for each four floors or part thereof.  </t>
  </si>
  <si>
    <t>Providing and fixing fully panelled/partly panelled/  double leaf shutter frames for doors as per approved design and drawings with approved ordinary C.P./ oxidised steel fittings as per Annexure - 'A' and width of styles &amp; top rails of 100mm and lock rails width of 150mm and bottom rails of 200mm width including teak wood beading of size 19mm x 12mm on both faces complete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</si>
</sst>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1" x14ac:knownFonts="1">
    <font>
      <sz val="10"/>
      <color indexed="8"/>
      <name val="MS Sans Serif"/>
    </font>
    <font>
      <sz val="10"/>
      <color indexed="8"/>
      <name val="MS Sans Serif"/>
      <family val="2"/>
    </font>
    <font>
      <sz val="11"/>
      <name val="Times New Roman"/>
      <family val="1"/>
    </font>
    <font>
      <sz val="10"/>
      <name val="Times New Roman"/>
      <family val="1"/>
    </font>
    <font>
      <b/>
      <sz val="10"/>
      <name val="Times New Roman"/>
      <family val="1"/>
    </font>
    <font>
      <sz val="10"/>
      <name val="Arial"/>
      <family val="2"/>
    </font>
    <font>
      <b/>
      <sz val="14"/>
      <name val="Times New Roman"/>
      <family val="1"/>
    </font>
    <font>
      <b/>
      <sz val="12"/>
      <name val="Times New Roman"/>
      <family val="1"/>
    </font>
    <font>
      <sz val="12"/>
      <name val="Times New Roman"/>
      <family val="1"/>
    </font>
    <font>
      <sz val="10"/>
      <color indexed="8"/>
      <name val="MS Sans Serif"/>
      <family val="2"/>
    </font>
    <font>
      <b/>
      <sz val="12"/>
      <name val="Arial"/>
      <family val="2"/>
    </font>
    <font>
      <sz val="12"/>
      <name val="Arial"/>
      <family val="2"/>
    </font>
    <font>
      <b/>
      <sz val="16"/>
      <name val="Times New Roman"/>
      <family val="1"/>
    </font>
    <font>
      <sz val="14"/>
      <name val="Times New Roman"/>
      <family val="1"/>
    </font>
    <font>
      <u/>
      <sz val="12"/>
      <name val="Times New Roman"/>
      <family val="1"/>
    </font>
    <font>
      <sz val="8"/>
      <name val="MS Sans Serif"/>
      <family val="2"/>
    </font>
    <font>
      <sz val="10"/>
      <name val="MS Sans Serif"/>
      <family val="2"/>
    </font>
    <font>
      <b/>
      <sz val="10"/>
      <name val="MS Sans Serif"/>
      <family val="2"/>
    </font>
    <font>
      <vertAlign val="superscript"/>
      <sz val="12"/>
      <name val="Times New Roman"/>
      <family val="1"/>
    </font>
    <font>
      <sz val="12"/>
      <color indexed="8"/>
      <name val="Times New Roman"/>
      <family val="1"/>
    </font>
    <font>
      <b/>
      <sz val="16"/>
      <color indexed="8"/>
      <name val="Times New Roman"/>
      <family val="1"/>
    </font>
    <font>
      <b/>
      <sz val="18"/>
      <name val="Times New Roman"/>
      <family val="1"/>
    </font>
    <font>
      <b/>
      <u/>
      <sz val="24"/>
      <name val="Times New Roman"/>
      <family val="1"/>
    </font>
    <font>
      <b/>
      <i/>
      <sz val="12"/>
      <name val="Times New Roman"/>
      <family val="1"/>
    </font>
    <font>
      <b/>
      <i/>
      <u/>
      <sz val="12"/>
      <name val="Times New Roman"/>
      <family val="1"/>
    </font>
    <font>
      <b/>
      <u/>
      <sz val="18"/>
      <name val="Times New Roman"/>
      <family val="1"/>
    </font>
    <font>
      <i/>
      <sz val="12"/>
      <name val="Times New Roman"/>
      <family val="1"/>
    </font>
    <font>
      <i/>
      <u/>
      <sz val="12"/>
      <name val="Times New Roman"/>
      <family val="1"/>
    </font>
    <font>
      <b/>
      <u/>
      <sz val="12"/>
      <name val="Times New Roman"/>
      <family val="1"/>
    </font>
    <font>
      <b/>
      <u/>
      <sz val="22"/>
      <name val="Times New Roman"/>
      <family val="1"/>
    </font>
    <font>
      <sz val="10.5"/>
      <name val="Times New Roman"/>
      <family val="1"/>
    </font>
    <font>
      <b/>
      <sz val="11"/>
      <name val="Times New Roman"/>
      <family val="1"/>
    </font>
    <font>
      <b/>
      <i/>
      <sz val="14"/>
      <name val="Times New Roman"/>
      <family val="1"/>
    </font>
    <font>
      <b/>
      <u/>
      <sz val="20"/>
      <name val="Times New Roman"/>
      <family val="1"/>
    </font>
    <font>
      <b/>
      <u/>
      <sz val="10"/>
      <name val="Times New Roman"/>
      <family val="1"/>
    </font>
    <font>
      <i/>
      <sz val="11"/>
      <name val="Times New Roman"/>
      <family val="1"/>
    </font>
    <font>
      <b/>
      <sz val="18"/>
      <name val="Arial"/>
      <family val="2"/>
    </font>
    <font>
      <sz val="8"/>
      <name val="Times New Roman"/>
      <family val="1"/>
    </font>
    <font>
      <sz val="7"/>
      <name val="Times New Roman"/>
      <family val="1"/>
    </font>
    <font>
      <b/>
      <u/>
      <sz val="11"/>
      <name val="Times New Roman"/>
      <family val="1"/>
    </font>
    <font>
      <sz val="12"/>
      <color theme="1"/>
      <name val="Times New Roman"/>
      <family val="1"/>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indexed="64"/>
      </bottom>
      <diagonal/>
    </border>
  </borders>
  <cellStyleXfs count="8">
    <xf numFmtId="0" fontId="0" fillId="0" borderId="0"/>
    <xf numFmtId="0" fontId="5" fillId="0" borderId="0"/>
    <xf numFmtId="0" fontId="1" fillId="0" borderId="0"/>
    <xf numFmtId="0" fontId="5" fillId="0" borderId="0"/>
    <xf numFmtId="0" fontId="1" fillId="0" borderId="0"/>
    <xf numFmtId="0" fontId="1" fillId="0" borderId="0"/>
    <xf numFmtId="0" fontId="1" fillId="0" borderId="0"/>
    <xf numFmtId="9" fontId="9" fillId="0" borderId="0" applyFont="0" applyFill="0" applyBorder="0" applyAlignment="0" applyProtection="0"/>
  </cellStyleXfs>
  <cellXfs count="287">
    <xf numFmtId="0" fontId="0" fillId="0" borderId="0" xfId="0"/>
    <xf numFmtId="0" fontId="6" fillId="0" borderId="0" xfId="0" applyFont="1" applyFill="1" applyBorder="1" applyAlignment="1">
      <alignment horizontal="center" vertical="top"/>
    </xf>
    <xf numFmtId="0" fontId="8" fillId="0" borderId="0" xfId="0" applyFont="1" applyFill="1" applyBorder="1" applyAlignment="1">
      <alignment vertical="top" wrapText="1"/>
    </xf>
    <xf numFmtId="0" fontId="8" fillId="0" borderId="0" xfId="0" applyFont="1" applyFill="1" applyBorder="1" applyAlignment="1">
      <alignment horizontal="center" vertical="top" wrapText="1"/>
    </xf>
    <xf numFmtId="0" fontId="8" fillId="0" borderId="0" xfId="0" applyFont="1" applyFill="1" applyBorder="1" applyAlignment="1">
      <alignment horizontal="justify" vertical="top" wrapText="1"/>
    </xf>
    <xf numFmtId="0" fontId="8" fillId="0" borderId="0" xfId="0" applyFont="1" applyFill="1" applyBorder="1" applyAlignment="1">
      <alignment horizontal="center" vertical="top"/>
    </xf>
    <xf numFmtId="0" fontId="8" fillId="0" borderId="0" xfId="0" applyFont="1" applyFill="1" applyBorder="1" applyAlignment="1"/>
    <xf numFmtId="2" fontId="8" fillId="0" borderId="0" xfId="0" applyNumberFormat="1" applyFont="1" applyFill="1" applyBorder="1" applyAlignment="1">
      <alignment horizontal="center" vertical="top" wrapText="1"/>
    </xf>
    <xf numFmtId="0" fontId="8" fillId="0" borderId="0" xfId="0" applyFont="1" applyFill="1" applyBorder="1" applyAlignment="1">
      <alignment vertical="top"/>
    </xf>
    <xf numFmtId="0" fontId="11" fillId="0" borderId="0" xfId="0" applyFont="1" applyFill="1" applyBorder="1" applyAlignment="1"/>
    <xf numFmtId="2" fontId="8" fillId="0" borderId="0" xfId="0" applyNumberFormat="1" applyFont="1" applyFill="1" applyBorder="1" applyAlignment="1">
      <alignment vertical="top"/>
    </xf>
    <xf numFmtId="0" fontId="7" fillId="0" borderId="0" xfId="0" applyFont="1" applyFill="1" applyBorder="1" applyAlignment="1">
      <alignment horizontal="center" vertical="top" wrapText="1"/>
    </xf>
    <xf numFmtId="2" fontId="8" fillId="0" borderId="0" xfId="0" applyNumberFormat="1" applyFont="1" applyFill="1" applyBorder="1" applyAlignment="1">
      <alignment vertical="top" wrapText="1"/>
    </xf>
    <xf numFmtId="0" fontId="8" fillId="0" borderId="0" xfId="0" applyFont="1" applyFill="1" applyBorder="1" applyAlignment="1">
      <alignment horizontal="justify" vertical="justify" wrapText="1"/>
    </xf>
    <xf numFmtId="0" fontId="8" fillId="0" borderId="0" xfId="0" applyFont="1" applyFill="1" applyBorder="1" applyAlignment="1">
      <alignment vertical="center"/>
    </xf>
    <xf numFmtId="2" fontId="8" fillId="0" borderId="0" xfId="0" applyNumberFormat="1" applyFont="1" applyFill="1" applyBorder="1" applyAlignment="1">
      <alignment horizontal="right" vertical="top" wrapText="1"/>
    </xf>
    <xf numFmtId="2" fontId="7" fillId="0" borderId="0" xfId="0" applyNumberFormat="1" applyFont="1" applyFill="1" applyBorder="1" applyAlignment="1">
      <alignment horizontal="center" vertical="top" wrapText="1"/>
    </xf>
    <xf numFmtId="2" fontId="8" fillId="0" borderId="0" xfId="0" applyNumberFormat="1" applyFont="1" applyFill="1" applyBorder="1" applyAlignment="1">
      <alignment horizontal="right" vertical="top"/>
    </xf>
    <xf numFmtId="0" fontId="8" fillId="0" borderId="0" xfId="0" applyFont="1" applyFill="1" applyBorder="1" applyAlignment="1">
      <alignment horizontal="right" vertical="top" wrapText="1"/>
    </xf>
    <xf numFmtId="0" fontId="7" fillId="0" borderId="0" xfId="0" applyFont="1" applyFill="1" applyBorder="1" applyAlignment="1">
      <alignment horizontal="center" vertical="top"/>
    </xf>
    <xf numFmtId="2" fontId="7" fillId="0" borderId="0" xfId="0" applyNumberFormat="1" applyFont="1" applyFill="1" applyBorder="1" applyAlignment="1">
      <alignment horizontal="center" vertical="top"/>
    </xf>
    <xf numFmtId="0" fontId="7" fillId="0" borderId="0" xfId="0" applyFont="1" applyFill="1" applyBorder="1" applyAlignment="1">
      <alignment vertical="top"/>
    </xf>
    <xf numFmtId="0" fontId="11" fillId="0" borderId="0" xfId="0" applyFont="1" applyFill="1" applyBorder="1" applyAlignment="1">
      <alignment vertical="top"/>
    </xf>
    <xf numFmtId="2" fontId="8" fillId="0" borderId="0" xfId="0" applyNumberFormat="1" applyFont="1" applyFill="1" applyBorder="1" applyAlignment="1">
      <alignment horizontal="center" vertical="center" wrapText="1"/>
    </xf>
    <xf numFmtId="0" fontId="5" fillId="0" borderId="0" xfId="0" applyFont="1" applyFill="1"/>
    <xf numFmtId="0" fontId="11" fillId="0" borderId="0" xfId="0" applyFont="1" applyFill="1" applyBorder="1" applyAlignment="1">
      <alignment horizontal="center" vertical="center"/>
    </xf>
    <xf numFmtId="0" fontId="10" fillId="0" borderId="0" xfId="0" applyFont="1" applyFill="1" applyBorder="1" applyAlignment="1">
      <alignment horizontal="center" vertical="center" wrapText="1"/>
    </xf>
    <xf numFmtId="0" fontId="11" fillId="0" borderId="0" xfId="0" applyFont="1" applyFill="1" applyAlignment="1">
      <alignment vertical="top"/>
    </xf>
    <xf numFmtId="0" fontId="11" fillId="0" borderId="0" xfId="0" applyFont="1" applyFill="1" applyAlignment="1"/>
    <xf numFmtId="0" fontId="7" fillId="0" borderId="0" xfId="0" applyFont="1" applyFill="1" applyBorder="1" applyAlignment="1">
      <alignment horizontal="justify" vertical="justify"/>
    </xf>
    <xf numFmtId="0" fontId="8" fillId="0" borderId="0" xfId="0" applyFont="1" applyFill="1" applyBorder="1" applyAlignment="1">
      <alignment horizontal="justify" vertical="justify"/>
    </xf>
    <xf numFmtId="0" fontId="8" fillId="0" borderId="0" xfId="0" applyFont="1" applyFill="1" applyBorder="1" applyAlignment="1">
      <alignment horizontal="right" vertical="top"/>
    </xf>
    <xf numFmtId="0" fontId="8" fillId="0" borderId="0" xfId="0" applyFont="1" applyFill="1" applyBorder="1" applyAlignment="1">
      <alignment horizontal="justify" vertical="top"/>
    </xf>
    <xf numFmtId="2" fontId="16" fillId="0" borderId="0" xfId="0" applyNumberFormat="1" applyFont="1" applyFill="1"/>
    <xf numFmtId="0" fontId="7" fillId="0" borderId="0" xfId="0" applyFont="1" applyFill="1" applyBorder="1" applyAlignment="1">
      <alignment horizontal="justify" vertical="top"/>
    </xf>
    <xf numFmtId="0" fontId="11" fillId="0" borderId="0" xfId="0" applyFont="1" applyFill="1" applyAlignment="1">
      <alignment horizontal="center"/>
    </xf>
    <xf numFmtId="0" fontId="16" fillId="0" borderId="0" xfId="0" applyNumberFormat="1" applyFont="1" applyFill="1" applyAlignment="1">
      <alignment vertical="top" wrapText="1"/>
    </xf>
    <xf numFmtId="2" fontId="16" fillId="0" borderId="0" xfId="0" applyNumberFormat="1" applyFont="1" applyFill="1" applyBorder="1" applyAlignment="1">
      <alignment horizontal="center" vertical="top"/>
    </xf>
    <xf numFmtId="0" fontId="16" fillId="0" borderId="0" xfId="0" applyFont="1" applyFill="1" applyBorder="1"/>
    <xf numFmtId="0" fontId="3" fillId="0" borderId="0" xfId="0" applyFont="1" applyFill="1"/>
    <xf numFmtId="2" fontId="17" fillId="0" borderId="0" xfId="0" applyNumberFormat="1" applyFont="1" applyFill="1"/>
    <xf numFmtId="2" fontId="1" fillId="0" borderId="0" xfId="4" applyNumberFormat="1" applyFill="1" applyBorder="1" applyAlignment="1">
      <alignment horizontal="center" vertical="top"/>
    </xf>
    <xf numFmtId="2" fontId="16" fillId="2" borderId="0" xfId="0" applyNumberFormat="1" applyFont="1" applyFill="1"/>
    <xf numFmtId="0" fontId="8" fillId="0" borderId="1" xfId="0" applyNumberFormat="1" applyFont="1" applyFill="1" applyBorder="1" applyAlignment="1">
      <alignment horizontal="left" vertical="top" wrapText="1"/>
    </xf>
    <xf numFmtId="2" fontId="8" fillId="0" borderId="1" xfId="0" applyNumberFormat="1" applyFont="1" applyFill="1" applyBorder="1" applyAlignment="1">
      <alignment horizontal="center" vertical="top"/>
    </xf>
    <xf numFmtId="0" fontId="7" fillId="0" borderId="1" xfId="0" applyFont="1" applyFill="1" applyBorder="1" applyAlignment="1">
      <alignment horizontal="center" vertical="center"/>
    </xf>
    <xf numFmtId="0" fontId="8" fillId="0" borderId="1" xfId="0" applyNumberFormat="1" applyFont="1" applyFill="1" applyBorder="1" applyAlignment="1">
      <alignment vertical="top" wrapText="1"/>
    </xf>
    <xf numFmtId="0" fontId="8" fillId="0" borderId="1" xfId="0" applyFont="1" applyFill="1" applyBorder="1" applyAlignment="1">
      <alignment vertical="top" wrapText="1"/>
    </xf>
    <xf numFmtId="0" fontId="8" fillId="0" borderId="1" xfId="0" applyNumberFormat="1" applyFont="1" applyFill="1" applyBorder="1" applyAlignment="1">
      <alignment vertical="top"/>
    </xf>
    <xf numFmtId="0" fontId="8" fillId="0" borderId="1" xfId="0" applyFont="1" applyFill="1" applyBorder="1" applyAlignment="1">
      <alignment horizontal="justify" vertical="top"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center" vertical="top" wrapText="1"/>
    </xf>
    <xf numFmtId="2" fontId="8" fillId="0" borderId="1" xfId="0" applyNumberFormat="1" applyFont="1" applyFill="1" applyBorder="1" applyAlignment="1">
      <alignment horizontal="center" vertical="top" wrapText="1"/>
    </xf>
    <xf numFmtId="2" fontId="8" fillId="0" borderId="1" xfId="0" applyNumberFormat="1" applyFont="1" applyFill="1" applyBorder="1" applyAlignment="1">
      <alignment vertical="top" wrapText="1"/>
    </xf>
    <xf numFmtId="0" fontId="8" fillId="0" borderId="1" xfId="0" applyNumberFormat="1" applyFont="1" applyFill="1" applyBorder="1" applyAlignment="1">
      <alignment horizontal="center" vertical="top" wrapText="1"/>
    </xf>
    <xf numFmtId="0" fontId="7" fillId="0" borderId="1" xfId="0" applyFont="1" applyFill="1" applyBorder="1" applyAlignment="1">
      <alignment horizontal="center" vertical="center" wrapText="1"/>
    </xf>
    <xf numFmtId="0" fontId="8" fillId="0" borderId="1" xfId="0" applyFont="1" applyFill="1" applyBorder="1" applyAlignment="1">
      <alignment horizontal="left" vertical="top" wrapText="1"/>
    </xf>
    <xf numFmtId="4" fontId="12" fillId="0" borderId="1" xfId="0" applyNumberFormat="1" applyFont="1" applyFill="1" applyBorder="1" applyAlignment="1">
      <alignment horizontal="center" vertical="top"/>
    </xf>
    <xf numFmtId="2" fontId="12" fillId="0" borderId="1" xfId="0" applyNumberFormat="1" applyFont="1" applyFill="1" applyBorder="1" applyAlignment="1">
      <alignment horizontal="center" vertical="top"/>
    </xf>
    <xf numFmtId="0" fontId="8" fillId="0" borderId="2" xfId="0" applyNumberFormat="1" applyFont="1" applyFill="1" applyBorder="1" applyAlignment="1">
      <alignment horizontal="center" vertical="top"/>
    </xf>
    <xf numFmtId="0" fontId="8" fillId="0" borderId="2" xfId="0" applyNumberFormat="1" applyFont="1" applyFill="1" applyBorder="1" applyAlignment="1">
      <alignment horizontal="left" vertical="top"/>
    </xf>
    <xf numFmtId="2" fontId="8" fillId="0" borderId="2" xfId="0" applyNumberFormat="1" applyFont="1" applyFill="1" applyBorder="1" applyAlignment="1">
      <alignment horizontal="center" vertical="top"/>
    </xf>
    <xf numFmtId="0" fontId="8" fillId="0" borderId="1" xfId="0" applyNumberFormat="1" applyFont="1" applyFill="1" applyBorder="1" applyAlignment="1">
      <alignment horizontal="center" vertical="top"/>
    </xf>
    <xf numFmtId="0" fontId="8" fillId="0" borderId="1" xfId="0" applyNumberFormat="1" applyFont="1" applyFill="1" applyBorder="1" applyAlignment="1">
      <alignment horizontal="left" vertical="top"/>
    </xf>
    <xf numFmtId="0" fontId="8" fillId="0" borderId="1" xfId="0" applyFont="1" applyFill="1" applyBorder="1" applyAlignment="1">
      <alignment horizontal="center" vertical="top"/>
    </xf>
    <xf numFmtId="2" fontId="8" fillId="0" borderId="1" xfId="0" applyNumberFormat="1" applyFont="1" applyFill="1" applyBorder="1" applyAlignment="1">
      <alignment vertical="top"/>
    </xf>
    <xf numFmtId="0" fontId="8" fillId="0" borderId="1" xfId="0" applyFont="1" applyFill="1" applyBorder="1" applyAlignment="1">
      <alignment horizontal="left" vertical="top"/>
    </xf>
    <xf numFmtId="0" fontId="8" fillId="0" borderId="1" xfId="0" applyNumberFormat="1" applyFont="1" applyFill="1" applyBorder="1" applyAlignment="1">
      <alignment horizontal="justify" vertical="top" wrapText="1"/>
    </xf>
    <xf numFmtId="4" fontId="16" fillId="0" borderId="0" xfId="0" applyNumberFormat="1" applyFont="1" applyFill="1" applyAlignment="1">
      <alignment horizontal="center" vertical="top"/>
    </xf>
    <xf numFmtId="2" fontId="20" fillId="0" borderId="1" xfId="4" applyNumberFormat="1" applyFont="1" applyFill="1" applyBorder="1" applyAlignment="1">
      <alignment horizontal="center" vertical="top"/>
    </xf>
    <xf numFmtId="2" fontId="19" fillId="0" borderId="2" xfId="4" applyNumberFormat="1" applyFont="1" applyFill="1" applyBorder="1" applyAlignment="1">
      <alignment horizontal="center" vertical="top"/>
    </xf>
    <xf numFmtId="2" fontId="19" fillId="0" borderId="1" xfId="4" applyNumberFormat="1" applyFont="1" applyFill="1" applyBorder="1" applyAlignment="1">
      <alignment horizontal="center" vertical="top"/>
    </xf>
    <xf numFmtId="0" fontId="8" fillId="0" borderId="1" xfId="2" applyNumberFormat="1" applyFont="1" applyFill="1" applyBorder="1" applyAlignment="1">
      <alignment horizontal="center" vertical="top"/>
    </xf>
    <xf numFmtId="0" fontId="8" fillId="0" borderId="1" xfId="2" applyNumberFormat="1" applyFont="1" applyFill="1" applyBorder="1" applyAlignment="1">
      <alignment horizontal="left" vertical="top" wrapText="1"/>
    </xf>
    <xf numFmtId="2" fontId="8" fillId="0" borderId="1" xfId="2" applyNumberFormat="1" applyFont="1" applyFill="1" applyBorder="1" applyAlignment="1">
      <alignment horizontal="center" vertical="top"/>
    </xf>
    <xf numFmtId="2" fontId="19" fillId="0" borderId="1" xfId="5" applyNumberFormat="1" applyFont="1" applyFill="1" applyBorder="1" applyAlignment="1">
      <alignment horizontal="center" vertical="top"/>
    </xf>
    <xf numFmtId="2" fontId="8" fillId="0" borderId="1" xfId="4" applyNumberFormat="1" applyFont="1" applyFill="1" applyBorder="1" applyAlignment="1">
      <alignment horizontal="center" vertical="top"/>
    </xf>
    <xf numFmtId="2" fontId="8" fillId="0" borderId="1" xfId="4" applyNumberFormat="1" applyFont="1" applyFill="1" applyBorder="1" applyAlignment="1">
      <alignment horizontal="center" vertical="top" wrapText="1"/>
    </xf>
    <xf numFmtId="0" fontId="8" fillId="0" borderId="1" xfId="2" applyFont="1" applyFill="1" applyBorder="1" applyAlignment="1">
      <alignment horizontal="center" vertical="top"/>
    </xf>
    <xf numFmtId="0" fontId="8" fillId="0" borderId="1" xfId="2" applyNumberFormat="1" applyFont="1" applyFill="1" applyBorder="1" applyAlignment="1">
      <alignment vertical="top" wrapText="1"/>
    </xf>
    <xf numFmtId="0" fontId="8" fillId="0" borderId="1" xfId="2" applyNumberFormat="1" applyFont="1" applyFill="1" applyBorder="1" applyAlignment="1">
      <alignment horizontal="center" vertical="top" wrapText="1"/>
    </xf>
    <xf numFmtId="10" fontId="19" fillId="0" borderId="1" xfId="4" applyNumberFormat="1" applyFont="1" applyFill="1" applyBorder="1" applyAlignment="1">
      <alignment horizontal="center" vertical="top"/>
    </xf>
    <xf numFmtId="0" fontId="7" fillId="0" borderId="0" xfId="0" applyFont="1" applyFill="1" applyAlignment="1"/>
    <xf numFmtId="0" fontId="8" fillId="0" borderId="0" xfId="0" applyFont="1" applyFill="1" applyAlignment="1"/>
    <xf numFmtId="0" fontId="8" fillId="0" borderId="0" xfId="0" applyFont="1" applyFill="1" applyAlignment="1">
      <alignment horizontal="center"/>
    </xf>
    <xf numFmtId="0" fontId="8" fillId="0" borderId="1" xfId="0" applyFont="1" applyFill="1" applyBorder="1" applyAlignment="1">
      <alignment horizontal="left" vertical="center" wrapText="1"/>
    </xf>
    <xf numFmtId="2" fontId="8" fillId="0" borderId="1" xfId="0" applyNumberFormat="1" applyFont="1" applyFill="1" applyBorder="1" applyAlignment="1">
      <alignment horizontal="center" vertical="center" wrapText="1"/>
    </xf>
    <xf numFmtId="0" fontId="8" fillId="0" borderId="1" xfId="0" applyFont="1" applyFill="1" applyBorder="1" applyAlignment="1">
      <alignment horizontal="justify" vertical="justify" wrapText="1"/>
    </xf>
    <xf numFmtId="2" fontId="8" fillId="0" borderId="1" xfId="0" quotePrefix="1"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7" fillId="0" borderId="1" xfId="0" quotePrefix="1" applyFont="1" applyFill="1" applyBorder="1" applyAlignment="1">
      <alignment horizontal="center" wrapText="1"/>
    </xf>
    <xf numFmtId="0" fontId="6" fillId="0" borderId="1" xfId="0" quotePrefix="1" applyFont="1" applyFill="1" applyBorder="1" applyAlignment="1">
      <alignment horizontal="center" vertical="top" wrapText="1"/>
    </xf>
    <xf numFmtId="0" fontId="8" fillId="0" borderId="0" xfId="0" applyFont="1" applyFill="1" applyAlignment="1">
      <alignment horizontal="center" vertical="top" wrapText="1"/>
    </xf>
    <xf numFmtId="0" fontId="8" fillId="0" borderId="0" xfId="0" applyFont="1" applyFill="1" applyAlignment="1">
      <alignment horizontal="justify" vertical="top" wrapText="1"/>
    </xf>
    <xf numFmtId="2" fontId="8" fillId="0" borderId="0" xfId="0" applyNumberFormat="1" applyFont="1" applyFill="1" applyAlignment="1">
      <alignment horizontal="center" vertical="top" wrapText="1"/>
    </xf>
    <xf numFmtId="2" fontId="8" fillId="0" borderId="0" xfId="0" applyNumberFormat="1" applyFont="1" applyFill="1" applyAlignment="1">
      <alignment horizontal="center" vertical="top"/>
    </xf>
    <xf numFmtId="0" fontId="8" fillId="0" borderId="0" xfId="0" applyFont="1" applyFill="1" applyAlignment="1">
      <alignment horizontal="center" vertical="top"/>
    </xf>
    <xf numFmtId="0" fontId="8" fillId="0" borderId="0" xfId="0" applyFont="1" applyFill="1" applyAlignment="1">
      <alignment horizontal="left" vertical="top" wrapText="1"/>
    </xf>
    <xf numFmtId="0" fontId="8" fillId="0" borderId="0" xfId="0" applyFont="1" applyFill="1" applyAlignment="1">
      <alignment vertical="top" wrapText="1"/>
    </xf>
    <xf numFmtId="0" fontId="7" fillId="0" borderId="0" xfId="0" applyFont="1" applyFill="1" applyAlignment="1">
      <alignment horizontal="center" vertical="top" wrapText="1"/>
    </xf>
    <xf numFmtId="0" fontId="7" fillId="0" borderId="0" xfId="0" applyFont="1" applyFill="1" applyBorder="1" applyAlignment="1"/>
    <xf numFmtId="2" fontId="8" fillId="0" borderId="0" xfId="0" applyNumberFormat="1" applyFont="1" applyFill="1" applyBorder="1" applyAlignment="1">
      <alignment horizontal="center" vertical="top"/>
    </xf>
    <xf numFmtId="0" fontId="7" fillId="0" borderId="0" xfId="0" applyFont="1" applyFill="1" applyBorder="1" applyAlignment="1">
      <alignment horizontal="justify" vertical="top" wrapText="1"/>
    </xf>
    <xf numFmtId="164" fontId="8" fillId="0" borderId="0" xfId="0" applyNumberFormat="1" applyFont="1" applyFill="1" applyBorder="1" applyAlignment="1">
      <alignment horizontal="center" vertical="top" wrapText="1"/>
    </xf>
    <xf numFmtId="2" fontId="8" fillId="0" borderId="0" xfId="0" quotePrefix="1" applyNumberFormat="1" applyFont="1" applyFill="1" applyBorder="1" applyAlignment="1">
      <alignment horizontal="center" vertical="top"/>
    </xf>
    <xf numFmtId="0" fontId="6" fillId="0" borderId="1" xfId="0" applyFont="1" applyFill="1" applyBorder="1" applyAlignment="1">
      <alignment horizontal="center" vertical="center"/>
    </xf>
    <xf numFmtId="1" fontId="6" fillId="0" borderId="1" xfId="0" applyNumberFormat="1" applyFont="1" applyFill="1" applyBorder="1" applyAlignment="1">
      <alignment horizontal="center" vertical="center"/>
    </xf>
    <xf numFmtId="0" fontId="6" fillId="0" borderId="0" xfId="0" applyFont="1" applyFill="1" applyBorder="1" applyAlignment="1">
      <alignment horizontal="justify" vertical="top"/>
    </xf>
    <xf numFmtId="0" fontId="6" fillId="0" borderId="0" xfId="0" applyFont="1" applyFill="1" applyBorder="1" applyAlignment="1">
      <alignment horizontal="justify" vertical="top" wrapText="1"/>
    </xf>
    <xf numFmtId="2" fontId="8" fillId="0" borderId="0" xfId="0" applyNumberFormat="1" applyFont="1" applyFill="1" applyBorder="1" applyAlignment="1">
      <alignment horizontal="center" vertical="center"/>
    </xf>
    <xf numFmtId="0" fontId="6" fillId="0" borderId="1" xfId="0" applyFont="1" applyFill="1" applyBorder="1" applyAlignment="1">
      <alignment horizontal="center" vertical="top" wrapText="1"/>
    </xf>
    <xf numFmtId="9" fontId="8" fillId="0" borderId="0" xfId="7" applyFont="1" applyFill="1" applyBorder="1" applyAlignment="1"/>
    <xf numFmtId="0" fontId="8" fillId="0" borderId="0" xfId="0" applyFont="1" applyFill="1" applyBorder="1" applyAlignment="1">
      <alignment horizontal="center" vertical="center"/>
    </xf>
    <xf numFmtId="0" fontId="23" fillId="0" borderId="0" xfId="0" applyFont="1" applyFill="1" applyBorder="1" applyAlignment="1">
      <alignment horizontal="center" vertical="top" wrapText="1"/>
    </xf>
    <xf numFmtId="164" fontId="8" fillId="0" borderId="0" xfId="0" applyNumberFormat="1" applyFont="1" applyFill="1" applyAlignment="1">
      <alignment horizontal="center" vertical="top" wrapText="1"/>
    </xf>
    <xf numFmtId="164" fontId="8" fillId="0" borderId="0" xfId="0" applyNumberFormat="1" applyFont="1" applyFill="1" applyAlignment="1">
      <alignment horizontal="center" vertical="top"/>
    </xf>
    <xf numFmtId="0" fontId="8" fillId="0" borderId="0" xfId="0" applyFont="1" applyFill="1" applyAlignment="1">
      <alignment horizontal="justify" vertical="justify" wrapText="1"/>
    </xf>
    <xf numFmtId="0" fontId="7" fillId="0" borderId="0" xfId="0" applyFont="1" applyFill="1" applyBorder="1" applyAlignment="1">
      <alignment horizontal="center" vertical="center" wrapText="1"/>
    </xf>
    <xf numFmtId="0" fontId="8" fillId="0" borderId="0" xfId="0" applyFont="1" applyFill="1" applyBorder="1" applyAlignment="1">
      <alignment horizontal="center"/>
    </xf>
    <xf numFmtId="0" fontId="26" fillId="0" borderId="0" xfId="0" applyFont="1" applyFill="1" applyBorder="1" applyAlignment="1">
      <alignment horizontal="center" vertical="top" wrapText="1"/>
    </xf>
    <xf numFmtId="0" fontId="8" fillId="0" borderId="0" xfId="0" quotePrefix="1" applyFont="1" applyFill="1" applyAlignment="1">
      <alignment horizontal="center" vertical="top" wrapText="1"/>
    </xf>
    <xf numFmtId="0" fontId="7" fillId="0" borderId="0" xfId="0" applyFont="1" applyFill="1" applyBorder="1" applyAlignment="1">
      <alignment horizontal="center" vertical="center"/>
    </xf>
    <xf numFmtId="0" fontId="8" fillId="0" borderId="0" xfId="0" applyFont="1" applyFill="1" applyBorder="1" applyAlignment="1">
      <alignment horizontal="center" vertical="center" wrapText="1"/>
    </xf>
    <xf numFmtId="0" fontId="27" fillId="0" borderId="0" xfId="0" applyFont="1" applyFill="1" applyAlignment="1">
      <alignment vertical="top"/>
    </xf>
    <xf numFmtId="0" fontId="7" fillId="0" borderId="0" xfId="0" applyFont="1" applyFill="1" applyBorder="1" applyAlignment="1">
      <alignment horizontal="center"/>
    </xf>
    <xf numFmtId="0" fontId="7" fillId="0" borderId="0" xfId="0" applyFont="1" applyFill="1" applyBorder="1" applyAlignment="1">
      <alignment horizontal="justify" vertical="justify" wrapText="1"/>
    </xf>
    <xf numFmtId="0" fontId="23" fillId="0" borderId="0" xfId="0" applyFont="1" applyFill="1" applyBorder="1" applyAlignment="1">
      <alignment vertical="top"/>
    </xf>
    <xf numFmtId="0" fontId="8" fillId="0" borderId="0" xfId="0" applyFont="1" applyFill="1" applyAlignment="1">
      <alignment horizontal="justify" vertical="top"/>
    </xf>
    <xf numFmtId="0" fontId="8" fillId="0" borderId="0" xfId="0" quotePrefix="1" applyFont="1" applyFill="1" applyBorder="1" applyAlignment="1">
      <alignment horizontal="center" vertical="top" wrapText="1"/>
    </xf>
    <xf numFmtId="2" fontId="8" fillId="0" borderId="0" xfId="0" quotePrefix="1" applyNumberFormat="1" applyFont="1" applyFill="1" applyBorder="1" applyAlignment="1">
      <alignment horizontal="center" vertical="top" wrapText="1"/>
    </xf>
    <xf numFmtId="0" fontId="23" fillId="0" borderId="0" xfId="0" applyFont="1" applyFill="1" applyBorder="1" applyAlignment="1">
      <alignment horizontal="center" vertical="top"/>
    </xf>
    <xf numFmtId="0" fontId="8" fillId="0" borderId="0" xfId="0" applyFont="1" applyFill="1" applyBorder="1" applyAlignment="1">
      <alignment horizontal="center" wrapText="1"/>
    </xf>
    <xf numFmtId="2" fontId="8" fillId="0" borderId="0" xfId="0" applyNumberFormat="1" applyFont="1" applyFill="1" applyBorder="1" applyAlignment="1">
      <alignment horizontal="center"/>
    </xf>
    <xf numFmtId="2" fontId="8" fillId="0" borderId="0" xfId="0" applyNumberFormat="1" applyFont="1" applyFill="1" applyBorder="1" applyAlignment="1">
      <alignment horizontal="center" wrapText="1"/>
    </xf>
    <xf numFmtId="0" fontId="8" fillId="0" borderId="0" xfId="0" applyFont="1" applyFill="1" applyBorder="1" applyAlignment="1">
      <alignment horizontal="center" vertical="justify"/>
    </xf>
    <xf numFmtId="0" fontId="26" fillId="0" borderId="0" xfId="0" applyFont="1" applyFill="1" applyBorder="1" applyAlignment="1">
      <alignment vertical="top"/>
    </xf>
    <xf numFmtId="0" fontId="26" fillId="0" borderId="0" xfId="0" applyFont="1" applyFill="1" applyBorder="1" applyAlignment="1">
      <alignment horizontal="center" vertical="top"/>
    </xf>
    <xf numFmtId="0" fontId="8" fillId="0" borderId="0" xfId="0" quotePrefix="1" applyFont="1" applyFill="1" applyBorder="1" applyAlignment="1">
      <alignment horizontal="justify" vertical="justify" wrapText="1"/>
    </xf>
    <xf numFmtId="0" fontId="8" fillId="0" borderId="0" xfId="0" applyFont="1" applyFill="1" applyBorder="1"/>
    <xf numFmtId="0" fontId="13" fillId="0" borderId="0" xfId="0" applyFont="1" applyFill="1" applyBorder="1" applyAlignment="1">
      <alignment horizontal="justify" vertical="top"/>
    </xf>
    <xf numFmtId="0" fontId="23" fillId="0" borderId="0" xfId="0" applyFont="1" applyFill="1" applyBorder="1" applyAlignment="1">
      <alignment horizontal="justify" vertical="justify"/>
    </xf>
    <xf numFmtId="2" fontId="23" fillId="0" borderId="0" xfId="0" applyNumberFormat="1" applyFont="1" applyFill="1" applyBorder="1" applyAlignment="1">
      <alignment horizontal="center" vertical="top"/>
    </xf>
    <xf numFmtId="9" fontId="8" fillId="0" borderId="0" xfId="7" applyFont="1" applyFill="1" applyBorder="1" applyAlignment="1">
      <alignment horizontal="center" vertical="top" wrapText="1"/>
    </xf>
    <xf numFmtId="0" fontId="8" fillId="0" borderId="0" xfId="0" applyFont="1" applyFill="1" applyBorder="1" applyAlignment="1">
      <alignment horizontal="left" vertical="center"/>
    </xf>
    <xf numFmtId="0" fontId="26" fillId="0" borderId="0" xfId="0" applyFont="1" applyFill="1" applyBorder="1" applyAlignment="1">
      <alignment vertical="center"/>
    </xf>
    <xf numFmtId="0" fontId="14" fillId="0" borderId="0" xfId="0" applyFont="1" applyFill="1" applyBorder="1" applyAlignment="1">
      <alignment vertical="top" wrapText="1"/>
    </xf>
    <xf numFmtId="0" fontId="8" fillId="0" borderId="0" xfId="0" applyFont="1" applyFill="1" applyBorder="1" applyAlignment="1">
      <alignment horizontal="left" vertical="center" wrapText="1"/>
    </xf>
    <xf numFmtId="0" fontId="8" fillId="0" borderId="0" xfId="0" applyNumberFormat="1" applyFont="1" applyFill="1" applyBorder="1" applyAlignment="1">
      <alignment horizontal="center" vertical="top" wrapText="1"/>
    </xf>
    <xf numFmtId="0" fontId="8" fillId="0" borderId="0" xfId="0" applyNumberFormat="1" applyFont="1" applyFill="1" applyBorder="1" applyAlignment="1">
      <alignment vertical="top" wrapText="1"/>
    </xf>
    <xf numFmtId="0" fontId="8" fillId="0" borderId="0" xfId="0" applyNumberFormat="1" applyFont="1" applyFill="1" applyBorder="1" applyAlignment="1">
      <alignment horizontal="justify" vertical="top" wrapText="1"/>
    </xf>
    <xf numFmtId="0" fontId="7" fillId="0" borderId="0" xfId="0" applyNumberFormat="1" applyFont="1" applyFill="1" applyBorder="1" applyAlignment="1">
      <alignment horizontal="center" vertical="top" wrapText="1"/>
    </xf>
    <xf numFmtId="1" fontId="8" fillId="0" borderId="0" xfId="0" applyNumberFormat="1" applyFont="1" applyFill="1" applyBorder="1" applyAlignment="1">
      <alignment horizontal="center" vertical="top"/>
    </xf>
    <xf numFmtId="2" fontId="7" fillId="0" borderId="0" xfId="0" applyNumberFormat="1" applyFont="1" applyFill="1" applyBorder="1" applyAlignment="1">
      <alignment horizontal="right" vertical="top"/>
    </xf>
    <xf numFmtId="2" fontId="8" fillId="0" borderId="0" xfId="4" applyNumberFormat="1" applyFont="1" applyFill="1" applyBorder="1" applyAlignment="1">
      <alignment horizontal="center" vertical="top"/>
    </xf>
    <xf numFmtId="2" fontId="8" fillId="0" borderId="0" xfId="4" quotePrefix="1" applyNumberFormat="1" applyFont="1" applyFill="1" applyBorder="1" applyAlignment="1">
      <alignment horizontal="center" vertical="top"/>
    </xf>
    <xf numFmtId="0" fontId="8" fillId="0" borderId="0" xfId="0" applyFont="1" applyFill="1" applyBorder="1" applyAlignment="1">
      <alignment vertical="justify"/>
    </xf>
    <xf numFmtId="0" fontId="26" fillId="0" borderId="0" xfId="0" applyFont="1" applyFill="1" applyBorder="1" applyAlignment="1">
      <alignment horizontal="justify" vertical="justify" wrapText="1"/>
    </xf>
    <xf numFmtId="0" fontId="23" fillId="0" borderId="0" xfId="0" applyFont="1" applyFill="1" applyBorder="1" applyAlignment="1">
      <alignment horizontal="justify" vertical="justify" wrapText="1"/>
    </xf>
    <xf numFmtId="2" fontId="8" fillId="0" borderId="0" xfId="0" applyNumberFormat="1" applyFont="1" applyFill="1" applyBorder="1" applyAlignment="1">
      <alignment vertical="center"/>
    </xf>
    <xf numFmtId="164" fontId="8" fillId="0" borderId="0" xfId="0" applyNumberFormat="1" applyFont="1" applyFill="1" applyBorder="1" applyAlignment="1">
      <alignment horizontal="center" vertical="top"/>
    </xf>
    <xf numFmtId="9" fontId="8" fillId="0" borderId="0" xfId="7" applyFont="1" applyFill="1" applyBorder="1" applyAlignment="1">
      <alignment vertical="top"/>
    </xf>
    <xf numFmtId="10" fontId="8" fillId="0" borderId="0" xfId="0" quotePrefix="1" applyNumberFormat="1" applyFont="1" applyFill="1" applyBorder="1" applyAlignment="1">
      <alignment horizontal="center" vertical="top" wrapText="1"/>
    </xf>
    <xf numFmtId="9" fontId="8" fillId="0" borderId="0" xfId="0" quotePrefix="1" applyNumberFormat="1" applyFont="1" applyFill="1" applyBorder="1" applyAlignment="1">
      <alignment horizontal="center" vertical="top" wrapText="1"/>
    </xf>
    <xf numFmtId="9" fontId="8" fillId="0" borderId="0" xfId="7" applyFont="1" applyFill="1" applyBorder="1" applyAlignment="1">
      <alignment horizontal="center" vertical="top"/>
    </xf>
    <xf numFmtId="0" fontId="8" fillId="0" borderId="0" xfId="0" applyFont="1" applyFill="1" applyBorder="1" applyAlignment="1">
      <alignment horizontal="center" vertical="justify" wrapText="1"/>
    </xf>
    <xf numFmtId="0" fontId="7" fillId="0" borderId="0" xfId="0" applyFont="1" applyFill="1" applyBorder="1" applyAlignment="1">
      <alignment horizontal="center" vertical="justify" wrapText="1"/>
    </xf>
    <xf numFmtId="2" fontId="8" fillId="0" borderId="0" xfId="0" applyNumberFormat="1" applyFont="1" applyFill="1" applyBorder="1" applyAlignment="1">
      <alignment horizontal="center" vertical="justify" wrapText="1"/>
    </xf>
    <xf numFmtId="0" fontId="24" fillId="0" borderId="0" xfId="0" applyFont="1" applyFill="1" applyBorder="1" applyAlignment="1">
      <alignment vertical="center"/>
    </xf>
    <xf numFmtId="0" fontId="8" fillId="0" borderId="0" xfId="0" quotePrefix="1" applyFont="1" applyFill="1" applyBorder="1" applyAlignment="1">
      <alignment horizontal="center" vertical="justify" wrapText="1"/>
    </xf>
    <xf numFmtId="164" fontId="8" fillId="0" borderId="0" xfId="0" applyNumberFormat="1" applyFont="1" applyFill="1" applyBorder="1" applyAlignment="1">
      <alignment horizontal="center" vertical="justify" wrapText="1"/>
    </xf>
    <xf numFmtId="2" fontId="8" fillId="0" borderId="0" xfId="0" applyNumberFormat="1" applyFont="1" applyFill="1" applyBorder="1" applyAlignment="1">
      <alignment horizontal="right" wrapText="1"/>
    </xf>
    <xf numFmtId="2" fontId="7" fillId="0" borderId="0" xfId="0" applyNumberFormat="1" applyFont="1" applyFill="1" applyBorder="1" applyAlignment="1">
      <alignment horizontal="center" vertical="justify" wrapText="1"/>
    </xf>
    <xf numFmtId="2" fontId="7" fillId="0" borderId="1" xfId="0" applyNumberFormat="1" applyFont="1" applyFill="1" applyBorder="1" applyAlignment="1">
      <alignment horizontal="center" vertical="center" wrapText="1"/>
    </xf>
    <xf numFmtId="2" fontId="8" fillId="0" borderId="0" xfId="0" applyNumberFormat="1" applyFont="1" applyFill="1" applyBorder="1" applyAlignment="1"/>
    <xf numFmtId="0" fontId="22" fillId="0" borderId="0" xfId="0" applyFont="1" applyFill="1" applyBorder="1" applyAlignment="1">
      <alignment vertical="center"/>
    </xf>
    <xf numFmtId="0" fontId="8" fillId="3" borderId="0" xfId="0" applyFont="1" applyFill="1" applyBorder="1" applyAlignment="1">
      <alignment vertical="top"/>
    </xf>
    <xf numFmtId="0" fontId="8" fillId="3" borderId="0" xfId="0" applyFont="1" applyFill="1" applyBorder="1" applyAlignment="1"/>
    <xf numFmtId="0" fontId="8" fillId="3" borderId="0" xfId="0" applyFont="1" applyFill="1" applyBorder="1"/>
    <xf numFmtId="0" fontId="8" fillId="2" borderId="0" xfId="0" applyFont="1" applyFill="1" applyBorder="1" applyAlignment="1"/>
    <xf numFmtId="0" fontId="23" fillId="0" borderId="0" xfId="0" applyFont="1" applyFill="1" applyBorder="1" applyAlignment="1">
      <alignment vertical="center"/>
    </xf>
    <xf numFmtId="2" fontId="7" fillId="3" borderId="0" xfId="0" applyNumberFormat="1" applyFont="1" applyFill="1" applyBorder="1" applyAlignment="1">
      <alignment horizontal="center" vertical="top"/>
    </xf>
    <xf numFmtId="9" fontId="8" fillId="0" borderId="0" xfId="0" applyNumberFormat="1" applyFont="1" applyFill="1" applyBorder="1" applyAlignment="1"/>
    <xf numFmtId="9" fontId="8" fillId="0" borderId="0" xfId="0" applyNumberFormat="1" applyFont="1" applyFill="1" applyBorder="1" applyAlignment="1">
      <alignment vertical="top"/>
    </xf>
    <xf numFmtId="0" fontId="7" fillId="0" borderId="0" xfId="0" applyFont="1" applyFill="1" applyBorder="1" applyAlignment="1">
      <alignment horizontal="left" vertical="center"/>
    </xf>
    <xf numFmtId="0" fontId="28" fillId="0" borderId="0" xfId="0" applyFont="1" applyFill="1" applyBorder="1" applyAlignment="1">
      <alignment horizontal="center" vertical="top" wrapText="1"/>
    </xf>
    <xf numFmtId="0" fontId="19" fillId="0" borderId="0" xfId="0" applyFont="1" applyAlignment="1">
      <alignment vertical="center"/>
    </xf>
    <xf numFmtId="0" fontId="19" fillId="0" borderId="0" xfId="0" applyFont="1"/>
    <xf numFmtId="2" fontId="40" fillId="0" borderId="0" xfId="0" applyNumberFormat="1" applyFont="1" applyFill="1" applyBorder="1" applyAlignment="1">
      <alignment horizontal="center" vertical="top" wrapText="1"/>
    </xf>
    <xf numFmtId="0" fontId="40" fillId="0" borderId="0" xfId="0" applyFont="1" applyFill="1" applyBorder="1" applyAlignment="1">
      <alignment horizontal="center" vertical="top" wrapText="1"/>
    </xf>
    <xf numFmtId="0" fontId="40" fillId="0" borderId="0" xfId="0" applyFont="1" applyFill="1" applyBorder="1" applyAlignment="1">
      <alignment horizontal="center" vertical="top"/>
    </xf>
    <xf numFmtId="0" fontId="7" fillId="0" borderId="0" xfId="0" applyNumberFormat="1" applyFont="1" applyFill="1" applyBorder="1" applyAlignment="1">
      <alignment horizontal="justify" vertical="justify" wrapText="1"/>
    </xf>
    <xf numFmtId="0" fontId="8" fillId="0" borderId="0" xfId="0" applyNumberFormat="1" applyFont="1" applyFill="1" applyBorder="1" applyAlignment="1">
      <alignment horizontal="justify" vertical="justify" wrapText="1"/>
    </xf>
    <xf numFmtId="2" fontId="7" fillId="0" borderId="0" xfId="0" applyNumberFormat="1" applyFont="1" applyFill="1" applyBorder="1" applyAlignment="1">
      <alignment horizontal="justify" vertical="justify" wrapText="1"/>
    </xf>
    <xf numFmtId="2" fontId="8" fillId="0" borderId="0" xfId="0" applyNumberFormat="1" applyFont="1" applyFill="1" applyBorder="1" applyAlignment="1">
      <alignment horizontal="justify" vertical="justify" wrapText="1"/>
    </xf>
    <xf numFmtId="0" fontId="28" fillId="0" borderId="0" xfId="0" applyFont="1" applyFill="1" applyBorder="1" applyAlignment="1">
      <alignment horizontal="justify" vertical="justify" wrapText="1"/>
    </xf>
    <xf numFmtId="0" fontId="8" fillId="0" borderId="0" xfId="0" quotePrefix="1" applyNumberFormat="1" applyFont="1" applyFill="1" applyBorder="1" applyAlignment="1">
      <alignment horizontal="justify" vertical="justify" wrapText="1"/>
    </xf>
    <xf numFmtId="0" fontId="26" fillId="0" borderId="0" xfId="0" applyFont="1" applyFill="1" applyBorder="1" applyAlignment="1">
      <alignment horizontal="justify" vertical="justify"/>
    </xf>
    <xf numFmtId="2" fontId="8" fillId="0" borderId="0" xfId="0" applyNumberFormat="1" applyFont="1" applyFill="1" applyBorder="1" applyAlignment="1">
      <alignment horizontal="justify" vertical="justify"/>
    </xf>
    <xf numFmtId="2" fontId="7" fillId="0" borderId="0" xfId="0" applyNumberFormat="1" applyFont="1" applyFill="1" applyBorder="1" applyAlignment="1">
      <alignment horizontal="justify" vertical="justify"/>
    </xf>
    <xf numFmtId="0" fontId="40" fillId="0" borderId="0" xfId="0" applyFont="1" applyFill="1" applyBorder="1" applyAlignment="1">
      <alignment horizontal="justify" vertical="justify" wrapText="1"/>
    </xf>
    <xf numFmtId="0" fontId="8" fillId="0" borderId="0" xfId="0" applyFont="1" applyFill="1" applyAlignment="1">
      <alignment horizontal="justify" vertical="justify"/>
    </xf>
    <xf numFmtId="0" fontId="8" fillId="0" borderId="0" xfId="0" applyNumberFormat="1" applyFont="1" applyFill="1" applyAlignment="1">
      <alignment horizontal="justify" vertical="justify"/>
    </xf>
    <xf numFmtId="0" fontId="2" fillId="0" borderId="0" xfId="0" applyFont="1" applyFill="1" applyBorder="1" applyAlignment="1">
      <alignment horizontal="justify" vertical="justify" wrapText="1"/>
    </xf>
    <xf numFmtId="0" fontId="2" fillId="0" borderId="0" xfId="0" applyNumberFormat="1" applyFont="1" applyFill="1" applyBorder="1" applyAlignment="1">
      <alignment horizontal="justify" vertical="justify" wrapText="1"/>
    </xf>
    <xf numFmtId="2" fontId="8" fillId="0" borderId="0" xfId="0" applyNumberFormat="1" applyFont="1" applyFill="1" applyAlignment="1">
      <alignment horizontal="center" vertical="justify" wrapText="1"/>
    </xf>
    <xf numFmtId="1" fontId="2" fillId="0" borderId="0" xfId="0" applyNumberFormat="1" applyFont="1" applyFill="1" applyAlignment="1">
      <alignment horizontal="justify" vertical="justify"/>
    </xf>
    <xf numFmtId="0" fontId="2" fillId="0" borderId="0" xfId="0" applyFont="1" applyFill="1" applyBorder="1" applyAlignment="1">
      <alignment horizontal="justify" vertical="justify"/>
    </xf>
    <xf numFmtId="2" fontId="2" fillId="0" borderId="0" xfId="0" applyNumberFormat="1" applyFont="1" applyFill="1" applyBorder="1" applyAlignment="1">
      <alignment horizontal="center" vertical="top" wrapText="1"/>
    </xf>
    <xf numFmtId="2" fontId="3" fillId="0" borderId="0" xfId="0" applyNumberFormat="1" applyFont="1" applyFill="1" applyBorder="1" applyAlignment="1">
      <alignment horizontal="center" vertical="top" wrapText="1"/>
    </xf>
    <xf numFmtId="0" fontId="3" fillId="0" borderId="0" xfId="0" applyFont="1" applyFill="1" applyBorder="1" applyAlignment="1">
      <alignment horizontal="justify" vertical="justify" wrapText="1"/>
    </xf>
    <xf numFmtId="2" fontId="4" fillId="0" borderId="0" xfId="0" applyNumberFormat="1" applyFont="1" applyFill="1" applyBorder="1" applyAlignment="1">
      <alignment horizontal="justify" vertical="justify"/>
    </xf>
    <xf numFmtId="0" fontId="3" fillId="0" borderId="0" xfId="0" quotePrefix="1" applyFont="1" applyFill="1" applyBorder="1" applyAlignment="1">
      <alignment horizontal="justify" vertical="justify" wrapText="1"/>
    </xf>
    <xf numFmtId="0" fontId="3" fillId="0" borderId="0" xfId="0" applyFont="1" applyFill="1" applyBorder="1" applyAlignment="1">
      <alignment vertical="justify" wrapText="1"/>
    </xf>
    <xf numFmtId="0" fontId="2" fillId="0" borderId="0" xfId="0" applyFont="1" applyFill="1" applyBorder="1" applyAlignment="1">
      <alignment horizontal="center" vertical="top"/>
    </xf>
    <xf numFmtId="0" fontId="2" fillId="0" borderId="0" xfId="0" applyFont="1" applyFill="1" applyBorder="1" applyAlignment="1"/>
    <xf numFmtId="2" fontId="2" fillId="0" borderId="0" xfId="0" applyNumberFormat="1" applyFont="1" applyFill="1" applyBorder="1" applyAlignment="1">
      <alignment horizontal="center" vertical="top"/>
    </xf>
    <xf numFmtId="0" fontId="8" fillId="0" borderId="0" xfId="0" applyFont="1" applyFill="1" applyBorder="1" applyAlignment="1">
      <alignment vertical="justify" wrapText="1"/>
    </xf>
    <xf numFmtId="0" fontId="30" fillId="0" borderId="0" xfId="0" applyFont="1" applyFill="1" applyBorder="1" applyAlignment="1">
      <alignment horizontal="justify" vertical="justify" wrapText="1"/>
    </xf>
    <xf numFmtId="0" fontId="32" fillId="0" borderId="0" xfId="0" applyFont="1" applyFill="1" applyBorder="1" applyAlignment="1">
      <alignment horizontal="justify" vertical="justify"/>
    </xf>
    <xf numFmtId="0" fontId="3" fillId="0" borderId="0" xfId="0" applyFont="1" applyFill="1" applyBorder="1" applyAlignment="1">
      <alignment horizontal="center" vertical="top" wrapText="1"/>
    </xf>
    <xf numFmtId="0" fontId="30" fillId="0" borderId="0" xfId="0" applyFont="1" applyFill="1" applyBorder="1" applyAlignment="1">
      <alignment horizontal="justify" vertical="justify"/>
    </xf>
    <xf numFmtId="0" fontId="3" fillId="0" borderId="0" xfId="0" applyFont="1" applyFill="1" applyBorder="1" applyAlignment="1">
      <alignment horizontal="justify" vertical="justify"/>
    </xf>
    <xf numFmtId="0" fontId="34" fillId="0" borderId="0" xfId="0" applyFont="1" applyFill="1" applyBorder="1" applyAlignment="1">
      <alignment horizontal="justify" vertical="justify" wrapText="1"/>
    </xf>
    <xf numFmtId="0" fontId="4" fillId="0" borderId="0" xfId="0" applyFont="1" applyFill="1" applyBorder="1" applyAlignment="1">
      <alignment horizontal="justify" vertical="justify" wrapText="1"/>
    </xf>
    <xf numFmtId="0" fontId="7" fillId="0" borderId="3" xfId="0" applyFont="1" applyFill="1" applyBorder="1" applyAlignment="1">
      <alignment horizontal="center" vertical="center" wrapText="1"/>
    </xf>
    <xf numFmtId="0" fontId="33" fillId="0" borderId="0" xfId="0" applyFont="1" applyFill="1" applyBorder="1" applyAlignment="1">
      <alignment vertical="center" wrapText="1"/>
    </xf>
    <xf numFmtId="4" fontId="12" fillId="0" borderId="1" xfId="0" applyNumberFormat="1" applyFont="1" applyFill="1" applyBorder="1" applyAlignment="1">
      <alignment horizontal="center" vertical="center"/>
    </xf>
    <xf numFmtId="2" fontId="12" fillId="0" borderId="1" xfId="0" applyNumberFormat="1" applyFont="1" applyFill="1" applyBorder="1" applyAlignment="1">
      <alignment horizontal="center" vertical="center"/>
    </xf>
    <xf numFmtId="2" fontId="20" fillId="0" borderId="1" xfId="4" applyNumberFormat="1" applyFont="1" applyFill="1" applyBorder="1" applyAlignment="1">
      <alignment horizontal="center" vertical="center"/>
    </xf>
    <xf numFmtId="0" fontId="12" fillId="0" borderId="1" xfId="0" applyNumberFormat="1" applyFont="1" applyFill="1" applyBorder="1" applyAlignment="1">
      <alignment horizontal="center" vertical="center"/>
    </xf>
    <xf numFmtId="2" fontId="16" fillId="0" borderId="0" xfId="0" applyNumberFormat="1" applyFont="1" applyFill="1" applyAlignment="1">
      <alignment horizontal="center" vertical="center"/>
    </xf>
    <xf numFmtId="0" fontId="12"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top"/>
    </xf>
    <xf numFmtId="0" fontId="7" fillId="0" borderId="0" xfId="0" applyFont="1" applyFill="1" applyBorder="1" applyAlignment="1">
      <alignment horizontal="center" wrapText="1"/>
    </xf>
    <xf numFmtId="0" fontId="6" fillId="0" borderId="0" xfId="0" applyFont="1" applyFill="1" applyBorder="1" applyAlignment="1">
      <alignment horizontal="center" vertical="center"/>
    </xf>
    <xf numFmtId="1" fontId="6" fillId="0" borderId="0" xfId="0" applyNumberFormat="1" applyFont="1" applyFill="1" applyBorder="1" applyAlignment="1">
      <alignment horizontal="center" vertical="center"/>
    </xf>
    <xf numFmtId="0" fontId="37" fillId="0" borderId="0" xfId="0" applyFont="1" applyFill="1" applyBorder="1" applyAlignment="1">
      <alignment horizontal="center" vertical="top" wrapText="1"/>
    </xf>
    <xf numFmtId="0" fontId="38" fillId="0" borderId="0" xfId="0" applyFont="1" applyFill="1" applyBorder="1" applyAlignment="1">
      <alignment horizontal="center" vertical="top" wrapText="1"/>
    </xf>
    <xf numFmtId="0" fontId="39" fillId="0" borderId="0" xfId="0" applyFont="1" applyFill="1" applyBorder="1" applyAlignment="1">
      <alignment horizontal="justify" vertical="justify" wrapText="1"/>
    </xf>
    <xf numFmtId="0" fontId="22" fillId="0" borderId="1" xfId="0" applyNumberFormat="1" applyFont="1" applyFill="1" applyBorder="1" applyAlignment="1">
      <alignment horizontal="center" vertical="top"/>
    </xf>
    <xf numFmtId="0" fontId="21" fillId="0" borderId="4" xfId="0" applyNumberFormat="1" applyFont="1" applyFill="1" applyBorder="1" applyAlignment="1">
      <alignment horizontal="center" vertical="top"/>
    </xf>
    <xf numFmtId="0" fontId="21" fillId="0" borderId="5" xfId="0" applyNumberFormat="1" applyFont="1" applyFill="1" applyBorder="1" applyAlignment="1">
      <alignment horizontal="center" vertical="top"/>
    </xf>
    <xf numFmtId="0" fontId="21" fillId="0" borderId="6" xfId="0" applyNumberFormat="1" applyFont="1" applyFill="1" applyBorder="1" applyAlignment="1">
      <alignment horizontal="center" vertical="top"/>
    </xf>
    <xf numFmtId="0" fontId="6" fillId="0" borderId="4" xfId="0" applyFont="1" applyFill="1" applyBorder="1" applyAlignment="1">
      <alignment vertical="top" wrapText="1"/>
    </xf>
    <xf numFmtId="0" fontId="6" fillId="0" borderId="5" xfId="0" applyFont="1" applyFill="1" applyBorder="1" applyAlignment="1">
      <alignment vertical="top" wrapText="1"/>
    </xf>
    <xf numFmtId="0" fontId="6" fillId="0" borderId="6" xfId="0" applyFont="1" applyFill="1" applyBorder="1" applyAlignment="1">
      <alignment vertical="top" wrapText="1"/>
    </xf>
    <xf numFmtId="0" fontId="7" fillId="0" borderId="0" xfId="0" applyFont="1" applyFill="1" applyAlignment="1">
      <alignment horizontal="center"/>
    </xf>
    <xf numFmtId="0" fontId="33" fillId="0" borderId="0" xfId="0" applyFont="1" applyFill="1" applyAlignment="1">
      <alignment horizontal="center" vertical="top"/>
    </xf>
    <xf numFmtId="0" fontId="6" fillId="0" borderId="7"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25" fillId="0" borderId="0" xfId="0" applyNumberFormat="1" applyFont="1" applyFill="1" applyBorder="1" applyAlignment="1">
      <alignment horizontal="center" vertical="center" wrapText="1"/>
    </xf>
    <xf numFmtId="0" fontId="29" fillId="0" borderId="0" xfId="0" applyNumberFormat="1"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25" fillId="0" borderId="0" xfId="0" applyFont="1" applyFill="1" applyBorder="1" applyAlignment="1">
      <alignment horizontal="center" vertical="center"/>
    </xf>
    <xf numFmtId="0" fontId="36" fillId="0" borderId="0" xfId="0" applyFont="1" applyFill="1" applyBorder="1" applyAlignment="1">
      <alignment horizontal="center" vertical="top" wrapText="1"/>
    </xf>
    <xf numFmtId="0" fontId="6" fillId="0" borderId="1" xfId="0" applyFont="1" applyFill="1" applyBorder="1" applyAlignment="1">
      <alignment horizontal="center" vertical="top" wrapText="1"/>
    </xf>
    <xf numFmtId="2" fontId="6" fillId="0" borderId="4" xfId="0" applyNumberFormat="1" applyFont="1" applyFill="1" applyBorder="1" applyAlignment="1">
      <alignment horizontal="center" vertical="center" wrapText="1"/>
    </xf>
    <xf numFmtId="2" fontId="6" fillId="0" borderId="5" xfId="0" applyNumberFormat="1" applyFont="1" applyFill="1" applyBorder="1" applyAlignment="1">
      <alignment horizontal="center" vertical="center" wrapText="1"/>
    </xf>
    <xf numFmtId="2" fontId="6" fillId="0" borderId="6" xfId="0" applyNumberFormat="1" applyFont="1" applyFill="1" applyBorder="1" applyAlignment="1">
      <alignment horizontal="center" vertical="center" wrapText="1"/>
    </xf>
    <xf numFmtId="0" fontId="29" fillId="0" borderId="0" xfId="0" applyNumberFormat="1" applyFont="1" applyFill="1" applyBorder="1" applyAlignment="1">
      <alignment horizontal="center" vertical="center"/>
    </xf>
    <xf numFmtId="0" fontId="25" fillId="0" borderId="0" xfId="0" applyNumberFormat="1" applyFont="1" applyFill="1" applyAlignment="1">
      <alignment horizontal="center" vertical="center"/>
    </xf>
    <xf numFmtId="0" fontId="29" fillId="0" borderId="0" xfId="0" applyNumberFormat="1" applyFont="1" applyFill="1" applyAlignment="1">
      <alignment horizontal="center" vertical="center"/>
    </xf>
    <xf numFmtId="2" fontId="25"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5" fillId="0" borderId="0" xfId="0" applyFont="1" applyFill="1" applyBorder="1" applyAlignment="1">
      <alignment horizontal="center" vertical="top"/>
    </xf>
    <xf numFmtId="0" fontId="29" fillId="0" borderId="0" xfId="0" applyFont="1" applyFill="1" applyBorder="1" applyAlignment="1">
      <alignment horizontal="center" vertical="top" wrapText="1"/>
    </xf>
    <xf numFmtId="2" fontId="8" fillId="0" borderId="0" xfId="0" applyNumberFormat="1" applyFont="1" applyFill="1" applyBorder="1" applyAlignment="1">
      <alignment horizontal="center" vertical="top" wrapText="1"/>
    </xf>
    <xf numFmtId="0" fontId="8" fillId="0" borderId="0" xfId="0" applyFont="1" applyFill="1" applyBorder="1" applyAlignment="1">
      <alignment horizontal="justify" vertical="justify" wrapText="1"/>
    </xf>
    <xf numFmtId="0" fontId="2" fillId="0" borderId="0" xfId="0" applyFont="1" applyFill="1" applyBorder="1" applyAlignment="1">
      <alignment horizontal="justify" vertical="justify" wrapText="1"/>
    </xf>
    <xf numFmtId="0" fontId="29" fillId="0" borderId="0" xfId="0" applyFont="1" applyFill="1" applyBorder="1" applyAlignment="1">
      <alignment horizontal="center" vertical="top"/>
    </xf>
    <xf numFmtId="0" fontId="29" fillId="0" borderId="0" xfId="0" applyFont="1" applyFill="1" applyBorder="1" applyAlignment="1">
      <alignment horizontal="center" vertical="center" wrapText="1"/>
    </xf>
    <xf numFmtId="0" fontId="33" fillId="0" borderId="0" xfId="0" applyFont="1" applyFill="1" applyBorder="1" applyAlignment="1">
      <alignment horizontal="center" vertical="justify" wrapText="1"/>
    </xf>
    <xf numFmtId="0" fontId="29" fillId="0" borderId="0" xfId="0" applyFont="1" applyFill="1" applyBorder="1" applyAlignment="1">
      <alignment horizontal="center" vertical="center"/>
    </xf>
    <xf numFmtId="2" fontId="8" fillId="0" borderId="0" xfId="0" applyNumberFormat="1" applyFont="1" applyFill="1" applyBorder="1" applyAlignment="1">
      <alignment horizontal="center" vertical="top"/>
    </xf>
    <xf numFmtId="0" fontId="29" fillId="0" borderId="9" xfId="0" applyFont="1" applyFill="1" applyBorder="1" applyAlignment="1">
      <alignment horizontal="center" vertical="justify" wrapText="1"/>
    </xf>
    <xf numFmtId="0" fontId="25" fillId="0" borderId="0" xfId="0" applyFont="1" applyFill="1" applyBorder="1" applyAlignment="1">
      <alignment horizontal="center" vertical="center" wrapText="1"/>
    </xf>
    <xf numFmtId="0" fontId="8" fillId="0" borderId="0" xfId="0" applyFont="1" applyFill="1" applyBorder="1" applyAlignment="1">
      <alignment horizontal="left" vertical="justify"/>
    </xf>
    <xf numFmtId="0" fontId="22" fillId="0" borderId="0" xfId="0" applyFont="1" applyFill="1" applyBorder="1" applyAlignment="1">
      <alignment horizontal="center" vertical="center"/>
    </xf>
    <xf numFmtId="0" fontId="33" fillId="0" borderId="0" xfId="0" applyFont="1" applyFill="1" applyBorder="1" applyAlignment="1">
      <alignment horizontal="center" vertical="center" wrapText="1"/>
    </xf>
    <xf numFmtId="0" fontId="8" fillId="0" borderId="3" xfId="0" applyFont="1" applyFill="1" applyBorder="1" applyAlignment="1">
      <alignment horizontal="center" vertical="top" wrapText="1"/>
    </xf>
    <xf numFmtId="0" fontId="8" fillId="0" borderId="0" xfId="0" applyFont="1" applyFill="1" applyBorder="1" applyAlignment="1">
      <alignment horizontal="center" vertical="top" wrapText="1"/>
    </xf>
    <xf numFmtId="0" fontId="8" fillId="0" borderId="0" xfId="0" applyFont="1" applyFill="1" applyBorder="1" applyAlignment="1">
      <alignment horizontal="left" vertical="center"/>
    </xf>
  </cellXfs>
  <cellStyles count="8">
    <cellStyle name="Normal" xfId="0" builtinId="0"/>
    <cellStyle name="Normal 10" xfId="1"/>
    <cellStyle name="Normal 13" xfId="2"/>
    <cellStyle name="Normal 2" xfId="3"/>
    <cellStyle name="Normal 2 2" xfId="4"/>
    <cellStyle name="Normal 2 2 2" xfId="5"/>
    <cellStyle name="Normal 3" xfId="6"/>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F0"/>
  </sheetPr>
  <dimension ref="A1:D46"/>
  <sheetViews>
    <sheetView view="pageBreakPreview" zoomScaleNormal="100" zoomScaleSheetLayoutView="100" workbookViewId="0">
      <selection activeCell="B7" sqref="B7"/>
    </sheetView>
  </sheetViews>
  <sheetFormatPr defaultColWidth="42" defaultRowHeight="12.75" x14ac:dyDescent="0.2"/>
  <cols>
    <col min="1" max="1" width="11.140625" style="68" customWidth="1"/>
    <col min="2" max="2" width="69" style="36" customWidth="1"/>
    <col min="3" max="3" width="17.85546875" style="37" bestFit="1" customWidth="1"/>
    <col min="4" max="4" width="23.85546875" style="41" customWidth="1"/>
    <col min="5" max="16384" width="42" style="33"/>
  </cols>
  <sheetData>
    <row r="1" spans="1:4" ht="36.75" customHeight="1" x14ac:dyDescent="0.2">
      <c r="A1" s="239" t="s">
        <v>4977</v>
      </c>
      <c r="B1" s="239"/>
      <c r="C1" s="239"/>
      <c r="D1" s="239"/>
    </row>
    <row r="2" spans="1:4" ht="29.25" customHeight="1" x14ac:dyDescent="0.2">
      <c r="A2" s="240" t="s">
        <v>6485</v>
      </c>
      <c r="B2" s="241"/>
      <c r="C2" s="241"/>
      <c r="D2" s="242"/>
    </row>
    <row r="3" spans="1:4" s="230" customFormat="1" ht="20.25" x14ac:dyDescent="0.2">
      <c r="A3" s="226" t="s">
        <v>3731</v>
      </c>
      <c r="B3" s="229" t="s">
        <v>6484</v>
      </c>
      <c r="C3" s="227" t="s">
        <v>3733</v>
      </c>
      <c r="D3" s="228" t="s">
        <v>3713</v>
      </c>
    </row>
    <row r="4" spans="1:4" ht="15.75" x14ac:dyDescent="0.2">
      <c r="A4" s="59">
        <v>1</v>
      </c>
      <c r="B4" s="60" t="s">
        <v>3714</v>
      </c>
      <c r="C4" s="61" t="s">
        <v>3735</v>
      </c>
      <c r="D4" s="70">
        <v>870</v>
      </c>
    </row>
    <row r="5" spans="1:4" ht="15.75" x14ac:dyDescent="0.2">
      <c r="A5" s="62">
        <v>2</v>
      </c>
      <c r="B5" s="63" t="s">
        <v>3715</v>
      </c>
      <c r="C5" s="44" t="s">
        <v>3735</v>
      </c>
      <c r="D5" s="71">
        <v>1300</v>
      </c>
    </row>
    <row r="6" spans="1:4" ht="15.75" x14ac:dyDescent="0.2">
      <c r="A6" s="62">
        <v>3</v>
      </c>
      <c r="B6" s="43" t="s">
        <v>3716</v>
      </c>
      <c r="C6" s="44" t="s">
        <v>3735</v>
      </c>
      <c r="D6" s="71">
        <v>1730</v>
      </c>
    </row>
    <row r="7" spans="1:4" ht="15.75" x14ac:dyDescent="0.2">
      <c r="A7" s="62">
        <v>4</v>
      </c>
      <c r="B7" s="43" t="s">
        <v>4118</v>
      </c>
      <c r="C7" s="44" t="s">
        <v>3751</v>
      </c>
      <c r="D7" s="71">
        <v>500</v>
      </c>
    </row>
    <row r="8" spans="1:4" ht="15.75" x14ac:dyDescent="0.2">
      <c r="A8" s="62">
        <v>5</v>
      </c>
      <c r="B8" s="43" t="s">
        <v>3717</v>
      </c>
      <c r="C8" s="44" t="s">
        <v>3735</v>
      </c>
      <c r="D8" s="71">
        <v>1500</v>
      </c>
    </row>
    <row r="9" spans="1:4" ht="15.75" x14ac:dyDescent="0.2">
      <c r="A9" s="62">
        <v>6</v>
      </c>
      <c r="B9" s="43" t="s">
        <v>3718</v>
      </c>
      <c r="C9" s="44" t="s">
        <v>3735</v>
      </c>
      <c r="D9" s="71">
        <v>450</v>
      </c>
    </row>
    <row r="10" spans="1:4" ht="15.75" x14ac:dyDescent="0.2">
      <c r="A10" s="62">
        <v>7</v>
      </c>
      <c r="B10" s="43" t="s">
        <v>3719</v>
      </c>
      <c r="C10" s="44" t="s">
        <v>3735</v>
      </c>
      <c r="D10" s="71">
        <v>400</v>
      </c>
    </row>
    <row r="11" spans="1:4" ht="31.5" x14ac:dyDescent="0.2">
      <c r="A11" s="62">
        <v>8</v>
      </c>
      <c r="B11" s="43" t="s">
        <v>3720</v>
      </c>
      <c r="C11" s="44" t="s">
        <v>3735</v>
      </c>
      <c r="D11" s="71">
        <v>8900</v>
      </c>
    </row>
    <row r="12" spans="1:4" ht="31.5" x14ac:dyDescent="0.2">
      <c r="A12" s="62">
        <v>9</v>
      </c>
      <c r="B12" s="43" t="s">
        <v>4123</v>
      </c>
      <c r="C12" s="44" t="s">
        <v>2439</v>
      </c>
      <c r="D12" s="71">
        <v>150</v>
      </c>
    </row>
    <row r="13" spans="1:4" ht="15.75" x14ac:dyDescent="0.2">
      <c r="A13" s="62">
        <v>10</v>
      </c>
      <c r="B13" s="43" t="s">
        <v>3721</v>
      </c>
      <c r="C13" s="44" t="s">
        <v>3735</v>
      </c>
      <c r="D13" s="71">
        <v>635</v>
      </c>
    </row>
    <row r="14" spans="1:4" ht="15.75" x14ac:dyDescent="0.2">
      <c r="A14" s="62">
        <v>11</v>
      </c>
      <c r="B14" s="43" t="s">
        <v>3722</v>
      </c>
      <c r="C14" s="44" t="s">
        <v>3735</v>
      </c>
      <c r="D14" s="71">
        <v>1200</v>
      </c>
    </row>
    <row r="15" spans="1:4" ht="15.75" x14ac:dyDescent="0.2">
      <c r="A15" s="62">
        <v>12</v>
      </c>
      <c r="B15" s="43" t="s">
        <v>3723</v>
      </c>
      <c r="C15" s="44" t="s">
        <v>3735</v>
      </c>
      <c r="D15" s="71">
        <v>800</v>
      </c>
    </row>
    <row r="16" spans="1:4" ht="15.75" x14ac:dyDescent="0.2">
      <c r="A16" s="62">
        <v>13</v>
      </c>
      <c r="B16" s="43" t="s">
        <v>6016</v>
      </c>
      <c r="C16" s="44" t="s">
        <v>3735</v>
      </c>
      <c r="D16" s="71">
        <v>1000</v>
      </c>
    </row>
    <row r="17" spans="1:4" ht="15.75" x14ac:dyDescent="0.2">
      <c r="A17" s="62">
        <v>14</v>
      </c>
      <c r="B17" s="43" t="s">
        <v>3724</v>
      </c>
      <c r="C17" s="44" t="s">
        <v>3735</v>
      </c>
      <c r="D17" s="71">
        <v>7600</v>
      </c>
    </row>
    <row r="18" spans="1:4" ht="15.75" x14ac:dyDescent="0.2">
      <c r="A18" s="62">
        <v>16</v>
      </c>
      <c r="B18" s="43" t="s">
        <v>3725</v>
      </c>
      <c r="C18" s="44" t="s">
        <v>3735</v>
      </c>
      <c r="D18" s="71">
        <v>635</v>
      </c>
    </row>
    <row r="19" spans="1:4" ht="15.75" x14ac:dyDescent="0.2">
      <c r="A19" s="62">
        <v>17</v>
      </c>
      <c r="B19" s="43" t="s">
        <v>3746</v>
      </c>
      <c r="C19" s="44" t="s">
        <v>3735</v>
      </c>
      <c r="D19" s="71">
        <v>1390</v>
      </c>
    </row>
    <row r="20" spans="1:4" ht="15.75" x14ac:dyDescent="0.2">
      <c r="A20" s="62">
        <v>18</v>
      </c>
      <c r="B20" s="43" t="s">
        <v>3743</v>
      </c>
      <c r="C20" s="44" t="s">
        <v>3735</v>
      </c>
      <c r="D20" s="71">
        <v>1150</v>
      </c>
    </row>
    <row r="21" spans="1:4" ht="15.75" x14ac:dyDescent="0.2">
      <c r="A21" s="62">
        <v>19</v>
      </c>
      <c r="B21" s="43" t="s">
        <v>3726</v>
      </c>
      <c r="C21" s="44" t="s">
        <v>3735</v>
      </c>
      <c r="D21" s="71">
        <v>400</v>
      </c>
    </row>
    <row r="22" spans="1:4" ht="15.75" x14ac:dyDescent="0.2">
      <c r="A22" s="62">
        <v>20</v>
      </c>
      <c r="B22" s="43" t="s">
        <v>3742</v>
      </c>
      <c r="C22" s="44" t="s">
        <v>3735</v>
      </c>
      <c r="D22" s="71">
        <v>8000</v>
      </c>
    </row>
    <row r="23" spans="1:4" ht="15.75" x14ac:dyDescent="0.2">
      <c r="A23" s="62">
        <v>21</v>
      </c>
      <c r="B23" s="43" t="s">
        <v>3727</v>
      </c>
      <c r="C23" s="44" t="s">
        <v>3735</v>
      </c>
      <c r="D23" s="71">
        <v>800</v>
      </c>
    </row>
    <row r="24" spans="1:4" ht="15.75" x14ac:dyDescent="0.2">
      <c r="A24" s="62">
        <v>22</v>
      </c>
      <c r="B24" s="43" t="s">
        <v>3728</v>
      </c>
      <c r="C24" s="44" t="s">
        <v>3735</v>
      </c>
      <c r="D24" s="71">
        <v>800</v>
      </c>
    </row>
    <row r="25" spans="1:4" ht="31.5" x14ac:dyDescent="0.2">
      <c r="A25" s="62">
        <v>24</v>
      </c>
      <c r="B25" s="43" t="s">
        <v>3729</v>
      </c>
      <c r="C25" s="44" t="s">
        <v>4127</v>
      </c>
      <c r="D25" s="71">
        <v>37000</v>
      </c>
    </row>
    <row r="26" spans="1:4" ht="15.75" x14ac:dyDescent="0.2">
      <c r="A26" s="62">
        <v>25</v>
      </c>
      <c r="B26" s="43" t="s">
        <v>3730</v>
      </c>
      <c r="C26" s="44" t="s">
        <v>4127</v>
      </c>
      <c r="D26" s="71">
        <v>2900</v>
      </c>
    </row>
    <row r="27" spans="1:4" ht="15.75" x14ac:dyDescent="0.2">
      <c r="A27" s="62">
        <v>26</v>
      </c>
      <c r="B27" s="43" t="s">
        <v>3024</v>
      </c>
      <c r="C27" s="44" t="s">
        <v>4127</v>
      </c>
      <c r="D27" s="71">
        <v>5775</v>
      </c>
    </row>
    <row r="28" spans="1:4" ht="31.5" x14ac:dyDescent="0.2">
      <c r="A28" s="62">
        <v>27</v>
      </c>
      <c r="B28" s="43" t="s">
        <v>3025</v>
      </c>
      <c r="C28" s="44" t="s">
        <v>4127</v>
      </c>
      <c r="D28" s="71">
        <v>37000</v>
      </c>
    </row>
    <row r="29" spans="1:4" ht="15.75" x14ac:dyDescent="0.2">
      <c r="A29" s="62">
        <v>28</v>
      </c>
      <c r="B29" s="43" t="s">
        <v>3026</v>
      </c>
      <c r="C29" s="44" t="s">
        <v>4127</v>
      </c>
      <c r="D29" s="71">
        <v>6350</v>
      </c>
    </row>
    <row r="30" spans="1:4" ht="15.75" x14ac:dyDescent="0.2">
      <c r="A30" s="62">
        <v>29</v>
      </c>
      <c r="B30" s="43" t="s">
        <v>4121</v>
      </c>
      <c r="C30" s="44" t="s">
        <v>4122</v>
      </c>
      <c r="D30" s="71">
        <v>32</v>
      </c>
    </row>
    <row r="31" spans="1:4" ht="15.75" x14ac:dyDescent="0.2">
      <c r="A31" s="62">
        <v>30</v>
      </c>
      <c r="B31" s="43" t="s">
        <v>3027</v>
      </c>
      <c r="C31" s="44" t="s">
        <v>4127</v>
      </c>
      <c r="D31" s="71">
        <v>11500</v>
      </c>
    </row>
    <row r="32" spans="1:4" ht="15.75" x14ac:dyDescent="0.2">
      <c r="A32" s="62">
        <v>33</v>
      </c>
      <c r="B32" s="43" t="s">
        <v>3028</v>
      </c>
      <c r="C32" s="44" t="s">
        <v>4127</v>
      </c>
      <c r="D32" s="71">
        <v>650</v>
      </c>
    </row>
    <row r="33" spans="1:4" ht="15.75" x14ac:dyDescent="0.2">
      <c r="A33" s="62">
        <v>37</v>
      </c>
      <c r="B33" s="43" t="s">
        <v>4126</v>
      </c>
      <c r="C33" s="44" t="s">
        <v>4127</v>
      </c>
      <c r="D33" s="71">
        <v>6350</v>
      </c>
    </row>
    <row r="34" spans="1:4" ht="15.75" x14ac:dyDescent="0.2">
      <c r="A34" s="62">
        <v>38</v>
      </c>
      <c r="B34" s="43" t="s">
        <v>3029</v>
      </c>
      <c r="C34" s="44" t="s">
        <v>4127</v>
      </c>
      <c r="D34" s="71">
        <v>1270</v>
      </c>
    </row>
    <row r="35" spans="1:4" ht="15.75" x14ac:dyDescent="0.2">
      <c r="A35" s="62">
        <v>39</v>
      </c>
      <c r="B35" s="43" t="s">
        <v>3030</v>
      </c>
      <c r="C35" s="44" t="s">
        <v>4127</v>
      </c>
      <c r="D35" s="71">
        <v>1300</v>
      </c>
    </row>
    <row r="36" spans="1:4" ht="15.75" x14ac:dyDescent="0.2">
      <c r="A36" s="62">
        <v>40</v>
      </c>
      <c r="B36" s="43" t="s">
        <v>3031</v>
      </c>
      <c r="C36" s="44" t="s">
        <v>3032</v>
      </c>
      <c r="D36" s="71">
        <v>1730</v>
      </c>
    </row>
    <row r="37" spans="1:4" ht="15.75" x14ac:dyDescent="0.2">
      <c r="A37" s="62">
        <v>41</v>
      </c>
      <c r="B37" s="43" t="s">
        <v>3033</v>
      </c>
      <c r="C37" s="44" t="s">
        <v>4127</v>
      </c>
      <c r="D37" s="71">
        <v>1000</v>
      </c>
    </row>
    <row r="38" spans="1:4" ht="15.75" x14ac:dyDescent="0.2">
      <c r="A38" s="62">
        <v>42</v>
      </c>
      <c r="B38" s="43" t="s">
        <v>3034</v>
      </c>
      <c r="C38" s="44" t="s">
        <v>3032</v>
      </c>
      <c r="D38" s="71">
        <v>50000</v>
      </c>
    </row>
    <row r="39" spans="1:4" ht="15.75" x14ac:dyDescent="0.2">
      <c r="A39" s="62">
        <v>43</v>
      </c>
      <c r="B39" s="43" t="s">
        <v>3035</v>
      </c>
      <c r="C39" s="44" t="s">
        <v>3032</v>
      </c>
      <c r="D39" s="71">
        <v>700</v>
      </c>
    </row>
    <row r="40" spans="1:4" ht="15.75" x14ac:dyDescent="0.2">
      <c r="A40" s="62">
        <v>45</v>
      </c>
      <c r="B40" s="43" t="s">
        <v>3036</v>
      </c>
      <c r="C40" s="44" t="s">
        <v>3032</v>
      </c>
      <c r="D40" s="71">
        <v>12700</v>
      </c>
    </row>
    <row r="41" spans="1:4" ht="15.75" x14ac:dyDescent="0.2">
      <c r="A41" s="62">
        <v>46</v>
      </c>
      <c r="B41" s="43" t="s">
        <v>3037</v>
      </c>
      <c r="C41" s="44" t="s">
        <v>3032</v>
      </c>
      <c r="D41" s="71">
        <v>1200</v>
      </c>
    </row>
    <row r="42" spans="1:4" ht="15.75" x14ac:dyDescent="0.2">
      <c r="A42" s="62">
        <v>47</v>
      </c>
      <c r="B42" s="43" t="s">
        <v>3038</v>
      </c>
      <c r="C42" s="44" t="s">
        <v>3032</v>
      </c>
      <c r="D42" s="71">
        <v>1200</v>
      </c>
    </row>
    <row r="43" spans="1:4" ht="15.75" x14ac:dyDescent="0.2">
      <c r="A43" s="62">
        <v>48</v>
      </c>
      <c r="B43" s="43" t="s">
        <v>3039</v>
      </c>
      <c r="C43" s="44" t="s">
        <v>3032</v>
      </c>
      <c r="D43" s="71">
        <v>1000</v>
      </c>
    </row>
    <row r="44" spans="1:4" ht="31.5" x14ac:dyDescent="0.2">
      <c r="A44" s="62">
        <v>49</v>
      </c>
      <c r="B44" s="43" t="s">
        <v>4279</v>
      </c>
      <c r="C44" s="44" t="s">
        <v>3751</v>
      </c>
      <c r="D44" s="71">
        <v>60</v>
      </c>
    </row>
    <row r="45" spans="1:4" ht="15.75" x14ac:dyDescent="0.2">
      <c r="A45" s="62">
        <v>50</v>
      </c>
      <c r="B45" s="56" t="s">
        <v>4952</v>
      </c>
      <c r="C45" s="64" t="s">
        <v>4336</v>
      </c>
      <c r="D45" s="71">
        <v>300</v>
      </c>
    </row>
    <row r="46" spans="1:4" ht="15.75" x14ac:dyDescent="0.2">
      <c r="A46" s="62"/>
      <c r="B46" s="56"/>
      <c r="C46" s="64"/>
      <c r="D46" s="71"/>
    </row>
  </sheetData>
  <mergeCells count="2">
    <mergeCell ref="A1:D1"/>
    <mergeCell ref="A2:D2"/>
  </mergeCells>
  <phoneticPr fontId="15" type="noConversion"/>
  <printOptions horizontalCentered="1"/>
  <pageMargins left="0.75" right="0.75" top="0.75" bottom="0.75" header="0.5" footer="0.5"/>
  <pageSetup paperSize="9" scale="72" orientation="portrait" r:id="rId1"/>
  <headerFooter>
    <oddHeader>&amp;R&amp;"Arial,Regular"&amp;8(Integrated Building BSR 2022 Rajasthan)</oddHeader>
    <oddFooter>&amp;L&amp;"Arial,Regular"&amp;A&amp;R&amp;"Arial,Regular"[&amp;P]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00B0F0"/>
  </sheetPr>
  <dimension ref="A1:D39"/>
  <sheetViews>
    <sheetView view="pageBreakPreview" zoomScale="85" zoomScaleNormal="100" zoomScaleSheetLayoutView="85" workbookViewId="0">
      <selection activeCell="F2" sqref="F2"/>
    </sheetView>
  </sheetViews>
  <sheetFormatPr defaultColWidth="42" defaultRowHeight="12.75" x14ac:dyDescent="0.2"/>
  <cols>
    <col min="1" max="1" width="11.140625" style="68" customWidth="1"/>
    <col min="2" max="2" width="69" style="36" customWidth="1"/>
    <col min="3" max="3" width="17.85546875" style="37" bestFit="1" customWidth="1"/>
    <col min="4" max="4" width="23.85546875" style="41" customWidth="1"/>
    <col min="5" max="16384" width="42" style="33"/>
  </cols>
  <sheetData>
    <row r="1" spans="1:4" ht="36.75" customHeight="1" x14ac:dyDescent="0.2">
      <c r="A1" s="239" t="s">
        <v>4977</v>
      </c>
      <c r="B1" s="239"/>
      <c r="C1" s="239"/>
      <c r="D1" s="239"/>
    </row>
    <row r="2" spans="1:4" ht="29.25" customHeight="1" x14ac:dyDescent="0.2">
      <c r="A2" s="240" t="s">
        <v>6483</v>
      </c>
      <c r="B2" s="241"/>
      <c r="C2" s="241"/>
      <c r="D2" s="242"/>
    </row>
    <row r="3" spans="1:4" ht="24.75" customHeight="1" x14ac:dyDescent="0.2">
      <c r="A3" s="226" t="s">
        <v>3731</v>
      </c>
      <c r="B3" s="231" t="s">
        <v>4102</v>
      </c>
      <c r="C3" s="227" t="s">
        <v>3733</v>
      </c>
      <c r="D3" s="228" t="s">
        <v>3732</v>
      </c>
    </row>
    <row r="4" spans="1:4" ht="15.75" x14ac:dyDescent="0.2">
      <c r="A4" s="62">
        <v>100</v>
      </c>
      <c r="B4" s="43" t="s">
        <v>4138</v>
      </c>
      <c r="C4" s="44" t="s">
        <v>3735</v>
      </c>
      <c r="D4" s="71">
        <v>400</v>
      </c>
    </row>
    <row r="5" spans="1:4" ht="15.75" x14ac:dyDescent="0.2">
      <c r="A5" s="62">
        <v>101</v>
      </c>
      <c r="B5" s="43" t="s">
        <v>4103</v>
      </c>
      <c r="C5" s="44" t="s">
        <v>3735</v>
      </c>
      <c r="D5" s="71">
        <v>500</v>
      </c>
    </row>
    <row r="6" spans="1:4" ht="15.75" x14ac:dyDescent="0.2">
      <c r="A6" s="62">
        <v>102</v>
      </c>
      <c r="B6" s="43" t="s">
        <v>3416</v>
      </c>
      <c r="C6" s="44" t="s">
        <v>3735</v>
      </c>
      <c r="D6" s="71">
        <v>800</v>
      </c>
    </row>
    <row r="7" spans="1:4" ht="15.75" x14ac:dyDescent="0.2">
      <c r="A7" s="62">
        <v>103</v>
      </c>
      <c r="B7" s="43" t="s">
        <v>3417</v>
      </c>
      <c r="C7" s="44" t="s">
        <v>3735</v>
      </c>
      <c r="D7" s="71">
        <v>650</v>
      </c>
    </row>
    <row r="8" spans="1:4" ht="15.75" x14ac:dyDescent="0.2">
      <c r="A8" s="62">
        <v>111</v>
      </c>
      <c r="B8" s="43" t="s">
        <v>4182</v>
      </c>
      <c r="C8" s="44" t="s">
        <v>3735</v>
      </c>
      <c r="D8" s="71">
        <v>1000</v>
      </c>
    </row>
    <row r="9" spans="1:4" ht="15.75" x14ac:dyDescent="0.2">
      <c r="A9" s="62">
        <v>112</v>
      </c>
      <c r="B9" s="43" t="s">
        <v>4117</v>
      </c>
      <c r="C9" s="44" t="s">
        <v>3735</v>
      </c>
      <c r="D9" s="71">
        <v>800</v>
      </c>
    </row>
    <row r="10" spans="1:4" ht="15.75" x14ac:dyDescent="0.2">
      <c r="A10" s="62">
        <v>113</v>
      </c>
      <c r="B10" s="43" t="s">
        <v>3040</v>
      </c>
      <c r="C10" s="44" t="s">
        <v>3735</v>
      </c>
      <c r="D10" s="71">
        <v>600</v>
      </c>
    </row>
    <row r="11" spans="1:4" ht="15.75" x14ac:dyDescent="0.2">
      <c r="A11" s="62">
        <v>114</v>
      </c>
      <c r="B11" s="43" t="s">
        <v>3734</v>
      </c>
      <c r="C11" s="44" t="s">
        <v>3735</v>
      </c>
      <c r="D11" s="71">
        <v>500</v>
      </c>
    </row>
    <row r="12" spans="1:4" ht="15.75" x14ac:dyDescent="0.2">
      <c r="A12" s="62">
        <v>115</v>
      </c>
      <c r="B12" s="43" t="s">
        <v>4109</v>
      </c>
      <c r="C12" s="44" t="s">
        <v>3735</v>
      </c>
      <c r="D12" s="71">
        <v>400</v>
      </c>
    </row>
    <row r="13" spans="1:4" ht="15.75" x14ac:dyDescent="0.2">
      <c r="A13" s="62">
        <v>116</v>
      </c>
      <c r="B13" s="43" t="s">
        <v>4169</v>
      </c>
      <c r="C13" s="44" t="s">
        <v>3735</v>
      </c>
      <c r="D13" s="71">
        <v>800</v>
      </c>
    </row>
    <row r="14" spans="1:4" ht="15.75" x14ac:dyDescent="0.2">
      <c r="A14" s="62">
        <v>117</v>
      </c>
      <c r="B14" s="43" t="s">
        <v>3041</v>
      </c>
      <c r="C14" s="44" t="s">
        <v>3735</v>
      </c>
      <c r="D14" s="71">
        <v>600</v>
      </c>
    </row>
    <row r="15" spans="1:4" ht="15.75" x14ac:dyDescent="0.2">
      <c r="A15" s="62">
        <v>119</v>
      </c>
      <c r="B15" s="43" t="s">
        <v>4186</v>
      </c>
      <c r="C15" s="44" t="s">
        <v>3735</v>
      </c>
      <c r="D15" s="71">
        <v>700</v>
      </c>
    </row>
    <row r="16" spans="1:4" ht="15.75" x14ac:dyDescent="0.2">
      <c r="A16" s="62">
        <v>122</v>
      </c>
      <c r="B16" s="43" t="s">
        <v>3042</v>
      </c>
      <c r="C16" s="44" t="s">
        <v>3735</v>
      </c>
      <c r="D16" s="71">
        <v>700</v>
      </c>
    </row>
    <row r="17" spans="1:4" ht="15.75" x14ac:dyDescent="0.2">
      <c r="A17" s="62">
        <v>123</v>
      </c>
      <c r="B17" s="43" t="s">
        <v>4136</v>
      </c>
      <c r="C17" s="44" t="s">
        <v>3735</v>
      </c>
      <c r="D17" s="71">
        <v>700</v>
      </c>
    </row>
    <row r="18" spans="1:4" ht="15.75" x14ac:dyDescent="0.2">
      <c r="A18" s="62">
        <v>124</v>
      </c>
      <c r="B18" s="43" t="s">
        <v>3043</v>
      </c>
      <c r="C18" s="44" t="s">
        <v>3735</v>
      </c>
      <c r="D18" s="71">
        <v>600</v>
      </c>
    </row>
    <row r="19" spans="1:4" ht="15.75" x14ac:dyDescent="0.2">
      <c r="A19" s="62">
        <v>125</v>
      </c>
      <c r="B19" s="43" t="s">
        <v>3044</v>
      </c>
      <c r="C19" s="44" t="s">
        <v>3735</v>
      </c>
      <c r="D19" s="71">
        <v>600</v>
      </c>
    </row>
    <row r="20" spans="1:4" ht="15.75" x14ac:dyDescent="0.2">
      <c r="A20" s="62">
        <v>126</v>
      </c>
      <c r="B20" s="43" t="s">
        <v>4120</v>
      </c>
      <c r="C20" s="44" t="s">
        <v>3735</v>
      </c>
      <c r="D20" s="71">
        <v>1000</v>
      </c>
    </row>
    <row r="21" spans="1:4" ht="15.75" x14ac:dyDescent="0.2">
      <c r="A21" s="62">
        <v>127</v>
      </c>
      <c r="B21" s="43" t="s">
        <v>3045</v>
      </c>
      <c r="C21" s="44" t="s">
        <v>3735</v>
      </c>
      <c r="D21" s="71">
        <v>700</v>
      </c>
    </row>
    <row r="22" spans="1:4" ht="15.75" x14ac:dyDescent="0.2">
      <c r="A22" s="62">
        <v>128</v>
      </c>
      <c r="B22" s="43" t="s">
        <v>3744</v>
      </c>
      <c r="C22" s="44" t="s">
        <v>3735</v>
      </c>
      <c r="D22" s="71">
        <v>600</v>
      </c>
    </row>
    <row r="23" spans="1:4" ht="15.75" x14ac:dyDescent="0.2">
      <c r="A23" s="62">
        <v>130</v>
      </c>
      <c r="B23" s="43" t="s">
        <v>4192</v>
      </c>
      <c r="C23" s="44" t="s">
        <v>3735</v>
      </c>
      <c r="D23" s="71">
        <v>700</v>
      </c>
    </row>
    <row r="24" spans="1:4" ht="15.75" x14ac:dyDescent="0.2">
      <c r="A24" s="62">
        <v>131</v>
      </c>
      <c r="B24" s="43" t="s">
        <v>3046</v>
      </c>
      <c r="C24" s="44" t="s">
        <v>3735</v>
      </c>
      <c r="D24" s="71">
        <v>600</v>
      </c>
    </row>
    <row r="25" spans="1:4" ht="15.75" x14ac:dyDescent="0.2">
      <c r="A25" s="62">
        <v>132</v>
      </c>
      <c r="B25" s="43" t="s">
        <v>3047</v>
      </c>
      <c r="C25" s="44" t="s">
        <v>3735</v>
      </c>
      <c r="D25" s="71">
        <v>800</v>
      </c>
    </row>
    <row r="26" spans="1:4" ht="15.75" x14ac:dyDescent="0.2">
      <c r="A26" s="62">
        <v>133</v>
      </c>
      <c r="B26" s="43" t="s">
        <v>3048</v>
      </c>
      <c r="C26" s="44" t="s">
        <v>3735</v>
      </c>
      <c r="D26" s="71">
        <v>800</v>
      </c>
    </row>
    <row r="27" spans="1:4" ht="15.75" x14ac:dyDescent="0.2">
      <c r="A27" s="62">
        <v>134</v>
      </c>
      <c r="B27" s="43" t="s">
        <v>3049</v>
      </c>
      <c r="C27" s="44" t="s">
        <v>3735</v>
      </c>
      <c r="D27" s="71">
        <v>800</v>
      </c>
    </row>
    <row r="28" spans="1:4" ht="15.75" x14ac:dyDescent="0.2">
      <c r="A28" s="62">
        <v>135</v>
      </c>
      <c r="B28" s="43" t="s">
        <v>3050</v>
      </c>
      <c r="C28" s="44" t="s">
        <v>3735</v>
      </c>
      <c r="D28" s="71">
        <v>700</v>
      </c>
    </row>
    <row r="29" spans="1:4" ht="15.75" x14ac:dyDescent="0.2">
      <c r="A29" s="62">
        <v>138</v>
      </c>
      <c r="B29" s="43" t="s">
        <v>3051</v>
      </c>
      <c r="C29" s="44" t="s">
        <v>3735</v>
      </c>
      <c r="D29" s="71">
        <v>700</v>
      </c>
    </row>
    <row r="30" spans="1:4" ht="15.75" x14ac:dyDescent="0.2">
      <c r="A30" s="62">
        <v>139</v>
      </c>
      <c r="B30" s="43" t="s">
        <v>3052</v>
      </c>
      <c r="C30" s="44" t="s">
        <v>3735</v>
      </c>
      <c r="D30" s="71">
        <v>500</v>
      </c>
    </row>
    <row r="31" spans="1:4" ht="15.75" x14ac:dyDescent="0.2">
      <c r="A31" s="62">
        <v>141</v>
      </c>
      <c r="B31" s="43" t="s">
        <v>3053</v>
      </c>
      <c r="C31" s="44" t="s">
        <v>3735</v>
      </c>
      <c r="D31" s="71">
        <v>600</v>
      </c>
    </row>
    <row r="32" spans="1:4" ht="15.75" x14ac:dyDescent="0.2">
      <c r="A32" s="62">
        <v>155</v>
      </c>
      <c r="B32" s="43" t="s">
        <v>3054</v>
      </c>
      <c r="C32" s="44" t="s">
        <v>3735</v>
      </c>
      <c r="D32" s="71">
        <v>700</v>
      </c>
    </row>
    <row r="33" spans="1:4" ht="15.75" x14ac:dyDescent="0.2">
      <c r="A33" s="62">
        <v>156</v>
      </c>
      <c r="B33" s="43" t="s">
        <v>4178</v>
      </c>
      <c r="C33" s="44" t="s">
        <v>3735</v>
      </c>
      <c r="D33" s="71">
        <v>600</v>
      </c>
    </row>
    <row r="34" spans="1:4" ht="15.75" x14ac:dyDescent="0.2">
      <c r="A34" s="62">
        <v>157</v>
      </c>
      <c r="B34" s="43" t="s">
        <v>3055</v>
      </c>
      <c r="C34" s="44" t="s">
        <v>3735</v>
      </c>
      <c r="D34" s="71">
        <v>800</v>
      </c>
    </row>
    <row r="35" spans="1:4" ht="15.75" x14ac:dyDescent="0.2">
      <c r="A35" s="62">
        <v>159</v>
      </c>
      <c r="B35" s="43" t="s">
        <v>3056</v>
      </c>
      <c r="C35" s="44" t="s">
        <v>3735</v>
      </c>
      <c r="D35" s="71">
        <v>600</v>
      </c>
    </row>
    <row r="36" spans="1:4" ht="15.75" x14ac:dyDescent="0.2">
      <c r="A36" s="62">
        <v>160</v>
      </c>
      <c r="B36" s="43" t="s">
        <v>4868</v>
      </c>
      <c r="C36" s="44" t="s">
        <v>3735</v>
      </c>
      <c r="D36" s="71">
        <v>800</v>
      </c>
    </row>
    <row r="37" spans="1:4" ht="15.75" x14ac:dyDescent="0.2">
      <c r="A37" s="62">
        <v>161</v>
      </c>
      <c r="B37" s="43" t="s">
        <v>1621</v>
      </c>
      <c r="C37" s="44" t="s">
        <v>3735</v>
      </c>
      <c r="D37" s="71">
        <v>500</v>
      </c>
    </row>
    <row r="38" spans="1:4" ht="15.75" x14ac:dyDescent="0.2">
      <c r="A38" s="62">
        <v>162</v>
      </c>
      <c r="B38" s="43" t="s">
        <v>4849</v>
      </c>
      <c r="C38" s="44" t="s">
        <v>3735</v>
      </c>
      <c r="D38" s="71">
        <v>500</v>
      </c>
    </row>
    <row r="39" spans="1:4" ht="15.75" x14ac:dyDescent="0.2">
      <c r="A39" s="62">
        <v>163</v>
      </c>
      <c r="B39" s="43" t="s">
        <v>4850</v>
      </c>
      <c r="C39" s="44" t="s">
        <v>3735</v>
      </c>
      <c r="D39" s="71">
        <v>600</v>
      </c>
    </row>
  </sheetData>
  <mergeCells count="2">
    <mergeCell ref="A1:D1"/>
    <mergeCell ref="A2:D2"/>
  </mergeCells>
  <printOptions horizontalCentered="1"/>
  <pageMargins left="0.75" right="0.75" top="0.75" bottom="0.75" header="0.5" footer="0.5"/>
  <pageSetup paperSize="9" scale="72" orientation="portrait" r:id="rId1"/>
  <headerFooter>
    <oddHeader>&amp;R&amp;"Arial,Regular"&amp;8(Integrated Building BSR 2022 Rajasthan)</oddHeader>
    <oddFooter>&amp;L&amp;"Arial,Regular"&amp;A&amp;R&amp;"Arial,Regular"[&amp;P&amp;"MS Sans Serif,Regular"]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00B0F0"/>
  </sheetPr>
  <dimension ref="A1:D1870"/>
  <sheetViews>
    <sheetView view="pageBreakPreview" topLeftCell="A1853" zoomScale="85" zoomScaleNormal="100" zoomScaleSheetLayoutView="85" workbookViewId="0">
      <selection activeCell="F2" sqref="F2"/>
    </sheetView>
  </sheetViews>
  <sheetFormatPr defaultColWidth="42" defaultRowHeight="12.75" x14ac:dyDescent="0.2"/>
  <cols>
    <col min="1" max="1" width="11.140625" style="68" customWidth="1"/>
    <col min="2" max="2" width="69" style="36" customWidth="1"/>
    <col min="3" max="3" width="17.85546875" style="37" bestFit="1" customWidth="1"/>
    <col min="4" max="4" width="23.85546875" style="41" customWidth="1"/>
    <col min="5" max="16384" width="42" style="33"/>
  </cols>
  <sheetData>
    <row r="1" spans="1:4" ht="36.75" customHeight="1" x14ac:dyDescent="0.2">
      <c r="A1" s="239" t="s">
        <v>4977</v>
      </c>
      <c r="B1" s="239"/>
      <c r="C1" s="239"/>
      <c r="D1" s="239"/>
    </row>
    <row r="2" spans="1:4" ht="29.25" customHeight="1" x14ac:dyDescent="0.2">
      <c r="A2" s="240" t="s">
        <v>6482</v>
      </c>
      <c r="B2" s="241"/>
      <c r="C2" s="241"/>
      <c r="D2" s="242"/>
    </row>
    <row r="3" spans="1:4" ht="24.75" customHeight="1" x14ac:dyDescent="0.2">
      <c r="A3" s="57" t="s">
        <v>3731</v>
      </c>
      <c r="B3" s="232" t="s">
        <v>3712</v>
      </c>
      <c r="C3" s="58" t="s">
        <v>3733</v>
      </c>
      <c r="D3" s="69" t="s">
        <v>3732</v>
      </c>
    </row>
    <row r="4" spans="1:4" ht="15.75" x14ac:dyDescent="0.2">
      <c r="A4" s="62">
        <v>222</v>
      </c>
      <c r="B4" s="43" t="s">
        <v>3057</v>
      </c>
      <c r="C4" s="44" t="s">
        <v>4204</v>
      </c>
      <c r="D4" s="71">
        <v>60</v>
      </c>
    </row>
    <row r="5" spans="1:4" ht="15.75" x14ac:dyDescent="0.2">
      <c r="A5" s="62">
        <v>223</v>
      </c>
      <c r="B5" s="43" t="s">
        <v>3058</v>
      </c>
      <c r="C5" s="44" t="s">
        <v>4112</v>
      </c>
      <c r="D5" s="71">
        <v>260</v>
      </c>
    </row>
    <row r="6" spans="1:4" ht="15.75" x14ac:dyDescent="0.2">
      <c r="A6" s="62">
        <v>224</v>
      </c>
      <c r="B6" s="43" t="s">
        <v>3059</v>
      </c>
      <c r="C6" s="44" t="s">
        <v>3753</v>
      </c>
      <c r="D6" s="71">
        <v>320</v>
      </c>
    </row>
    <row r="7" spans="1:4" ht="15.75" x14ac:dyDescent="0.2">
      <c r="A7" s="62">
        <v>225</v>
      </c>
      <c r="B7" s="43" t="s">
        <v>3060</v>
      </c>
      <c r="C7" s="44" t="s">
        <v>3753</v>
      </c>
      <c r="D7" s="71">
        <v>270</v>
      </c>
    </row>
    <row r="8" spans="1:4" ht="15.75" x14ac:dyDescent="0.2">
      <c r="A8" s="62">
        <v>226</v>
      </c>
      <c r="B8" s="43" t="s">
        <v>3061</v>
      </c>
      <c r="C8" s="44" t="s">
        <v>3753</v>
      </c>
      <c r="D8" s="71">
        <v>290</v>
      </c>
    </row>
    <row r="9" spans="1:4" ht="15.75" x14ac:dyDescent="0.2">
      <c r="A9" s="62">
        <v>227</v>
      </c>
      <c r="B9" s="43" t="s">
        <v>3062</v>
      </c>
      <c r="C9" s="44" t="s">
        <v>3753</v>
      </c>
      <c r="D9" s="71">
        <v>300</v>
      </c>
    </row>
    <row r="10" spans="1:4" ht="15.75" x14ac:dyDescent="0.2">
      <c r="A10" s="62">
        <v>228</v>
      </c>
      <c r="B10" s="43" t="s">
        <v>3063</v>
      </c>
      <c r="C10" s="44" t="s">
        <v>3753</v>
      </c>
      <c r="D10" s="71">
        <v>230</v>
      </c>
    </row>
    <row r="11" spans="1:4" ht="15.75" x14ac:dyDescent="0.2">
      <c r="A11" s="62">
        <v>229</v>
      </c>
      <c r="B11" s="43" t="s">
        <v>3064</v>
      </c>
      <c r="C11" s="44" t="s">
        <v>3748</v>
      </c>
      <c r="D11" s="71">
        <v>150</v>
      </c>
    </row>
    <row r="12" spans="1:4" ht="15.75" x14ac:dyDescent="0.2">
      <c r="A12" s="62">
        <v>230</v>
      </c>
      <c r="B12" s="43" t="s">
        <v>3065</v>
      </c>
      <c r="C12" s="44" t="s">
        <v>3753</v>
      </c>
      <c r="D12" s="71">
        <v>300</v>
      </c>
    </row>
    <row r="13" spans="1:4" ht="15.75" x14ac:dyDescent="0.2">
      <c r="A13" s="62">
        <v>231</v>
      </c>
      <c r="B13" s="43" t="s">
        <v>3066</v>
      </c>
      <c r="C13" s="44" t="s">
        <v>3748</v>
      </c>
      <c r="D13" s="71">
        <v>385</v>
      </c>
    </row>
    <row r="14" spans="1:4" ht="15.75" x14ac:dyDescent="0.2">
      <c r="A14" s="62">
        <v>232</v>
      </c>
      <c r="B14" s="43" t="s">
        <v>3067</v>
      </c>
      <c r="C14" s="44" t="s">
        <v>3753</v>
      </c>
      <c r="D14" s="71">
        <v>330</v>
      </c>
    </row>
    <row r="15" spans="1:4" ht="15.75" x14ac:dyDescent="0.2">
      <c r="A15" s="62">
        <v>233</v>
      </c>
      <c r="B15" s="43" t="s">
        <v>3068</v>
      </c>
      <c r="C15" s="44" t="s">
        <v>3069</v>
      </c>
      <c r="D15" s="71">
        <v>150</v>
      </c>
    </row>
    <row r="16" spans="1:4" ht="15.75" x14ac:dyDescent="0.2">
      <c r="A16" s="62">
        <v>234</v>
      </c>
      <c r="B16" s="43" t="s">
        <v>3070</v>
      </c>
      <c r="C16" s="44" t="s">
        <v>3748</v>
      </c>
      <c r="D16" s="71">
        <v>405</v>
      </c>
    </row>
    <row r="17" spans="1:4" ht="15.75" x14ac:dyDescent="0.2">
      <c r="A17" s="62">
        <v>235</v>
      </c>
      <c r="B17" s="43" t="s">
        <v>3071</v>
      </c>
      <c r="C17" s="44" t="s">
        <v>3748</v>
      </c>
      <c r="D17" s="71">
        <v>250</v>
      </c>
    </row>
    <row r="18" spans="1:4" ht="15.75" x14ac:dyDescent="0.2">
      <c r="A18" s="62">
        <v>236</v>
      </c>
      <c r="B18" s="43" t="s">
        <v>3419</v>
      </c>
      <c r="C18" s="44" t="s">
        <v>4112</v>
      </c>
      <c r="D18" s="71">
        <v>280</v>
      </c>
    </row>
    <row r="19" spans="1:4" ht="15.75" x14ac:dyDescent="0.2">
      <c r="A19" s="62">
        <v>237</v>
      </c>
      <c r="B19" s="43" t="s">
        <v>3072</v>
      </c>
      <c r="C19" s="44" t="s">
        <v>4112</v>
      </c>
      <c r="D19" s="71">
        <v>350</v>
      </c>
    </row>
    <row r="20" spans="1:4" ht="15.75" x14ac:dyDescent="0.2">
      <c r="A20" s="62">
        <v>285</v>
      </c>
      <c r="B20" s="43" t="s">
        <v>3073</v>
      </c>
      <c r="C20" s="44" t="s">
        <v>3751</v>
      </c>
      <c r="D20" s="71">
        <v>485</v>
      </c>
    </row>
    <row r="21" spans="1:4" ht="15.75" x14ac:dyDescent="0.2">
      <c r="A21" s="62">
        <v>286</v>
      </c>
      <c r="B21" s="43" t="s">
        <v>3074</v>
      </c>
      <c r="C21" s="44" t="s">
        <v>3751</v>
      </c>
      <c r="D21" s="71">
        <v>530</v>
      </c>
    </row>
    <row r="22" spans="1:4" ht="15.75" x14ac:dyDescent="0.2">
      <c r="A22" s="62">
        <v>287</v>
      </c>
      <c r="B22" s="43" t="s">
        <v>3075</v>
      </c>
      <c r="C22" s="44" t="s">
        <v>3751</v>
      </c>
      <c r="D22" s="71">
        <v>950</v>
      </c>
    </row>
    <row r="23" spans="1:4" ht="15.75" x14ac:dyDescent="0.2">
      <c r="A23" s="62">
        <v>291</v>
      </c>
      <c r="B23" s="43" t="s">
        <v>3076</v>
      </c>
      <c r="C23" s="44" t="s">
        <v>3751</v>
      </c>
      <c r="D23" s="71">
        <v>870</v>
      </c>
    </row>
    <row r="24" spans="1:4" ht="15.75" x14ac:dyDescent="0.2">
      <c r="A24" s="62">
        <v>292</v>
      </c>
      <c r="B24" s="43" t="s">
        <v>3077</v>
      </c>
      <c r="C24" s="44" t="s">
        <v>3751</v>
      </c>
      <c r="D24" s="71">
        <v>930</v>
      </c>
    </row>
    <row r="25" spans="1:4" ht="15.75" x14ac:dyDescent="0.2">
      <c r="A25" s="62">
        <v>293</v>
      </c>
      <c r="B25" s="43" t="s">
        <v>3078</v>
      </c>
      <c r="C25" s="44" t="s">
        <v>3751</v>
      </c>
      <c r="D25" s="71">
        <v>990</v>
      </c>
    </row>
    <row r="26" spans="1:4" ht="15.75" x14ac:dyDescent="0.2">
      <c r="A26" s="62">
        <v>294</v>
      </c>
      <c r="B26" s="43" t="s">
        <v>3079</v>
      </c>
      <c r="C26" s="44" t="s">
        <v>3751</v>
      </c>
      <c r="D26" s="71">
        <v>990</v>
      </c>
    </row>
    <row r="27" spans="1:4" ht="15.75" x14ac:dyDescent="0.2">
      <c r="A27" s="62">
        <v>295</v>
      </c>
      <c r="B27" s="43" t="s">
        <v>3080</v>
      </c>
      <c r="C27" s="44" t="s">
        <v>3751</v>
      </c>
      <c r="D27" s="71">
        <v>1100</v>
      </c>
    </row>
    <row r="28" spans="1:4" ht="15.75" x14ac:dyDescent="0.2">
      <c r="A28" s="62">
        <v>296</v>
      </c>
      <c r="B28" s="43" t="s">
        <v>3081</v>
      </c>
      <c r="C28" s="44" t="s">
        <v>3751</v>
      </c>
      <c r="D28" s="71">
        <v>1100</v>
      </c>
    </row>
    <row r="29" spans="1:4" ht="15.75" x14ac:dyDescent="0.2">
      <c r="A29" s="62">
        <v>297</v>
      </c>
      <c r="B29" s="43" t="s">
        <v>3082</v>
      </c>
      <c r="C29" s="44" t="s">
        <v>3751</v>
      </c>
      <c r="D29" s="71">
        <v>1000</v>
      </c>
    </row>
    <row r="30" spans="1:4" ht="15.75" x14ac:dyDescent="0.2">
      <c r="A30" s="62">
        <v>298</v>
      </c>
      <c r="B30" s="43" t="s">
        <v>3083</v>
      </c>
      <c r="C30" s="44" t="s">
        <v>3751</v>
      </c>
      <c r="D30" s="71">
        <v>950</v>
      </c>
    </row>
    <row r="31" spans="1:4" ht="15.75" x14ac:dyDescent="0.2">
      <c r="A31" s="62">
        <v>302</v>
      </c>
      <c r="B31" s="43" t="s">
        <v>3084</v>
      </c>
      <c r="C31" s="44" t="s">
        <v>3753</v>
      </c>
      <c r="D31" s="71">
        <v>70</v>
      </c>
    </row>
    <row r="32" spans="1:4" ht="15.75" x14ac:dyDescent="0.2">
      <c r="A32" s="62">
        <v>304</v>
      </c>
      <c r="B32" s="43" t="s">
        <v>3085</v>
      </c>
      <c r="C32" s="44" t="s">
        <v>3751</v>
      </c>
      <c r="D32" s="71">
        <v>1800</v>
      </c>
    </row>
    <row r="33" spans="1:4" ht="15.75" x14ac:dyDescent="0.2">
      <c r="A33" s="62">
        <v>305</v>
      </c>
      <c r="B33" s="43" t="s">
        <v>4224</v>
      </c>
      <c r="C33" s="44" t="s">
        <v>3086</v>
      </c>
      <c r="D33" s="71">
        <v>500</v>
      </c>
    </row>
    <row r="34" spans="1:4" ht="15.75" x14ac:dyDescent="0.2">
      <c r="A34" s="62">
        <v>308</v>
      </c>
      <c r="B34" s="43" t="s">
        <v>3087</v>
      </c>
      <c r="C34" s="44" t="s">
        <v>3741</v>
      </c>
      <c r="D34" s="71">
        <v>350</v>
      </c>
    </row>
    <row r="35" spans="1:4" ht="15.75" x14ac:dyDescent="0.2">
      <c r="A35" s="62">
        <v>309</v>
      </c>
      <c r="B35" s="43" t="s">
        <v>3088</v>
      </c>
      <c r="C35" s="44" t="s">
        <v>4100</v>
      </c>
      <c r="D35" s="71">
        <v>60500</v>
      </c>
    </row>
    <row r="36" spans="1:4" ht="15.75" x14ac:dyDescent="0.2">
      <c r="A36" s="62">
        <v>310</v>
      </c>
      <c r="B36" s="43" t="s">
        <v>3089</v>
      </c>
      <c r="C36" s="44" t="s">
        <v>4100</v>
      </c>
      <c r="D36" s="71">
        <v>53000</v>
      </c>
    </row>
    <row r="37" spans="1:4" ht="15.75" x14ac:dyDescent="0.2">
      <c r="A37" s="62">
        <v>312</v>
      </c>
      <c r="B37" s="43" t="s">
        <v>3090</v>
      </c>
      <c r="C37" s="44" t="s">
        <v>3091</v>
      </c>
      <c r="D37" s="71">
        <v>60500</v>
      </c>
    </row>
    <row r="38" spans="1:4" ht="15.75" x14ac:dyDescent="0.2">
      <c r="A38" s="62">
        <v>313</v>
      </c>
      <c r="B38" s="43" t="s">
        <v>3092</v>
      </c>
      <c r="C38" s="44" t="s">
        <v>4100</v>
      </c>
      <c r="D38" s="71">
        <v>60500</v>
      </c>
    </row>
    <row r="39" spans="1:4" ht="15.75" x14ac:dyDescent="0.2">
      <c r="A39" s="62">
        <v>314</v>
      </c>
      <c r="B39" s="43" t="s">
        <v>3093</v>
      </c>
      <c r="C39" s="44" t="s">
        <v>3747</v>
      </c>
      <c r="D39" s="71">
        <v>35</v>
      </c>
    </row>
    <row r="40" spans="1:4" ht="15.75" x14ac:dyDescent="0.2">
      <c r="A40" s="62">
        <v>316</v>
      </c>
      <c r="B40" s="43" t="s">
        <v>3094</v>
      </c>
      <c r="C40" s="44" t="s">
        <v>3740</v>
      </c>
      <c r="D40" s="71">
        <v>82</v>
      </c>
    </row>
    <row r="41" spans="1:4" ht="15.75" x14ac:dyDescent="0.2">
      <c r="A41" s="62">
        <v>317</v>
      </c>
      <c r="B41" s="43" t="s">
        <v>3095</v>
      </c>
      <c r="C41" s="44" t="s">
        <v>4112</v>
      </c>
      <c r="D41" s="71">
        <v>570</v>
      </c>
    </row>
    <row r="42" spans="1:4" ht="15.75" x14ac:dyDescent="0.2">
      <c r="A42" s="62">
        <v>318</v>
      </c>
      <c r="B42" s="43" t="s">
        <v>3096</v>
      </c>
      <c r="C42" s="44" t="s">
        <v>4112</v>
      </c>
      <c r="D42" s="71">
        <v>130</v>
      </c>
    </row>
    <row r="43" spans="1:4" ht="15.75" x14ac:dyDescent="0.2">
      <c r="A43" s="62">
        <v>322</v>
      </c>
      <c r="B43" s="43" t="s">
        <v>3097</v>
      </c>
      <c r="C43" s="44" t="s">
        <v>4112</v>
      </c>
      <c r="D43" s="71">
        <v>130</v>
      </c>
    </row>
    <row r="44" spans="1:4" ht="15.75" x14ac:dyDescent="0.2">
      <c r="A44" s="62">
        <v>324</v>
      </c>
      <c r="B44" s="43" t="s">
        <v>3098</v>
      </c>
      <c r="C44" s="44" t="s">
        <v>3740</v>
      </c>
      <c r="D44" s="71">
        <v>76</v>
      </c>
    </row>
    <row r="45" spans="1:4" ht="15.75" x14ac:dyDescent="0.2">
      <c r="A45" s="62">
        <v>325</v>
      </c>
      <c r="B45" s="43" t="s">
        <v>3099</v>
      </c>
      <c r="C45" s="44" t="s">
        <v>3747</v>
      </c>
      <c r="D45" s="71">
        <v>41</v>
      </c>
    </row>
    <row r="46" spans="1:4" ht="15.75" x14ac:dyDescent="0.2">
      <c r="A46" s="62">
        <v>326</v>
      </c>
      <c r="B46" s="43" t="s">
        <v>3100</v>
      </c>
      <c r="C46" s="44" t="s">
        <v>3748</v>
      </c>
      <c r="D46" s="71">
        <v>18</v>
      </c>
    </row>
    <row r="47" spans="1:4" ht="15.75" x14ac:dyDescent="0.2">
      <c r="A47" s="62">
        <v>328</v>
      </c>
      <c r="B47" s="43" t="s">
        <v>3101</v>
      </c>
      <c r="C47" s="44" t="s">
        <v>4112</v>
      </c>
      <c r="D47" s="71">
        <v>405</v>
      </c>
    </row>
    <row r="48" spans="1:4" ht="15.75" x14ac:dyDescent="0.2">
      <c r="A48" s="62">
        <v>332</v>
      </c>
      <c r="B48" s="43" t="s">
        <v>3102</v>
      </c>
      <c r="C48" s="44" t="s">
        <v>4112</v>
      </c>
      <c r="D48" s="71">
        <v>300</v>
      </c>
    </row>
    <row r="49" spans="1:4" ht="15.75" x14ac:dyDescent="0.2">
      <c r="A49" s="62">
        <v>336</v>
      </c>
      <c r="B49" s="43" t="s">
        <v>3103</v>
      </c>
      <c r="C49" s="44" t="s">
        <v>4112</v>
      </c>
      <c r="D49" s="71">
        <v>470</v>
      </c>
    </row>
    <row r="50" spans="1:4" ht="15.75" x14ac:dyDescent="0.2">
      <c r="A50" s="62">
        <v>338</v>
      </c>
      <c r="B50" s="43" t="s">
        <v>3104</v>
      </c>
      <c r="C50" s="44" t="s">
        <v>4112</v>
      </c>
      <c r="D50" s="71">
        <v>580</v>
      </c>
    </row>
    <row r="51" spans="1:4" ht="15.75" x14ac:dyDescent="0.2">
      <c r="A51" s="62">
        <v>339</v>
      </c>
      <c r="B51" s="43" t="s">
        <v>2783</v>
      </c>
      <c r="C51" s="44" t="s">
        <v>4112</v>
      </c>
      <c r="D51" s="71">
        <v>815</v>
      </c>
    </row>
    <row r="52" spans="1:4" ht="15.75" x14ac:dyDescent="0.2">
      <c r="A52" s="62">
        <v>340</v>
      </c>
      <c r="B52" s="43" t="s">
        <v>2784</v>
      </c>
      <c r="C52" s="44" t="s">
        <v>4112</v>
      </c>
      <c r="D52" s="71">
        <v>1120</v>
      </c>
    </row>
    <row r="53" spans="1:4" ht="15.75" x14ac:dyDescent="0.2">
      <c r="A53" s="62">
        <v>341</v>
      </c>
      <c r="B53" s="43" t="s">
        <v>3105</v>
      </c>
      <c r="C53" s="44" t="s">
        <v>4112</v>
      </c>
      <c r="D53" s="71">
        <v>350</v>
      </c>
    </row>
    <row r="54" spans="1:4" ht="31.5" x14ac:dyDescent="0.2">
      <c r="A54" s="62">
        <v>346</v>
      </c>
      <c r="B54" s="43" t="s">
        <v>3106</v>
      </c>
      <c r="C54" s="44" t="s">
        <v>4112</v>
      </c>
      <c r="D54" s="71">
        <v>350</v>
      </c>
    </row>
    <row r="55" spans="1:4" ht="15.75" x14ac:dyDescent="0.2">
      <c r="A55" s="62">
        <v>347</v>
      </c>
      <c r="B55" s="43" t="s">
        <v>3107</v>
      </c>
      <c r="C55" s="44" t="s">
        <v>4112</v>
      </c>
      <c r="D55" s="71">
        <v>250</v>
      </c>
    </row>
    <row r="56" spans="1:4" ht="15.75" x14ac:dyDescent="0.2">
      <c r="A56" s="62">
        <v>348</v>
      </c>
      <c r="B56" s="43" t="s">
        <v>3108</v>
      </c>
      <c r="C56" s="44" t="s">
        <v>4112</v>
      </c>
      <c r="D56" s="71">
        <v>580</v>
      </c>
    </row>
    <row r="57" spans="1:4" ht="15.75" x14ac:dyDescent="0.2">
      <c r="A57" s="62">
        <v>349</v>
      </c>
      <c r="B57" s="46" t="s">
        <v>1638</v>
      </c>
      <c r="C57" s="44" t="s">
        <v>4112</v>
      </c>
      <c r="D57" s="71">
        <v>270</v>
      </c>
    </row>
    <row r="58" spans="1:4" ht="15.75" x14ac:dyDescent="0.2">
      <c r="A58" s="62">
        <v>350</v>
      </c>
      <c r="B58" s="46" t="s">
        <v>1640</v>
      </c>
      <c r="C58" s="44" t="s">
        <v>4112</v>
      </c>
      <c r="D58" s="71">
        <v>340</v>
      </c>
    </row>
    <row r="59" spans="1:4" ht="15.75" x14ac:dyDescent="0.2">
      <c r="A59" s="62">
        <v>351</v>
      </c>
      <c r="B59" s="46" t="s">
        <v>1641</v>
      </c>
      <c r="C59" s="44" t="s">
        <v>4112</v>
      </c>
      <c r="D59" s="71">
        <v>405</v>
      </c>
    </row>
    <row r="60" spans="1:4" ht="15.75" x14ac:dyDescent="0.2">
      <c r="A60" s="62">
        <v>352</v>
      </c>
      <c r="B60" s="46" t="s">
        <v>1642</v>
      </c>
      <c r="C60" s="44" t="s">
        <v>4112</v>
      </c>
      <c r="D60" s="71">
        <v>550</v>
      </c>
    </row>
    <row r="61" spans="1:4" ht="15.75" x14ac:dyDescent="0.2">
      <c r="A61" s="62">
        <v>353</v>
      </c>
      <c r="B61" s="46" t="s">
        <v>1639</v>
      </c>
      <c r="C61" s="44" t="s">
        <v>4112</v>
      </c>
      <c r="D61" s="71">
        <v>70</v>
      </c>
    </row>
    <row r="62" spans="1:4" ht="15.75" x14ac:dyDescent="0.2">
      <c r="A62" s="62">
        <v>362</v>
      </c>
      <c r="B62" s="43" t="s">
        <v>3109</v>
      </c>
      <c r="C62" s="44" t="s">
        <v>3751</v>
      </c>
      <c r="D62" s="71">
        <v>600</v>
      </c>
    </row>
    <row r="63" spans="1:4" ht="15.75" x14ac:dyDescent="0.2">
      <c r="A63" s="62">
        <v>364</v>
      </c>
      <c r="B63" s="43" t="s">
        <v>3110</v>
      </c>
      <c r="C63" s="44" t="s">
        <v>3748</v>
      </c>
      <c r="D63" s="71">
        <v>50</v>
      </c>
    </row>
    <row r="64" spans="1:4" ht="15.75" x14ac:dyDescent="0.2">
      <c r="A64" s="62">
        <v>365</v>
      </c>
      <c r="B64" s="43" t="s">
        <v>3111</v>
      </c>
      <c r="C64" s="44" t="s">
        <v>3748</v>
      </c>
      <c r="D64" s="71">
        <v>30</v>
      </c>
    </row>
    <row r="65" spans="1:4" ht="15.75" x14ac:dyDescent="0.2">
      <c r="A65" s="62">
        <v>367</v>
      </c>
      <c r="B65" s="43" t="s">
        <v>3112</v>
      </c>
      <c r="C65" s="44" t="s">
        <v>4100</v>
      </c>
      <c r="D65" s="71">
        <v>7000</v>
      </c>
    </row>
    <row r="66" spans="1:4" ht="15.75" x14ac:dyDescent="0.2">
      <c r="A66" s="62">
        <v>368</v>
      </c>
      <c r="B66" s="43" t="s">
        <v>4107</v>
      </c>
      <c r="C66" s="44" t="s">
        <v>4100</v>
      </c>
      <c r="D66" s="71">
        <v>18000</v>
      </c>
    </row>
    <row r="67" spans="1:4" ht="15.75" x14ac:dyDescent="0.2">
      <c r="A67" s="62">
        <v>369</v>
      </c>
      <c r="B67" s="43" t="s">
        <v>2581</v>
      </c>
      <c r="C67" s="44" t="s">
        <v>4100</v>
      </c>
      <c r="D67" s="71">
        <v>500</v>
      </c>
    </row>
    <row r="68" spans="1:4" ht="15.75" x14ac:dyDescent="0.2">
      <c r="A68" s="62">
        <v>370</v>
      </c>
      <c r="B68" s="43" t="s">
        <v>3113</v>
      </c>
      <c r="C68" s="44" t="s">
        <v>3741</v>
      </c>
      <c r="D68" s="71">
        <v>3465</v>
      </c>
    </row>
    <row r="69" spans="1:4" ht="15.75" x14ac:dyDescent="0.2">
      <c r="A69" s="62">
        <v>373</v>
      </c>
      <c r="B69" s="43" t="s">
        <v>3114</v>
      </c>
      <c r="C69" s="44" t="s">
        <v>3748</v>
      </c>
      <c r="D69" s="71">
        <v>75</v>
      </c>
    </row>
    <row r="70" spans="1:4" ht="15.75" x14ac:dyDescent="0.2">
      <c r="A70" s="62">
        <v>378</v>
      </c>
      <c r="B70" s="43" t="s">
        <v>3115</v>
      </c>
      <c r="C70" s="44" t="s">
        <v>4204</v>
      </c>
      <c r="D70" s="71">
        <v>650</v>
      </c>
    </row>
    <row r="71" spans="1:4" ht="15.75" x14ac:dyDescent="0.2">
      <c r="A71" s="62">
        <v>379</v>
      </c>
      <c r="B71" s="43" t="s">
        <v>3116</v>
      </c>
      <c r="C71" s="44" t="s">
        <v>4204</v>
      </c>
      <c r="D71" s="71">
        <v>500</v>
      </c>
    </row>
    <row r="72" spans="1:4" ht="15.75" x14ac:dyDescent="0.2">
      <c r="A72" s="62">
        <v>380</v>
      </c>
      <c r="B72" s="43" t="s">
        <v>3117</v>
      </c>
      <c r="C72" s="44" t="s">
        <v>4204</v>
      </c>
      <c r="D72" s="71">
        <v>400</v>
      </c>
    </row>
    <row r="73" spans="1:4" ht="15.75" x14ac:dyDescent="0.2">
      <c r="A73" s="62">
        <v>381</v>
      </c>
      <c r="B73" s="43" t="s">
        <v>3118</v>
      </c>
      <c r="C73" s="44" t="s">
        <v>4204</v>
      </c>
      <c r="D73" s="71">
        <v>350</v>
      </c>
    </row>
    <row r="74" spans="1:4" ht="15.75" x14ac:dyDescent="0.2">
      <c r="A74" s="62">
        <v>382</v>
      </c>
      <c r="B74" s="43" t="s">
        <v>3119</v>
      </c>
      <c r="C74" s="44" t="s">
        <v>4204</v>
      </c>
      <c r="D74" s="71">
        <v>3000</v>
      </c>
    </row>
    <row r="75" spans="1:4" ht="15.75" x14ac:dyDescent="0.2">
      <c r="A75" s="62">
        <v>383</v>
      </c>
      <c r="B75" s="43" t="s">
        <v>3120</v>
      </c>
      <c r="C75" s="44" t="s">
        <v>4204</v>
      </c>
      <c r="D75" s="71">
        <v>2700</v>
      </c>
    </row>
    <row r="76" spans="1:4" ht="15.75" x14ac:dyDescent="0.2">
      <c r="A76" s="62">
        <v>384</v>
      </c>
      <c r="B76" s="43" t="s">
        <v>3121</v>
      </c>
      <c r="C76" s="44" t="s">
        <v>4204</v>
      </c>
      <c r="D76" s="71">
        <v>2500</v>
      </c>
    </row>
    <row r="77" spans="1:4" ht="15.75" x14ac:dyDescent="0.2">
      <c r="A77" s="62">
        <v>385</v>
      </c>
      <c r="B77" s="43" t="s">
        <v>3122</v>
      </c>
      <c r="C77" s="44" t="s">
        <v>4204</v>
      </c>
      <c r="D77" s="71">
        <v>2500</v>
      </c>
    </row>
    <row r="78" spans="1:4" ht="15.75" x14ac:dyDescent="0.2">
      <c r="A78" s="62">
        <v>386</v>
      </c>
      <c r="B78" s="43" t="s">
        <v>3123</v>
      </c>
      <c r="C78" s="44" t="s">
        <v>4204</v>
      </c>
      <c r="D78" s="71">
        <v>2400</v>
      </c>
    </row>
    <row r="79" spans="1:4" ht="15.75" x14ac:dyDescent="0.2">
      <c r="A79" s="62">
        <v>387</v>
      </c>
      <c r="B79" s="43" t="s">
        <v>3124</v>
      </c>
      <c r="C79" s="44" t="s">
        <v>4204</v>
      </c>
      <c r="D79" s="71">
        <v>2300</v>
      </c>
    </row>
    <row r="80" spans="1:4" ht="15.75" x14ac:dyDescent="0.2">
      <c r="A80" s="62">
        <v>388</v>
      </c>
      <c r="B80" s="43" t="s">
        <v>3125</v>
      </c>
      <c r="C80" s="44" t="s">
        <v>4204</v>
      </c>
      <c r="D80" s="71">
        <v>2250</v>
      </c>
    </row>
    <row r="81" spans="1:4" ht="15.75" x14ac:dyDescent="0.2">
      <c r="A81" s="62">
        <v>389</v>
      </c>
      <c r="B81" s="43" t="s">
        <v>3126</v>
      </c>
      <c r="C81" s="44" t="s">
        <v>3748</v>
      </c>
      <c r="D81" s="71">
        <v>300</v>
      </c>
    </row>
    <row r="82" spans="1:4" ht="15.75" x14ac:dyDescent="0.2">
      <c r="A82" s="62">
        <v>390</v>
      </c>
      <c r="B82" s="43" t="s">
        <v>3127</v>
      </c>
      <c r="C82" s="44" t="s">
        <v>3748</v>
      </c>
      <c r="D82" s="71">
        <v>250</v>
      </c>
    </row>
    <row r="83" spans="1:4" ht="15.75" x14ac:dyDescent="0.2">
      <c r="A83" s="62">
        <v>391</v>
      </c>
      <c r="B83" s="43" t="s">
        <v>3128</v>
      </c>
      <c r="C83" s="44" t="s">
        <v>3748</v>
      </c>
      <c r="D83" s="71">
        <v>200</v>
      </c>
    </row>
    <row r="84" spans="1:4" ht="15.75" x14ac:dyDescent="0.2">
      <c r="A84" s="62">
        <v>392</v>
      </c>
      <c r="B84" s="43" t="s">
        <v>3129</v>
      </c>
      <c r="C84" s="44" t="s">
        <v>3748</v>
      </c>
      <c r="D84" s="71">
        <v>980</v>
      </c>
    </row>
    <row r="85" spans="1:4" ht="15.75" x14ac:dyDescent="0.2">
      <c r="A85" s="62">
        <v>393</v>
      </c>
      <c r="B85" s="43" t="s">
        <v>3130</v>
      </c>
      <c r="C85" s="44" t="s">
        <v>3748</v>
      </c>
      <c r="D85" s="71">
        <v>750</v>
      </c>
    </row>
    <row r="86" spans="1:4" ht="15.75" x14ac:dyDescent="0.2">
      <c r="A86" s="62">
        <v>394</v>
      </c>
      <c r="B86" s="43" t="s">
        <v>3131</v>
      </c>
      <c r="C86" s="44" t="s">
        <v>3748</v>
      </c>
      <c r="D86" s="71">
        <v>650</v>
      </c>
    </row>
    <row r="87" spans="1:4" ht="15.75" x14ac:dyDescent="0.2">
      <c r="A87" s="62">
        <v>400</v>
      </c>
      <c r="B87" s="43" t="s">
        <v>3132</v>
      </c>
      <c r="C87" s="44" t="s">
        <v>3748</v>
      </c>
      <c r="D87" s="71">
        <v>250</v>
      </c>
    </row>
    <row r="88" spans="1:4" ht="15.75" x14ac:dyDescent="0.2">
      <c r="A88" s="62">
        <v>401</v>
      </c>
      <c r="B88" s="43" t="s">
        <v>3133</v>
      </c>
      <c r="C88" s="44" t="s">
        <v>3748</v>
      </c>
      <c r="D88" s="71">
        <v>220</v>
      </c>
    </row>
    <row r="89" spans="1:4" ht="15.75" x14ac:dyDescent="0.2">
      <c r="A89" s="62">
        <v>402</v>
      </c>
      <c r="B89" s="43" t="s">
        <v>3134</v>
      </c>
      <c r="C89" s="44" t="s">
        <v>3748</v>
      </c>
      <c r="D89" s="71">
        <v>200</v>
      </c>
    </row>
    <row r="90" spans="1:4" ht="15.75" x14ac:dyDescent="0.2">
      <c r="A90" s="62">
        <v>403</v>
      </c>
      <c r="B90" s="43" t="s">
        <v>3135</v>
      </c>
      <c r="C90" s="44" t="s">
        <v>3748</v>
      </c>
      <c r="D90" s="71">
        <v>170</v>
      </c>
    </row>
    <row r="91" spans="1:4" ht="15.75" x14ac:dyDescent="0.2">
      <c r="A91" s="62">
        <v>404</v>
      </c>
      <c r="B91" s="43" t="s">
        <v>3136</v>
      </c>
      <c r="C91" s="44" t="s">
        <v>3748</v>
      </c>
      <c r="D91" s="71">
        <v>140</v>
      </c>
    </row>
    <row r="92" spans="1:4" ht="15.75" x14ac:dyDescent="0.2">
      <c r="A92" s="62">
        <v>405</v>
      </c>
      <c r="B92" s="43" t="s">
        <v>3137</v>
      </c>
      <c r="C92" s="44" t="s">
        <v>3748</v>
      </c>
      <c r="D92" s="71">
        <v>115</v>
      </c>
    </row>
    <row r="93" spans="1:4" ht="15.75" x14ac:dyDescent="0.2">
      <c r="A93" s="62">
        <v>406</v>
      </c>
      <c r="B93" s="43" t="s">
        <v>3138</v>
      </c>
      <c r="C93" s="44" t="s">
        <v>3748</v>
      </c>
      <c r="D93" s="71">
        <v>76</v>
      </c>
    </row>
    <row r="94" spans="1:4" ht="15.75" x14ac:dyDescent="0.2">
      <c r="A94" s="62">
        <v>408</v>
      </c>
      <c r="B94" s="43" t="s">
        <v>3139</v>
      </c>
      <c r="C94" s="44" t="s">
        <v>3748</v>
      </c>
      <c r="D94" s="71">
        <v>240</v>
      </c>
    </row>
    <row r="95" spans="1:4" ht="15.75" x14ac:dyDescent="0.2">
      <c r="A95" s="62">
        <v>409</v>
      </c>
      <c r="B95" s="43" t="s">
        <v>3140</v>
      </c>
      <c r="C95" s="44" t="s">
        <v>3748</v>
      </c>
      <c r="D95" s="71">
        <v>220</v>
      </c>
    </row>
    <row r="96" spans="1:4" ht="15.75" x14ac:dyDescent="0.2">
      <c r="A96" s="62">
        <v>410</v>
      </c>
      <c r="B96" s="43" t="s">
        <v>3141</v>
      </c>
      <c r="C96" s="44" t="s">
        <v>3748</v>
      </c>
      <c r="D96" s="71">
        <v>200</v>
      </c>
    </row>
    <row r="97" spans="1:4" ht="15.75" x14ac:dyDescent="0.2">
      <c r="A97" s="62">
        <v>411</v>
      </c>
      <c r="B97" s="43" t="s">
        <v>3142</v>
      </c>
      <c r="C97" s="44" t="s">
        <v>3748</v>
      </c>
      <c r="D97" s="71">
        <v>400</v>
      </c>
    </row>
    <row r="98" spans="1:4" ht="15.75" x14ac:dyDescent="0.2">
      <c r="A98" s="62">
        <v>412</v>
      </c>
      <c r="B98" s="43" t="s">
        <v>3757</v>
      </c>
      <c r="C98" s="44" t="s">
        <v>3748</v>
      </c>
      <c r="D98" s="71">
        <v>350</v>
      </c>
    </row>
    <row r="99" spans="1:4" ht="31.5" x14ac:dyDescent="0.2">
      <c r="A99" s="62">
        <v>413</v>
      </c>
      <c r="B99" s="43" t="s">
        <v>3758</v>
      </c>
      <c r="C99" s="44" t="s">
        <v>3748</v>
      </c>
      <c r="D99" s="71">
        <v>2500</v>
      </c>
    </row>
    <row r="100" spans="1:4" ht="15.75" x14ac:dyDescent="0.2">
      <c r="A100" s="62">
        <v>414</v>
      </c>
      <c r="B100" s="43" t="s">
        <v>3759</v>
      </c>
      <c r="C100" s="44" t="s">
        <v>3748</v>
      </c>
      <c r="D100" s="71">
        <v>3500</v>
      </c>
    </row>
    <row r="101" spans="1:4" ht="15.75" x14ac:dyDescent="0.2">
      <c r="A101" s="62">
        <v>417</v>
      </c>
      <c r="B101" s="43" t="s">
        <v>3760</v>
      </c>
      <c r="C101" s="44" t="s">
        <v>3748</v>
      </c>
      <c r="D101" s="71">
        <v>190</v>
      </c>
    </row>
    <row r="102" spans="1:4" ht="15.75" x14ac:dyDescent="0.2">
      <c r="A102" s="62">
        <v>418</v>
      </c>
      <c r="B102" s="43" t="s">
        <v>3761</v>
      </c>
      <c r="C102" s="44" t="s">
        <v>4204</v>
      </c>
      <c r="D102" s="71">
        <v>900</v>
      </c>
    </row>
    <row r="103" spans="1:4" ht="15.75" x14ac:dyDescent="0.2">
      <c r="A103" s="62">
        <v>419</v>
      </c>
      <c r="B103" s="43" t="s">
        <v>3762</v>
      </c>
      <c r="C103" s="44" t="s">
        <v>4204</v>
      </c>
      <c r="D103" s="71">
        <v>800</v>
      </c>
    </row>
    <row r="104" spans="1:4" ht="15.75" x14ac:dyDescent="0.2">
      <c r="A104" s="62">
        <v>420</v>
      </c>
      <c r="B104" s="43" t="s">
        <v>3763</v>
      </c>
      <c r="C104" s="44" t="s">
        <v>4204</v>
      </c>
      <c r="D104" s="71">
        <v>750</v>
      </c>
    </row>
    <row r="105" spans="1:4" ht="15.75" x14ac:dyDescent="0.2">
      <c r="A105" s="62">
        <v>421</v>
      </c>
      <c r="B105" s="43" t="s">
        <v>3764</v>
      </c>
      <c r="C105" s="44" t="s">
        <v>4204</v>
      </c>
      <c r="D105" s="71">
        <v>700</v>
      </c>
    </row>
    <row r="106" spans="1:4" ht="15.75" x14ac:dyDescent="0.2">
      <c r="A106" s="62">
        <v>422</v>
      </c>
      <c r="B106" s="43" t="s">
        <v>3765</v>
      </c>
      <c r="C106" s="44" t="s">
        <v>4204</v>
      </c>
      <c r="D106" s="71">
        <v>500</v>
      </c>
    </row>
    <row r="107" spans="1:4" ht="15.75" x14ac:dyDescent="0.2">
      <c r="A107" s="62">
        <v>423</v>
      </c>
      <c r="B107" s="43" t="s">
        <v>3766</v>
      </c>
      <c r="C107" s="44" t="s">
        <v>4217</v>
      </c>
      <c r="D107" s="71">
        <v>55</v>
      </c>
    </row>
    <row r="108" spans="1:4" ht="31.5" x14ac:dyDescent="0.2">
      <c r="A108" s="62">
        <v>424</v>
      </c>
      <c r="B108" s="43" t="s">
        <v>3767</v>
      </c>
      <c r="C108" s="44" t="s">
        <v>3748</v>
      </c>
      <c r="D108" s="71">
        <v>110</v>
      </c>
    </row>
    <row r="109" spans="1:4" ht="31.5" x14ac:dyDescent="0.2">
      <c r="A109" s="62">
        <v>425</v>
      </c>
      <c r="B109" s="43" t="s">
        <v>3768</v>
      </c>
      <c r="C109" s="44" t="s">
        <v>4217</v>
      </c>
      <c r="D109" s="71">
        <v>90</v>
      </c>
    </row>
    <row r="110" spans="1:4" ht="31.5" x14ac:dyDescent="0.2">
      <c r="A110" s="62">
        <v>426</v>
      </c>
      <c r="B110" s="43" t="s">
        <v>3769</v>
      </c>
      <c r="C110" s="44" t="s">
        <v>3748</v>
      </c>
      <c r="D110" s="71">
        <v>80</v>
      </c>
    </row>
    <row r="111" spans="1:4" ht="15.75" x14ac:dyDescent="0.2">
      <c r="A111" s="62">
        <v>427</v>
      </c>
      <c r="B111" s="43" t="s">
        <v>3770</v>
      </c>
      <c r="C111" s="44" t="s">
        <v>3748</v>
      </c>
      <c r="D111" s="71">
        <v>130</v>
      </c>
    </row>
    <row r="112" spans="1:4" ht="15.75" x14ac:dyDescent="0.2">
      <c r="A112" s="62">
        <v>428</v>
      </c>
      <c r="B112" s="43" t="s">
        <v>3771</v>
      </c>
      <c r="C112" s="44" t="s">
        <v>4204</v>
      </c>
      <c r="D112" s="71">
        <v>190</v>
      </c>
    </row>
    <row r="113" spans="1:4" ht="15.75" x14ac:dyDescent="0.2">
      <c r="A113" s="62">
        <v>429</v>
      </c>
      <c r="B113" s="43" t="s">
        <v>3772</v>
      </c>
      <c r="C113" s="44" t="s">
        <v>4204</v>
      </c>
      <c r="D113" s="71">
        <v>260</v>
      </c>
    </row>
    <row r="114" spans="1:4" ht="15.75" x14ac:dyDescent="0.2">
      <c r="A114" s="62">
        <v>430</v>
      </c>
      <c r="B114" s="43" t="s">
        <v>3773</v>
      </c>
      <c r="C114" s="44" t="s">
        <v>3748</v>
      </c>
      <c r="D114" s="71">
        <v>25</v>
      </c>
    </row>
    <row r="115" spans="1:4" ht="15.75" x14ac:dyDescent="0.2">
      <c r="A115" s="62">
        <v>431</v>
      </c>
      <c r="B115" s="43" t="s">
        <v>3774</v>
      </c>
      <c r="C115" s="44" t="s">
        <v>4204</v>
      </c>
      <c r="D115" s="71">
        <v>760</v>
      </c>
    </row>
    <row r="116" spans="1:4" ht="15.75" x14ac:dyDescent="0.2">
      <c r="A116" s="62">
        <v>432</v>
      </c>
      <c r="B116" s="43" t="s">
        <v>3775</v>
      </c>
      <c r="C116" s="44" t="s">
        <v>4204</v>
      </c>
      <c r="D116" s="71">
        <v>630</v>
      </c>
    </row>
    <row r="117" spans="1:4" ht="15.75" x14ac:dyDescent="0.2">
      <c r="A117" s="62">
        <v>433</v>
      </c>
      <c r="B117" s="43" t="s">
        <v>3776</v>
      </c>
      <c r="C117" s="44" t="s">
        <v>4204</v>
      </c>
      <c r="D117" s="71">
        <v>510</v>
      </c>
    </row>
    <row r="118" spans="1:4" ht="15.75" x14ac:dyDescent="0.2">
      <c r="A118" s="62">
        <v>438</v>
      </c>
      <c r="B118" s="43" t="s">
        <v>3777</v>
      </c>
      <c r="C118" s="44" t="s">
        <v>3748</v>
      </c>
      <c r="D118" s="71">
        <v>560</v>
      </c>
    </row>
    <row r="119" spans="1:4" ht="15.75" x14ac:dyDescent="0.2">
      <c r="A119" s="62">
        <v>442</v>
      </c>
      <c r="B119" s="43" t="s">
        <v>3778</v>
      </c>
      <c r="C119" s="44" t="s">
        <v>3748</v>
      </c>
      <c r="D119" s="71">
        <v>305</v>
      </c>
    </row>
    <row r="120" spans="1:4" ht="15.75" x14ac:dyDescent="0.2">
      <c r="A120" s="62">
        <v>444</v>
      </c>
      <c r="B120" s="43" t="s">
        <v>3779</v>
      </c>
      <c r="C120" s="44" t="s">
        <v>3753</v>
      </c>
      <c r="D120" s="71">
        <v>150</v>
      </c>
    </row>
    <row r="121" spans="1:4" ht="15.75" x14ac:dyDescent="0.2">
      <c r="A121" s="62">
        <v>445</v>
      </c>
      <c r="B121" s="43" t="s">
        <v>3780</v>
      </c>
      <c r="C121" s="44" t="s">
        <v>3753</v>
      </c>
      <c r="D121" s="71">
        <v>180</v>
      </c>
    </row>
    <row r="122" spans="1:4" ht="15.75" x14ac:dyDescent="0.2">
      <c r="A122" s="62">
        <v>446</v>
      </c>
      <c r="B122" s="43" t="s">
        <v>3781</v>
      </c>
      <c r="C122" s="44" t="s">
        <v>3748</v>
      </c>
      <c r="D122" s="71">
        <v>80</v>
      </c>
    </row>
    <row r="123" spans="1:4" ht="15.75" x14ac:dyDescent="0.2">
      <c r="A123" s="62">
        <v>447</v>
      </c>
      <c r="B123" s="43" t="s">
        <v>3782</v>
      </c>
      <c r="C123" s="44" t="s">
        <v>3748</v>
      </c>
      <c r="D123" s="71">
        <v>50</v>
      </c>
    </row>
    <row r="124" spans="1:4" ht="15.75" x14ac:dyDescent="0.2">
      <c r="A124" s="62">
        <v>449</v>
      </c>
      <c r="B124" s="43" t="s">
        <v>4210</v>
      </c>
      <c r="C124" s="44" t="s">
        <v>3783</v>
      </c>
      <c r="D124" s="71">
        <v>600</v>
      </c>
    </row>
    <row r="125" spans="1:4" ht="15.75" x14ac:dyDescent="0.2">
      <c r="A125" s="62">
        <v>450</v>
      </c>
      <c r="B125" s="43" t="s">
        <v>4211</v>
      </c>
      <c r="C125" s="44" t="s">
        <v>3783</v>
      </c>
      <c r="D125" s="71">
        <v>550</v>
      </c>
    </row>
    <row r="126" spans="1:4" ht="15.75" x14ac:dyDescent="0.2">
      <c r="A126" s="62">
        <v>451</v>
      </c>
      <c r="B126" s="43" t="s">
        <v>4212</v>
      </c>
      <c r="C126" s="44" t="s">
        <v>3783</v>
      </c>
      <c r="D126" s="71">
        <v>500</v>
      </c>
    </row>
    <row r="127" spans="1:4" ht="15.75" x14ac:dyDescent="0.2">
      <c r="A127" s="62">
        <v>452</v>
      </c>
      <c r="B127" s="43" t="s">
        <v>4214</v>
      </c>
      <c r="C127" s="44" t="s">
        <v>3783</v>
      </c>
      <c r="D127" s="71">
        <v>450</v>
      </c>
    </row>
    <row r="128" spans="1:4" ht="15.75" x14ac:dyDescent="0.2">
      <c r="A128" s="62">
        <v>453</v>
      </c>
      <c r="B128" s="43" t="s">
        <v>4213</v>
      </c>
      <c r="C128" s="44" t="s">
        <v>3783</v>
      </c>
      <c r="D128" s="71">
        <v>400</v>
      </c>
    </row>
    <row r="129" spans="1:4" ht="15.75" x14ac:dyDescent="0.2">
      <c r="A129" s="62">
        <v>524</v>
      </c>
      <c r="B129" s="43" t="s">
        <v>3784</v>
      </c>
      <c r="C129" s="44" t="s">
        <v>4204</v>
      </c>
      <c r="D129" s="71">
        <v>950</v>
      </c>
    </row>
    <row r="130" spans="1:4" ht="15.75" x14ac:dyDescent="0.2">
      <c r="A130" s="62">
        <v>525</v>
      </c>
      <c r="B130" s="43" t="s">
        <v>3785</v>
      </c>
      <c r="C130" s="44" t="s">
        <v>4204</v>
      </c>
      <c r="D130" s="71">
        <v>1150</v>
      </c>
    </row>
    <row r="131" spans="1:4" ht="15.75" x14ac:dyDescent="0.2">
      <c r="A131" s="62">
        <v>526</v>
      </c>
      <c r="B131" s="43" t="s">
        <v>3786</v>
      </c>
      <c r="C131" s="44" t="s">
        <v>4204</v>
      </c>
      <c r="D131" s="71">
        <v>1050</v>
      </c>
    </row>
    <row r="132" spans="1:4" ht="15.75" x14ac:dyDescent="0.2">
      <c r="A132" s="62">
        <v>527</v>
      </c>
      <c r="B132" s="43" t="s">
        <v>3787</v>
      </c>
      <c r="C132" s="44" t="s">
        <v>4204</v>
      </c>
      <c r="D132" s="71">
        <v>900</v>
      </c>
    </row>
    <row r="133" spans="1:4" ht="15.75" x14ac:dyDescent="0.2">
      <c r="A133" s="62">
        <v>528</v>
      </c>
      <c r="B133" s="43" t="s">
        <v>3788</v>
      </c>
      <c r="C133" s="44" t="s">
        <v>4204</v>
      </c>
      <c r="D133" s="71">
        <v>700</v>
      </c>
    </row>
    <row r="134" spans="1:4" ht="15.75" x14ac:dyDescent="0.2">
      <c r="A134" s="62">
        <v>555</v>
      </c>
      <c r="B134" s="43" t="s">
        <v>3789</v>
      </c>
      <c r="C134" s="44" t="s">
        <v>4217</v>
      </c>
      <c r="D134" s="71">
        <v>180</v>
      </c>
    </row>
    <row r="135" spans="1:4" ht="15.75" x14ac:dyDescent="0.2">
      <c r="A135" s="62">
        <v>556</v>
      </c>
      <c r="B135" s="43" t="s">
        <v>3790</v>
      </c>
      <c r="C135" s="44" t="s">
        <v>4217</v>
      </c>
      <c r="D135" s="71">
        <v>160</v>
      </c>
    </row>
    <row r="136" spans="1:4" ht="15.75" x14ac:dyDescent="0.2">
      <c r="A136" s="62">
        <v>557</v>
      </c>
      <c r="B136" s="43" t="s">
        <v>3791</v>
      </c>
      <c r="C136" s="44" t="s">
        <v>4217</v>
      </c>
      <c r="D136" s="71">
        <v>140</v>
      </c>
    </row>
    <row r="137" spans="1:4" ht="31.5" x14ac:dyDescent="0.2">
      <c r="A137" s="62">
        <v>558</v>
      </c>
      <c r="B137" s="43" t="s">
        <v>3792</v>
      </c>
      <c r="C137" s="44" t="s">
        <v>3748</v>
      </c>
      <c r="D137" s="71">
        <v>800</v>
      </c>
    </row>
    <row r="138" spans="1:4" ht="15.75" x14ac:dyDescent="0.2">
      <c r="A138" s="62">
        <v>568</v>
      </c>
      <c r="B138" s="43" t="s">
        <v>3793</v>
      </c>
      <c r="C138" s="44" t="s">
        <v>3748</v>
      </c>
      <c r="D138" s="71">
        <v>90</v>
      </c>
    </row>
    <row r="139" spans="1:4" ht="31.5" x14ac:dyDescent="0.2">
      <c r="A139" s="62">
        <v>569</v>
      </c>
      <c r="B139" s="43" t="s">
        <v>3794</v>
      </c>
      <c r="C139" s="44" t="s">
        <v>3748</v>
      </c>
      <c r="D139" s="71">
        <v>130</v>
      </c>
    </row>
    <row r="140" spans="1:4" ht="31.5" x14ac:dyDescent="0.2">
      <c r="A140" s="62">
        <v>570</v>
      </c>
      <c r="B140" s="43" t="s">
        <v>3795</v>
      </c>
      <c r="C140" s="44" t="s">
        <v>3748</v>
      </c>
      <c r="D140" s="71">
        <v>115</v>
      </c>
    </row>
    <row r="141" spans="1:4" ht="31.5" x14ac:dyDescent="0.2">
      <c r="A141" s="62">
        <v>571</v>
      </c>
      <c r="B141" s="43" t="s">
        <v>3796</v>
      </c>
      <c r="C141" s="44" t="s">
        <v>3748</v>
      </c>
      <c r="D141" s="71">
        <v>95</v>
      </c>
    </row>
    <row r="142" spans="1:4" ht="15.75" x14ac:dyDescent="0.2">
      <c r="A142" s="62">
        <v>583</v>
      </c>
      <c r="B142" s="43" t="s">
        <v>3797</v>
      </c>
      <c r="C142" s="44" t="s">
        <v>3748</v>
      </c>
      <c r="D142" s="71">
        <v>720</v>
      </c>
    </row>
    <row r="143" spans="1:4" ht="15.75" x14ac:dyDescent="0.2">
      <c r="A143" s="62">
        <v>584</v>
      </c>
      <c r="B143" s="43" t="s">
        <v>3798</v>
      </c>
      <c r="C143" s="44" t="s">
        <v>3748</v>
      </c>
      <c r="D143" s="71">
        <v>630</v>
      </c>
    </row>
    <row r="144" spans="1:4" ht="15.75" x14ac:dyDescent="0.2">
      <c r="A144" s="62">
        <v>585</v>
      </c>
      <c r="B144" s="43" t="s">
        <v>3799</v>
      </c>
      <c r="C144" s="44" t="s">
        <v>3783</v>
      </c>
      <c r="D144" s="71">
        <v>470</v>
      </c>
    </row>
    <row r="145" spans="1:4" ht="15.75" x14ac:dyDescent="0.2">
      <c r="A145" s="62">
        <v>586</v>
      </c>
      <c r="B145" s="43" t="s">
        <v>3800</v>
      </c>
      <c r="C145" s="44" t="s">
        <v>3783</v>
      </c>
      <c r="D145" s="71">
        <v>360</v>
      </c>
    </row>
    <row r="146" spans="1:4" ht="15.75" x14ac:dyDescent="0.2">
      <c r="A146" s="62">
        <v>587</v>
      </c>
      <c r="B146" s="43" t="s">
        <v>3801</v>
      </c>
      <c r="C146" s="44" t="s">
        <v>3783</v>
      </c>
      <c r="D146" s="71">
        <v>280</v>
      </c>
    </row>
    <row r="147" spans="1:4" ht="15.75" x14ac:dyDescent="0.2">
      <c r="A147" s="62">
        <v>588</v>
      </c>
      <c r="B147" s="43" t="s">
        <v>3802</v>
      </c>
      <c r="C147" s="44" t="s">
        <v>3783</v>
      </c>
      <c r="D147" s="71">
        <v>230</v>
      </c>
    </row>
    <row r="148" spans="1:4" ht="15.75" x14ac:dyDescent="0.2">
      <c r="A148" s="62">
        <v>589</v>
      </c>
      <c r="B148" s="43" t="s">
        <v>3803</v>
      </c>
      <c r="C148" s="44" t="s">
        <v>3783</v>
      </c>
      <c r="D148" s="71">
        <v>140</v>
      </c>
    </row>
    <row r="149" spans="1:4" ht="15.75" x14ac:dyDescent="0.2">
      <c r="A149" s="62">
        <v>590</v>
      </c>
      <c r="B149" s="43" t="s">
        <v>3804</v>
      </c>
      <c r="C149" s="44" t="s">
        <v>3753</v>
      </c>
      <c r="D149" s="71">
        <v>230</v>
      </c>
    </row>
    <row r="150" spans="1:4" ht="15.75" x14ac:dyDescent="0.2">
      <c r="A150" s="62">
        <v>591</v>
      </c>
      <c r="B150" s="43" t="s">
        <v>3805</v>
      </c>
      <c r="C150" s="44" t="s">
        <v>3753</v>
      </c>
      <c r="D150" s="71">
        <v>320</v>
      </c>
    </row>
    <row r="151" spans="1:4" ht="15.75" x14ac:dyDescent="0.2">
      <c r="A151" s="62">
        <v>592</v>
      </c>
      <c r="B151" s="43" t="s">
        <v>3806</v>
      </c>
      <c r="C151" s="44" t="s">
        <v>3753</v>
      </c>
      <c r="D151" s="71">
        <v>510</v>
      </c>
    </row>
    <row r="152" spans="1:4" ht="15.75" x14ac:dyDescent="0.2">
      <c r="A152" s="62">
        <v>594</v>
      </c>
      <c r="B152" s="43" t="s">
        <v>3807</v>
      </c>
      <c r="C152" s="44" t="s">
        <v>4204</v>
      </c>
      <c r="D152" s="71">
        <v>160</v>
      </c>
    </row>
    <row r="153" spans="1:4" ht="15.75" x14ac:dyDescent="0.2">
      <c r="A153" s="62">
        <v>595</v>
      </c>
      <c r="B153" s="43" t="s">
        <v>4180</v>
      </c>
      <c r="C153" s="44" t="s">
        <v>4204</v>
      </c>
      <c r="D153" s="71">
        <v>130</v>
      </c>
    </row>
    <row r="154" spans="1:4" ht="15.75" x14ac:dyDescent="0.2">
      <c r="A154" s="62">
        <v>596</v>
      </c>
      <c r="B154" s="43" t="s">
        <v>3808</v>
      </c>
      <c r="C154" s="44" t="s">
        <v>4204</v>
      </c>
      <c r="D154" s="71">
        <v>90</v>
      </c>
    </row>
    <row r="155" spans="1:4" ht="15.75" x14ac:dyDescent="0.2">
      <c r="A155" s="62">
        <v>597</v>
      </c>
      <c r="B155" s="43" t="s">
        <v>4181</v>
      </c>
      <c r="C155" s="44" t="s">
        <v>4204</v>
      </c>
      <c r="D155" s="71">
        <v>70</v>
      </c>
    </row>
    <row r="156" spans="1:4" ht="15.75" x14ac:dyDescent="0.2">
      <c r="A156" s="62">
        <v>608</v>
      </c>
      <c r="B156" s="43" t="s">
        <v>3809</v>
      </c>
      <c r="C156" s="44" t="s">
        <v>3753</v>
      </c>
      <c r="D156" s="71">
        <v>40</v>
      </c>
    </row>
    <row r="157" spans="1:4" ht="15.75" x14ac:dyDescent="0.2">
      <c r="A157" s="62">
        <v>635</v>
      </c>
      <c r="B157" s="43" t="s">
        <v>3810</v>
      </c>
      <c r="C157" s="44" t="s">
        <v>3783</v>
      </c>
      <c r="D157" s="71">
        <v>90</v>
      </c>
    </row>
    <row r="158" spans="1:4" ht="15.75" x14ac:dyDescent="0.2">
      <c r="A158" s="62">
        <v>637</v>
      </c>
      <c r="B158" s="43" t="s">
        <v>3811</v>
      </c>
      <c r="C158" s="44" t="s">
        <v>3783</v>
      </c>
      <c r="D158" s="71">
        <v>45</v>
      </c>
    </row>
    <row r="159" spans="1:4" ht="15.75" x14ac:dyDescent="0.2">
      <c r="A159" s="62">
        <v>638</v>
      </c>
      <c r="B159" s="43" t="s">
        <v>3812</v>
      </c>
      <c r="C159" s="44" t="s">
        <v>3783</v>
      </c>
      <c r="D159" s="71">
        <v>50</v>
      </c>
    </row>
    <row r="160" spans="1:4" ht="15.75" x14ac:dyDescent="0.2">
      <c r="A160" s="62">
        <v>639</v>
      </c>
      <c r="B160" s="43" t="s">
        <v>3813</v>
      </c>
      <c r="C160" s="44" t="s">
        <v>3783</v>
      </c>
      <c r="D160" s="71">
        <v>40</v>
      </c>
    </row>
    <row r="161" spans="1:4" ht="15.75" x14ac:dyDescent="0.2">
      <c r="A161" s="62">
        <v>640</v>
      </c>
      <c r="B161" s="43" t="s">
        <v>3814</v>
      </c>
      <c r="C161" s="44" t="s">
        <v>3783</v>
      </c>
      <c r="D161" s="71">
        <v>20</v>
      </c>
    </row>
    <row r="162" spans="1:4" ht="15.75" x14ac:dyDescent="0.2">
      <c r="A162" s="62">
        <v>641</v>
      </c>
      <c r="B162" s="43" t="s">
        <v>3815</v>
      </c>
      <c r="C162" s="44" t="s">
        <v>3748</v>
      </c>
      <c r="D162" s="71">
        <v>7</v>
      </c>
    </row>
    <row r="163" spans="1:4" ht="15.75" x14ac:dyDescent="0.2">
      <c r="A163" s="62">
        <v>642</v>
      </c>
      <c r="B163" s="43" t="s">
        <v>3816</v>
      </c>
      <c r="C163" s="44" t="s">
        <v>4204</v>
      </c>
      <c r="D163" s="71">
        <v>250</v>
      </c>
    </row>
    <row r="164" spans="1:4" ht="15.75" x14ac:dyDescent="0.2">
      <c r="A164" s="62">
        <v>643</v>
      </c>
      <c r="B164" s="43" t="s">
        <v>3817</v>
      </c>
      <c r="C164" s="44" t="s">
        <v>4204</v>
      </c>
      <c r="D164" s="71">
        <v>180</v>
      </c>
    </row>
    <row r="165" spans="1:4" ht="15.75" x14ac:dyDescent="0.2">
      <c r="A165" s="62">
        <v>644</v>
      </c>
      <c r="B165" s="43" t="s">
        <v>3818</v>
      </c>
      <c r="C165" s="44" t="s">
        <v>4204</v>
      </c>
      <c r="D165" s="71">
        <v>100</v>
      </c>
    </row>
    <row r="166" spans="1:4" ht="15.75" x14ac:dyDescent="0.2">
      <c r="A166" s="62">
        <v>645</v>
      </c>
      <c r="B166" s="43" t="s">
        <v>3819</v>
      </c>
      <c r="C166" s="44" t="s">
        <v>4204</v>
      </c>
      <c r="D166" s="71">
        <v>56</v>
      </c>
    </row>
    <row r="167" spans="1:4" ht="15.75" x14ac:dyDescent="0.2">
      <c r="A167" s="62">
        <v>646</v>
      </c>
      <c r="B167" s="43" t="s">
        <v>3820</v>
      </c>
      <c r="C167" s="44" t="s">
        <v>4204</v>
      </c>
      <c r="D167" s="71">
        <v>450</v>
      </c>
    </row>
    <row r="168" spans="1:4" ht="15.75" x14ac:dyDescent="0.2">
      <c r="A168" s="62">
        <v>647</v>
      </c>
      <c r="B168" s="43" t="s">
        <v>3821</v>
      </c>
      <c r="C168" s="44" t="s">
        <v>4204</v>
      </c>
      <c r="D168" s="71">
        <v>360</v>
      </c>
    </row>
    <row r="169" spans="1:4" ht="15.75" x14ac:dyDescent="0.2">
      <c r="A169" s="62">
        <v>648</v>
      </c>
      <c r="B169" s="43" t="s">
        <v>3822</v>
      </c>
      <c r="C169" s="44" t="s">
        <v>4204</v>
      </c>
      <c r="D169" s="71">
        <v>280</v>
      </c>
    </row>
    <row r="170" spans="1:4" ht="15.75" x14ac:dyDescent="0.2">
      <c r="A170" s="62">
        <v>649</v>
      </c>
      <c r="B170" s="43" t="s">
        <v>3823</v>
      </c>
      <c r="C170" s="44" t="s">
        <v>4204</v>
      </c>
      <c r="D170" s="71">
        <v>215</v>
      </c>
    </row>
    <row r="171" spans="1:4" ht="15.75" x14ac:dyDescent="0.2">
      <c r="A171" s="62">
        <v>650</v>
      </c>
      <c r="B171" s="43" t="s">
        <v>3824</v>
      </c>
      <c r="C171" s="44" t="s">
        <v>3748</v>
      </c>
      <c r="D171" s="71">
        <v>115</v>
      </c>
    </row>
    <row r="172" spans="1:4" ht="15.75" x14ac:dyDescent="0.2">
      <c r="A172" s="62">
        <v>651</v>
      </c>
      <c r="B172" s="43" t="s">
        <v>3825</v>
      </c>
      <c r="C172" s="44" t="s">
        <v>3748</v>
      </c>
      <c r="D172" s="71">
        <v>105</v>
      </c>
    </row>
    <row r="173" spans="1:4" ht="15.75" x14ac:dyDescent="0.2">
      <c r="A173" s="62">
        <v>652</v>
      </c>
      <c r="B173" s="43" t="s">
        <v>3826</v>
      </c>
      <c r="C173" s="44" t="s">
        <v>3748</v>
      </c>
      <c r="D173" s="71">
        <v>90</v>
      </c>
    </row>
    <row r="174" spans="1:4" ht="15.75" x14ac:dyDescent="0.2">
      <c r="A174" s="62">
        <v>653</v>
      </c>
      <c r="B174" s="43" t="s">
        <v>3827</v>
      </c>
      <c r="C174" s="44" t="s">
        <v>3748</v>
      </c>
      <c r="D174" s="71">
        <v>120</v>
      </c>
    </row>
    <row r="175" spans="1:4" ht="15.75" x14ac:dyDescent="0.2">
      <c r="A175" s="62">
        <v>654</v>
      </c>
      <c r="B175" s="43" t="s">
        <v>3828</v>
      </c>
      <c r="C175" s="44" t="s">
        <v>3748</v>
      </c>
      <c r="D175" s="71">
        <v>110</v>
      </c>
    </row>
    <row r="176" spans="1:4" ht="15.75" x14ac:dyDescent="0.2">
      <c r="A176" s="62">
        <v>655</v>
      </c>
      <c r="B176" s="43" t="s">
        <v>3829</v>
      </c>
      <c r="C176" s="44" t="s">
        <v>3748</v>
      </c>
      <c r="D176" s="71">
        <v>90</v>
      </c>
    </row>
    <row r="177" spans="1:4" ht="15.75" x14ac:dyDescent="0.2">
      <c r="A177" s="62">
        <v>656</v>
      </c>
      <c r="B177" s="43" t="s">
        <v>3809</v>
      </c>
      <c r="C177" s="44" t="s">
        <v>3753</v>
      </c>
      <c r="D177" s="71">
        <v>40</v>
      </c>
    </row>
    <row r="178" spans="1:4" ht="15.75" x14ac:dyDescent="0.2">
      <c r="A178" s="62">
        <v>660</v>
      </c>
      <c r="B178" s="43" t="s">
        <v>3830</v>
      </c>
      <c r="C178" s="44" t="s">
        <v>3748</v>
      </c>
      <c r="D178" s="71">
        <v>82</v>
      </c>
    </row>
    <row r="179" spans="1:4" ht="15.75" x14ac:dyDescent="0.2">
      <c r="A179" s="62">
        <v>661</v>
      </c>
      <c r="B179" s="43" t="s">
        <v>3831</v>
      </c>
      <c r="C179" s="44" t="s">
        <v>3748</v>
      </c>
      <c r="D179" s="71">
        <v>65</v>
      </c>
    </row>
    <row r="180" spans="1:4" ht="15.75" x14ac:dyDescent="0.2">
      <c r="A180" s="62">
        <v>662</v>
      </c>
      <c r="B180" s="43" t="s">
        <v>3832</v>
      </c>
      <c r="C180" s="44" t="s">
        <v>3748</v>
      </c>
      <c r="D180" s="71">
        <v>45</v>
      </c>
    </row>
    <row r="181" spans="1:4" ht="15.75" x14ac:dyDescent="0.2">
      <c r="A181" s="62">
        <v>663</v>
      </c>
      <c r="B181" s="43" t="s">
        <v>3833</v>
      </c>
      <c r="C181" s="44" t="s">
        <v>3748</v>
      </c>
      <c r="D181" s="71">
        <v>40</v>
      </c>
    </row>
    <row r="182" spans="1:4" ht="15.75" x14ac:dyDescent="0.2">
      <c r="A182" s="62">
        <v>664</v>
      </c>
      <c r="B182" s="43" t="s">
        <v>3834</v>
      </c>
      <c r="C182" s="44" t="s">
        <v>3748</v>
      </c>
      <c r="D182" s="71">
        <v>40</v>
      </c>
    </row>
    <row r="183" spans="1:4" ht="15.75" x14ac:dyDescent="0.2">
      <c r="A183" s="62">
        <v>665</v>
      </c>
      <c r="B183" s="43" t="s">
        <v>3835</v>
      </c>
      <c r="C183" s="44" t="s">
        <v>3748</v>
      </c>
      <c r="D183" s="71">
        <v>31</v>
      </c>
    </row>
    <row r="184" spans="1:4" ht="15.75" x14ac:dyDescent="0.2">
      <c r="A184" s="62">
        <v>666</v>
      </c>
      <c r="B184" s="43" t="s">
        <v>3836</v>
      </c>
      <c r="C184" s="44" t="s">
        <v>3748</v>
      </c>
      <c r="D184" s="71">
        <v>28</v>
      </c>
    </row>
    <row r="185" spans="1:4" ht="15.75" x14ac:dyDescent="0.2">
      <c r="A185" s="62">
        <v>667</v>
      </c>
      <c r="B185" s="43" t="s">
        <v>3837</v>
      </c>
      <c r="C185" s="44" t="s">
        <v>3748</v>
      </c>
      <c r="D185" s="71">
        <v>23</v>
      </c>
    </row>
    <row r="186" spans="1:4" ht="15.75" x14ac:dyDescent="0.2">
      <c r="A186" s="62">
        <v>668</v>
      </c>
      <c r="B186" s="43" t="s">
        <v>3838</v>
      </c>
      <c r="C186" s="44" t="s">
        <v>3748</v>
      </c>
      <c r="D186" s="71">
        <v>13</v>
      </c>
    </row>
    <row r="187" spans="1:4" ht="15.75" x14ac:dyDescent="0.2">
      <c r="A187" s="62">
        <v>669</v>
      </c>
      <c r="B187" s="43" t="s">
        <v>3839</v>
      </c>
      <c r="C187" s="44" t="s">
        <v>3748</v>
      </c>
      <c r="D187" s="71">
        <v>10</v>
      </c>
    </row>
    <row r="188" spans="1:4" ht="15.75" x14ac:dyDescent="0.2">
      <c r="A188" s="62">
        <v>670</v>
      </c>
      <c r="B188" s="43" t="s">
        <v>3840</v>
      </c>
      <c r="C188" s="44" t="s">
        <v>3748</v>
      </c>
      <c r="D188" s="71">
        <v>7</v>
      </c>
    </row>
    <row r="189" spans="1:4" ht="15.75" x14ac:dyDescent="0.2">
      <c r="A189" s="62">
        <v>679</v>
      </c>
      <c r="B189" s="43" t="s">
        <v>3841</v>
      </c>
      <c r="C189" s="44" t="s">
        <v>4204</v>
      </c>
      <c r="D189" s="71">
        <v>130</v>
      </c>
    </row>
    <row r="190" spans="1:4" ht="15.75" x14ac:dyDescent="0.2">
      <c r="A190" s="62">
        <v>680</v>
      </c>
      <c r="B190" s="43" t="s">
        <v>3842</v>
      </c>
      <c r="C190" s="44" t="s">
        <v>4204</v>
      </c>
      <c r="D190" s="71">
        <v>101</v>
      </c>
    </row>
    <row r="191" spans="1:4" ht="15.75" x14ac:dyDescent="0.2">
      <c r="A191" s="62">
        <v>681</v>
      </c>
      <c r="B191" s="43" t="s">
        <v>3843</v>
      </c>
      <c r="C191" s="44" t="s">
        <v>4204</v>
      </c>
      <c r="D191" s="71">
        <v>76</v>
      </c>
    </row>
    <row r="192" spans="1:4" ht="15.75" x14ac:dyDescent="0.2">
      <c r="A192" s="62">
        <v>682</v>
      </c>
      <c r="B192" s="43" t="s">
        <v>3844</v>
      </c>
      <c r="C192" s="44" t="s">
        <v>3783</v>
      </c>
      <c r="D192" s="71">
        <v>60</v>
      </c>
    </row>
    <row r="193" spans="1:4" ht="15.75" x14ac:dyDescent="0.2">
      <c r="A193" s="62">
        <v>683</v>
      </c>
      <c r="B193" s="43" t="s">
        <v>3845</v>
      </c>
      <c r="C193" s="44" t="s">
        <v>3783</v>
      </c>
      <c r="D193" s="71">
        <v>48</v>
      </c>
    </row>
    <row r="194" spans="1:4" ht="15.75" x14ac:dyDescent="0.2">
      <c r="A194" s="62">
        <v>684</v>
      </c>
      <c r="B194" s="43" t="s">
        <v>3846</v>
      </c>
      <c r="C194" s="44" t="s">
        <v>3783</v>
      </c>
      <c r="D194" s="71">
        <v>36</v>
      </c>
    </row>
    <row r="195" spans="1:4" ht="15.75" x14ac:dyDescent="0.2">
      <c r="A195" s="62">
        <v>685</v>
      </c>
      <c r="B195" s="43" t="s">
        <v>3847</v>
      </c>
      <c r="C195" s="44" t="s">
        <v>3783</v>
      </c>
      <c r="D195" s="71">
        <v>23</v>
      </c>
    </row>
    <row r="196" spans="1:4" ht="15.75" x14ac:dyDescent="0.2">
      <c r="A196" s="62">
        <v>686</v>
      </c>
      <c r="B196" s="43" t="s">
        <v>3848</v>
      </c>
      <c r="C196" s="44" t="s">
        <v>3783</v>
      </c>
      <c r="D196" s="71">
        <v>20</v>
      </c>
    </row>
    <row r="197" spans="1:4" ht="15.75" x14ac:dyDescent="0.2">
      <c r="A197" s="62">
        <v>687</v>
      </c>
      <c r="B197" s="43" t="s">
        <v>3849</v>
      </c>
      <c r="C197" s="44" t="s">
        <v>4204</v>
      </c>
      <c r="D197" s="71">
        <v>1050</v>
      </c>
    </row>
    <row r="198" spans="1:4" ht="15.75" x14ac:dyDescent="0.2">
      <c r="A198" s="62">
        <v>688</v>
      </c>
      <c r="B198" s="43" t="s">
        <v>3850</v>
      </c>
      <c r="C198" s="44" t="s">
        <v>4204</v>
      </c>
      <c r="D198" s="71">
        <v>1000</v>
      </c>
    </row>
    <row r="199" spans="1:4" ht="15.75" x14ac:dyDescent="0.2">
      <c r="A199" s="62">
        <v>689</v>
      </c>
      <c r="B199" s="43" t="s">
        <v>3851</v>
      </c>
      <c r="C199" s="44" t="s">
        <v>4204</v>
      </c>
      <c r="D199" s="71">
        <v>900</v>
      </c>
    </row>
    <row r="200" spans="1:4" ht="15.75" x14ac:dyDescent="0.2">
      <c r="A200" s="62">
        <v>690</v>
      </c>
      <c r="B200" s="43" t="s">
        <v>3852</v>
      </c>
      <c r="C200" s="44" t="s">
        <v>4204</v>
      </c>
      <c r="D200" s="71">
        <v>850</v>
      </c>
    </row>
    <row r="201" spans="1:4" ht="15.75" x14ac:dyDescent="0.2">
      <c r="A201" s="62">
        <v>691</v>
      </c>
      <c r="B201" s="43" t="s">
        <v>3853</v>
      </c>
      <c r="C201" s="44" t="s">
        <v>4204</v>
      </c>
      <c r="D201" s="71">
        <v>850</v>
      </c>
    </row>
    <row r="202" spans="1:4" ht="15.75" x14ac:dyDescent="0.2">
      <c r="A202" s="62">
        <v>692</v>
      </c>
      <c r="B202" s="43" t="s">
        <v>3854</v>
      </c>
      <c r="C202" s="44" t="s">
        <v>4204</v>
      </c>
      <c r="D202" s="71">
        <v>800</v>
      </c>
    </row>
    <row r="203" spans="1:4" ht="15.75" x14ac:dyDescent="0.2">
      <c r="A203" s="62">
        <v>693</v>
      </c>
      <c r="B203" s="43" t="s">
        <v>3855</v>
      </c>
      <c r="C203" s="44" t="s">
        <v>4204</v>
      </c>
      <c r="D203" s="71">
        <v>380</v>
      </c>
    </row>
    <row r="204" spans="1:4" ht="15.75" x14ac:dyDescent="0.2">
      <c r="A204" s="62">
        <v>694</v>
      </c>
      <c r="B204" s="43" t="s">
        <v>3856</v>
      </c>
      <c r="C204" s="44" t="s">
        <v>4204</v>
      </c>
      <c r="D204" s="71">
        <v>205</v>
      </c>
    </row>
    <row r="205" spans="1:4" ht="15.75" x14ac:dyDescent="0.2">
      <c r="A205" s="62">
        <v>696</v>
      </c>
      <c r="B205" s="43" t="s">
        <v>3857</v>
      </c>
      <c r="C205" s="44" t="s">
        <v>3748</v>
      </c>
      <c r="D205" s="71">
        <v>210</v>
      </c>
    </row>
    <row r="206" spans="1:4" ht="15.75" x14ac:dyDescent="0.2">
      <c r="A206" s="62">
        <v>697</v>
      </c>
      <c r="B206" s="43" t="s">
        <v>3858</v>
      </c>
      <c r="C206" s="44" t="s">
        <v>3748</v>
      </c>
      <c r="D206" s="71">
        <v>190</v>
      </c>
    </row>
    <row r="207" spans="1:4" ht="15.75" x14ac:dyDescent="0.2">
      <c r="A207" s="62">
        <v>698</v>
      </c>
      <c r="B207" s="43" t="s">
        <v>3859</v>
      </c>
      <c r="C207" s="44" t="s">
        <v>4204</v>
      </c>
      <c r="D207" s="71">
        <v>980</v>
      </c>
    </row>
    <row r="208" spans="1:4" ht="15.75" x14ac:dyDescent="0.2">
      <c r="A208" s="62">
        <v>699</v>
      </c>
      <c r="B208" s="43" t="s">
        <v>3860</v>
      </c>
      <c r="C208" s="44" t="s">
        <v>4204</v>
      </c>
      <c r="D208" s="71">
        <v>860</v>
      </c>
    </row>
    <row r="209" spans="1:4" ht="15.75" x14ac:dyDescent="0.2">
      <c r="A209" s="62">
        <v>700</v>
      </c>
      <c r="B209" s="43" t="s">
        <v>3861</v>
      </c>
      <c r="C209" s="44" t="s">
        <v>4204</v>
      </c>
      <c r="D209" s="71">
        <v>710</v>
      </c>
    </row>
    <row r="210" spans="1:4" ht="15.75" x14ac:dyDescent="0.2">
      <c r="A210" s="62">
        <v>701</v>
      </c>
      <c r="B210" s="43" t="s">
        <v>3862</v>
      </c>
      <c r="C210" s="44" t="s">
        <v>4204</v>
      </c>
      <c r="D210" s="71">
        <v>550</v>
      </c>
    </row>
    <row r="211" spans="1:4" ht="15.75" x14ac:dyDescent="0.2">
      <c r="A211" s="62">
        <v>702</v>
      </c>
      <c r="B211" s="43" t="s">
        <v>3863</v>
      </c>
      <c r="C211" s="44" t="s">
        <v>4204</v>
      </c>
      <c r="D211" s="71">
        <v>410</v>
      </c>
    </row>
    <row r="212" spans="1:4" ht="15.75" x14ac:dyDescent="0.2">
      <c r="A212" s="62">
        <v>703</v>
      </c>
      <c r="B212" s="43" t="s">
        <v>3864</v>
      </c>
      <c r="C212" s="44" t="s">
        <v>4204</v>
      </c>
      <c r="D212" s="71">
        <v>750</v>
      </c>
    </row>
    <row r="213" spans="1:4" ht="15.75" x14ac:dyDescent="0.2">
      <c r="A213" s="62">
        <v>704</v>
      </c>
      <c r="B213" s="43" t="s">
        <v>3865</v>
      </c>
      <c r="C213" s="44" t="s">
        <v>4204</v>
      </c>
      <c r="D213" s="71">
        <v>650</v>
      </c>
    </row>
    <row r="214" spans="1:4" ht="15.75" x14ac:dyDescent="0.2">
      <c r="A214" s="62">
        <v>705</v>
      </c>
      <c r="B214" s="43" t="s">
        <v>3866</v>
      </c>
      <c r="C214" s="44" t="s">
        <v>4204</v>
      </c>
      <c r="D214" s="71">
        <v>550</v>
      </c>
    </row>
    <row r="215" spans="1:4" ht="15.75" x14ac:dyDescent="0.2">
      <c r="A215" s="62">
        <v>706</v>
      </c>
      <c r="B215" s="43" t="s">
        <v>3867</v>
      </c>
      <c r="C215" s="44" t="s">
        <v>3748</v>
      </c>
      <c r="D215" s="71">
        <v>140</v>
      </c>
    </row>
    <row r="216" spans="1:4" ht="31.5" x14ac:dyDescent="0.2">
      <c r="A216" s="62">
        <v>713</v>
      </c>
      <c r="B216" s="43" t="s">
        <v>3868</v>
      </c>
      <c r="C216" s="44" t="s">
        <v>4112</v>
      </c>
      <c r="D216" s="71">
        <v>2150</v>
      </c>
    </row>
    <row r="217" spans="1:4" ht="31.5" x14ac:dyDescent="0.2">
      <c r="A217" s="62">
        <v>714</v>
      </c>
      <c r="B217" s="43" t="s">
        <v>3869</v>
      </c>
      <c r="C217" s="44" t="s">
        <v>4112</v>
      </c>
      <c r="D217" s="71">
        <v>2050</v>
      </c>
    </row>
    <row r="218" spans="1:4" ht="31.5" x14ac:dyDescent="0.2">
      <c r="A218" s="62">
        <v>715</v>
      </c>
      <c r="B218" s="43" t="s">
        <v>3870</v>
      </c>
      <c r="C218" s="44" t="s">
        <v>4112</v>
      </c>
      <c r="D218" s="71">
        <v>1980</v>
      </c>
    </row>
    <row r="219" spans="1:4" ht="31.5" x14ac:dyDescent="0.2">
      <c r="A219" s="62">
        <v>717</v>
      </c>
      <c r="B219" s="43" t="s">
        <v>3871</v>
      </c>
      <c r="C219" s="44" t="s">
        <v>4112</v>
      </c>
      <c r="D219" s="71">
        <v>1550</v>
      </c>
    </row>
    <row r="220" spans="1:4" ht="31.5" x14ac:dyDescent="0.2">
      <c r="A220" s="62">
        <v>718</v>
      </c>
      <c r="B220" s="43" t="s">
        <v>3872</v>
      </c>
      <c r="C220" s="44" t="s">
        <v>4112</v>
      </c>
      <c r="D220" s="71">
        <v>1480</v>
      </c>
    </row>
    <row r="221" spans="1:4" ht="31.5" x14ac:dyDescent="0.2">
      <c r="A221" s="62">
        <v>719</v>
      </c>
      <c r="B221" s="43" t="s">
        <v>3873</v>
      </c>
      <c r="C221" s="44" t="s">
        <v>4112</v>
      </c>
      <c r="D221" s="71">
        <v>1400</v>
      </c>
    </row>
    <row r="222" spans="1:4" ht="31.5" x14ac:dyDescent="0.2">
      <c r="A222" s="62">
        <v>720</v>
      </c>
      <c r="B222" s="43" t="s">
        <v>1456</v>
      </c>
      <c r="C222" s="44" t="s">
        <v>4112</v>
      </c>
      <c r="D222" s="71">
        <v>1850</v>
      </c>
    </row>
    <row r="223" spans="1:4" ht="31.5" x14ac:dyDescent="0.2">
      <c r="A223" s="62">
        <v>721</v>
      </c>
      <c r="B223" s="43" t="s">
        <v>1457</v>
      </c>
      <c r="C223" s="44" t="s">
        <v>4112</v>
      </c>
      <c r="D223" s="71">
        <v>1650</v>
      </c>
    </row>
    <row r="224" spans="1:4" ht="31.5" x14ac:dyDescent="0.2">
      <c r="A224" s="62">
        <v>722</v>
      </c>
      <c r="B224" s="43" t="s">
        <v>1458</v>
      </c>
      <c r="C224" s="44" t="s">
        <v>4112</v>
      </c>
      <c r="D224" s="71">
        <v>1550</v>
      </c>
    </row>
    <row r="225" spans="1:4" ht="15.75" x14ac:dyDescent="0.2">
      <c r="A225" s="62">
        <v>752</v>
      </c>
      <c r="B225" s="43" t="s">
        <v>3874</v>
      </c>
      <c r="C225" s="44" t="s">
        <v>4191</v>
      </c>
      <c r="D225" s="71">
        <v>200</v>
      </c>
    </row>
    <row r="226" spans="1:4" ht="15.75" x14ac:dyDescent="0.2">
      <c r="A226" s="62">
        <v>753</v>
      </c>
      <c r="B226" s="43" t="s">
        <v>3875</v>
      </c>
      <c r="C226" s="44" t="s">
        <v>4191</v>
      </c>
      <c r="D226" s="71">
        <v>350</v>
      </c>
    </row>
    <row r="227" spans="1:4" ht="15.75" x14ac:dyDescent="0.2">
      <c r="A227" s="62">
        <v>754</v>
      </c>
      <c r="B227" s="43" t="s">
        <v>3876</v>
      </c>
      <c r="C227" s="44" t="s">
        <v>3877</v>
      </c>
      <c r="D227" s="71">
        <v>200</v>
      </c>
    </row>
    <row r="228" spans="1:4" ht="15.75" x14ac:dyDescent="0.2">
      <c r="A228" s="62">
        <v>755</v>
      </c>
      <c r="B228" s="43" t="s">
        <v>3878</v>
      </c>
      <c r="C228" s="44" t="s">
        <v>4191</v>
      </c>
      <c r="D228" s="71">
        <v>400</v>
      </c>
    </row>
    <row r="229" spans="1:4" ht="15.75" x14ac:dyDescent="0.2">
      <c r="A229" s="62">
        <v>757</v>
      </c>
      <c r="B229" s="43" t="s">
        <v>3879</v>
      </c>
      <c r="C229" s="44" t="s">
        <v>4191</v>
      </c>
      <c r="D229" s="71">
        <v>120</v>
      </c>
    </row>
    <row r="230" spans="1:4" ht="15.75" x14ac:dyDescent="0.2">
      <c r="A230" s="62">
        <v>759</v>
      </c>
      <c r="B230" s="43" t="s">
        <v>3880</v>
      </c>
      <c r="C230" s="44" t="s">
        <v>4112</v>
      </c>
      <c r="D230" s="71">
        <v>800</v>
      </c>
    </row>
    <row r="231" spans="1:4" ht="15.75" x14ac:dyDescent="0.2">
      <c r="A231" s="62">
        <v>761</v>
      </c>
      <c r="B231" s="43" t="s">
        <v>3881</v>
      </c>
      <c r="C231" s="44" t="s">
        <v>3741</v>
      </c>
      <c r="D231" s="71">
        <v>500</v>
      </c>
    </row>
    <row r="232" spans="1:4" ht="15.75" x14ac:dyDescent="0.2">
      <c r="A232" s="62">
        <v>763</v>
      </c>
      <c r="B232" s="43" t="s">
        <v>3882</v>
      </c>
      <c r="C232" s="44" t="s">
        <v>3747</v>
      </c>
      <c r="D232" s="71">
        <v>550</v>
      </c>
    </row>
    <row r="233" spans="1:4" ht="15.75" x14ac:dyDescent="0.2">
      <c r="A233" s="62">
        <v>765</v>
      </c>
      <c r="B233" s="43" t="s">
        <v>3883</v>
      </c>
      <c r="C233" s="44" t="s">
        <v>4112</v>
      </c>
      <c r="D233" s="71">
        <v>25</v>
      </c>
    </row>
    <row r="234" spans="1:4" ht="15.75" x14ac:dyDescent="0.2">
      <c r="A234" s="62">
        <v>768</v>
      </c>
      <c r="B234" s="43" t="s">
        <v>3884</v>
      </c>
      <c r="C234" s="44" t="s">
        <v>4112</v>
      </c>
      <c r="D234" s="71">
        <v>750</v>
      </c>
    </row>
    <row r="235" spans="1:4" ht="15.75" x14ac:dyDescent="0.2">
      <c r="A235" s="62">
        <v>769</v>
      </c>
      <c r="B235" s="43" t="s">
        <v>3885</v>
      </c>
      <c r="C235" s="44" t="s">
        <v>4112</v>
      </c>
      <c r="D235" s="71">
        <v>600</v>
      </c>
    </row>
    <row r="236" spans="1:4" ht="15.75" x14ac:dyDescent="0.2">
      <c r="A236" s="62">
        <v>770</v>
      </c>
      <c r="B236" s="43" t="s">
        <v>14</v>
      </c>
      <c r="C236" s="44" t="s">
        <v>4112</v>
      </c>
      <c r="D236" s="71">
        <v>500</v>
      </c>
    </row>
    <row r="237" spans="1:4" ht="15.75" x14ac:dyDescent="0.2">
      <c r="A237" s="62">
        <v>771</v>
      </c>
      <c r="B237" s="43" t="s">
        <v>4114</v>
      </c>
      <c r="C237" s="44" t="s">
        <v>3740</v>
      </c>
      <c r="D237" s="71">
        <v>50</v>
      </c>
    </row>
    <row r="238" spans="1:4" ht="15.75" x14ac:dyDescent="0.2">
      <c r="A238" s="62">
        <v>772</v>
      </c>
      <c r="B238" s="43" t="s">
        <v>717</v>
      </c>
      <c r="C238" s="44" t="s">
        <v>2634</v>
      </c>
      <c r="D238" s="71">
        <v>165</v>
      </c>
    </row>
    <row r="239" spans="1:4" ht="15.75" x14ac:dyDescent="0.2">
      <c r="A239" s="62">
        <v>773</v>
      </c>
      <c r="B239" s="43" t="s">
        <v>3886</v>
      </c>
      <c r="C239" s="44" t="s">
        <v>3741</v>
      </c>
      <c r="D239" s="71">
        <v>560</v>
      </c>
    </row>
    <row r="240" spans="1:4" ht="15.75" x14ac:dyDescent="0.2">
      <c r="A240" s="62">
        <v>774</v>
      </c>
      <c r="B240" s="43" t="s">
        <v>716</v>
      </c>
      <c r="C240" s="44" t="s">
        <v>2634</v>
      </c>
      <c r="D240" s="71">
        <v>150</v>
      </c>
    </row>
    <row r="241" spans="1:4" ht="15.75" x14ac:dyDescent="0.2">
      <c r="A241" s="62">
        <v>775</v>
      </c>
      <c r="B241" s="43" t="s">
        <v>3887</v>
      </c>
      <c r="C241" s="44" t="s">
        <v>3741</v>
      </c>
      <c r="D241" s="71">
        <v>1600</v>
      </c>
    </row>
    <row r="242" spans="1:4" ht="15.75" x14ac:dyDescent="0.2">
      <c r="A242" s="62">
        <v>776</v>
      </c>
      <c r="B242" s="43" t="s">
        <v>3888</v>
      </c>
      <c r="C242" s="44" t="s">
        <v>3741</v>
      </c>
      <c r="D242" s="71">
        <v>1300</v>
      </c>
    </row>
    <row r="243" spans="1:4" ht="15.75" x14ac:dyDescent="0.2">
      <c r="A243" s="62">
        <v>777</v>
      </c>
      <c r="B243" s="43" t="s">
        <v>3889</v>
      </c>
      <c r="C243" s="44" t="s">
        <v>3741</v>
      </c>
      <c r="D243" s="71">
        <v>1300</v>
      </c>
    </row>
    <row r="244" spans="1:4" ht="15.75" x14ac:dyDescent="0.2">
      <c r="A244" s="62">
        <v>784</v>
      </c>
      <c r="B244" s="43" t="s">
        <v>3890</v>
      </c>
      <c r="C244" s="44" t="s">
        <v>3751</v>
      </c>
      <c r="D244" s="71">
        <v>1000</v>
      </c>
    </row>
    <row r="245" spans="1:4" ht="15.75" x14ac:dyDescent="0.2">
      <c r="A245" s="62">
        <v>785</v>
      </c>
      <c r="B245" s="43" t="s">
        <v>3891</v>
      </c>
      <c r="C245" s="44" t="s">
        <v>3741</v>
      </c>
      <c r="D245" s="71">
        <v>500</v>
      </c>
    </row>
    <row r="246" spans="1:4" ht="15.75" x14ac:dyDescent="0.2">
      <c r="A246" s="62">
        <v>788</v>
      </c>
      <c r="B246" s="43" t="s">
        <v>3892</v>
      </c>
      <c r="C246" s="44" t="s">
        <v>3741</v>
      </c>
      <c r="D246" s="71">
        <v>500</v>
      </c>
    </row>
    <row r="247" spans="1:4" ht="15.75" x14ac:dyDescent="0.2">
      <c r="A247" s="62">
        <v>789</v>
      </c>
      <c r="B247" s="43" t="s">
        <v>1732</v>
      </c>
      <c r="C247" s="44" t="s">
        <v>3751</v>
      </c>
      <c r="D247" s="71">
        <v>60</v>
      </c>
    </row>
    <row r="248" spans="1:4" ht="15.75" x14ac:dyDescent="0.2">
      <c r="A248" s="62">
        <v>790</v>
      </c>
      <c r="B248" s="43" t="s">
        <v>1368</v>
      </c>
      <c r="C248" s="44" t="s">
        <v>3420</v>
      </c>
      <c r="D248" s="71">
        <v>30</v>
      </c>
    </row>
    <row r="249" spans="1:4" ht="15.75" x14ac:dyDescent="0.2">
      <c r="A249" s="62">
        <v>810</v>
      </c>
      <c r="B249" s="43" t="s">
        <v>3893</v>
      </c>
      <c r="C249" s="44" t="s">
        <v>3751</v>
      </c>
      <c r="D249" s="71">
        <v>525</v>
      </c>
    </row>
    <row r="250" spans="1:4" ht="15.75" x14ac:dyDescent="0.2">
      <c r="A250" s="62">
        <v>811</v>
      </c>
      <c r="B250" s="43" t="s">
        <v>4108</v>
      </c>
      <c r="C250" s="44" t="s">
        <v>3751</v>
      </c>
      <c r="D250" s="71">
        <v>105</v>
      </c>
    </row>
    <row r="251" spans="1:4" ht="15.75" x14ac:dyDescent="0.2">
      <c r="A251" s="62">
        <v>815</v>
      </c>
      <c r="B251" s="43" t="s">
        <v>3894</v>
      </c>
      <c r="C251" s="44" t="s">
        <v>3747</v>
      </c>
      <c r="D251" s="71">
        <v>55</v>
      </c>
    </row>
    <row r="252" spans="1:4" ht="15.75" x14ac:dyDescent="0.2">
      <c r="A252" s="62">
        <v>816</v>
      </c>
      <c r="B252" s="43" t="s">
        <v>4234</v>
      </c>
      <c r="C252" s="44" t="s">
        <v>3747</v>
      </c>
      <c r="D252" s="71">
        <v>60</v>
      </c>
    </row>
    <row r="253" spans="1:4" ht="15.75" x14ac:dyDescent="0.2">
      <c r="A253" s="62">
        <v>818</v>
      </c>
      <c r="B253" s="43" t="s">
        <v>4235</v>
      </c>
      <c r="C253" s="44" t="s">
        <v>3740</v>
      </c>
      <c r="D253" s="71">
        <v>200</v>
      </c>
    </row>
    <row r="254" spans="1:4" ht="15.75" x14ac:dyDescent="0.2">
      <c r="A254" s="62">
        <v>820</v>
      </c>
      <c r="B254" s="43" t="s">
        <v>4236</v>
      </c>
      <c r="C254" s="44" t="s">
        <v>3740</v>
      </c>
      <c r="D254" s="71">
        <v>130</v>
      </c>
    </row>
    <row r="255" spans="1:4" ht="15.75" x14ac:dyDescent="0.2">
      <c r="A255" s="62">
        <v>821</v>
      </c>
      <c r="B255" s="43" t="s">
        <v>4237</v>
      </c>
      <c r="C255" s="44" t="s">
        <v>3740</v>
      </c>
      <c r="D255" s="71">
        <v>130</v>
      </c>
    </row>
    <row r="256" spans="1:4" ht="15.75" x14ac:dyDescent="0.2">
      <c r="A256" s="62">
        <v>823</v>
      </c>
      <c r="B256" s="43" t="s">
        <v>4238</v>
      </c>
      <c r="C256" s="44" t="s">
        <v>3740</v>
      </c>
      <c r="D256" s="71">
        <v>170</v>
      </c>
    </row>
    <row r="257" spans="1:4" ht="15.75" x14ac:dyDescent="0.2">
      <c r="A257" s="62">
        <v>826</v>
      </c>
      <c r="B257" s="43" t="s">
        <v>4239</v>
      </c>
      <c r="C257" s="44" t="s">
        <v>3740</v>
      </c>
      <c r="D257" s="71">
        <v>300</v>
      </c>
    </row>
    <row r="258" spans="1:4" ht="15.75" x14ac:dyDescent="0.2">
      <c r="A258" s="62">
        <v>827</v>
      </c>
      <c r="B258" s="43" t="s">
        <v>4240</v>
      </c>
      <c r="C258" s="44" t="s">
        <v>3740</v>
      </c>
      <c r="D258" s="71">
        <v>150</v>
      </c>
    </row>
    <row r="259" spans="1:4" ht="15.75" x14ac:dyDescent="0.2">
      <c r="A259" s="62">
        <v>828</v>
      </c>
      <c r="B259" s="43" t="s">
        <v>4241</v>
      </c>
      <c r="C259" s="44" t="s">
        <v>3740</v>
      </c>
      <c r="D259" s="71">
        <v>150</v>
      </c>
    </row>
    <row r="260" spans="1:4" ht="15.75" x14ac:dyDescent="0.2">
      <c r="A260" s="62">
        <v>829</v>
      </c>
      <c r="B260" s="43" t="s">
        <v>4242</v>
      </c>
      <c r="C260" s="44" t="s">
        <v>3740</v>
      </c>
      <c r="D260" s="71">
        <v>160</v>
      </c>
    </row>
    <row r="261" spans="1:4" ht="15.75" x14ac:dyDescent="0.2">
      <c r="A261" s="62">
        <v>830</v>
      </c>
      <c r="B261" s="43" t="s">
        <v>4243</v>
      </c>
      <c r="C261" s="44" t="s">
        <v>3740</v>
      </c>
      <c r="D261" s="71">
        <v>270</v>
      </c>
    </row>
    <row r="262" spans="1:4" ht="15.75" x14ac:dyDescent="0.2">
      <c r="A262" s="62">
        <v>831</v>
      </c>
      <c r="B262" s="43" t="s">
        <v>4244</v>
      </c>
      <c r="C262" s="44" t="s">
        <v>3740</v>
      </c>
      <c r="D262" s="71">
        <v>270</v>
      </c>
    </row>
    <row r="263" spans="1:4" ht="15.75" x14ac:dyDescent="0.2">
      <c r="A263" s="62">
        <v>833</v>
      </c>
      <c r="B263" s="43" t="s">
        <v>4245</v>
      </c>
      <c r="C263" s="44" t="s">
        <v>3740</v>
      </c>
      <c r="D263" s="71">
        <v>250</v>
      </c>
    </row>
    <row r="264" spans="1:4" ht="15.75" x14ac:dyDescent="0.2">
      <c r="A264" s="62">
        <v>834</v>
      </c>
      <c r="B264" s="43" t="s">
        <v>4246</v>
      </c>
      <c r="C264" s="44" t="s">
        <v>3740</v>
      </c>
      <c r="D264" s="71">
        <v>265</v>
      </c>
    </row>
    <row r="265" spans="1:4" ht="15.75" x14ac:dyDescent="0.2">
      <c r="A265" s="62">
        <v>835</v>
      </c>
      <c r="B265" s="43" t="s">
        <v>4247</v>
      </c>
      <c r="C265" s="44" t="s">
        <v>3740</v>
      </c>
      <c r="D265" s="71">
        <v>285</v>
      </c>
    </row>
    <row r="266" spans="1:4" ht="15.75" x14ac:dyDescent="0.2">
      <c r="A266" s="62">
        <v>845</v>
      </c>
      <c r="B266" s="43" t="s">
        <v>4248</v>
      </c>
      <c r="C266" s="44" t="s">
        <v>3740</v>
      </c>
      <c r="D266" s="71">
        <v>165</v>
      </c>
    </row>
    <row r="267" spans="1:4" ht="15.75" x14ac:dyDescent="0.2">
      <c r="A267" s="62">
        <v>850</v>
      </c>
      <c r="B267" s="43" t="s">
        <v>4249</v>
      </c>
      <c r="C267" s="44" t="s">
        <v>3747</v>
      </c>
      <c r="D267" s="71">
        <v>90</v>
      </c>
    </row>
    <row r="268" spans="1:4" ht="15.75" x14ac:dyDescent="0.2">
      <c r="A268" s="62">
        <v>851</v>
      </c>
      <c r="B268" s="43" t="s">
        <v>4250</v>
      </c>
      <c r="C268" s="44" t="s">
        <v>3747</v>
      </c>
      <c r="D268" s="71">
        <v>60</v>
      </c>
    </row>
    <row r="269" spans="1:4" ht="15.75" x14ac:dyDescent="0.2">
      <c r="A269" s="62">
        <v>855</v>
      </c>
      <c r="B269" s="43" t="s">
        <v>4251</v>
      </c>
      <c r="C269" s="44" t="s">
        <v>3747</v>
      </c>
      <c r="D269" s="71">
        <v>350</v>
      </c>
    </row>
    <row r="270" spans="1:4" ht="15.75" x14ac:dyDescent="0.2">
      <c r="A270" s="62">
        <v>856</v>
      </c>
      <c r="B270" s="43" t="s">
        <v>4252</v>
      </c>
      <c r="C270" s="44" t="s">
        <v>3740</v>
      </c>
      <c r="D270" s="71">
        <v>90</v>
      </c>
    </row>
    <row r="271" spans="1:4" ht="15.75" x14ac:dyDescent="0.2">
      <c r="A271" s="62">
        <v>857</v>
      </c>
      <c r="B271" s="43" t="s">
        <v>4253</v>
      </c>
      <c r="C271" s="44" t="s">
        <v>3740</v>
      </c>
      <c r="D271" s="71">
        <v>150</v>
      </c>
    </row>
    <row r="272" spans="1:4" ht="15.75" x14ac:dyDescent="0.2">
      <c r="A272" s="62">
        <v>858</v>
      </c>
      <c r="B272" s="43" t="s">
        <v>4254</v>
      </c>
      <c r="C272" s="44" t="s">
        <v>3740</v>
      </c>
      <c r="D272" s="71">
        <v>275</v>
      </c>
    </row>
    <row r="273" spans="1:4" ht="15.75" x14ac:dyDescent="0.2">
      <c r="A273" s="62">
        <v>859</v>
      </c>
      <c r="B273" s="43" t="s">
        <v>4255</v>
      </c>
      <c r="C273" s="44" t="s">
        <v>3740</v>
      </c>
      <c r="D273" s="71">
        <v>90</v>
      </c>
    </row>
    <row r="274" spans="1:4" ht="15.75" x14ac:dyDescent="0.2">
      <c r="A274" s="62">
        <v>863</v>
      </c>
      <c r="B274" s="43" t="s">
        <v>4256</v>
      </c>
      <c r="C274" s="44" t="s">
        <v>3747</v>
      </c>
      <c r="D274" s="71">
        <v>75</v>
      </c>
    </row>
    <row r="275" spans="1:4" ht="15.75" x14ac:dyDescent="0.2">
      <c r="A275" s="62">
        <v>865</v>
      </c>
      <c r="B275" s="43" t="s">
        <v>4257</v>
      </c>
      <c r="C275" s="44" t="s">
        <v>3747</v>
      </c>
      <c r="D275" s="71">
        <v>125</v>
      </c>
    </row>
    <row r="276" spans="1:4" ht="15.75" x14ac:dyDescent="0.2">
      <c r="A276" s="62">
        <v>868</v>
      </c>
      <c r="B276" s="43" t="s">
        <v>4258</v>
      </c>
      <c r="C276" s="44" t="s">
        <v>4111</v>
      </c>
      <c r="D276" s="71">
        <v>15</v>
      </c>
    </row>
    <row r="277" spans="1:4" ht="15.75" x14ac:dyDescent="0.2">
      <c r="A277" s="62">
        <v>869</v>
      </c>
      <c r="B277" s="43" t="s">
        <v>4259</v>
      </c>
      <c r="C277" s="44" t="s">
        <v>3747</v>
      </c>
      <c r="D277" s="71">
        <v>8</v>
      </c>
    </row>
    <row r="278" spans="1:4" ht="15.75" x14ac:dyDescent="0.2">
      <c r="A278" s="62">
        <v>870</v>
      </c>
      <c r="B278" s="43" t="s">
        <v>4260</v>
      </c>
      <c r="C278" s="44" t="s">
        <v>3748</v>
      </c>
      <c r="D278" s="71">
        <v>6</v>
      </c>
    </row>
    <row r="279" spans="1:4" ht="15.75" x14ac:dyDescent="0.2">
      <c r="A279" s="62">
        <v>871</v>
      </c>
      <c r="B279" s="43" t="s">
        <v>1823</v>
      </c>
      <c r="C279" s="44" t="s">
        <v>3747</v>
      </c>
      <c r="D279" s="71">
        <v>25</v>
      </c>
    </row>
    <row r="280" spans="1:4" ht="15.75" x14ac:dyDescent="0.2">
      <c r="A280" s="62">
        <v>873</v>
      </c>
      <c r="B280" s="43" t="s">
        <v>4140</v>
      </c>
      <c r="C280" s="44" t="s">
        <v>3748</v>
      </c>
      <c r="D280" s="71">
        <v>15</v>
      </c>
    </row>
    <row r="281" spans="1:4" ht="15.75" x14ac:dyDescent="0.2">
      <c r="A281" s="62">
        <v>874</v>
      </c>
      <c r="B281" s="43" t="s">
        <v>4261</v>
      </c>
      <c r="C281" s="44" t="s">
        <v>3747</v>
      </c>
      <c r="D281" s="71">
        <v>75</v>
      </c>
    </row>
    <row r="282" spans="1:4" ht="31.5" x14ac:dyDescent="0.2">
      <c r="A282" s="62">
        <v>875</v>
      </c>
      <c r="B282" s="43" t="s">
        <v>4262</v>
      </c>
      <c r="C282" s="44" t="s">
        <v>3747</v>
      </c>
      <c r="D282" s="71">
        <v>70</v>
      </c>
    </row>
    <row r="283" spans="1:4" ht="15.75" x14ac:dyDescent="0.2">
      <c r="A283" s="62">
        <v>876</v>
      </c>
      <c r="B283" s="43" t="s">
        <v>4263</v>
      </c>
      <c r="C283" s="44" t="s">
        <v>3747</v>
      </c>
      <c r="D283" s="71">
        <v>70</v>
      </c>
    </row>
    <row r="284" spans="1:4" ht="15.75" x14ac:dyDescent="0.2">
      <c r="A284" s="62">
        <v>886</v>
      </c>
      <c r="B284" s="43" t="s">
        <v>4264</v>
      </c>
      <c r="C284" s="44" t="s">
        <v>3748</v>
      </c>
      <c r="D284" s="71">
        <v>40</v>
      </c>
    </row>
    <row r="285" spans="1:4" ht="15.75" x14ac:dyDescent="0.2">
      <c r="A285" s="62">
        <v>887</v>
      </c>
      <c r="B285" s="43" t="s">
        <v>2105</v>
      </c>
      <c r="C285" s="44" t="s">
        <v>2634</v>
      </c>
      <c r="D285" s="71">
        <v>40</v>
      </c>
    </row>
    <row r="286" spans="1:4" ht="15.75" x14ac:dyDescent="0.2">
      <c r="A286" s="62">
        <v>888</v>
      </c>
      <c r="B286" s="43" t="s">
        <v>2106</v>
      </c>
      <c r="C286" s="44" t="s">
        <v>2634</v>
      </c>
      <c r="D286" s="71">
        <v>50</v>
      </c>
    </row>
    <row r="287" spans="1:4" ht="15.75" x14ac:dyDescent="0.2">
      <c r="A287" s="62">
        <v>889</v>
      </c>
      <c r="B287" s="43" t="s">
        <v>2107</v>
      </c>
      <c r="C287" s="44" t="s">
        <v>2634</v>
      </c>
      <c r="D287" s="71">
        <v>30</v>
      </c>
    </row>
    <row r="288" spans="1:4" ht="15.75" x14ac:dyDescent="0.2">
      <c r="A288" s="62">
        <v>890</v>
      </c>
      <c r="B288" s="56" t="s">
        <v>4459</v>
      </c>
      <c r="C288" s="64" t="s">
        <v>1577</v>
      </c>
      <c r="D288" s="71">
        <v>50</v>
      </c>
    </row>
    <row r="289" spans="1:4" ht="15.75" x14ac:dyDescent="0.2">
      <c r="A289" s="62">
        <v>966</v>
      </c>
      <c r="B289" s="43" t="s">
        <v>4265</v>
      </c>
      <c r="C289" s="44" t="s">
        <v>3748</v>
      </c>
      <c r="D289" s="71">
        <v>800</v>
      </c>
    </row>
    <row r="290" spans="1:4" ht="15.75" x14ac:dyDescent="0.2">
      <c r="A290" s="62">
        <v>967</v>
      </c>
      <c r="B290" s="43" t="s">
        <v>4266</v>
      </c>
      <c r="C290" s="44" t="s">
        <v>3747</v>
      </c>
      <c r="D290" s="71">
        <v>400</v>
      </c>
    </row>
    <row r="291" spans="1:4" ht="15.75" x14ac:dyDescent="0.2">
      <c r="A291" s="62">
        <v>969</v>
      </c>
      <c r="B291" s="43" t="s">
        <v>4267</v>
      </c>
      <c r="C291" s="44" t="s">
        <v>3748</v>
      </c>
      <c r="D291" s="71">
        <v>25</v>
      </c>
    </row>
    <row r="292" spans="1:4" ht="15.75" x14ac:dyDescent="0.2">
      <c r="A292" s="62">
        <v>973</v>
      </c>
      <c r="B292" s="43" t="s">
        <v>4268</v>
      </c>
      <c r="C292" s="44" t="s">
        <v>4112</v>
      </c>
      <c r="D292" s="71">
        <v>1500</v>
      </c>
    </row>
    <row r="293" spans="1:4" ht="15.75" x14ac:dyDescent="0.2">
      <c r="A293" s="62">
        <v>974</v>
      </c>
      <c r="B293" s="43" t="s">
        <v>4269</v>
      </c>
      <c r="C293" s="44" t="s">
        <v>3753</v>
      </c>
      <c r="D293" s="71">
        <v>700</v>
      </c>
    </row>
    <row r="294" spans="1:4" ht="15.75" x14ac:dyDescent="0.2">
      <c r="A294" s="62">
        <v>975</v>
      </c>
      <c r="B294" s="43" t="s">
        <v>4270</v>
      </c>
      <c r="C294" s="44" t="s">
        <v>3748</v>
      </c>
      <c r="D294" s="71">
        <v>300</v>
      </c>
    </row>
    <row r="295" spans="1:4" ht="15.75" x14ac:dyDescent="0.2">
      <c r="A295" s="62">
        <v>976</v>
      </c>
      <c r="B295" s="43" t="s">
        <v>4271</v>
      </c>
      <c r="C295" s="44" t="s">
        <v>3748</v>
      </c>
      <c r="D295" s="71">
        <v>450</v>
      </c>
    </row>
    <row r="296" spans="1:4" ht="47.25" x14ac:dyDescent="0.2">
      <c r="A296" s="62">
        <v>977</v>
      </c>
      <c r="B296" s="43" t="s">
        <v>4272</v>
      </c>
      <c r="C296" s="44" t="s">
        <v>4112</v>
      </c>
      <c r="D296" s="71">
        <v>900</v>
      </c>
    </row>
    <row r="297" spans="1:4" ht="31.5" x14ac:dyDescent="0.2">
      <c r="A297" s="62">
        <v>978</v>
      </c>
      <c r="B297" s="43" t="s">
        <v>4273</v>
      </c>
      <c r="C297" s="44" t="s">
        <v>4112</v>
      </c>
      <c r="D297" s="71">
        <v>950</v>
      </c>
    </row>
    <row r="298" spans="1:4" ht="15.75" x14ac:dyDescent="0.2">
      <c r="A298" s="62">
        <v>979</v>
      </c>
      <c r="B298" s="43" t="s">
        <v>4274</v>
      </c>
      <c r="C298" s="44" t="s">
        <v>3751</v>
      </c>
      <c r="D298" s="71">
        <v>30</v>
      </c>
    </row>
    <row r="299" spans="1:4" ht="15.75" x14ac:dyDescent="0.2">
      <c r="A299" s="62">
        <v>980</v>
      </c>
      <c r="B299" s="43" t="s">
        <v>15</v>
      </c>
      <c r="C299" s="44" t="s">
        <v>3751</v>
      </c>
      <c r="D299" s="71">
        <v>100</v>
      </c>
    </row>
    <row r="300" spans="1:4" ht="15.75" x14ac:dyDescent="0.2">
      <c r="A300" s="62">
        <v>982</v>
      </c>
      <c r="B300" s="43" t="s">
        <v>4275</v>
      </c>
      <c r="C300" s="44" t="s">
        <v>3751</v>
      </c>
      <c r="D300" s="71">
        <v>1800</v>
      </c>
    </row>
    <row r="301" spans="1:4" ht="15.75" x14ac:dyDescent="0.2">
      <c r="A301" s="62">
        <v>983</v>
      </c>
      <c r="B301" s="43" t="s">
        <v>4276</v>
      </c>
      <c r="C301" s="44" t="s">
        <v>3751</v>
      </c>
      <c r="D301" s="71">
        <v>1800</v>
      </c>
    </row>
    <row r="302" spans="1:4" ht="15.75" x14ac:dyDescent="0.2">
      <c r="A302" s="72">
        <v>984</v>
      </c>
      <c r="B302" s="73" t="s">
        <v>6032</v>
      </c>
      <c r="C302" s="74" t="s">
        <v>3751</v>
      </c>
      <c r="D302" s="75">
        <v>300</v>
      </c>
    </row>
    <row r="303" spans="1:4" ht="15.75" x14ac:dyDescent="0.2">
      <c r="A303" s="62">
        <v>992</v>
      </c>
      <c r="B303" s="43" t="s">
        <v>4277</v>
      </c>
      <c r="C303" s="44" t="s">
        <v>3741</v>
      </c>
      <c r="D303" s="71">
        <v>7000</v>
      </c>
    </row>
    <row r="304" spans="1:4" ht="15.75" x14ac:dyDescent="0.2">
      <c r="A304" s="62">
        <v>994</v>
      </c>
      <c r="B304" s="43" t="s">
        <v>4278</v>
      </c>
      <c r="C304" s="44" t="s">
        <v>4112</v>
      </c>
      <c r="D304" s="71">
        <v>290</v>
      </c>
    </row>
    <row r="305" spans="1:4" ht="15.75" x14ac:dyDescent="0.2">
      <c r="A305" s="62">
        <v>996</v>
      </c>
      <c r="B305" s="43" t="s">
        <v>3909</v>
      </c>
      <c r="C305" s="44" t="s">
        <v>4112</v>
      </c>
      <c r="D305" s="71">
        <v>350</v>
      </c>
    </row>
    <row r="306" spans="1:4" ht="15.75" x14ac:dyDescent="0.2">
      <c r="A306" s="62">
        <v>999</v>
      </c>
      <c r="B306" s="43" t="s">
        <v>3910</v>
      </c>
      <c r="C306" s="44" t="s">
        <v>3747</v>
      </c>
      <c r="D306" s="71">
        <v>1150</v>
      </c>
    </row>
    <row r="307" spans="1:4" ht="15.75" x14ac:dyDescent="0.2">
      <c r="A307" s="62">
        <v>1000</v>
      </c>
      <c r="B307" s="43" t="s">
        <v>3911</v>
      </c>
      <c r="C307" s="44" t="s">
        <v>3740</v>
      </c>
      <c r="D307" s="71">
        <v>100</v>
      </c>
    </row>
    <row r="308" spans="1:4" ht="15.75" x14ac:dyDescent="0.2">
      <c r="A308" s="62">
        <v>1001</v>
      </c>
      <c r="B308" s="43" t="s">
        <v>3912</v>
      </c>
      <c r="C308" s="44" t="s">
        <v>3747</v>
      </c>
      <c r="D308" s="71">
        <v>100</v>
      </c>
    </row>
    <row r="309" spans="1:4" ht="15.75" x14ac:dyDescent="0.2">
      <c r="A309" s="62">
        <v>1002</v>
      </c>
      <c r="B309" s="43" t="s">
        <v>3913</v>
      </c>
      <c r="C309" s="44" t="s">
        <v>3741</v>
      </c>
      <c r="D309" s="71">
        <v>7400</v>
      </c>
    </row>
    <row r="310" spans="1:4" ht="15.75" x14ac:dyDescent="0.2">
      <c r="A310" s="62">
        <v>1003</v>
      </c>
      <c r="B310" s="43" t="s">
        <v>3914</v>
      </c>
      <c r="C310" s="44" t="s">
        <v>3741</v>
      </c>
      <c r="D310" s="71">
        <v>7400</v>
      </c>
    </row>
    <row r="311" spans="1:4" ht="15.75" x14ac:dyDescent="0.2">
      <c r="A311" s="62">
        <v>1004</v>
      </c>
      <c r="B311" s="43" t="s">
        <v>3915</v>
      </c>
      <c r="C311" s="44" t="s">
        <v>3741</v>
      </c>
      <c r="D311" s="71">
        <v>7400</v>
      </c>
    </row>
    <row r="312" spans="1:4" ht="15.75" x14ac:dyDescent="0.2">
      <c r="A312" s="62">
        <v>1005</v>
      </c>
      <c r="B312" s="43" t="s">
        <v>3916</v>
      </c>
      <c r="C312" s="44" t="s">
        <v>3741</v>
      </c>
      <c r="D312" s="71">
        <v>8000</v>
      </c>
    </row>
    <row r="313" spans="1:4" ht="15.75" x14ac:dyDescent="0.2">
      <c r="A313" s="62">
        <v>1006</v>
      </c>
      <c r="B313" s="43" t="s">
        <v>3917</v>
      </c>
      <c r="C313" s="44" t="s">
        <v>3741</v>
      </c>
      <c r="D313" s="71">
        <v>7400</v>
      </c>
    </row>
    <row r="314" spans="1:4" ht="15.75" x14ac:dyDescent="0.2">
      <c r="A314" s="62">
        <v>1007</v>
      </c>
      <c r="B314" s="43" t="s">
        <v>3918</v>
      </c>
      <c r="C314" s="44" t="s">
        <v>3741</v>
      </c>
      <c r="D314" s="71">
        <v>7400</v>
      </c>
    </row>
    <row r="315" spans="1:4" ht="15.75" x14ac:dyDescent="0.2">
      <c r="A315" s="62">
        <v>1008</v>
      </c>
      <c r="B315" s="43" t="s">
        <v>3919</v>
      </c>
      <c r="C315" s="44" t="s">
        <v>3741</v>
      </c>
      <c r="D315" s="71">
        <v>7400</v>
      </c>
    </row>
    <row r="316" spans="1:4" ht="15.75" x14ac:dyDescent="0.2">
      <c r="A316" s="62">
        <v>1009</v>
      </c>
      <c r="B316" s="43" t="s">
        <v>398</v>
      </c>
      <c r="C316" s="44" t="s">
        <v>3741</v>
      </c>
      <c r="D316" s="71">
        <v>7400</v>
      </c>
    </row>
    <row r="317" spans="1:4" ht="15.75" x14ac:dyDescent="0.2">
      <c r="A317" s="62">
        <v>1010</v>
      </c>
      <c r="B317" s="43" t="s">
        <v>3920</v>
      </c>
      <c r="C317" s="44" t="s">
        <v>3741</v>
      </c>
      <c r="D317" s="71">
        <v>9600</v>
      </c>
    </row>
    <row r="318" spans="1:4" ht="15.75" x14ac:dyDescent="0.2">
      <c r="A318" s="62">
        <v>1013</v>
      </c>
      <c r="B318" s="43" t="s">
        <v>3921</v>
      </c>
      <c r="C318" s="44" t="s">
        <v>3741</v>
      </c>
      <c r="D318" s="71">
        <v>9600</v>
      </c>
    </row>
    <row r="319" spans="1:4" ht="15.75" x14ac:dyDescent="0.2">
      <c r="A319" s="62">
        <v>1015</v>
      </c>
      <c r="B319" s="43" t="s">
        <v>3922</v>
      </c>
      <c r="C319" s="44" t="s">
        <v>4112</v>
      </c>
      <c r="D319" s="71">
        <v>325</v>
      </c>
    </row>
    <row r="320" spans="1:4" ht="15.75" x14ac:dyDescent="0.2">
      <c r="A320" s="62">
        <v>1016</v>
      </c>
      <c r="B320" s="43" t="s">
        <v>1490</v>
      </c>
      <c r="C320" s="44" t="s">
        <v>3741</v>
      </c>
      <c r="D320" s="71">
        <v>8000</v>
      </c>
    </row>
    <row r="321" spans="1:4" ht="15.75" x14ac:dyDescent="0.2">
      <c r="A321" s="62">
        <v>1019</v>
      </c>
      <c r="B321" s="43" t="s">
        <v>3923</v>
      </c>
      <c r="C321" s="44" t="s">
        <v>3748</v>
      </c>
      <c r="D321" s="71">
        <v>35</v>
      </c>
    </row>
    <row r="322" spans="1:4" ht="15.75" x14ac:dyDescent="0.2">
      <c r="A322" s="62">
        <v>1020</v>
      </c>
      <c r="B322" s="43" t="s">
        <v>3924</v>
      </c>
      <c r="C322" s="44" t="s">
        <v>3741</v>
      </c>
      <c r="D322" s="71">
        <v>8000</v>
      </c>
    </row>
    <row r="323" spans="1:4" ht="15.75" x14ac:dyDescent="0.2">
      <c r="A323" s="62">
        <v>1021</v>
      </c>
      <c r="B323" s="43" t="s">
        <v>4202</v>
      </c>
      <c r="C323" s="44" t="s">
        <v>4112</v>
      </c>
      <c r="D323" s="71">
        <v>550</v>
      </c>
    </row>
    <row r="324" spans="1:4" ht="31.5" x14ac:dyDescent="0.2">
      <c r="A324" s="62">
        <v>1022</v>
      </c>
      <c r="B324" s="43" t="s">
        <v>3925</v>
      </c>
      <c r="C324" s="44" t="s">
        <v>4204</v>
      </c>
      <c r="D324" s="71">
        <v>25</v>
      </c>
    </row>
    <row r="325" spans="1:4" ht="15.75" x14ac:dyDescent="0.2">
      <c r="A325" s="62">
        <v>1023</v>
      </c>
      <c r="B325" s="43" t="s">
        <v>3926</v>
      </c>
      <c r="C325" s="44" t="s">
        <v>4204</v>
      </c>
      <c r="D325" s="71">
        <v>150</v>
      </c>
    </row>
    <row r="326" spans="1:4" ht="31.5" x14ac:dyDescent="0.2">
      <c r="A326" s="62">
        <v>1024</v>
      </c>
      <c r="B326" s="43" t="s">
        <v>3927</v>
      </c>
      <c r="C326" s="44" t="s">
        <v>3748</v>
      </c>
      <c r="D326" s="71">
        <v>15</v>
      </c>
    </row>
    <row r="327" spans="1:4" ht="15.75" x14ac:dyDescent="0.2">
      <c r="A327" s="62">
        <v>1025</v>
      </c>
      <c r="B327" s="43" t="s">
        <v>3928</v>
      </c>
      <c r="C327" s="44" t="s">
        <v>4204</v>
      </c>
      <c r="D327" s="71">
        <v>30</v>
      </c>
    </row>
    <row r="328" spans="1:4" ht="15.75" x14ac:dyDescent="0.2">
      <c r="A328" s="62">
        <v>1026</v>
      </c>
      <c r="B328" s="43" t="s">
        <v>1334</v>
      </c>
      <c r="C328" s="44" t="s">
        <v>3741</v>
      </c>
      <c r="D328" s="71">
        <v>9000</v>
      </c>
    </row>
    <row r="329" spans="1:4" ht="15.75" x14ac:dyDescent="0.2">
      <c r="A329" s="62">
        <v>1028</v>
      </c>
      <c r="B329" s="43" t="s">
        <v>3929</v>
      </c>
      <c r="C329" s="44" t="s">
        <v>3748</v>
      </c>
      <c r="D329" s="71">
        <v>70</v>
      </c>
    </row>
    <row r="330" spans="1:4" ht="15.75" x14ac:dyDescent="0.2">
      <c r="A330" s="62">
        <v>1029</v>
      </c>
      <c r="B330" s="43" t="s">
        <v>3930</v>
      </c>
      <c r="C330" s="44" t="s">
        <v>3741</v>
      </c>
      <c r="D330" s="71">
        <v>7500</v>
      </c>
    </row>
    <row r="331" spans="1:4" ht="15.75" x14ac:dyDescent="0.2">
      <c r="A331" s="62">
        <v>1030</v>
      </c>
      <c r="B331" s="43" t="s">
        <v>3931</v>
      </c>
      <c r="C331" s="44" t="s">
        <v>3748</v>
      </c>
      <c r="D331" s="71">
        <v>15</v>
      </c>
    </row>
    <row r="332" spans="1:4" ht="31.5" x14ac:dyDescent="0.2">
      <c r="A332" s="62">
        <v>1031</v>
      </c>
      <c r="B332" s="43" t="s">
        <v>3932</v>
      </c>
      <c r="C332" s="44" t="s">
        <v>3748</v>
      </c>
      <c r="D332" s="71">
        <v>20</v>
      </c>
    </row>
    <row r="333" spans="1:4" ht="15.75" x14ac:dyDescent="0.2">
      <c r="A333" s="62">
        <v>1032</v>
      </c>
      <c r="B333" s="43" t="s">
        <v>3933</v>
      </c>
      <c r="C333" s="44" t="s">
        <v>3748</v>
      </c>
      <c r="D333" s="71">
        <v>15</v>
      </c>
    </row>
    <row r="334" spans="1:4" ht="15.75" x14ac:dyDescent="0.2">
      <c r="A334" s="62">
        <v>1034</v>
      </c>
      <c r="B334" s="43" t="s">
        <v>3934</v>
      </c>
      <c r="C334" s="44" t="s">
        <v>3741</v>
      </c>
      <c r="D334" s="71">
        <v>6350</v>
      </c>
    </row>
    <row r="335" spans="1:4" ht="15.75" x14ac:dyDescent="0.2">
      <c r="A335" s="62">
        <v>1035</v>
      </c>
      <c r="B335" s="43" t="s">
        <v>3935</v>
      </c>
      <c r="C335" s="44" t="s">
        <v>3741</v>
      </c>
      <c r="D335" s="71">
        <v>6930</v>
      </c>
    </row>
    <row r="336" spans="1:4" ht="15.75" x14ac:dyDescent="0.2">
      <c r="A336" s="62">
        <v>1036</v>
      </c>
      <c r="B336" s="43" t="s">
        <v>3936</v>
      </c>
      <c r="C336" s="44" t="s">
        <v>3748</v>
      </c>
      <c r="D336" s="71">
        <v>45</v>
      </c>
    </row>
    <row r="337" spans="1:4" ht="15.75" x14ac:dyDescent="0.2">
      <c r="A337" s="62">
        <v>1037</v>
      </c>
      <c r="B337" s="43" t="s">
        <v>3566</v>
      </c>
      <c r="C337" s="44" t="s">
        <v>2634</v>
      </c>
      <c r="D337" s="71">
        <v>90</v>
      </c>
    </row>
    <row r="338" spans="1:4" ht="15.75" x14ac:dyDescent="0.2">
      <c r="A338" s="62">
        <v>1038</v>
      </c>
      <c r="B338" s="43" t="s">
        <v>3974</v>
      </c>
      <c r="C338" s="44" t="s">
        <v>2437</v>
      </c>
      <c r="D338" s="71">
        <v>350</v>
      </c>
    </row>
    <row r="339" spans="1:4" ht="15.75" x14ac:dyDescent="0.2">
      <c r="A339" s="62">
        <v>1143</v>
      </c>
      <c r="B339" s="43" t="s">
        <v>3937</v>
      </c>
      <c r="C339" s="44" t="s">
        <v>3753</v>
      </c>
      <c r="D339" s="71">
        <v>25</v>
      </c>
    </row>
    <row r="340" spans="1:4" ht="15.75" x14ac:dyDescent="0.2">
      <c r="A340" s="62">
        <v>1145</v>
      </c>
      <c r="B340" s="43" t="s">
        <v>3938</v>
      </c>
      <c r="C340" s="44" t="s">
        <v>3753</v>
      </c>
      <c r="D340" s="71">
        <v>120</v>
      </c>
    </row>
    <row r="341" spans="1:4" ht="15.75" x14ac:dyDescent="0.2">
      <c r="A341" s="62">
        <v>1148</v>
      </c>
      <c r="B341" s="43" t="s">
        <v>1891</v>
      </c>
      <c r="C341" s="44" t="s">
        <v>3753</v>
      </c>
      <c r="D341" s="71">
        <v>10</v>
      </c>
    </row>
    <row r="342" spans="1:4" ht="15.75" x14ac:dyDescent="0.2">
      <c r="A342" s="62">
        <v>1149</v>
      </c>
      <c r="B342" s="43" t="s">
        <v>3939</v>
      </c>
      <c r="C342" s="44" t="s">
        <v>3753</v>
      </c>
      <c r="D342" s="71">
        <v>17</v>
      </c>
    </row>
    <row r="343" spans="1:4" ht="15.75" x14ac:dyDescent="0.2">
      <c r="A343" s="62">
        <v>1151</v>
      </c>
      <c r="B343" s="43" t="s">
        <v>3940</v>
      </c>
      <c r="C343" s="44" t="s">
        <v>3748</v>
      </c>
      <c r="D343" s="71">
        <v>81</v>
      </c>
    </row>
    <row r="344" spans="1:4" ht="15.75" x14ac:dyDescent="0.2">
      <c r="A344" s="62">
        <v>1154</v>
      </c>
      <c r="B344" s="43" t="s">
        <v>3941</v>
      </c>
      <c r="C344" s="44" t="s">
        <v>3783</v>
      </c>
      <c r="D344" s="71">
        <v>1275</v>
      </c>
    </row>
    <row r="345" spans="1:4" ht="15.75" x14ac:dyDescent="0.2">
      <c r="A345" s="62">
        <v>1157</v>
      </c>
      <c r="B345" s="43" t="s">
        <v>3942</v>
      </c>
      <c r="C345" s="44" t="s">
        <v>3751</v>
      </c>
      <c r="D345" s="71">
        <v>1000</v>
      </c>
    </row>
    <row r="346" spans="1:4" ht="15.75" x14ac:dyDescent="0.2">
      <c r="A346" s="62">
        <v>1158</v>
      </c>
      <c r="B346" s="43" t="s">
        <v>3943</v>
      </c>
      <c r="C346" s="44" t="s">
        <v>3751</v>
      </c>
      <c r="D346" s="71">
        <v>650</v>
      </c>
    </row>
    <row r="347" spans="1:4" ht="15.75" x14ac:dyDescent="0.2">
      <c r="A347" s="62">
        <v>1159</v>
      </c>
      <c r="B347" s="43" t="s">
        <v>4105</v>
      </c>
      <c r="C347" s="44" t="s">
        <v>3751</v>
      </c>
      <c r="D347" s="71">
        <v>750</v>
      </c>
    </row>
    <row r="348" spans="1:4" ht="15.75" x14ac:dyDescent="0.2">
      <c r="A348" s="62">
        <v>1160</v>
      </c>
      <c r="B348" s="43" t="s">
        <v>3944</v>
      </c>
      <c r="C348" s="44" t="s">
        <v>3945</v>
      </c>
      <c r="D348" s="71">
        <v>70</v>
      </c>
    </row>
    <row r="349" spans="1:4" ht="15.75" x14ac:dyDescent="0.2">
      <c r="A349" s="62">
        <v>1161</v>
      </c>
      <c r="B349" s="43" t="s">
        <v>2315</v>
      </c>
      <c r="C349" s="44" t="s">
        <v>3945</v>
      </c>
      <c r="D349" s="71">
        <v>80</v>
      </c>
    </row>
    <row r="350" spans="1:4" ht="15.75" x14ac:dyDescent="0.2">
      <c r="A350" s="72">
        <v>1162</v>
      </c>
      <c r="B350" s="73" t="s">
        <v>6033</v>
      </c>
      <c r="C350" s="74" t="s">
        <v>4112</v>
      </c>
      <c r="D350" s="75">
        <v>700</v>
      </c>
    </row>
    <row r="351" spans="1:4" ht="15.75" x14ac:dyDescent="0.2">
      <c r="A351" s="62">
        <v>1163</v>
      </c>
      <c r="B351" s="43" t="s">
        <v>3946</v>
      </c>
      <c r="C351" s="44" t="s">
        <v>4112</v>
      </c>
      <c r="D351" s="71">
        <v>375</v>
      </c>
    </row>
    <row r="352" spans="1:4" ht="15.75" x14ac:dyDescent="0.2">
      <c r="A352" s="62">
        <v>1164</v>
      </c>
      <c r="B352" s="43" t="s">
        <v>3947</v>
      </c>
      <c r="C352" s="44" t="s">
        <v>4112</v>
      </c>
      <c r="D352" s="71">
        <v>650</v>
      </c>
    </row>
    <row r="353" spans="1:4" ht="15.75" x14ac:dyDescent="0.2">
      <c r="A353" s="62">
        <v>1165</v>
      </c>
      <c r="B353" s="43" t="s">
        <v>4141</v>
      </c>
      <c r="C353" s="44" t="s">
        <v>4112</v>
      </c>
      <c r="D353" s="71">
        <v>750</v>
      </c>
    </row>
    <row r="354" spans="1:4" ht="15.75" x14ac:dyDescent="0.2">
      <c r="A354" s="62">
        <v>1166</v>
      </c>
      <c r="B354" s="43" t="s">
        <v>4142</v>
      </c>
      <c r="C354" s="44" t="s">
        <v>4112</v>
      </c>
      <c r="D354" s="71">
        <v>350</v>
      </c>
    </row>
    <row r="355" spans="1:4" ht="15.75" x14ac:dyDescent="0.2">
      <c r="A355" s="62">
        <v>1167</v>
      </c>
      <c r="B355" s="43" t="s">
        <v>417</v>
      </c>
      <c r="C355" s="44" t="s">
        <v>4112</v>
      </c>
      <c r="D355" s="71">
        <v>650</v>
      </c>
    </row>
    <row r="356" spans="1:4" ht="15.75" x14ac:dyDescent="0.2">
      <c r="A356" s="62">
        <v>1168</v>
      </c>
      <c r="B356" s="43" t="s">
        <v>3948</v>
      </c>
      <c r="C356" s="44" t="s">
        <v>4112</v>
      </c>
      <c r="D356" s="71">
        <v>400</v>
      </c>
    </row>
    <row r="357" spans="1:4" ht="15.75" x14ac:dyDescent="0.2">
      <c r="A357" s="62">
        <v>1169</v>
      </c>
      <c r="B357" s="43" t="s">
        <v>16</v>
      </c>
      <c r="C357" s="44" t="s">
        <v>4112</v>
      </c>
      <c r="D357" s="71">
        <v>250</v>
      </c>
    </row>
    <row r="358" spans="1:4" ht="15.75" x14ac:dyDescent="0.2">
      <c r="A358" s="62">
        <v>1170</v>
      </c>
      <c r="B358" s="43" t="s">
        <v>2313</v>
      </c>
      <c r="C358" s="44" t="s">
        <v>4112</v>
      </c>
      <c r="D358" s="71">
        <v>1600</v>
      </c>
    </row>
    <row r="359" spans="1:4" ht="15.75" x14ac:dyDescent="0.2">
      <c r="A359" s="62">
        <v>1171</v>
      </c>
      <c r="B359" s="43" t="s">
        <v>2314</v>
      </c>
      <c r="C359" s="44" t="s">
        <v>4112</v>
      </c>
      <c r="D359" s="71">
        <v>1500</v>
      </c>
    </row>
    <row r="360" spans="1:4" ht="15.75" x14ac:dyDescent="0.2">
      <c r="A360" s="62">
        <v>1172</v>
      </c>
      <c r="B360" s="43" t="s">
        <v>700</v>
      </c>
      <c r="C360" s="44" t="s">
        <v>4112</v>
      </c>
      <c r="D360" s="71">
        <v>600</v>
      </c>
    </row>
    <row r="361" spans="1:4" ht="15.75" x14ac:dyDescent="0.2">
      <c r="A361" s="62">
        <v>1173</v>
      </c>
      <c r="B361" s="43" t="s">
        <v>4585</v>
      </c>
      <c r="C361" s="44" t="s">
        <v>4112</v>
      </c>
      <c r="D361" s="71">
        <v>450</v>
      </c>
    </row>
    <row r="362" spans="1:4" ht="15.75" x14ac:dyDescent="0.2">
      <c r="A362" s="62">
        <v>1174</v>
      </c>
      <c r="B362" s="43" t="s">
        <v>3949</v>
      </c>
      <c r="C362" s="44" t="s">
        <v>4112</v>
      </c>
      <c r="D362" s="71">
        <v>800</v>
      </c>
    </row>
    <row r="363" spans="1:4" ht="15.75" x14ac:dyDescent="0.2">
      <c r="A363" s="62">
        <v>1175</v>
      </c>
      <c r="B363" s="43" t="s">
        <v>3950</v>
      </c>
      <c r="C363" s="44" t="s">
        <v>4112</v>
      </c>
      <c r="D363" s="71">
        <v>800</v>
      </c>
    </row>
    <row r="364" spans="1:4" ht="15.75" x14ac:dyDescent="0.2">
      <c r="A364" s="62">
        <v>1177</v>
      </c>
      <c r="B364" s="43" t="s">
        <v>3951</v>
      </c>
      <c r="C364" s="44" t="s">
        <v>3751</v>
      </c>
      <c r="D364" s="71">
        <v>900</v>
      </c>
    </row>
    <row r="365" spans="1:4" ht="15.75" x14ac:dyDescent="0.2">
      <c r="A365" s="62">
        <v>1179</v>
      </c>
      <c r="B365" s="43" t="s">
        <v>3952</v>
      </c>
      <c r="C365" s="44" t="s">
        <v>3751</v>
      </c>
      <c r="D365" s="71">
        <v>900</v>
      </c>
    </row>
    <row r="366" spans="1:4" ht="15.75" x14ac:dyDescent="0.2">
      <c r="A366" s="62">
        <v>1182</v>
      </c>
      <c r="B366" s="43" t="s">
        <v>2883</v>
      </c>
      <c r="C366" s="44" t="s">
        <v>3751</v>
      </c>
      <c r="D366" s="71">
        <v>500</v>
      </c>
    </row>
    <row r="367" spans="1:4" ht="15.75" x14ac:dyDescent="0.2">
      <c r="A367" s="62">
        <v>1183</v>
      </c>
      <c r="B367" s="43" t="s">
        <v>1371</v>
      </c>
      <c r="C367" s="44" t="s">
        <v>3945</v>
      </c>
      <c r="D367" s="71">
        <v>1100</v>
      </c>
    </row>
    <row r="368" spans="1:4" ht="15.75" x14ac:dyDescent="0.2">
      <c r="A368" s="62">
        <v>1184</v>
      </c>
      <c r="B368" s="43" t="s">
        <v>1372</v>
      </c>
      <c r="C368" s="44" t="s">
        <v>3945</v>
      </c>
      <c r="D368" s="71">
        <v>1350</v>
      </c>
    </row>
    <row r="369" spans="1:4" ht="15.75" x14ac:dyDescent="0.2">
      <c r="A369" s="62">
        <v>1185</v>
      </c>
      <c r="B369" s="43" t="s">
        <v>1373</v>
      </c>
      <c r="C369" s="44" t="s">
        <v>3945</v>
      </c>
      <c r="D369" s="71">
        <v>1450</v>
      </c>
    </row>
    <row r="370" spans="1:4" ht="15.75" x14ac:dyDescent="0.2">
      <c r="A370" s="62">
        <v>1186</v>
      </c>
      <c r="B370" s="43" t="s">
        <v>3953</v>
      </c>
      <c r="C370" s="44" t="s">
        <v>3945</v>
      </c>
      <c r="D370" s="71">
        <v>1400</v>
      </c>
    </row>
    <row r="371" spans="1:4" ht="15.75" x14ac:dyDescent="0.2">
      <c r="A371" s="62">
        <v>1187</v>
      </c>
      <c r="B371" s="43" t="s">
        <v>3954</v>
      </c>
      <c r="C371" s="44" t="s">
        <v>3945</v>
      </c>
      <c r="D371" s="71">
        <v>1100</v>
      </c>
    </row>
    <row r="372" spans="1:4" ht="15.75" x14ac:dyDescent="0.2">
      <c r="A372" s="62">
        <v>1188</v>
      </c>
      <c r="B372" s="43" t="s">
        <v>3955</v>
      </c>
      <c r="C372" s="44" t="s">
        <v>3945</v>
      </c>
      <c r="D372" s="71">
        <v>1155</v>
      </c>
    </row>
    <row r="373" spans="1:4" ht="15.75" x14ac:dyDescent="0.2">
      <c r="A373" s="62">
        <v>1189</v>
      </c>
      <c r="B373" s="43" t="s">
        <v>3956</v>
      </c>
      <c r="C373" s="44" t="s">
        <v>3945</v>
      </c>
      <c r="D373" s="71">
        <v>700</v>
      </c>
    </row>
    <row r="374" spans="1:4" ht="15.75" x14ac:dyDescent="0.2">
      <c r="A374" s="62">
        <v>1190</v>
      </c>
      <c r="B374" s="43" t="s">
        <v>4226</v>
      </c>
      <c r="C374" s="44" t="s">
        <v>3945</v>
      </c>
      <c r="D374" s="71">
        <v>750</v>
      </c>
    </row>
    <row r="375" spans="1:4" ht="15.75" x14ac:dyDescent="0.2">
      <c r="A375" s="62">
        <v>1191</v>
      </c>
      <c r="B375" s="43" t="s">
        <v>1374</v>
      </c>
      <c r="C375" s="44" t="s">
        <v>3945</v>
      </c>
      <c r="D375" s="71">
        <v>1100</v>
      </c>
    </row>
    <row r="376" spans="1:4" ht="15.75" x14ac:dyDescent="0.2">
      <c r="A376" s="62">
        <v>1192</v>
      </c>
      <c r="B376" s="43" t="s">
        <v>1370</v>
      </c>
      <c r="C376" s="44" t="s">
        <v>3945</v>
      </c>
      <c r="D376" s="71">
        <v>375</v>
      </c>
    </row>
    <row r="377" spans="1:4" ht="15.75" x14ac:dyDescent="0.2">
      <c r="A377" s="62">
        <v>1194</v>
      </c>
      <c r="B377" s="43" t="s">
        <v>3957</v>
      </c>
      <c r="C377" s="44" t="s">
        <v>3945</v>
      </c>
      <c r="D377" s="71">
        <v>750</v>
      </c>
    </row>
    <row r="378" spans="1:4" ht="15.75" x14ac:dyDescent="0.2">
      <c r="A378" s="62">
        <v>1196</v>
      </c>
      <c r="B378" s="43" t="s">
        <v>3958</v>
      </c>
      <c r="C378" s="44" t="s">
        <v>3945</v>
      </c>
      <c r="D378" s="71">
        <v>400</v>
      </c>
    </row>
    <row r="379" spans="1:4" ht="15.75" x14ac:dyDescent="0.2">
      <c r="A379" s="62">
        <v>1197</v>
      </c>
      <c r="B379" s="43" t="s">
        <v>3959</v>
      </c>
      <c r="C379" s="44" t="s">
        <v>3945</v>
      </c>
      <c r="D379" s="71">
        <v>290</v>
      </c>
    </row>
    <row r="380" spans="1:4" ht="15.75" x14ac:dyDescent="0.2">
      <c r="A380" s="62">
        <v>1198</v>
      </c>
      <c r="B380" s="43" t="s">
        <v>3960</v>
      </c>
      <c r="C380" s="44" t="s">
        <v>3945</v>
      </c>
      <c r="D380" s="71">
        <v>310</v>
      </c>
    </row>
    <row r="381" spans="1:4" ht="15.75" x14ac:dyDescent="0.2">
      <c r="A381" s="62">
        <v>1199</v>
      </c>
      <c r="B381" s="43" t="s">
        <v>4179</v>
      </c>
      <c r="C381" s="44" t="s">
        <v>3945</v>
      </c>
      <c r="D381" s="71">
        <v>500</v>
      </c>
    </row>
    <row r="382" spans="1:4" ht="15.75" x14ac:dyDescent="0.2">
      <c r="A382" s="62">
        <v>1201</v>
      </c>
      <c r="B382" s="43" t="s">
        <v>3961</v>
      </c>
      <c r="C382" s="44" t="s">
        <v>4112</v>
      </c>
      <c r="D382" s="71">
        <v>225</v>
      </c>
    </row>
    <row r="383" spans="1:4" ht="15.75" x14ac:dyDescent="0.2">
      <c r="A383" s="62">
        <v>1202</v>
      </c>
      <c r="B383" s="43" t="s">
        <v>3962</v>
      </c>
      <c r="C383" s="44" t="s">
        <v>4112</v>
      </c>
      <c r="D383" s="71">
        <v>200</v>
      </c>
    </row>
    <row r="384" spans="1:4" ht="15.75" x14ac:dyDescent="0.2">
      <c r="A384" s="62">
        <v>1203</v>
      </c>
      <c r="B384" s="43" t="s">
        <v>3963</v>
      </c>
      <c r="C384" s="44" t="s">
        <v>4112</v>
      </c>
      <c r="D384" s="71">
        <v>190</v>
      </c>
    </row>
    <row r="385" spans="1:4" ht="15.75" x14ac:dyDescent="0.2">
      <c r="A385" s="62">
        <v>1204</v>
      </c>
      <c r="B385" s="43" t="s">
        <v>1306</v>
      </c>
      <c r="C385" s="44" t="s">
        <v>4112</v>
      </c>
      <c r="D385" s="71">
        <v>175</v>
      </c>
    </row>
    <row r="386" spans="1:4" ht="15.75" x14ac:dyDescent="0.2">
      <c r="A386" s="62">
        <v>1207</v>
      </c>
      <c r="B386" s="43" t="s">
        <v>3964</v>
      </c>
      <c r="C386" s="44" t="s">
        <v>3783</v>
      </c>
      <c r="D386" s="71">
        <v>30</v>
      </c>
    </row>
    <row r="387" spans="1:4" ht="15.75" x14ac:dyDescent="0.2">
      <c r="A387" s="62">
        <v>1208</v>
      </c>
      <c r="B387" s="43" t="s">
        <v>3965</v>
      </c>
      <c r="C387" s="44" t="s">
        <v>3783</v>
      </c>
      <c r="D387" s="71">
        <v>25</v>
      </c>
    </row>
    <row r="388" spans="1:4" ht="15.75" x14ac:dyDescent="0.2">
      <c r="A388" s="62">
        <v>1209</v>
      </c>
      <c r="B388" s="43" t="s">
        <v>3966</v>
      </c>
      <c r="C388" s="44" t="s">
        <v>3783</v>
      </c>
      <c r="D388" s="71">
        <v>40</v>
      </c>
    </row>
    <row r="389" spans="1:4" ht="15.75" x14ac:dyDescent="0.2">
      <c r="A389" s="62">
        <v>1210</v>
      </c>
      <c r="B389" s="43" t="s">
        <v>3967</v>
      </c>
      <c r="C389" s="44" t="s">
        <v>3783</v>
      </c>
      <c r="D389" s="71">
        <v>30</v>
      </c>
    </row>
    <row r="390" spans="1:4" ht="15.75" x14ac:dyDescent="0.2">
      <c r="A390" s="62">
        <v>1211</v>
      </c>
      <c r="B390" s="43" t="s">
        <v>3968</v>
      </c>
      <c r="C390" s="44" t="s">
        <v>3783</v>
      </c>
      <c r="D390" s="71">
        <v>30</v>
      </c>
    </row>
    <row r="391" spans="1:4" ht="15.75" x14ac:dyDescent="0.2">
      <c r="A391" s="62">
        <v>1213</v>
      </c>
      <c r="B391" s="43" t="s">
        <v>3969</v>
      </c>
      <c r="C391" s="44" t="s">
        <v>3747</v>
      </c>
      <c r="D391" s="71">
        <v>40</v>
      </c>
    </row>
    <row r="392" spans="1:4" ht="15.75" x14ac:dyDescent="0.2">
      <c r="A392" s="62">
        <v>1214</v>
      </c>
      <c r="B392" s="43" t="s">
        <v>3970</v>
      </c>
      <c r="C392" s="44" t="s">
        <v>4172</v>
      </c>
      <c r="D392" s="71">
        <v>5</v>
      </c>
    </row>
    <row r="393" spans="1:4" ht="15.75" x14ac:dyDescent="0.2">
      <c r="A393" s="62">
        <v>1215</v>
      </c>
      <c r="B393" s="43" t="s">
        <v>4171</v>
      </c>
      <c r="C393" s="44" t="s">
        <v>4172</v>
      </c>
      <c r="D393" s="71">
        <v>5</v>
      </c>
    </row>
    <row r="394" spans="1:4" ht="15.75" x14ac:dyDescent="0.2">
      <c r="A394" s="62">
        <v>1216</v>
      </c>
      <c r="B394" s="43" t="s">
        <v>3971</v>
      </c>
      <c r="C394" s="44" t="s">
        <v>3741</v>
      </c>
      <c r="D394" s="71">
        <v>735</v>
      </c>
    </row>
    <row r="395" spans="1:4" ht="15.75" x14ac:dyDescent="0.2">
      <c r="A395" s="62">
        <v>1218</v>
      </c>
      <c r="B395" s="43" t="s">
        <v>3972</v>
      </c>
      <c r="C395" s="44" t="s">
        <v>3747</v>
      </c>
      <c r="D395" s="71">
        <v>60</v>
      </c>
    </row>
    <row r="396" spans="1:4" ht="15.75" x14ac:dyDescent="0.2">
      <c r="A396" s="62">
        <v>1219</v>
      </c>
      <c r="B396" s="43" t="s">
        <v>3973</v>
      </c>
      <c r="C396" s="44" t="s">
        <v>3747</v>
      </c>
      <c r="D396" s="71">
        <v>60</v>
      </c>
    </row>
    <row r="397" spans="1:4" ht="15.75" x14ac:dyDescent="0.2">
      <c r="A397" s="62">
        <v>1220</v>
      </c>
      <c r="B397" s="43" t="s">
        <v>3974</v>
      </c>
      <c r="C397" s="44" t="s">
        <v>4112</v>
      </c>
      <c r="D397" s="71">
        <v>225</v>
      </c>
    </row>
    <row r="398" spans="1:4" ht="15.75" x14ac:dyDescent="0.2">
      <c r="A398" s="62">
        <v>1221</v>
      </c>
      <c r="B398" s="43" t="s">
        <v>3975</v>
      </c>
      <c r="C398" s="44" t="s">
        <v>3741</v>
      </c>
      <c r="D398" s="71">
        <v>5500</v>
      </c>
    </row>
    <row r="399" spans="1:4" ht="15.75" x14ac:dyDescent="0.2">
      <c r="A399" s="62">
        <v>1222</v>
      </c>
      <c r="B399" s="43" t="s">
        <v>3976</v>
      </c>
      <c r="C399" s="44" t="s">
        <v>3748</v>
      </c>
      <c r="D399" s="71">
        <v>125</v>
      </c>
    </row>
    <row r="400" spans="1:4" ht="15.75" x14ac:dyDescent="0.2">
      <c r="A400" s="62">
        <v>1224</v>
      </c>
      <c r="B400" s="43" t="s">
        <v>3977</v>
      </c>
      <c r="C400" s="44" t="s">
        <v>3741</v>
      </c>
      <c r="D400" s="71">
        <v>5500</v>
      </c>
    </row>
    <row r="401" spans="1:4" ht="15.75" x14ac:dyDescent="0.2">
      <c r="A401" s="62">
        <v>1225</v>
      </c>
      <c r="B401" s="43" t="s">
        <v>3978</v>
      </c>
      <c r="C401" s="44" t="s">
        <v>3741</v>
      </c>
      <c r="D401" s="71">
        <v>5200</v>
      </c>
    </row>
    <row r="402" spans="1:4" ht="15.75" x14ac:dyDescent="0.2">
      <c r="A402" s="62">
        <v>1227</v>
      </c>
      <c r="B402" s="43" t="s">
        <v>3979</v>
      </c>
      <c r="C402" s="44" t="s">
        <v>4112</v>
      </c>
      <c r="D402" s="71">
        <v>200</v>
      </c>
    </row>
    <row r="403" spans="1:4" ht="15.75" x14ac:dyDescent="0.2">
      <c r="A403" s="62">
        <v>1228</v>
      </c>
      <c r="B403" s="43" t="s">
        <v>3980</v>
      </c>
      <c r="C403" s="44" t="s">
        <v>4112</v>
      </c>
      <c r="D403" s="71">
        <v>190</v>
      </c>
    </row>
    <row r="404" spans="1:4" ht="15.75" x14ac:dyDescent="0.2">
      <c r="A404" s="62">
        <v>1229</v>
      </c>
      <c r="B404" s="43" t="s">
        <v>3981</v>
      </c>
      <c r="C404" s="44" t="s">
        <v>4112</v>
      </c>
      <c r="D404" s="71">
        <v>180</v>
      </c>
    </row>
    <row r="405" spans="1:4" ht="15.75" x14ac:dyDescent="0.2">
      <c r="A405" s="62">
        <v>1231</v>
      </c>
      <c r="B405" s="43" t="s">
        <v>3982</v>
      </c>
      <c r="C405" s="44" t="s">
        <v>3945</v>
      </c>
      <c r="D405" s="71">
        <v>125</v>
      </c>
    </row>
    <row r="406" spans="1:4" ht="15.75" x14ac:dyDescent="0.2">
      <c r="A406" s="62">
        <v>1234</v>
      </c>
      <c r="B406" s="43" t="s">
        <v>3983</v>
      </c>
      <c r="C406" s="44" t="s">
        <v>3753</v>
      </c>
      <c r="D406" s="71">
        <v>175</v>
      </c>
    </row>
    <row r="407" spans="1:4" ht="15.75" x14ac:dyDescent="0.2">
      <c r="A407" s="62">
        <v>1235</v>
      </c>
      <c r="B407" s="43" t="s">
        <v>4128</v>
      </c>
      <c r="C407" s="44" t="s">
        <v>3740</v>
      </c>
      <c r="D407" s="71">
        <v>100</v>
      </c>
    </row>
    <row r="408" spans="1:4" ht="15.75" x14ac:dyDescent="0.2">
      <c r="A408" s="62">
        <v>1237</v>
      </c>
      <c r="B408" s="43" t="s">
        <v>4168</v>
      </c>
      <c r="C408" s="44" t="s">
        <v>3753</v>
      </c>
      <c r="D408" s="71">
        <v>20</v>
      </c>
    </row>
    <row r="409" spans="1:4" ht="15.75" x14ac:dyDescent="0.2">
      <c r="A409" s="62">
        <v>1238</v>
      </c>
      <c r="B409" s="43" t="s">
        <v>3984</v>
      </c>
      <c r="C409" s="44" t="s">
        <v>3945</v>
      </c>
      <c r="D409" s="71">
        <v>175</v>
      </c>
    </row>
    <row r="410" spans="1:4" ht="15.75" x14ac:dyDescent="0.2">
      <c r="A410" s="62">
        <v>1241</v>
      </c>
      <c r="B410" s="43" t="s">
        <v>3985</v>
      </c>
      <c r="C410" s="44" t="s">
        <v>4111</v>
      </c>
      <c r="D410" s="71">
        <v>130</v>
      </c>
    </row>
    <row r="411" spans="1:4" ht="15.75" x14ac:dyDescent="0.2">
      <c r="A411" s="62">
        <v>1301</v>
      </c>
      <c r="B411" s="43" t="s">
        <v>3986</v>
      </c>
      <c r="C411" s="44" t="s">
        <v>3741</v>
      </c>
      <c r="D411" s="71">
        <v>1900</v>
      </c>
    </row>
    <row r="412" spans="1:4" ht="15.75" x14ac:dyDescent="0.2">
      <c r="A412" s="62">
        <v>1304</v>
      </c>
      <c r="B412" s="43" t="s">
        <v>3987</v>
      </c>
      <c r="C412" s="44" t="s">
        <v>3748</v>
      </c>
      <c r="D412" s="71">
        <v>100</v>
      </c>
    </row>
    <row r="413" spans="1:4" ht="15.75" x14ac:dyDescent="0.2">
      <c r="A413" s="62">
        <v>1305</v>
      </c>
      <c r="B413" s="43" t="s">
        <v>3988</v>
      </c>
      <c r="C413" s="44" t="s">
        <v>3748</v>
      </c>
      <c r="D413" s="71">
        <v>200</v>
      </c>
    </row>
    <row r="414" spans="1:4" ht="15.75" x14ac:dyDescent="0.2">
      <c r="A414" s="62">
        <v>1307</v>
      </c>
      <c r="B414" s="43" t="s">
        <v>3989</v>
      </c>
      <c r="C414" s="44" t="s">
        <v>3748</v>
      </c>
      <c r="D414" s="71">
        <v>325</v>
      </c>
    </row>
    <row r="415" spans="1:4" ht="15.75" x14ac:dyDescent="0.2">
      <c r="A415" s="62">
        <v>1309</v>
      </c>
      <c r="B415" s="43" t="s">
        <v>3990</v>
      </c>
      <c r="C415" s="44" t="s">
        <v>3069</v>
      </c>
      <c r="D415" s="71">
        <v>105</v>
      </c>
    </row>
    <row r="416" spans="1:4" ht="15.75" x14ac:dyDescent="0.2">
      <c r="A416" s="62">
        <v>1314</v>
      </c>
      <c r="B416" s="43" t="s">
        <v>3991</v>
      </c>
      <c r="C416" s="44" t="s">
        <v>3748</v>
      </c>
      <c r="D416" s="71">
        <v>75</v>
      </c>
    </row>
    <row r="417" spans="1:4" ht="15.75" x14ac:dyDescent="0.2">
      <c r="A417" s="62">
        <v>1315</v>
      </c>
      <c r="B417" s="43" t="s">
        <v>3992</v>
      </c>
      <c r="C417" s="44" t="s">
        <v>3748</v>
      </c>
      <c r="D417" s="71">
        <v>130</v>
      </c>
    </row>
    <row r="418" spans="1:4" ht="15.75" x14ac:dyDescent="0.2">
      <c r="A418" s="62">
        <v>1330</v>
      </c>
      <c r="B418" s="43" t="s">
        <v>3993</v>
      </c>
      <c r="C418" s="44" t="s">
        <v>3748</v>
      </c>
      <c r="D418" s="71">
        <v>100</v>
      </c>
    </row>
    <row r="419" spans="1:4" ht="15.75" x14ac:dyDescent="0.2">
      <c r="A419" s="62">
        <v>1331</v>
      </c>
      <c r="B419" s="43" t="s">
        <v>3994</v>
      </c>
      <c r="C419" s="44" t="s">
        <v>3748</v>
      </c>
      <c r="D419" s="71">
        <v>50</v>
      </c>
    </row>
    <row r="420" spans="1:4" ht="15.75" x14ac:dyDescent="0.2">
      <c r="A420" s="62">
        <v>1332</v>
      </c>
      <c r="B420" s="43" t="s">
        <v>3995</v>
      </c>
      <c r="C420" s="44" t="s">
        <v>3748</v>
      </c>
      <c r="D420" s="71">
        <v>41</v>
      </c>
    </row>
    <row r="421" spans="1:4" ht="15.75" x14ac:dyDescent="0.2">
      <c r="A421" s="62">
        <v>1334</v>
      </c>
      <c r="B421" s="43" t="s">
        <v>3996</v>
      </c>
      <c r="C421" s="44" t="s">
        <v>3748</v>
      </c>
      <c r="D421" s="71">
        <v>35</v>
      </c>
    </row>
    <row r="422" spans="1:4" ht="15.75" x14ac:dyDescent="0.2">
      <c r="A422" s="62">
        <v>1335</v>
      </c>
      <c r="B422" s="43" t="s">
        <v>3997</v>
      </c>
      <c r="C422" s="44" t="s">
        <v>3748</v>
      </c>
      <c r="D422" s="71">
        <v>41</v>
      </c>
    </row>
    <row r="423" spans="1:4" ht="15.75" x14ac:dyDescent="0.2">
      <c r="A423" s="62">
        <v>1336</v>
      </c>
      <c r="B423" s="43" t="s">
        <v>3998</v>
      </c>
      <c r="C423" s="44" t="s">
        <v>3748</v>
      </c>
      <c r="D423" s="71">
        <v>52</v>
      </c>
    </row>
    <row r="424" spans="1:4" ht="15.75" x14ac:dyDescent="0.2">
      <c r="A424" s="62">
        <v>1337</v>
      </c>
      <c r="B424" s="43" t="s">
        <v>3999</v>
      </c>
      <c r="C424" s="44" t="s">
        <v>3748</v>
      </c>
      <c r="D424" s="71">
        <v>58</v>
      </c>
    </row>
    <row r="425" spans="1:4" ht="15.75" x14ac:dyDescent="0.2">
      <c r="A425" s="62">
        <v>1339</v>
      </c>
      <c r="B425" s="43" t="s">
        <v>4000</v>
      </c>
      <c r="C425" s="44" t="s">
        <v>3748</v>
      </c>
      <c r="D425" s="71">
        <v>400</v>
      </c>
    </row>
    <row r="426" spans="1:4" ht="15.75" x14ac:dyDescent="0.2">
      <c r="A426" s="62">
        <v>1340</v>
      </c>
      <c r="B426" s="43" t="s">
        <v>4001</v>
      </c>
      <c r="C426" s="44" t="s">
        <v>3748</v>
      </c>
      <c r="D426" s="71">
        <v>450</v>
      </c>
    </row>
    <row r="427" spans="1:4" ht="15.75" x14ac:dyDescent="0.2">
      <c r="A427" s="62">
        <v>1342</v>
      </c>
      <c r="B427" s="43" t="s">
        <v>4002</v>
      </c>
      <c r="C427" s="44" t="s">
        <v>3748</v>
      </c>
      <c r="D427" s="71">
        <v>410</v>
      </c>
    </row>
    <row r="428" spans="1:4" ht="15.75" x14ac:dyDescent="0.2">
      <c r="A428" s="62">
        <v>1343</v>
      </c>
      <c r="B428" s="43" t="s">
        <v>4003</v>
      </c>
      <c r="C428" s="44" t="s">
        <v>3748</v>
      </c>
      <c r="D428" s="71">
        <v>525</v>
      </c>
    </row>
    <row r="429" spans="1:4" ht="15.75" x14ac:dyDescent="0.2">
      <c r="A429" s="62">
        <v>1350</v>
      </c>
      <c r="B429" s="43" t="s">
        <v>4004</v>
      </c>
      <c r="C429" s="44" t="s">
        <v>3748</v>
      </c>
      <c r="D429" s="71">
        <v>35</v>
      </c>
    </row>
    <row r="430" spans="1:4" ht="15.75" x14ac:dyDescent="0.2">
      <c r="A430" s="62">
        <v>1352</v>
      </c>
      <c r="B430" s="43" t="s">
        <v>4005</v>
      </c>
      <c r="C430" s="44" t="s">
        <v>3748</v>
      </c>
      <c r="D430" s="71">
        <v>500</v>
      </c>
    </row>
    <row r="431" spans="1:4" ht="15.75" x14ac:dyDescent="0.2">
      <c r="A431" s="62">
        <v>1353</v>
      </c>
      <c r="B431" s="43" t="s">
        <v>4006</v>
      </c>
      <c r="C431" s="44" t="s">
        <v>3748</v>
      </c>
      <c r="D431" s="71">
        <v>400</v>
      </c>
    </row>
    <row r="432" spans="1:4" ht="15.75" x14ac:dyDescent="0.2">
      <c r="A432" s="62">
        <v>1354</v>
      </c>
      <c r="B432" s="43" t="s">
        <v>4007</v>
      </c>
      <c r="C432" s="44" t="s">
        <v>3748</v>
      </c>
      <c r="D432" s="71">
        <v>2200</v>
      </c>
    </row>
    <row r="433" spans="1:4" ht="15.75" x14ac:dyDescent="0.2">
      <c r="A433" s="62">
        <v>1355</v>
      </c>
      <c r="B433" s="43" t="s">
        <v>4008</v>
      </c>
      <c r="C433" s="44" t="s">
        <v>3748</v>
      </c>
      <c r="D433" s="71">
        <v>1300</v>
      </c>
    </row>
    <row r="434" spans="1:4" ht="15.75" x14ac:dyDescent="0.2">
      <c r="A434" s="62">
        <v>1356</v>
      </c>
      <c r="B434" s="43" t="s">
        <v>4009</v>
      </c>
      <c r="C434" s="44" t="s">
        <v>3748</v>
      </c>
      <c r="D434" s="71">
        <v>6500</v>
      </c>
    </row>
    <row r="435" spans="1:4" ht="15.75" x14ac:dyDescent="0.2">
      <c r="A435" s="62">
        <v>1357</v>
      </c>
      <c r="B435" s="43" t="s">
        <v>4010</v>
      </c>
      <c r="C435" s="44" t="s">
        <v>3748</v>
      </c>
      <c r="D435" s="71">
        <v>3200</v>
      </c>
    </row>
    <row r="436" spans="1:4" s="40" customFormat="1" ht="15.75" x14ac:dyDescent="0.2">
      <c r="A436" s="62">
        <v>1358</v>
      </c>
      <c r="B436" s="43" t="s">
        <v>4975</v>
      </c>
      <c r="C436" s="44" t="s">
        <v>3748</v>
      </c>
      <c r="D436" s="71">
        <v>250</v>
      </c>
    </row>
    <row r="437" spans="1:4" ht="15.75" x14ac:dyDescent="0.2">
      <c r="A437" s="62">
        <v>1360</v>
      </c>
      <c r="B437" s="43" t="s">
        <v>4011</v>
      </c>
      <c r="C437" s="44" t="s">
        <v>3748</v>
      </c>
      <c r="D437" s="71">
        <v>140</v>
      </c>
    </row>
    <row r="438" spans="1:4" ht="15.75" x14ac:dyDescent="0.2">
      <c r="A438" s="62">
        <v>1361</v>
      </c>
      <c r="B438" s="43" t="s">
        <v>4012</v>
      </c>
      <c r="C438" s="44" t="s">
        <v>3748</v>
      </c>
      <c r="D438" s="71">
        <v>185</v>
      </c>
    </row>
    <row r="439" spans="1:4" ht="15.75" x14ac:dyDescent="0.2">
      <c r="A439" s="62">
        <v>1362</v>
      </c>
      <c r="B439" s="43" t="s">
        <v>4013</v>
      </c>
      <c r="C439" s="44" t="s">
        <v>3748</v>
      </c>
      <c r="D439" s="71">
        <v>230</v>
      </c>
    </row>
    <row r="440" spans="1:4" ht="15.75" x14ac:dyDescent="0.2">
      <c r="A440" s="62">
        <v>1363</v>
      </c>
      <c r="B440" s="43" t="s">
        <v>4014</v>
      </c>
      <c r="C440" s="44" t="s">
        <v>3069</v>
      </c>
      <c r="D440" s="71">
        <v>175</v>
      </c>
    </row>
    <row r="441" spans="1:4" ht="15.75" x14ac:dyDescent="0.2">
      <c r="A441" s="62">
        <v>1364</v>
      </c>
      <c r="B441" s="43" t="s">
        <v>4015</v>
      </c>
      <c r="C441" s="44" t="s">
        <v>3748</v>
      </c>
      <c r="D441" s="71">
        <v>70</v>
      </c>
    </row>
    <row r="442" spans="1:4" ht="15.75" x14ac:dyDescent="0.2">
      <c r="A442" s="62">
        <v>1366</v>
      </c>
      <c r="B442" s="43" t="s">
        <v>4016</v>
      </c>
      <c r="C442" s="44" t="s">
        <v>3748</v>
      </c>
      <c r="D442" s="71">
        <v>100</v>
      </c>
    </row>
    <row r="443" spans="1:4" ht="15.75" x14ac:dyDescent="0.2">
      <c r="A443" s="62">
        <v>1367</v>
      </c>
      <c r="B443" s="43" t="s">
        <v>4017</v>
      </c>
      <c r="C443" s="44" t="s">
        <v>3748</v>
      </c>
      <c r="D443" s="71">
        <v>120</v>
      </c>
    </row>
    <row r="444" spans="1:4" s="40" customFormat="1" ht="15.75" x14ac:dyDescent="0.2">
      <c r="A444" s="62">
        <v>1368</v>
      </c>
      <c r="B444" s="43" t="s">
        <v>4960</v>
      </c>
      <c r="C444" s="44" t="s">
        <v>3748</v>
      </c>
      <c r="D444" s="71">
        <v>300</v>
      </c>
    </row>
    <row r="445" spans="1:4" ht="15.75" x14ac:dyDescent="0.2">
      <c r="A445" s="62">
        <v>1369</v>
      </c>
      <c r="B445" s="43" t="s">
        <v>4018</v>
      </c>
      <c r="C445" s="44" t="s">
        <v>3748</v>
      </c>
      <c r="D445" s="71">
        <v>70</v>
      </c>
    </row>
    <row r="446" spans="1:4" ht="15.75" x14ac:dyDescent="0.2">
      <c r="A446" s="62">
        <v>1373</v>
      </c>
      <c r="B446" s="43" t="s">
        <v>4019</v>
      </c>
      <c r="C446" s="44" t="s">
        <v>3748</v>
      </c>
      <c r="D446" s="71">
        <v>13</v>
      </c>
    </row>
    <row r="447" spans="1:4" ht="15.75" x14ac:dyDescent="0.2">
      <c r="A447" s="62">
        <v>1374</v>
      </c>
      <c r="B447" s="43" t="s">
        <v>4020</v>
      </c>
      <c r="C447" s="44" t="s">
        <v>3748</v>
      </c>
      <c r="D447" s="71">
        <v>17</v>
      </c>
    </row>
    <row r="448" spans="1:4" ht="15.75" x14ac:dyDescent="0.2">
      <c r="A448" s="62">
        <v>1375</v>
      </c>
      <c r="B448" s="43" t="s">
        <v>4021</v>
      </c>
      <c r="C448" s="44" t="s">
        <v>3748</v>
      </c>
      <c r="D448" s="71">
        <v>18</v>
      </c>
    </row>
    <row r="449" spans="1:4" ht="15.75" x14ac:dyDescent="0.2">
      <c r="A449" s="62">
        <v>1376</v>
      </c>
      <c r="B449" s="43" t="s">
        <v>4022</v>
      </c>
      <c r="C449" s="44" t="s">
        <v>3748</v>
      </c>
      <c r="D449" s="71">
        <v>21</v>
      </c>
    </row>
    <row r="450" spans="1:4" ht="15.75" x14ac:dyDescent="0.2">
      <c r="A450" s="62">
        <v>1377</v>
      </c>
      <c r="B450" s="43" t="s">
        <v>4023</v>
      </c>
      <c r="C450" s="44" t="s">
        <v>3748</v>
      </c>
      <c r="D450" s="71">
        <v>28</v>
      </c>
    </row>
    <row r="451" spans="1:4" ht="15.75" x14ac:dyDescent="0.2">
      <c r="A451" s="62">
        <v>1378</v>
      </c>
      <c r="B451" s="43" t="s">
        <v>4024</v>
      </c>
      <c r="C451" s="44" t="s">
        <v>3748</v>
      </c>
      <c r="D451" s="71">
        <v>42</v>
      </c>
    </row>
    <row r="452" spans="1:4" ht="15.75" x14ac:dyDescent="0.2">
      <c r="A452" s="62">
        <v>1379</v>
      </c>
      <c r="B452" s="43" t="s">
        <v>4025</v>
      </c>
      <c r="C452" s="44" t="s">
        <v>3748</v>
      </c>
      <c r="D452" s="71">
        <v>53</v>
      </c>
    </row>
    <row r="453" spans="1:4" ht="15.75" x14ac:dyDescent="0.2">
      <c r="A453" s="62">
        <v>1380</v>
      </c>
      <c r="B453" s="43" t="s">
        <v>4026</v>
      </c>
      <c r="C453" s="44" t="s">
        <v>3748</v>
      </c>
      <c r="D453" s="71">
        <v>63</v>
      </c>
    </row>
    <row r="454" spans="1:4" ht="15.75" x14ac:dyDescent="0.2">
      <c r="A454" s="62">
        <v>1381</v>
      </c>
      <c r="B454" s="43" t="s">
        <v>4027</v>
      </c>
      <c r="C454" s="44" t="s">
        <v>3748</v>
      </c>
      <c r="D454" s="71">
        <v>92</v>
      </c>
    </row>
    <row r="455" spans="1:4" ht="15.75" x14ac:dyDescent="0.2">
      <c r="A455" s="62">
        <v>1382</v>
      </c>
      <c r="B455" s="43" t="s">
        <v>4028</v>
      </c>
      <c r="C455" s="44" t="s">
        <v>3748</v>
      </c>
      <c r="D455" s="71">
        <v>116</v>
      </c>
    </row>
    <row r="456" spans="1:4" ht="15.75" x14ac:dyDescent="0.2">
      <c r="A456" s="62">
        <v>1383</v>
      </c>
      <c r="B456" s="43" t="s">
        <v>4029</v>
      </c>
      <c r="C456" s="44" t="s">
        <v>3748</v>
      </c>
      <c r="D456" s="71">
        <v>150</v>
      </c>
    </row>
    <row r="457" spans="1:4" ht="15.75" x14ac:dyDescent="0.2">
      <c r="A457" s="62">
        <v>1384</v>
      </c>
      <c r="B457" s="43" t="s">
        <v>4030</v>
      </c>
      <c r="C457" s="44" t="s">
        <v>3748</v>
      </c>
      <c r="D457" s="71">
        <v>165</v>
      </c>
    </row>
    <row r="458" spans="1:4" ht="15.75" x14ac:dyDescent="0.2">
      <c r="A458" s="62">
        <v>1391</v>
      </c>
      <c r="B458" s="43" t="s">
        <v>4563</v>
      </c>
      <c r="C458" s="44" t="s">
        <v>3748</v>
      </c>
      <c r="D458" s="71">
        <v>450</v>
      </c>
    </row>
    <row r="459" spans="1:4" ht="15.75" x14ac:dyDescent="0.2">
      <c r="A459" s="62">
        <v>1392</v>
      </c>
      <c r="B459" s="43" t="s">
        <v>4031</v>
      </c>
      <c r="C459" s="44" t="s">
        <v>4217</v>
      </c>
      <c r="D459" s="71">
        <v>380</v>
      </c>
    </row>
    <row r="460" spans="1:4" ht="15.75" x14ac:dyDescent="0.2">
      <c r="A460" s="62">
        <v>1393</v>
      </c>
      <c r="B460" s="43" t="s">
        <v>4700</v>
      </c>
      <c r="C460" s="44" t="s">
        <v>2437</v>
      </c>
      <c r="D460" s="71">
        <v>1100</v>
      </c>
    </row>
    <row r="461" spans="1:4" ht="15.75" x14ac:dyDescent="0.2">
      <c r="A461" s="62">
        <v>1396</v>
      </c>
      <c r="B461" s="43" t="s">
        <v>4032</v>
      </c>
      <c r="C461" s="44" t="s">
        <v>3748</v>
      </c>
      <c r="D461" s="71">
        <v>2400</v>
      </c>
    </row>
    <row r="462" spans="1:4" ht="15.75" x14ac:dyDescent="0.2">
      <c r="A462" s="62">
        <v>1397</v>
      </c>
      <c r="B462" s="43" t="s">
        <v>4257</v>
      </c>
      <c r="C462" s="44" t="s">
        <v>3747</v>
      </c>
      <c r="D462" s="71">
        <v>200</v>
      </c>
    </row>
    <row r="463" spans="1:4" ht="31.5" x14ac:dyDescent="0.2">
      <c r="A463" s="62">
        <v>1402</v>
      </c>
      <c r="B463" s="46" t="s">
        <v>4920</v>
      </c>
      <c r="C463" s="44" t="s">
        <v>3748</v>
      </c>
      <c r="D463" s="71">
        <v>500</v>
      </c>
    </row>
    <row r="464" spans="1:4" ht="31.5" x14ac:dyDescent="0.2">
      <c r="A464" s="62">
        <v>1403</v>
      </c>
      <c r="B464" s="46" t="s">
        <v>4951</v>
      </c>
      <c r="C464" s="44" t="s">
        <v>3748</v>
      </c>
      <c r="D464" s="71">
        <v>550</v>
      </c>
    </row>
    <row r="465" spans="1:4" ht="31.5" x14ac:dyDescent="0.2">
      <c r="A465" s="62">
        <v>1404</v>
      </c>
      <c r="B465" s="46" t="s">
        <v>4921</v>
      </c>
      <c r="C465" s="44" t="s">
        <v>3748</v>
      </c>
      <c r="D465" s="71">
        <v>600</v>
      </c>
    </row>
    <row r="466" spans="1:4" ht="15.75" x14ac:dyDescent="0.2">
      <c r="A466" s="62">
        <v>1405</v>
      </c>
      <c r="B466" s="46" t="s">
        <v>4464</v>
      </c>
      <c r="C466" s="44" t="s">
        <v>3748</v>
      </c>
      <c r="D466" s="71">
        <v>400</v>
      </c>
    </row>
    <row r="467" spans="1:4" ht="34.5" customHeight="1" x14ac:dyDescent="0.2">
      <c r="A467" s="62">
        <v>1406</v>
      </c>
      <c r="B467" s="46" t="s">
        <v>4462</v>
      </c>
      <c r="C467" s="44" t="s">
        <v>3748</v>
      </c>
      <c r="D467" s="71">
        <v>1700</v>
      </c>
    </row>
    <row r="468" spans="1:4" ht="34.5" customHeight="1" x14ac:dyDescent="0.2">
      <c r="A468" s="62">
        <v>1407</v>
      </c>
      <c r="B468" s="43" t="s">
        <v>4463</v>
      </c>
      <c r="C468" s="44" t="s">
        <v>3748</v>
      </c>
      <c r="D468" s="71">
        <v>2300</v>
      </c>
    </row>
    <row r="469" spans="1:4" ht="15.75" x14ac:dyDescent="0.2">
      <c r="A469" s="62">
        <v>1408</v>
      </c>
      <c r="B469" s="43" t="s">
        <v>5504</v>
      </c>
      <c r="C469" s="44" t="s">
        <v>3748</v>
      </c>
      <c r="D469" s="71">
        <v>10</v>
      </c>
    </row>
    <row r="470" spans="1:4" ht="16.5" customHeight="1" x14ac:dyDescent="0.2">
      <c r="A470" s="62">
        <v>1409</v>
      </c>
      <c r="B470" s="43" t="s">
        <v>4465</v>
      </c>
      <c r="C470" s="44" t="s">
        <v>3748</v>
      </c>
      <c r="D470" s="71">
        <v>2000</v>
      </c>
    </row>
    <row r="471" spans="1:4" ht="31.5" x14ac:dyDescent="0.2">
      <c r="A471" s="62">
        <v>1410</v>
      </c>
      <c r="B471" s="43" t="s">
        <v>4466</v>
      </c>
      <c r="C471" s="44" t="s">
        <v>3748</v>
      </c>
      <c r="D471" s="71">
        <v>5600</v>
      </c>
    </row>
    <row r="472" spans="1:4" ht="15.75" x14ac:dyDescent="0.2">
      <c r="A472" s="62">
        <v>1411</v>
      </c>
      <c r="B472" s="43" t="s">
        <v>4467</v>
      </c>
      <c r="C472" s="44" t="s">
        <v>3748</v>
      </c>
      <c r="D472" s="71">
        <v>3100</v>
      </c>
    </row>
    <row r="473" spans="1:4" ht="31.5" x14ac:dyDescent="0.2">
      <c r="A473" s="62">
        <v>1412</v>
      </c>
      <c r="B473" s="43" t="s">
        <v>4468</v>
      </c>
      <c r="C473" s="44" t="s">
        <v>3748</v>
      </c>
      <c r="D473" s="71">
        <v>3470</v>
      </c>
    </row>
    <row r="474" spans="1:4" ht="31.5" x14ac:dyDescent="0.2">
      <c r="A474" s="62">
        <v>1413</v>
      </c>
      <c r="B474" s="43" t="s">
        <v>4469</v>
      </c>
      <c r="C474" s="44" t="s">
        <v>3748</v>
      </c>
      <c r="D474" s="71">
        <v>4085</v>
      </c>
    </row>
    <row r="475" spans="1:4" ht="15.75" x14ac:dyDescent="0.2">
      <c r="A475" s="62">
        <v>1414</v>
      </c>
      <c r="B475" s="43" t="s">
        <v>4474</v>
      </c>
      <c r="C475" s="44" t="s">
        <v>3748</v>
      </c>
      <c r="D475" s="71">
        <v>400</v>
      </c>
    </row>
    <row r="476" spans="1:4" ht="31.5" x14ac:dyDescent="0.2">
      <c r="A476" s="62">
        <v>1415</v>
      </c>
      <c r="B476" s="43" t="s">
        <v>4476</v>
      </c>
      <c r="C476" s="44" t="s">
        <v>3748</v>
      </c>
      <c r="D476" s="71">
        <v>11000</v>
      </c>
    </row>
    <row r="477" spans="1:4" ht="15.75" x14ac:dyDescent="0.2">
      <c r="A477" s="62">
        <v>1416</v>
      </c>
      <c r="B477" s="43" t="s">
        <v>4477</v>
      </c>
      <c r="C477" s="44" t="s">
        <v>3748</v>
      </c>
      <c r="D477" s="71">
        <v>1600</v>
      </c>
    </row>
    <row r="478" spans="1:4" ht="15.75" x14ac:dyDescent="0.2">
      <c r="A478" s="62">
        <v>1417</v>
      </c>
      <c r="B478" s="43" t="s">
        <v>4478</v>
      </c>
      <c r="C478" s="44" t="s">
        <v>3748</v>
      </c>
      <c r="D478" s="71">
        <v>5400</v>
      </c>
    </row>
    <row r="479" spans="1:4" ht="15.75" x14ac:dyDescent="0.2">
      <c r="A479" s="62">
        <v>1418</v>
      </c>
      <c r="B479" s="43" t="s">
        <v>4479</v>
      </c>
      <c r="C479" s="44" t="s">
        <v>3748</v>
      </c>
      <c r="D479" s="71">
        <v>1800</v>
      </c>
    </row>
    <row r="480" spans="1:4" ht="15.75" x14ac:dyDescent="0.2">
      <c r="A480" s="62">
        <v>1420</v>
      </c>
      <c r="B480" s="47" t="s">
        <v>4517</v>
      </c>
      <c r="C480" s="44" t="s">
        <v>3748</v>
      </c>
      <c r="D480" s="76">
        <v>250</v>
      </c>
    </row>
    <row r="481" spans="1:4" ht="15.75" x14ac:dyDescent="0.2">
      <c r="A481" s="62">
        <v>1421</v>
      </c>
      <c r="B481" s="47" t="s">
        <v>4480</v>
      </c>
      <c r="C481" s="44" t="s">
        <v>3069</v>
      </c>
      <c r="D481" s="76">
        <v>100</v>
      </c>
    </row>
    <row r="482" spans="1:4" ht="20.25" customHeight="1" x14ac:dyDescent="0.2">
      <c r="A482" s="62">
        <v>1422</v>
      </c>
      <c r="B482" s="43" t="s">
        <v>4481</v>
      </c>
      <c r="C482" s="44" t="s">
        <v>3748</v>
      </c>
      <c r="D482" s="71">
        <v>900</v>
      </c>
    </row>
    <row r="483" spans="1:4" ht="31.5" x14ac:dyDescent="0.2">
      <c r="A483" s="62">
        <v>1423</v>
      </c>
      <c r="B483" s="43" t="s">
        <v>4482</v>
      </c>
      <c r="C483" s="44" t="s">
        <v>3748</v>
      </c>
      <c r="D483" s="71">
        <v>750</v>
      </c>
    </row>
    <row r="484" spans="1:4" ht="31.5" x14ac:dyDescent="0.2">
      <c r="A484" s="62">
        <v>1424</v>
      </c>
      <c r="B484" s="43" t="s">
        <v>4483</v>
      </c>
      <c r="C484" s="44" t="s">
        <v>3748</v>
      </c>
      <c r="D484" s="71">
        <v>700</v>
      </c>
    </row>
    <row r="485" spans="1:4" ht="31.5" x14ac:dyDescent="0.2">
      <c r="A485" s="62">
        <v>1425</v>
      </c>
      <c r="B485" s="43" t="s">
        <v>4484</v>
      </c>
      <c r="C485" s="44" t="s">
        <v>3748</v>
      </c>
      <c r="D485" s="71">
        <v>650</v>
      </c>
    </row>
    <row r="486" spans="1:4" ht="15.75" x14ac:dyDescent="0.2">
      <c r="A486" s="62">
        <v>1426</v>
      </c>
      <c r="B486" s="43" t="s">
        <v>4485</v>
      </c>
      <c r="C486" s="44" t="s">
        <v>2680</v>
      </c>
      <c r="D486" s="71">
        <v>460</v>
      </c>
    </row>
    <row r="487" spans="1:4" ht="15.75" x14ac:dyDescent="0.2">
      <c r="A487" s="62">
        <v>1427</v>
      </c>
      <c r="B487" s="43" t="s">
        <v>4486</v>
      </c>
      <c r="C487" s="44" t="s">
        <v>2680</v>
      </c>
      <c r="D487" s="71">
        <v>620</v>
      </c>
    </row>
    <row r="488" spans="1:4" ht="15.75" x14ac:dyDescent="0.2">
      <c r="A488" s="62">
        <v>1428</v>
      </c>
      <c r="B488" s="43" t="s">
        <v>4488</v>
      </c>
      <c r="C488" s="44" t="s">
        <v>3748</v>
      </c>
      <c r="D488" s="77">
        <v>1030</v>
      </c>
    </row>
    <row r="489" spans="1:4" ht="15.75" x14ac:dyDescent="0.2">
      <c r="A489" s="62">
        <v>1429</v>
      </c>
      <c r="B489" s="47" t="s">
        <v>4489</v>
      </c>
      <c r="C489" s="44" t="s">
        <v>3748</v>
      </c>
      <c r="D489" s="76">
        <v>240</v>
      </c>
    </row>
    <row r="490" spans="1:4" ht="15.75" x14ac:dyDescent="0.2">
      <c r="A490" s="62">
        <v>1430</v>
      </c>
      <c r="B490" s="47" t="s">
        <v>4490</v>
      </c>
      <c r="C490" s="44" t="s">
        <v>3748</v>
      </c>
      <c r="D490" s="76">
        <v>160</v>
      </c>
    </row>
    <row r="491" spans="1:4" ht="15.75" x14ac:dyDescent="0.2">
      <c r="A491" s="62">
        <v>1431</v>
      </c>
      <c r="B491" s="47" t="s">
        <v>4491</v>
      </c>
      <c r="C491" s="44" t="s">
        <v>3748</v>
      </c>
      <c r="D491" s="76">
        <v>72</v>
      </c>
    </row>
    <row r="492" spans="1:4" ht="31.5" x14ac:dyDescent="0.2">
      <c r="A492" s="62">
        <v>1432</v>
      </c>
      <c r="B492" s="47" t="s">
        <v>4492</v>
      </c>
      <c r="C492" s="44" t="s">
        <v>3748</v>
      </c>
      <c r="D492" s="71">
        <v>2000</v>
      </c>
    </row>
    <row r="493" spans="1:4" ht="31.5" x14ac:dyDescent="0.2">
      <c r="A493" s="62">
        <v>1433</v>
      </c>
      <c r="B493" s="43" t="s">
        <v>4493</v>
      </c>
      <c r="C493" s="44" t="s">
        <v>3748</v>
      </c>
      <c r="D493" s="71">
        <v>1300</v>
      </c>
    </row>
    <row r="494" spans="1:4" ht="31.5" x14ac:dyDescent="0.2">
      <c r="A494" s="62">
        <v>1434</v>
      </c>
      <c r="B494" s="43" t="s">
        <v>5508</v>
      </c>
      <c r="C494" s="44" t="s">
        <v>3748</v>
      </c>
      <c r="D494" s="71">
        <v>1700</v>
      </c>
    </row>
    <row r="495" spans="1:4" ht="31.5" x14ac:dyDescent="0.2">
      <c r="A495" s="62">
        <v>1435</v>
      </c>
      <c r="B495" s="43" t="s">
        <v>4494</v>
      </c>
      <c r="C495" s="44" t="s">
        <v>3748</v>
      </c>
      <c r="D495" s="71">
        <v>2000</v>
      </c>
    </row>
    <row r="496" spans="1:4" ht="31.5" x14ac:dyDescent="0.2">
      <c r="A496" s="62">
        <v>1436</v>
      </c>
      <c r="B496" s="43" t="s">
        <v>4495</v>
      </c>
      <c r="C496" s="44" t="s">
        <v>3748</v>
      </c>
      <c r="D496" s="71">
        <v>1600</v>
      </c>
    </row>
    <row r="497" spans="1:4" ht="15.75" x14ac:dyDescent="0.2">
      <c r="A497" s="62">
        <v>1437</v>
      </c>
      <c r="B497" s="43" t="s">
        <v>4499</v>
      </c>
      <c r="C497" s="44" t="s">
        <v>3748</v>
      </c>
      <c r="D497" s="71">
        <v>1120</v>
      </c>
    </row>
    <row r="498" spans="1:4" ht="15.75" x14ac:dyDescent="0.2">
      <c r="A498" s="62">
        <v>1438</v>
      </c>
      <c r="B498" s="43" t="s">
        <v>4500</v>
      </c>
      <c r="C498" s="44" t="s">
        <v>3748</v>
      </c>
      <c r="D498" s="71">
        <v>150</v>
      </c>
    </row>
    <row r="499" spans="1:4" ht="15.75" x14ac:dyDescent="0.2">
      <c r="A499" s="62">
        <v>1439</v>
      </c>
      <c r="B499" s="43" t="s">
        <v>4501</v>
      </c>
      <c r="C499" s="44" t="s">
        <v>3748</v>
      </c>
      <c r="D499" s="71">
        <v>305</v>
      </c>
    </row>
    <row r="500" spans="1:4" ht="15.75" x14ac:dyDescent="0.2">
      <c r="A500" s="62">
        <v>1440</v>
      </c>
      <c r="B500" s="43" t="s">
        <v>4502</v>
      </c>
      <c r="C500" s="44" t="s">
        <v>3748</v>
      </c>
      <c r="D500" s="71">
        <v>375</v>
      </c>
    </row>
    <row r="501" spans="1:4" ht="15.75" x14ac:dyDescent="0.2">
      <c r="A501" s="62">
        <v>1441</v>
      </c>
      <c r="B501" s="43" t="s">
        <v>4503</v>
      </c>
      <c r="C501" s="44" t="s">
        <v>3748</v>
      </c>
      <c r="D501" s="71">
        <v>48</v>
      </c>
    </row>
    <row r="502" spans="1:4" ht="15.75" x14ac:dyDescent="0.2">
      <c r="A502" s="62">
        <v>1442</v>
      </c>
      <c r="B502" s="43" t="s">
        <v>4504</v>
      </c>
      <c r="C502" s="44" t="s">
        <v>3748</v>
      </c>
      <c r="D502" s="71">
        <v>85</v>
      </c>
    </row>
    <row r="503" spans="1:4" ht="15.75" x14ac:dyDescent="0.2">
      <c r="A503" s="62">
        <v>1443</v>
      </c>
      <c r="B503" s="43" t="s">
        <v>4505</v>
      </c>
      <c r="C503" s="44" t="s">
        <v>3748</v>
      </c>
      <c r="D503" s="71">
        <v>121</v>
      </c>
    </row>
    <row r="504" spans="1:4" ht="15.75" x14ac:dyDescent="0.2">
      <c r="A504" s="62">
        <v>1444</v>
      </c>
      <c r="B504" s="43" t="s">
        <v>4506</v>
      </c>
      <c r="C504" s="44" t="s">
        <v>3748</v>
      </c>
      <c r="D504" s="71">
        <v>760</v>
      </c>
    </row>
    <row r="505" spans="1:4" ht="15.75" x14ac:dyDescent="0.2">
      <c r="A505" s="62">
        <v>1445</v>
      </c>
      <c r="B505" s="43" t="s">
        <v>4507</v>
      </c>
      <c r="C505" s="44" t="s">
        <v>3748</v>
      </c>
      <c r="D505" s="71">
        <v>270</v>
      </c>
    </row>
    <row r="506" spans="1:4" ht="15.75" x14ac:dyDescent="0.2">
      <c r="A506" s="62">
        <v>1446</v>
      </c>
      <c r="B506" s="43" t="s">
        <v>4508</v>
      </c>
      <c r="C506" s="44" t="s">
        <v>3748</v>
      </c>
      <c r="D506" s="71">
        <v>170</v>
      </c>
    </row>
    <row r="507" spans="1:4" ht="15.75" x14ac:dyDescent="0.2">
      <c r="A507" s="62">
        <v>1447</v>
      </c>
      <c r="B507" s="43" t="s">
        <v>4509</v>
      </c>
      <c r="C507" s="44" t="s">
        <v>3748</v>
      </c>
      <c r="D507" s="71">
        <v>400</v>
      </c>
    </row>
    <row r="508" spans="1:4" ht="15.75" x14ac:dyDescent="0.2">
      <c r="A508" s="62">
        <v>1448</v>
      </c>
      <c r="B508" s="43" t="s">
        <v>4510</v>
      </c>
      <c r="C508" s="44" t="s">
        <v>3748</v>
      </c>
      <c r="D508" s="71">
        <v>120</v>
      </c>
    </row>
    <row r="509" spans="1:4" ht="15.75" x14ac:dyDescent="0.2">
      <c r="A509" s="62">
        <v>1449</v>
      </c>
      <c r="B509" s="43" t="s">
        <v>4511</v>
      </c>
      <c r="C509" s="44" t="s">
        <v>3748</v>
      </c>
      <c r="D509" s="71">
        <v>1060</v>
      </c>
    </row>
    <row r="510" spans="1:4" ht="15.75" x14ac:dyDescent="0.2">
      <c r="A510" s="62">
        <v>1450</v>
      </c>
      <c r="B510" s="43" t="s">
        <v>4512</v>
      </c>
      <c r="C510" s="44" t="s">
        <v>3748</v>
      </c>
      <c r="D510" s="71">
        <v>800</v>
      </c>
    </row>
    <row r="511" spans="1:4" ht="15.75" x14ac:dyDescent="0.2">
      <c r="A511" s="62">
        <v>1451</v>
      </c>
      <c r="B511" s="43" t="s">
        <v>4513</v>
      </c>
      <c r="C511" s="44" t="s">
        <v>3748</v>
      </c>
      <c r="D511" s="71">
        <v>600</v>
      </c>
    </row>
    <row r="512" spans="1:4" ht="15.75" x14ac:dyDescent="0.2">
      <c r="A512" s="62">
        <v>1452</v>
      </c>
      <c r="B512" s="43" t="s">
        <v>4514</v>
      </c>
      <c r="C512" s="44" t="s">
        <v>3748</v>
      </c>
      <c r="D512" s="71">
        <v>370</v>
      </c>
    </row>
    <row r="513" spans="1:4" ht="15.75" x14ac:dyDescent="0.2">
      <c r="A513" s="62">
        <v>1453</v>
      </c>
      <c r="B513" s="43" t="s">
        <v>4515</v>
      </c>
      <c r="C513" s="44" t="s">
        <v>3748</v>
      </c>
      <c r="D513" s="71">
        <v>315</v>
      </c>
    </row>
    <row r="514" spans="1:4" ht="15.75" x14ac:dyDescent="0.2">
      <c r="A514" s="62">
        <v>1454</v>
      </c>
      <c r="B514" s="43" t="s">
        <v>4516</v>
      </c>
      <c r="C514" s="44" t="s">
        <v>3748</v>
      </c>
      <c r="D514" s="71">
        <v>255</v>
      </c>
    </row>
    <row r="515" spans="1:4" ht="15.75" x14ac:dyDescent="0.2">
      <c r="A515" s="62">
        <v>1455</v>
      </c>
      <c r="B515" s="47" t="s">
        <v>4518</v>
      </c>
      <c r="C515" s="44" t="s">
        <v>3748</v>
      </c>
      <c r="D515" s="76">
        <v>195</v>
      </c>
    </row>
    <row r="516" spans="1:4" ht="15.75" x14ac:dyDescent="0.2">
      <c r="A516" s="62">
        <v>1456</v>
      </c>
      <c r="B516" s="43" t="s">
        <v>4519</v>
      </c>
      <c r="C516" s="44" t="s">
        <v>3748</v>
      </c>
      <c r="D516" s="76">
        <v>210</v>
      </c>
    </row>
    <row r="517" spans="1:4" ht="15.75" x14ac:dyDescent="0.2">
      <c r="A517" s="62">
        <v>1457</v>
      </c>
      <c r="B517" s="43" t="s">
        <v>4520</v>
      </c>
      <c r="C517" s="44" t="s">
        <v>3748</v>
      </c>
      <c r="D517" s="76">
        <v>435</v>
      </c>
    </row>
    <row r="518" spans="1:4" ht="15.75" x14ac:dyDescent="0.2">
      <c r="A518" s="62">
        <v>1458</v>
      </c>
      <c r="B518" s="43" t="s">
        <v>4521</v>
      </c>
      <c r="C518" s="44" t="s">
        <v>3748</v>
      </c>
      <c r="D518" s="76">
        <v>2645</v>
      </c>
    </row>
    <row r="519" spans="1:4" ht="15.75" x14ac:dyDescent="0.2">
      <c r="A519" s="62">
        <v>1459</v>
      </c>
      <c r="B519" s="43" t="s">
        <v>4523</v>
      </c>
      <c r="C519" s="44" t="s">
        <v>3748</v>
      </c>
      <c r="D519" s="76">
        <v>2780</v>
      </c>
    </row>
    <row r="520" spans="1:4" ht="15.75" x14ac:dyDescent="0.2">
      <c r="A520" s="62">
        <v>1460</v>
      </c>
      <c r="B520" s="43" t="s">
        <v>4522</v>
      </c>
      <c r="C520" s="44" t="s">
        <v>3748</v>
      </c>
      <c r="D520" s="71">
        <v>485</v>
      </c>
    </row>
    <row r="521" spans="1:4" ht="15.75" x14ac:dyDescent="0.2">
      <c r="A521" s="62">
        <v>1461</v>
      </c>
      <c r="B521" s="43" t="s">
        <v>4524</v>
      </c>
      <c r="C521" s="44" t="s">
        <v>3748</v>
      </c>
      <c r="D521" s="71">
        <v>3250</v>
      </c>
    </row>
    <row r="522" spans="1:4" ht="15.75" x14ac:dyDescent="0.2">
      <c r="A522" s="62">
        <v>1462</v>
      </c>
      <c r="B522" s="43" t="s">
        <v>5550</v>
      </c>
      <c r="C522" s="44" t="s">
        <v>3748</v>
      </c>
      <c r="D522" s="71">
        <v>3360</v>
      </c>
    </row>
    <row r="523" spans="1:4" ht="15.75" x14ac:dyDescent="0.2">
      <c r="A523" s="62">
        <v>1464</v>
      </c>
      <c r="B523" s="43" t="s">
        <v>4033</v>
      </c>
      <c r="C523" s="44" t="s">
        <v>3741</v>
      </c>
      <c r="D523" s="71">
        <v>3510</v>
      </c>
    </row>
    <row r="524" spans="1:4" ht="15.75" x14ac:dyDescent="0.2">
      <c r="A524" s="62">
        <v>1466</v>
      </c>
      <c r="B524" s="43" t="s">
        <v>4034</v>
      </c>
      <c r="C524" s="44" t="s">
        <v>3741</v>
      </c>
      <c r="D524" s="71">
        <v>3800</v>
      </c>
    </row>
    <row r="525" spans="1:4" ht="15.75" x14ac:dyDescent="0.2">
      <c r="A525" s="62">
        <v>1468</v>
      </c>
      <c r="B525" s="43" t="s">
        <v>4035</v>
      </c>
      <c r="C525" s="44" t="s">
        <v>3741</v>
      </c>
      <c r="D525" s="71">
        <v>6300</v>
      </c>
    </row>
    <row r="526" spans="1:4" ht="15.75" x14ac:dyDescent="0.2">
      <c r="A526" s="62">
        <v>1470</v>
      </c>
      <c r="B526" s="43" t="s">
        <v>4036</v>
      </c>
      <c r="C526" s="44" t="s">
        <v>3741</v>
      </c>
      <c r="D526" s="71">
        <v>6700</v>
      </c>
    </row>
    <row r="527" spans="1:4" ht="15.75" x14ac:dyDescent="0.2">
      <c r="A527" s="62">
        <v>1472</v>
      </c>
      <c r="B527" s="43" t="s">
        <v>4037</v>
      </c>
      <c r="C527" s="44" t="s">
        <v>3753</v>
      </c>
      <c r="D527" s="71">
        <v>430</v>
      </c>
    </row>
    <row r="528" spans="1:4" ht="15.75" x14ac:dyDescent="0.2">
      <c r="A528" s="62">
        <v>1532</v>
      </c>
      <c r="B528" s="43" t="s">
        <v>4038</v>
      </c>
      <c r="C528" s="44" t="s">
        <v>3748</v>
      </c>
      <c r="D528" s="71">
        <v>300</v>
      </c>
    </row>
    <row r="529" spans="1:4" ht="15.75" x14ac:dyDescent="0.2">
      <c r="A529" s="62">
        <v>1533</v>
      </c>
      <c r="B529" s="43" t="s">
        <v>4039</v>
      </c>
      <c r="C529" s="44" t="s">
        <v>3748</v>
      </c>
      <c r="D529" s="71">
        <v>490</v>
      </c>
    </row>
    <row r="530" spans="1:4" ht="31.5" x14ac:dyDescent="0.2">
      <c r="A530" s="62">
        <v>1534</v>
      </c>
      <c r="B530" s="43" t="s">
        <v>4040</v>
      </c>
      <c r="C530" s="44" t="s">
        <v>3748</v>
      </c>
      <c r="D530" s="71">
        <v>610</v>
      </c>
    </row>
    <row r="531" spans="1:4" ht="31.5" x14ac:dyDescent="0.2">
      <c r="A531" s="62">
        <v>1535</v>
      </c>
      <c r="B531" s="43" t="s">
        <v>4041</v>
      </c>
      <c r="C531" s="44" t="s">
        <v>3748</v>
      </c>
      <c r="D531" s="71">
        <v>680</v>
      </c>
    </row>
    <row r="532" spans="1:4" ht="15.75" x14ac:dyDescent="0.2">
      <c r="A532" s="62">
        <v>1540</v>
      </c>
      <c r="B532" s="43" t="s">
        <v>4042</v>
      </c>
      <c r="C532" s="44" t="s">
        <v>3748</v>
      </c>
      <c r="D532" s="71">
        <v>200</v>
      </c>
    </row>
    <row r="533" spans="1:4" ht="15.75" x14ac:dyDescent="0.2">
      <c r="A533" s="62">
        <v>1541</v>
      </c>
      <c r="B533" s="43" t="s">
        <v>4043</v>
      </c>
      <c r="C533" s="44" t="s">
        <v>3748</v>
      </c>
      <c r="D533" s="71">
        <v>300</v>
      </c>
    </row>
    <row r="534" spans="1:4" ht="15.75" x14ac:dyDescent="0.2">
      <c r="A534" s="62">
        <v>1542</v>
      </c>
      <c r="B534" s="43" t="s">
        <v>4044</v>
      </c>
      <c r="C534" s="44" t="s">
        <v>3748</v>
      </c>
      <c r="D534" s="71">
        <v>370</v>
      </c>
    </row>
    <row r="535" spans="1:4" ht="15.75" x14ac:dyDescent="0.2">
      <c r="A535" s="62">
        <v>1543</v>
      </c>
      <c r="B535" s="43" t="s">
        <v>4045</v>
      </c>
      <c r="C535" s="44" t="s">
        <v>3748</v>
      </c>
      <c r="D535" s="71">
        <v>470</v>
      </c>
    </row>
    <row r="536" spans="1:4" ht="15.75" x14ac:dyDescent="0.2">
      <c r="A536" s="62">
        <v>1545</v>
      </c>
      <c r="B536" s="43" t="s">
        <v>409</v>
      </c>
      <c r="C536" s="44" t="s">
        <v>3753</v>
      </c>
      <c r="D536" s="71">
        <v>160</v>
      </c>
    </row>
    <row r="537" spans="1:4" ht="15.75" x14ac:dyDescent="0.2">
      <c r="A537" s="62">
        <v>1546</v>
      </c>
      <c r="B537" s="43" t="s">
        <v>410</v>
      </c>
      <c r="C537" s="44" t="s">
        <v>3753</v>
      </c>
      <c r="D537" s="71">
        <v>205</v>
      </c>
    </row>
    <row r="538" spans="1:4" ht="15.75" x14ac:dyDescent="0.2">
      <c r="A538" s="62">
        <v>1547</v>
      </c>
      <c r="B538" s="43" t="s">
        <v>411</v>
      </c>
      <c r="C538" s="44" t="s">
        <v>3753</v>
      </c>
      <c r="D538" s="71">
        <v>290</v>
      </c>
    </row>
    <row r="539" spans="1:4" ht="15.75" x14ac:dyDescent="0.2">
      <c r="A539" s="62">
        <v>1548</v>
      </c>
      <c r="B539" s="43" t="s">
        <v>412</v>
      </c>
      <c r="C539" s="44" t="s">
        <v>3753</v>
      </c>
      <c r="D539" s="71">
        <v>360</v>
      </c>
    </row>
    <row r="540" spans="1:4" ht="15.75" x14ac:dyDescent="0.2">
      <c r="A540" s="62">
        <v>1549</v>
      </c>
      <c r="B540" s="43" t="s">
        <v>413</v>
      </c>
      <c r="C540" s="44" t="s">
        <v>3753</v>
      </c>
      <c r="D540" s="71">
        <v>420</v>
      </c>
    </row>
    <row r="541" spans="1:4" ht="15.75" x14ac:dyDescent="0.2">
      <c r="A541" s="62">
        <v>1550</v>
      </c>
      <c r="B541" s="43" t="s">
        <v>414</v>
      </c>
      <c r="C541" s="44" t="s">
        <v>3753</v>
      </c>
      <c r="D541" s="71">
        <v>600</v>
      </c>
    </row>
    <row r="542" spans="1:4" ht="15.75" x14ac:dyDescent="0.2">
      <c r="A542" s="62">
        <v>1551</v>
      </c>
      <c r="B542" s="43" t="s">
        <v>415</v>
      </c>
      <c r="C542" s="44" t="s">
        <v>3753</v>
      </c>
      <c r="D542" s="71">
        <v>695</v>
      </c>
    </row>
    <row r="543" spans="1:4" ht="15.75" x14ac:dyDescent="0.2">
      <c r="A543" s="62">
        <v>1552</v>
      </c>
      <c r="B543" s="43" t="s">
        <v>416</v>
      </c>
      <c r="C543" s="44" t="s">
        <v>3753</v>
      </c>
      <c r="D543" s="71">
        <v>890</v>
      </c>
    </row>
    <row r="544" spans="1:4" ht="15.75" x14ac:dyDescent="0.2">
      <c r="A544" s="62">
        <v>1555</v>
      </c>
      <c r="B544" s="43" t="s">
        <v>4046</v>
      </c>
      <c r="C544" s="44" t="s">
        <v>3748</v>
      </c>
      <c r="D544" s="71">
        <v>8</v>
      </c>
    </row>
    <row r="545" spans="1:4" ht="15.75" x14ac:dyDescent="0.2">
      <c r="A545" s="62">
        <v>1559</v>
      </c>
      <c r="B545" s="43" t="s">
        <v>4047</v>
      </c>
      <c r="C545" s="44" t="s">
        <v>3748</v>
      </c>
      <c r="D545" s="71">
        <v>27</v>
      </c>
    </row>
    <row r="546" spans="1:4" ht="15.75" x14ac:dyDescent="0.2">
      <c r="A546" s="62">
        <v>1608</v>
      </c>
      <c r="B546" s="43" t="s">
        <v>4048</v>
      </c>
      <c r="C546" s="44" t="s">
        <v>3748</v>
      </c>
      <c r="D546" s="71">
        <v>65</v>
      </c>
    </row>
    <row r="547" spans="1:4" ht="15.75" x14ac:dyDescent="0.2">
      <c r="A547" s="62">
        <v>1612</v>
      </c>
      <c r="B547" s="43" t="s">
        <v>4049</v>
      </c>
      <c r="C547" s="44" t="s">
        <v>3748</v>
      </c>
      <c r="D547" s="71">
        <v>370</v>
      </c>
    </row>
    <row r="548" spans="1:4" ht="15.75" x14ac:dyDescent="0.2">
      <c r="A548" s="62">
        <v>1614</v>
      </c>
      <c r="B548" s="43" t="s">
        <v>4050</v>
      </c>
      <c r="C548" s="44" t="s">
        <v>3748</v>
      </c>
      <c r="D548" s="71">
        <v>86</v>
      </c>
    </row>
    <row r="549" spans="1:4" ht="15.75" x14ac:dyDescent="0.2">
      <c r="A549" s="62">
        <v>1615</v>
      </c>
      <c r="B549" s="43" t="s">
        <v>4368</v>
      </c>
      <c r="C549" s="44" t="s">
        <v>3748</v>
      </c>
      <c r="D549" s="71">
        <v>1180</v>
      </c>
    </row>
    <row r="550" spans="1:4" ht="15.75" x14ac:dyDescent="0.2">
      <c r="A550" s="62">
        <v>1616</v>
      </c>
      <c r="B550" s="43" t="s">
        <v>4051</v>
      </c>
      <c r="C550" s="44" t="s">
        <v>3748</v>
      </c>
      <c r="D550" s="71">
        <v>1590</v>
      </c>
    </row>
    <row r="551" spans="1:4" ht="31.5" x14ac:dyDescent="0.2">
      <c r="A551" s="62">
        <v>1617</v>
      </c>
      <c r="B551" s="43" t="s">
        <v>4052</v>
      </c>
      <c r="C551" s="44" t="s">
        <v>3748</v>
      </c>
      <c r="D551" s="71">
        <v>2020</v>
      </c>
    </row>
    <row r="552" spans="1:4" ht="31.5" x14ac:dyDescent="0.2">
      <c r="A552" s="62">
        <v>1618</v>
      </c>
      <c r="B552" s="43" t="s">
        <v>4053</v>
      </c>
      <c r="C552" s="44" t="s">
        <v>3748</v>
      </c>
      <c r="D552" s="71">
        <v>3675</v>
      </c>
    </row>
    <row r="553" spans="1:4" ht="15.75" x14ac:dyDescent="0.2">
      <c r="A553" s="62">
        <v>1620</v>
      </c>
      <c r="B553" s="43" t="s">
        <v>4054</v>
      </c>
      <c r="C553" s="44" t="s">
        <v>3748</v>
      </c>
      <c r="D553" s="71">
        <v>391</v>
      </c>
    </row>
    <row r="554" spans="1:4" ht="15.75" x14ac:dyDescent="0.2">
      <c r="A554" s="62">
        <v>1621</v>
      </c>
      <c r="B554" s="43" t="s">
        <v>4055</v>
      </c>
      <c r="C554" s="44" t="s">
        <v>3748</v>
      </c>
      <c r="D554" s="71">
        <v>575</v>
      </c>
    </row>
    <row r="555" spans="1:4" ht="15.75" x14ac:dyDescent="0.2">
      <c r="A555" s="62">
        <v>1622</v>
      </c>
      <c r="B555" s="43" t="s">
        <v>4056</v>
      </c>
      <c r="C555" s="44" t="s">
        <v>3748</v>
      </c>
      <c r="D555" s="71">
        <v>1210</v>
      </c>
    </row>
    <row r="556" spans="1:4" ht="15.75" x14ac:dyDescent="0.2">
      <c r="A556" s="62">
        <v>1624</v>
      </c>
      <c r="B556" s="43" t="s">
        <v>4057</v>
      </c>
      <c r="C556" s="44" t="s">
        <v>3748</v>
      </c>
      <c r="D556" s="71">
        <v>475</v>
      </c>
    </row>
    <row r="557" spans="1:4" ht="15.75" x14ac:dyDescent="0.2">
      <c r="A557" s="62">
        <v>1625</v>
      </c>
      <c r="B557" s="43" t="s">
        <v>4058</v>
      </c>
      <c r="C557" s="44" t="s">
        <v>3748</v>
      </c>
      <c r="D557" s="71">
        <v>650</v>
      </c>
    </row>
    <row r="558" spans="1:4" ht="15.75" x14ac:dyDescent="0.2">
      <c r="A558" s="62">
        <v>1627</v>
      </c>
      <c r="B558" s="43" t="s">
        <v>4059</v>
      </c>
      <c r="C558" s="44" t="s">
        <v>3748</v>
      </c>
      <c r="D558" s="71">
        <v>325</v>
      </c>
    </row>
    <row r="559" spans="1:4" ht="15.75" x14ac:dyDescent="0.2">
      <c r="A559" s="62">
        <v>1628</v>
      </c>
      <c r="B559" s="43" t="s">
        <v>4060</v>
      </c>
      <c r="C559" s="44" t="s">
        <v>3748</v>
      </c>
      <c r="D559" s="71">
        <v>420</v>
      </c>
    </row>
    <row r="560" spans="1:4" ht="15.75" x14ac:dyDescent="0.2">
      <c r="A560" s="62">
        <v>1630</v>
      </c>
      <c r="B560" s="43" t="s">
        <v>4061</v>
      </c>
      <c r="C560" s="44" t="s">
        <v>3748</v>
      </c>
      <c r="D560" s="71">
        <v>360</v>
      </c>
    </row>
    <row r="561" spans="1:4" ht="15.75" x14ac:dyDescent="0.2">
      <c r="A561" s="62">
        <v>1631</v>
      </c>
      <c r="B561" s="43" t="s">
        <v>4062</v>
      </c>
      <c r="C561" s="44" t="s">
        <v>3748</v>
      </c>
      <c r="D561" s="71">
        <v>470</v>
      </c>
    </row>
    <row r="562" spans="1:4" ht="15.75" x14ac:dyDescent="0.2">
      <c r="A562" s="62">
        <v>1633</v>
      </c>
      <c r="B562" s="43" t="s">
        <v>4063</v>
      </c>
      <c r="C562" s="44" t="s">
        <v>3748</v>
      </c>
      <c r="D562" s="71">
        <v>470</v>
      </c>
    </row>
    <row r="563" spans="1:4" ht="15.75" x14ac:dyDescent="0.2">
      <c r="A563" s="62">
        <v>1634</v>
      </c>
      <c r="B563" s="43" t="s">
        <v>4064</v>
      </c>
      <c r="C563" s="44" t="s">
        <v>3748</v>
      </c>
      <c r="D563" s="71">
        <v>625</v>
      </c>
    </row>
    <row r="564" spans="1:4" ht="15.75" x14ac:dyDescent="0.2">
      <c r="A564" s="62">
        <v>1636</v>
      </c>
      <c r="B564" s="43" t="s">
        <v>4065</v>
      </c>
      <c r="C564" s="44" t="s">
        <v>3748</v>
      </c>
      <c r="D564" s="71">
        <v>530</v>
      </c>
    </row>
    <row r="565" spans="1:4" ht="31.5" x14ac:dyDescent="0.2">
      <c r="A565" s="62">
        <v>1637</v>
      </c>
      <c r="B565" s="43" t="s">
        <v>4066</v>
      </c>
      <c r="C565" s="44" t="s">
        <v>3748</v>
      </c>
      <c r="D565" s="71">
        <v>660</v>
      </c>
    </row>
    <row r="566" spans="1:4" ht="15.75" x14ac:dyDescent="0.2">
      <c r="A566" s="62">
        <v>1639</v>
      </c>
      <c r="B566" s="43" t="s">
        <v>4067</v>
      </c>
      <c r="C566" s="44" t="s">
        <v>3748</v>
      </c>
      <c r="D566" s="71">
        <v>175</v>
      </c>
    </row>
    <row r="567" spans="1:4" ht="15.75" x14ac:dyDescent="0.2">
      <c r="A567" s="62">
        <v>1640</v>
      </c>
      <c r="B567" s="43" t="s">
        <v>4068</v>
      </c>
      <c r="C567" s="44" t="s">
        <v>3748</v>
      </c>
      <c r="D567" s="71">
        <v>241</v>
      </c>
    </row>
    <row r="568" spans="1:4" ht="15.75" x14ac:dyDescent="0.2">
      <c r="A568" s="62">
        <v>1641</v>
      </c>
      <c r="B568" s="43" t="s">
        <v>4069</v>
      </c>
      <c r="C568" s="44" t="s">
        <v>3748</v>
      </c>
      <c r="D568" s="71">
        <v>62</v>
      </c>
    </row>
    <row r="569" spans="1:4" ht="15.75" x14ac:dyDescent="0.2">
      <c r="A569" s="62">
        <v>1642</v>
      </c>
      <c r="B569" s="43" t="s">
        <v>4070</v>
      </c>
      <c r="C569" s="44" t="s">
        <v>3748</v>
      </c>
      <c r="D569" s="71">
        <v>107</v>
      </c>
    </row>
    <row r="570" spans="1:4" ht="15.75" x14ac:dyDescent="0.2">
      <c r="A570" s="62">
        <v>1643</v>
      </c>
      <c r="B570" s="43" t="s">
        <v>4071</v>
      </c>
      <c r="C570" s="44" t="s">
        <v>3748</v>
      </c>
      <c r="D570" s="71">
        <v>135</v>
      </c>
    </row>
    <row r="571" spans="1:4" ht="15.75" x14ac:dyDescent="0.2">
      <c r="A571" s="62">
        <v>1644</v>
      </c>
      <c r="B571" s="43" t="s">
        <v>4072</v>
      </c>
      <c r="C571" s="44" t="s">
        <v>3748</v>
      </c>
      <c r="D571" s="71">
        <v>227</v>
      </c>
    </row>
    <row r="572" spans="1:4" ht="15.75" x14ac:dyDescent="0.2">
      <c r="A572" s="62">
        <v>1645</v>
      </c>
      <c r="B572" s="43" t="s">
        <v>4073</v>
      </c>
      <c r="C572" s="44" t="s">
        <v>3748</v>
      </c>
      <c r="D572" s="71">
        <v>275</v>
      </c>
    </row>
    <row r="573" spans="1:4" ht="15.75" x14ac:dyDescent="0.2">
      <c r="A573" s="62">
        <v>1646</v>
      </c>
      <c r="B573" s="43" t="s">
        <v>4074</v>
      </c>
      <c r="C573" s="44" t="s">
        <v>3748</v>
      </c>
      <c r="D573" s="71">
        <v>430</v>
      </c>
    </row>
    <row r="574" spans="1:4" ht="15.75" x14ac:dyDescent="0.2">
      <c r="A574" s="62">
        <v>1647</v>
      </c>
      <c r="B574" s="43" t="s">
        <v>4075</v>
      </c>
      <c r="C574" s="44" t="s">
        <v>3748</v>
      </c>
      <c r="D574" s="71">
        <v>890</v>
      </c>
    </row>
    <row r="575" spans="1:4" ht="15.75" x14ac:dyDescent="0.2">
      <c r="A575" s="62">
        <v>1648</v>
      </c>
      <c r="B575" s="43" t="s">
        <v>4076</v>
      </c>
      <c r="C575" s="44" t="s">
        <v>3748</v>
      </c>
      <c r="D575" s="71">
        <v>995</v>
      </c>
    </row>
    <row r="576" spans="1:4" ht="15.75" x14ac:dyDescent="0.2">
      <c r="A576" s="62">
        <v>1649</v>
      </c>
      <c r="B576" s="43" t="s">
        <v>4077</v>
      </c>
      <c r="C576" s="44" t="s">
        <v>4078</v>
      </c>
      <c r="D576" s="71">
        <v>7</v>
      </c>
    </row>
    <row r="577" spans="1:4" ht="15.75" x14ac:dyDescent="0.2">
      <c r="A577" s="62">
        <v>1653</v>
      </c>
      <c r="B577" s="43" t="s">
        <v>4079</v>
      </c>
      <c r="C577" s="44" t="s">
        <v>3748</v>
      </c>
      <c r="D577" s="71">
        <v>460</v>
      </c>
    </row>
    <row r="578" spans="1:4" ht="31.5" x14ac:dyDescent="0.2">
      <c r="A578" s="62">
        <v>1656</v>
      </c>
      <c r="B578" s="43" t="s">
        <v>4080</v>
      </c>
      <c r="C578" s="44" t="s">
        <v>3748</v>
      </c>
      <c r="D578" s="71">
        <v>510</v>
      </c>
    </row>
    <row r="579" spans="1:4" ht="31.5" x14ac:dyDescent="0.2">
      <c r="A579" s="62">
        <v>1659</v>
      </c>
      <c r="B579" s="43" t="s">
        <v>4081</v>
      </c>
      <c r="C579" s="44" t="s">
        <v>3748</v>
      </c>
      <c r="D579" s="71">
        <v>675</v>
      </c>
    </row>
    <row r="580" spans="1:4" ht="31.5" x14ac:dyDescent="0.2">
      <c r="A580" s="62">
        <v>1662</v>
      </c>
      <c r="B580" s="43" t="s">
        <v>4082</v>
      </c>
      <c r="C580" s="44" t="s">
        <v>3748</v>
      </c>
      <c r="D580" s="71">
        <v>720</v>
      </c>
    </row>
    <row r="581" spans="1:4" ht="15.75" x14ac:dyDescent="0.2">
      <c r="A581" s="62">
        <v>1666</v>
      </c>
      <c r="B581" s="43" t="s">
        <v>4083</v>
      </c>
      <c r="C581" s="44" t="s">
        <v>3748</v>
      </c>
      <c r="D581" s="71">
        <v>261</v>
      </c>
    </row>
    <row r="582" spans="1:4" ht="15.75" x14ac:dyDescent="0.2">
      <c r="A582" s="62">
        <v>1667</v>
      </c>
      <c r="B582" s="43" t="s">
        <v>4084</v>
      </c>
      <c r="C582" s="44" t="s">
        <v>3748</v>
      </c>
      <c r="D582" s="71">
        <v>315</v>
      </c>
    </row>
    <row r="583" spans="1:4" ht="15.75" x14ac:dyDescent="0.2">
      <c r="A583" s="62">
        <v>1669</v>
      </c>
      <c r="B583" s="43" t="s">
        <v>4085</v>
      </c>
      <c r="C583" s="44" t="s">
        <v>3748</v>
      </c>
      <c r="D583" s="71">
        <v>380</v>
      </c>
    </row>
    <row r="584" spans="1:4" ht="15.75" x14ac:dyDescent="0.2">
      <c r="A584" s="62">
        <v>1670</v>
      </c>
      <c r="B584" s="43" t="s">
        <v>4086</v>
      </c>
      <c r="C584" s="44" t="s">
        <v>3748</v>
      </c>
      <c r="D584" s="71">
        <v>510</v>
      </c>
    </row>
    <row r="585" spans="1:4" ht="15.75" x14ac:dyDescent="0.2">
      <c r="A585" s="62">
        <v>1672</v>
      </c>
      <c r="B585" s="43" t="s">
        <v>4087</v>
      </c>
      <c r="C585" s="44" t="s">
        <v>3748</v>
      </c>
      <c r="D585" s="71">
        <v>500</v>
      </c>
    </row>
    <row r="586" spans="1:4" ht="31.5" x14ac:dyDescent="0.2">
      <c r="A586" s="62">
        <v>1673</v>
      </c>
      <c r="B586" s="43" t="s">
        <v>4088</v>
      </c>
      <c r="C586" s="44" t="s">
        <v>3748</v>
      </c>
      <c r="D586" s="71">
        <v>670</v>
      </c>
    </row>
    <row r="587" spans="1:4" ht="15.75" x14ac:dyDescent="0.2">
      <c r="A587" s="62">
        <v>1674</v>
      </c>
      <c r="B587" s="43" t="s">
        <v>4089</v>
      </c>
      <c r="C587" s="44" t="s">
        <v>3748</v>
      </c>
      <c r="D587" s="71">
        <v>610</v>
      </c>
    </row>
    <row r="588" spans="1:4" ht="31.5" x14ac:dyDescent="0.2">
      <c r="A588" s="62">
        <v>1677</v>
      </c>
      <c r="B588" s="43" t="s">
        <v>4090</v>
      </c>
      <c r="C588" s="44" t="s">
        <v>3748</v>
      </c>
      <c r="D588" s="71">
        <v>730</v>
      </c>
    </row>
    <row r="589" spans="1:4" ht="15.75" x14ac:dyDescent="0.2">
      <c r="A589" s="62">
        <v>1682</v>
      </c>
      <c r="B589" s="43" t="s">
        <v>4091</v>
      </c>
      <c r="C589" s="44" t="s">
        <v>3748</v>
      </c>
      <c r="D589" s="71">
        <v>335</v>
      </c>
    </row>
    <row r="590" spans="1:4" ht="15.75" x14ac:dyDescent="0.2">
      <c r="A590" s="62">
        <v>1683</v>
      </c>
      <c r="B590" s="43" t="s">
        <v>4092</v>
      </c>
      <c r="C590" s="44" t="s">
        <v>3748</v>
      </c>
      <c r="D590" s="71">
        <v>465</v>
      </c>
    </row>
    <row r="591" spans="1:4" ht="15.75" x14ac:dyDescent="0.2">
      <c r="A591" s="62">
        <v>1685</v>
      </c>
      <c r="B591" s="43" t="s">
        <v>4093</v>
      </c>
      <c r="C591" s="44" t="s">
        <v>3748</v>
      </c>
      <c r="D591" s="71">
        <v>130</v>
      </c>
    </row>
    <row r="592" spans="1:4" ht="15.75" x14ac:dyDescent="0.2">
      <c r="A592" s="62">
        <v>1686</v>
      </c>
      <c r="B592" s="43" t="s">
        <v>4094</v>
      </c>
      <c r="C592" s="44" t="s">
        <v>3748</v>
      </c>
      <c r="D592" s="71">
        <v>175</v>
      </c>
    </row>
    <row r="593" spans="1:4" ht="34.5" customHeight="1" x14ac:dyDescent="0.2">
      <c r="A593" s="62">
        <v>1687</v>
      </c>
      <c r="B593" s="43" t="s">
        <v>4095</v>
      </c>
      <c r="C593" s="44" t="s">
        <v>3748</v>
      </c>
      <c r="D593" s="71">
        <v>28</v>
      </c>
    </row>
    <row r="594" spans="1:4" ht="34.5" customHeight="1" x14ac:dyDescent="0.2">
      <c r="A594" s="62">
        <v>1688</v>
      </c>
      <c r="B594" s="43" t="s">
        <v>4096</v>
      </c>
      <c r="C594" s="44" t="s">
        <v>3748</v>
      </c>
      <c r="D594" s="71">
        <v>38</v>
      </c>
    </row>
    <row r="595" spans="1:4" ht="34.5" customHeight="1" x14ac:dyDescent="0.2">
      <c r="A595" s="62">
        <v>1689</v>
      </c>
      <c r="B595" s="43" t="s">
        <v>4097</v>
      </c>
      <c r="C595" s="44" t="s">
        <v>3748</v>
      </c>
      <c r="D595" s="71">
        <v>38</v>
      </c>
    </row>
    <row r="596" spans="1:4" ht="34.5" customHeight="1" x14ac:dyDescent="0.2">
      <c r="A596" s="62">
        <v>1690</v>
      </c>
      <c r="B596" s="43" t="s">
        <v>4098</v>
      </c>
      <c r="C596" s="44" t="s">
        <v>3748</v>
      </c>
      <c r="D596" s="71">
        <v>53</v>
      </c>
    </row>
    <row r="597" spans="1:4" ht="15.75" x14ac:dyDescent="0.2">
      <c r="A597" s="62">
        <v>1693</v>
      </c>
      <c r="B597" s="43" t="s">
        <v>3233</v>
      </c>
      <c r="C597" s="44" t="s">
        <v>3748</v>
      </c>
      <c r="D597" s="71">
        <v>630</v>
      </c>
    </row>
    <row r="598" spans="1:4" ht="15.75" x14ac:dyDescent="0.2">
      <c r="A598" s="62">
        <v>1700</v>
      </c>
      <c r="B598" s="43" t="s">
        <v>3234</v>
      </c>
      <c r="C598" s="44" t="s">
        <v>405</v>
      </c>
      <c r="D598" s="71">
        <v>475</v>
      </c>
    </row>
    <row r="599" spans="1:4" ht="15.75" x14ac:dyDescent="0.2">
      <c r="A599" s="62">
        <v>1701</v>
      </c>
      <c r="B599" s="43" t="s">
        <v>3235</v>
      </c>
      <c r="C599" s="44" t="s">
        <v>405</v>
      </c>
      <c r="D599" s="71">
        <v>520</v>
      </c>
    </row>
    <row r="600" spans="1:4" ht="15.75" x14ac:dyDescent="0.2">
      <c r="A600" s="62">
        <v>1702</v>
      </c>
      <c r="B600" s="43" t="s">
        <v>3236</v>
      </c>
      <c r="C600" s="44" t="s">
        <v>405</v>
      </c>
      <c r="D600" s="71">
        <v>700</v>
      </c>
    </row>
    <row r="601" spans="1:4" ht="15.75" x14ac:dyDescent="0.2">
      <c r="A601" s="62">
        <v>1703</v>
      </c>
      <c r="B601" s="43" t="s">
        <v>3237</v>
      </c>
      <c r="C601" s="44" t="s">
        <v>405</v>
      </c>
      <c r="D601" s="71">
        <v>950</v>
      </c>
    </row>
    <row r="602" spans="1:4" ht="15.75" x14ac:dyDescent="0.2">
      <c r="A602" s="62">
        <v>1704</v>
      </c>
      <c r="B602" s="43" t="s">
        <v>3238</v>
      </c>
      <c r="C602" s="44" t="s">
        <v>405</v>
      </c>
      <c r="D602" s="71">
        <v>1430</v>
      </c>
    </row>
    <row r="603" spans="1:4" ht="15.75" x14ac:dyDescent="0.2">
      <c r="A603" s="62">
        <v>1705</v>
      </c>
      <c r="B603" s="43" t="s">
        <v>3239</v>
      </c>
      <c r="C603" s="44" t="s">
        <v>405</v>
      </c>
      <c r="D603" s="71">
        <v>1600</v>
      </c>
    </row>
    <row r="604" spans="1:4" ht="15.75" x14ac:dyDescent="0.2">
      <c r="A604" s="62">
        <v>1706</v>
      </c>
      <c r="B604" s="43" t="s">
        <v>3240</v>
      </c>
      <c r="C604" s="44" t="s">
        <v>405</v>
      </c>
      <c r="D604" s="71">
        <v>2150</v>
      </c>
    </row>
    <row r="605" spans="1:4" ht="15.75" x14ac:dyDescent="0.2">
      <c r="A605" s="62">
        <v>1707</v>
      </c>
      <c r="B605" s="43" t="s">
        <v>3241</v>
      </c>
      <c r="C605" s="44" t="s">
        <v>405</v>
      </c>
      <c r="D605" s="71">
        <v>2650</v>
      </c>
    </row>
    <row r="606" spans="1:4" ht="15.75" x14ac:dyDescent="0.2">
      <c r="A606" s="62">
        <v>1709</v>
      </c>
      <c r="B606" s="43" t="s">
        <v>3242</v>
      </c>
      <c r="C606" s="44" t="s">
        <v>405</v>
      </c>
      <c r="D606" s="71">
        <v>3465</v>
      </c>
    </row>
    <row r="607" spans="1:4" ht="15.75" x14ac:dyDescent="0.2">
      <c r="A607" s="62">
        <v>1710</v>
      </c>
      <c r="B607" s="43" t="s">
        <v>3243</v>
      </c>
      <c r="C607" s="44" t="s">
        <v>405</v>
      </c>
      <c r="D607" s="71">
        <v>4350</v>
      </c>
    </row>
    <row r="608" spans="1:4" ht="15.75" x14ac:dyDescent="0.2">
      <c r="A608" s="62">
        <v>1711</v>
      </c>
      <c r="B608" s="43" t="s">
        <v>3244</v>
      </c>
      <c r="C608" s="44" t="s">
        <v>405</v>
      </c>
      <c r="D608" s="71">
        <v>5000</v>
      </c>
    </row>
    <row r="609" spans="1:4" ht="15.75" x14ac:dyDescent="0.2">
      <c r="A609" s="62">
        <v>1712</v>
      </c>
      <c r="B609" s="43" t="s">
        <v>3245</v>
      </c>
      <c r="C609" s="44" t="s">
        <v>405</v>
      </c>
      <c r="D609" s="71">
        <v>5900</v>
      </c>
    </row>
    <row r="610" spans="1:4" ht="15.75" x14ac:dyDescent="0.2">
      <c r="A610" s="62">
        <v>1713</v>
      </c>
      <c r="B610" s="43" t="s">
        <v>991</v>
      </c>
      <c r="C610" s="44" t="s">
        <v>405</v>
      </c>
      <c r="D610" s="71">
        <v>615</v>
      </c>
    </row>
    <row r="611" spans="1:4" ht="15.75" x14ac:dyDescent="0.2">
      <c r="A611" s="62">
        <v>1714</v>
      </c>
      <c r="B611" s="43" t="s">
        <v>3246</v>
      </c>
      <c r="C611" s="44" t="s">
        <v>3748</v>
      </c>
      <c r="D611" s="71">
        <v>28</v>
      </c>
    </row>
    <row r="612" spans="1:4" ht="15.75" x14ac:dyDescent="0.2">
      <c r="A612" s="62">
        <v>1715</v>
      </c>
      <c r="B612" s="43" t="s">
        <v>3247</v>
      </c>
      <c r="C612" s="44" t="s">
        <v>3748</v>
      </c>
      <c r="D612" s="71">
        <v>35</v>
      </c>
    </row>
    <row r="613" spans="1:4" ht="15.75" x14ac:dyDescent="0.2">
      <c r="A613" s="62">
        <v>1716</v>
      </c>
      <c r="B613" s="43" t="s">
        <v>3248</v>
      </c>
      <c r="C613" s="44" t="s">
        <v>3748</v>
      </c>
      <c r="D613" s="71">
        <v>56</v>
      </c>
    </row>
    <row r="614" spans="1:4" ht="15.75" x14ac:dyDescent="0.2">
      <c r="A614" s="62">
        <v>1717</v>
      </c>
      <c r="B614" s="43" t="s">
        <v>3249</v>
      </c>
      <c r="C614" s="44" t="s">
        <v>3748</v>
      </c>
      <c r="D614" s="71">
        <v>70</v>
      </c>
    </row>
    <row r="615" spans="1:4" ht="15.75" x14ac:dyDescent="0.2">
      <c r="A615" s="62">
        <v>1718</v>
      </c>
      <c r="B615" s="43" t="s">
        <v>3250</v>
      </c>
      <c r="C615" s="44" t="s">
        <v>3748</v>
      </c>
      <c r="D615" s="71">
        <v>106</v>
      </c>
    </row>
    <row r="616" spans="1:4" ht="15.75" x14ac:dyDescent="0.2">
      <c r="A616" s="62">
        <v>1719</v>
      </c>
      <c r="B616" s="43" t="s">
        <v>3251</v>
      </c>
      <c r="C616" s="44" t="s">
        <v>3748</v>
      </c>
      <c r="D616" s="71">
        <v>122</v>
      </c>
    </row>
    <row r="617" spans="1:4" ht="15.75" x14ac:dyDescent="0.2">
      <c r="A617" s="62">
        <v>1720</v>
      </c>
      <c r="B617" s="43" t="s">
        <v>3252</v>
      </c>
      <c r="C617" s="44" t="s">
        <v>3748</v>
      </c>
      <c r="D617" s="71">
        <v>155</v>
      </c>
    </row>
    <row r="618" spans="1:4" ht="15.75" x14ac:dyDescent="0.2">
      <c r="A618" s="62">
        <v>1721</v>
      </c>
      <c r="B618" s="43" t="s">
        <v>3253</v>
      </c>
      <c r="C618" s="44" t="s">
        <v>3748</v>
      </c>
      <c r="D618" s="71">
        <v>171</v>
      </c>
    </row>
    <row r="619" spans="1:4" ht="15.75" x14ac:dyDescent="0.2">
      <c r="A619" s="62">
        <v>1723</v>
      </c>
      <c r="B619" s="43" t="s">
        <v>3254</v>
      </c>
      <c r="C619" s="44" t="s">
        <v>3748</v>
      </c>
      <c r="D619" s="71">
        <v>245</v>
      </c>
    </row>
    <row r="620" spans="1:4" ht="15.75" x14ac:dyDescent="0.2">
      <c r="A620" s="62">
        <v>1724</v>
      </c>
      <c r="B620" s="43" t="s">
        <v>3255</v>
      </c>
      <c r="C620" s="44" t="s">
        <v>3748</v>
      </c>
      <c r="D620" s="71">
        <v>300</v>
      </c>
    </row>
    <row r="621" spans="1:4" ht="15.75" x14ac:dyDescent="0.2">
      <c r="A621" s="62">
        <v>1725</v>
      </c>
      <c r="B621" s="43" t="s">
        <v>3256</v>
      </c>
      <c r="C621" s="44" t="s">
        <v>3748</v>
      </c>
      <c r="D621" s="71">
        <v>350</v>
      </c>
    </row>
    <row r="622" spans="1:4" ht="15.75" x14ac:dyDescent="0.2">
      <c r="A622" s="62">
        <v>1726</v>
      </c>
      <c r="B622" s="43" t="s">
        <v>3257</v>
      </c>
      <c r="C622" s="44" t="s">
        <v>3748</v>
      </c>
      <c r="D622" s="71">
        <v>405</v>
      </c>
    </row>
    <row r="623" spans="1:4" ht="15.75" x14ac:dyDescent="0.2">
      <c r="A623" s="62">
        <v>1727</v>
      </c>
      <c r="B623" s="43" t="s">
        <v>3258</v>
      </c>
      <c r="C623" s="44" t="s">
        <v>3748</v>
      </c>
      <c r="D623" s="71">
        <v>470</v>
      </c>
    </row>
    <row r="624" spans="1:4" ht="15.75" x14ac:dyDescent="0.2">
      <c r="A624" s="62">
        <v>1728</v>
      </c>
      <c r="B624" s="43" t="s">
        <v>990</v>
      </c>
      <c r="C624" s="44" t="s">
        <v>3748</v>
      </c>
      <c r="D624" s="71">
        <v>50</v>
      </c>
    </row>
    <row r="625" spans="1:4" ht="15.75" x14ac:dyDescent="0.2">
      <c r="A625" s="62">
        <v>1854</v>
      </c>
      <c r="B625" s="43" t="s">
        <v>3259</v>
      </c>
      <c r="C625" s="44" t="s">
        <v>3748</v>
      </c>
      <c r="D625" s="71">
        <v>100</v>
      </c>
    </row>
    <row r="626" spans="1:4" ht="15.75" x14ac:dyDescent="0.2">
      <c r="A626" s="62">
        <v>1855</v>
      </c>
      <c r="B626" s="43" t="s">
        <v>3260</v>
      </c>
      <c r="C626" s="44" t="s">
        <v>3748</v>
      </c>
      <c r="D626" s="71">
        <v>150</v>
      </c>
    </row>
    <row r="627" spans="1:4" ht="15.75" x14ac:dyDescent="0.2">
      <c r="A627" s="62">
        <v>1856</v>
      </c>
      <c r="B627" s="43" t="s">
        <v>3261</v>
      </c>
      <c r="C627" s="44" t="s">
        <v>3748</v>
      </c>
      <c r="D627" s="71">
        <v>220</v>
      </c>
    </row>
    <row r="628" spans="1:4" ht="15.75" x14ac:dyDescent="0.2">
      <c r="A628" s="62">
        <v>1857</v>
      </c>
      <c r="B628" s="43" t="s">
        <v>3262</v>
      </c>
      <c r="C628" s="44" t="s">
        <v>3748</v>
      </c>
      <c r="D628" s="71">
        <v>255</v>
      </c>
    </row>
    <row r="629" spans="1:4" ht="15.75" x14ac:dyDescent="0.2">
      <c r="A629" s="62">
        <v>1858</v>
      </c>
      <c r="B629" s="43" t="s">
        <v>3263</v>
      </c>
      <c r="C629" s="44" t="s">
        <v>3748</v>
      </c>
      <c r="D629" s="71">
        <v>300</v>
      </c>
    </row>
    <row r="630" spans="1:4" ht="15.75" x14ac:dyDescent="0.2">
      <c r="A630" s="62">
        <v>1859</v>
      </c>
      <c r="B630" s="43" t="s">
        <v>3264</v>
      </c>
      <c r="C630" s="44" t="s">
        <v>3748</v>
      </c>
      <c r="D630" s="71">
        <v>450</v>
      </c>
    </row>
    <row r="631" spans="1:4" ht="15.75" x14ac:dyDescent="0.2">
      <c r="A631" s="62">
        <v>1860</v>
      </c>
      <c r="B631" s="43" t="s">
        <v>987</v>
      </c>
      <c r="C631" s="44" t="s">
        <v>3748</v>
      </c>
      <c r="D631" s="71">
        <v>700</v>
      </c>
    </row>
    <row r="632" spans="1:4" ht="15.75" x14ac:dyDescent="0.2">
      <c r="A632" s="62">
        <v>1863</v>
      </c>
      <c r="B632" s="43" t="s">
        <v>3265</v>
      </c>
      <c r="C632" s="44" t="s">
        <v>3748</v>
      </c>
      <c r="D632" s="71">
        <v>3700</v>
      </c>
    </row>
    <row r="633" spans="1:4" ht="15.75" x14ac:dyDescent="0.2">
      <c r="A633" s="62">
        <v>1864</v>
      </c>
      <c r="B633" s="43" t="s">
        <v>4539</v>
      </c>
      <c r="C633" s="44" t="s">
        <v>3748</v>
      </c>
      <c r="D633" s="71">
        <v>3500</v>
      </c>
    </row>
    <row r="634" spans="1:4" ht="15.75" x14ac:dyDescent="0.2">
      <c r="A634" s="62">
        <v>1865</v>
      </c>
      <c r="B634" s="43" t="s">
        <v>4540</v>
      </c>
      <c r="C634" s="44" t="s">
        <v>3748</v>
      </c>
      <c r="D634" s="71">
        <v>1600</v>
      </c>
    </row>
    <row r="635" spans="1:4" ht="15.75" x14ac:dyDescent="0.2">
      <c r="A635" s="62">
        <v>1866</v>
      </c>
      <c r="B635" s="43" t="s">
        <v>4541</v>
      </c>
      <c r="C635" s="44" t="s">
        <v>3748</v>
      </c>
      <c r="D635" s="71">
        <v>1900</v>
      </c>
    </row>
    <row r="636" spans="1:4" ht="15.75" x14ac:dyDescent="0.2">
      <c r="A636" s="62">
        <v>1867</v>
      </c>
      <c r="B636" s="43" t="s">
        <v>1252</v>
      </c>
      <c r="C636" s="44" t="s">
        <v>3748</v>
      </c>
      <c r="D636" s="71">
        <v>550</v>
      </c>
    </row>
    <row r="637" spans="1:4" ht="15.75" x14ac:dyDescent="0.2">
      <c r="A637" s="62">
        <v>1868</v>
      </c>
      <c r="B637" s="43" t="s">
        <v>1253</v>
      </c>
      <c r="C637" s="44" t="s">
        <v>3748</v>
      </c>
      <c r="D637" s="71">
        <v>390</v>
      </c>
    </row>
    <row r="638" spans="1:4" ht="31.5" x14ac:dyDescent="0.2">
      <c r="A638" s="62">
        <v>1869</v>
      </c>
      <c r="B638" s="43" t="s">
        <v>1021</v>
      </c>
      <c r="C638" s="44" t="s">
        <v>3748</v>
      </c>
      <c r="D638" s="71">
        <v>770</v>
      </c>
    </row>
    <row r="639" spans="1:4" ht="15.75" x14ac:dyDescent="0.2">
      <c r="A639" s="62">
        <v>1871</v>
      </c>
      <c r="B639" s="43" t="s">
        <v>3266</v>
      </c>
      <c r="C639" s="44" t="s">
        <v>3748</v>
      </c>
      <c r="D639" s="71">
        <v>1600</v>
      </c>
    </row>
    <row r="640" spans="1:4" ht="15.75" x14ac:dyDescent="0.2">
      <c r="A640" s="62">
        <v>1872</v>
      </c>
      <c r="B640" s="43" t="s">
        <v>3267</v>
      </c>
      <c r="C640" s="44" t="s">
        <v>3748</v>
      </c>
      <c r="D640" s="71">
        <v>2400</v>
      </c>
    </row>
    <row r="641" spans="1:4" ht="15.75" x14ac:dyDescent="0.2">
      <c r="A641" s="62">
        <v>1873</v>
      </c>
      <c r="B641" s="43" t="s">
        <v>4547</v>
      </c>
      <c r="C641" s="44" t="s">
        <v>3748</v>
      </c>
      <c r="D641" s="71">
        <v>1075</v>
      </c>
    </row>
    <row r="642" spans="1:4" ht="15.75" x14ac:dyDescent="0.2">
      <c r="A642" s="62">
        <v>1874</v>
      </c>
      <c r="B642" s="43" t="s">
        <v>4548</v>
      </c>
      <c r="C642" s="44" t="s">
        <v>3748</v>
      </c>
      <c r="D642" s="71">
        <v>210</v>
      </c>
    </row>
    <row r="643" spans="1:4" ht="15.75" x14ac:dyDescent="0.2">
      <c r="A643" s="62">
        <v>1875</v>
      </c>
      <c r="B643" s="43" t="s">
        <v>3268</v>
      </c>
      <c r="C643" s="44" t="s">
        <v>3748</v>
      </c>
      <c r="D643" s="71">
        <v>650</v>
      </c>
    </row>
    <row r="644" spans="1:4" ht="15.75" x14ac:dyDescent="0.2">
      <c r="A644" s="62">
        <v>1876</v>
      </c>
      <c r="B644" s="43" t="s">
        <v>3269</v>
      </c>
      <c r="C644" s="44" t="s">
        <v>3748</v>
      </c>
      <c r="D644" s="71">
        <v>600</v>
      </c>
    </row>
    <row r="645" spans="1:4" ht="15.75" x14ac:dyDescent="0.2">
      <c r="A645" s="62">
        <v>1878</v>
      </c>
      <c r="B645" s="43" t="s">
        <v>3270</v>
      </c>
      <c r="C645" s="44" t="s">
        <v>3748</v>
      </c>
      <c r="D645" s="71">
        <v>43</v>
      </c>
    </row>
    <row r="646" spans="1:4" ht="15.75" x14ac:dyDescent="0.2">
      <c r="A646" s="62">
        <v>1879</v>
      </c>
      <c r="B646" s="43" t="s">
        <v>3271</v>
      </c>
      <c r="C646" s="44" t="s">
        <v>3748</v>
      </c>
      <c r="D646" s="71">
        <v>60</v>
      </c>
    </row>
    <row r="647" spans="1:4" ht="15.75" x14ac:dyDescent="0.2">
      <c r="A647" s="62">
        <v>1881</v>
      </c>
      <c r="B647" s="43" t="s">
        <v>3272</v>
      </c>
      <c r="C647" s="44" t="s">
        <v>3747</v>
      </c>
      <c r="D647" s="71">
        <v>200</v>
      </c>
    </row>
    <row r="648" spans="1:4" ht="15.75" x14ac:dyDescent="0.2">
      <c r="A648" s="62">
        <v>1882</v>
      </c>
      <c r="B648" s="43" t="s">
        <v>3273</v>
      </c>
      <c r="C648" s="44" t="s">
        <v>3748</v>
      </c>
      <c r="D648" s="71">
        <v>65</v>
      </c>
    </row>
    <row r="649" spans="1:4" ht="15.75" x14ac:dyDescent="0.2">
      <c r="A649" s="62">
        <v>1885</v>
      </c>
      <c r="B649" s="43" t="s">
        <v>3274</v>
      </c>
      <c r="C649" s="44" t="s">
        <v>3748</v>
      </c>
      <c r="D649" s="71">
        <v>190</v>
      </c>
    </row>
    <row r="650" spans="1:4" ht="15.75" x14ac:dyDescent="0.2">
      <c r="A650" s="62">
        <v>1889</v>
      </c>
      <c r="B650" s="43" t="s">
        <v>3275</v>
      </c>
      <c r="C650" s="44" t="s">
        <v>3748</v>
      </c>
      <c r="D650" s="71">
        <v>300</v>
      </c>
    </row>
    <row r="651" spans="1:4" ht="31.5" x14ac:dyDescent="0.2">
      <c r="A651" s="62">
        <v>1891</v>
      </c>
      <c r="B651" s="43" t="s">
        <v>3276</v>
      </c>
      <c r="C651" s="44" t="s">
        <v>3748</v>
      </c>
      <c r="D651" s="71">
        <v>191</v>
      </c>
    </row>
    <row r="652" spans="1:4" ht="31.5" x14ac:dyDescent="0.2">
      <c r="A652" s="62">
        <v>1893</v>
      </c>
      <c r="B652" s="43" t="s">
        <v>3277</v>
      </c>
      <c r="C652" s="44" t="s">
        <v>3748</v>
      </c>
      <c r="D652" s="71">
        <v>241</v>
      </c>
    </row>
    <row r="653" spans="1:4" ht="15.75" x14ac:dyDescent="0.2">
      <c r="A653" s="62">
        <v>1894</v>
      </c>
      <c r="B653" s="43" t="s">
        <v>4475</v>
      </c>
      <c r="C653" s="44" t="s">
        <v>3748</v>
      </c>
      <c r="D653" s="71">
        <v>890</v>
      </c>
    </row>
    <row r="654" spans="1:4" ht="15.75" x14ac:dyDescent="0.2">
      <c r="A654" s="62">
        <v>1895</v>
      </c>
      <c r="B654" s="43" t="s">
        <v>3278</v>
      </c>
      <c r="C654" s="44" t="s">
        <v>3748</v>
      </c>
      <c r="D654" s="71">
        <v>150</v>
      </c>
    </row>
    <row r="655" spans="1:4" ht="15.75" x14ac:dyDescent="0.2">
      <c r="A655" s="62">
        <v>1896</v>
      </c>
      <c r="B655" s="43" t="s">
        <v>3279</v>
      </c>
      <c r="C655" s="44" t="s">
        <v>3748</v>
      </c>
      <c r="D655" s="71">
        <v>400</v>
      </c>
    </row>
    <row r="656" spans="1:4" ht="15.75" x14ac:dyDescent="0.2">
      <c r="A656" s="62">
        <v>1897</v>
      </c>
      <c r="B656" s="43" t="s">
        <v>3280</v>
      </c>
      <c r="C656" s="44" t="s">
        <v>3748</v>
      </c>
      <c r="D656" s="71">
        <v>350</v>
      </c>
    </row>
    <row r="657" spans="1:4" ht="15.75" x14ac:dyDescent="0.2">
      <c r="A657" s="62">
        <v>1898</v>
      </c>
      <c r="B657" s="43" t="s">
        <v>3281</v>
      </c>
      <c r="C657" s="44" t="s">
        <v>3748</v>
      </c>
      <c r="D657" s="71">
        <v>250</v>
      </c>
    </row>
    <row r="658" spans="1:4" ht="15.75" x14ac:dyDescent="0.2">
      <c r="A658" s="62">
        <v>1900</v>
      </c>
      <c r="B658" s="43" t="s">
        <v>3282</v>
      </c>
      <c r="C658" s="44" t="s">
        <v>3748</v>
      </c>
      <c r="D658" s="71">
        <v>83</v>
      </c>
    </row>
    <row r="659" spans="1:4" ht="15.75" x14ac:dyDescent="0.2">
      <c r="A659" s="62">
        <v>1902</v>
      </c>
      <c r="B659" s="43" t="s">
        <v>3283</v>
      </c>
      <c r="C659" s="44" t="s">
        <v>3748</v>
      </c>
      <c r="D659" s="71">
        <v>190</v>
      </c>
    </row>
    <row r="660" spans="1:4" s="40" customFormat="1" ht="15.75" x14ac:dyDescent="0.2">
      <c r="A660" s="62">
        <v>1903</v>
      </c>
      <c r="B660" s="43" t="s">
        <v>4959</v>
      </c>
      <c r="C660" s="44" t="s">
        <v>3748</v>
      </c>
      <c r="D660" s="71">
        <v>400</v>
      </c>
    </row>
    <row r="661" spans="1:4" ht="15.75" x14ac:dyDescent="0.2">
      <c r="A661" s="62">
        <v>1904</v>
      </c>
      <c r="B661" s="43" t="s">
        <v>3284</v>
      </c>
      <c r="C661" s="44" t="s">
        <v>3748</v>
      </c>
      <c r="D661" s="71">
        <v>425</v>
      </c>
    </row>
    <row r="662" spans="1:4" ht="15.75" x14ac:dyDescent="0.2">
      <c r="A662" s="62">
        <v>1913</v>
      </c>
      <c r="B662" s="43" t="s">
        <v>3285</v>
      </c>
      <c r="C662" s="44" t="s">
        <v>3748</v>
      </c>
      <c r="D662" s="71">
        <v>800</v>
      </c>
    </row>
    <row r="663" spans="1:4" ht="15.75" x14ac:dyDescent="0.2">
      <c r="A663" s="62">
        <v>1915</v>
      </c>
      <c r="B663" s="43" t="s">
        <v>4487</v>
      </c>
      <c r="C663" s="44" t="s">
        <v>3748</v>
      </c>
      <c r="D663" s="71">
        <v>800</v>
      </c>
    </row>
    <row r="664" spans="1:4" ht="15.75" x14ac:dyDescent="0.2">
      <c r="A664" s="62">
        <v>1922</v>
      </c>
      <c r="B664" s="43" t="s">
        <v>3286</v>
      </c>
      <c r="C664" s="44" t="s">
        <v>3748</v>
      </c>
      <c r="D664" s="71">
        <v>250</v>
      </c>
    </row>
    <row r="665" spans="1:4" ht="15.75" x14ac:dyDescent="0.2">
      <c r="A665" s="62">
        <v>1923</v>
      </c>
      <c r="B665" s="43" t="s">
        <v>3287</v>
      </c>
      <c r="C665" s="44" t="s">
        <v>3748</v>
      </c>
      <c r="D665" s="71">
        <v>370</v>
      </c>
    </row>
    <row r="666" spans="1:4" ht="15.75" x14ac:dyDescent="0.2">
      <c r="A666" s="62">
        <v>1924</v>
      </c>
      <c r="B666" s="43" t="s">
        <v>3288</v>
      </c>
      <c r="C666" s="44" t="s">
        <v>3748</v>
      </c>
      <c r="D666" s="71">
        <v>420</v>
      </c>
    </row>
    <row r="667" spans="1:4" ht="15.75" x14ac:dyDescent="0.2">
      <c r="A667" s="62">
        <v>1927</v>
      </c>
      <c r="B667" s="43" t="s">
        <v>3289</v>
      </c>
      <c r="C667" s="44" t="s">
        <v>3748</v>
      </c>
      <c r="D667" s="71">
        <v>410</v>
      </c>
    </row>
    <row r="668" spans="1:4" ht="15.75" x14ac:dyDescent="0.2">
      <c r="A668" s="62">
        <v>1928</v>
      </c>
      <c r="B668" s="43" t="s">
        <v>3290</v>
      </c>
      <c r="C668" s="44" t="s">
        <v>3748</v>
      </c>
      <c r="D668" s="71">
        <v>520</v>
      </c>
    </row>
    <row r="669" spans="1:4" ht="15.75" x14ac:dyDescent="0.2">
      <c r="A669" s="62">
        <v>1929</v>
      </c>
      <c r="B669" s="43" t="s">
        <v>3291</v>
      </c>
      <c r="C669" s="44" t="s">
        <v>3748</v>
      </c>
      <c r="D669" s="71">
        <v>580</v>
      </c>
    </row>
    <row r="670" spans="1:4" ht="15.75" x14ac:dyDescent="0.2">
      <c r="A670" s="62">
        <v>1930</v>
      </c>
      <c r="B670" s="43" t="s">
        <v>3292</v>
      </c>
      <c r="C670" s="44" t="s">
        <v>3748</v>
      </c>
      <c r="D670" s="71">
        <v>850</v>
      </c>
    </row>
    <row r="671" spans="1:4" ht="15.75" x14ac:dyDescent="0.2">
      <c r="A671" s="62">
        <v>1931</v>
      </c>
      <c r="B671" s="43" t="s">
        <v>3293</v>
      </c>
      <c r="C671" s="44" t="s">
        <v>3748</v>
      </c>
      <c r="D671" s="71">
        <v>1200</v>
      </c>
    </row>
    <row r="672" spans="1:4" ht="15.75" x14ac:dyDescent="0.2">
      <c r="A672" s="62">
        <v>1932</v>
      </c>
      <c r="B672" s="43" t="s">
        <v>3294</v>
      </c>
      <c r="C672" s="44" t="s">
        <v>3748</v>
      </c>
      <c r="D672" s="71">
        <v>2030</v>
      </c>
    </row>
    <row r="673" spans="1:4" ht="15.75" x14ac:dyDescent="0.2">
      <c r="A673" s="62">
        <v>1933</v>
      </c>
      <c r="B673" s="43" t="s">
        <v>3295</v>
      </c>
      <c r="C673" s="44" t="s">
        <v>3748</v>
      </c>
      <c r="D673" s="71">
        <v>420</v>
      </c>
    </row>
    <row r="674" spans="1:4" ht="15.75" x14ac:dyDescent="0.2">
      <c r="A674" s="62">
        <v>1934</v>
      </c>
      <c r="B674" s="43" t="s">
        <v>3296</v>
      </c>
      <c r="C674" s="44" t="s">
        <v>3748</v>
      </c>
      <c r="D674" s="71">
        <v>550</v>
      </c>
    </row>
    <row r="675" spans="1:4" ht="15.75" x14ac:dyDescent="0.2">
      <c r="A675" s="62">
        <v>1935</v>
      </c>
      <c r="B675" s="43" t="s">
        <v>3297</v>
      </c>
      <c r="C675" s="44" t="s">
        <v>3748</v>
      </c>
      <c r="D675" s="71">
        <v>720</v>
      </c>
    </row>
    <row r="676" spans="1:4" ht="15.75" x14ac:dyDescent="0.2">
      <c r="A676" s="62">
        <v>1936</v>
      </c>
      <c r="B676" s="43" t="s">
        <v>3298</v>
      </c>
      <c r="C676" s="44" t="s">
        <v>3748</v>
      </c>
      <c r="D676" s="71">
        <v>1080</v>
      </c>
    </row>
    <row r="677" spans="1:4" ht="15.75" x14ac:dyDescent="0.2">
      <c r="A677" s="62">
        <v>1937</v>
      </c>
      <c r="B677" s="43" t="s">
        <v>3299</v>
      </c>
      <c r="C677" s="44" t="s">
        <v>3748</v>
      </c>
      <c r="D677" s="71">
        <v>1900</v>
      </c>
    </row>
    <row r="678" spans="1:4" ht="15.75" x14ac:dyDescent="0.2">
      <c r="A678" s="62">
        <v>1938</v>
      </c>
      <c r="B678" s="43" t="s">
        <v>3300</v>
      </c>
      <c r="C678" s="44" t="s">
        <v>3748</v>
      </c>
      <c r="D678" s="71">
        <v>2700</v>
      </c>
    </row>
    <row r="679" spans="1:4" ht="15.75" x14ac:dyDescent="0.2">
      <c r="A679" s="62">
        <v>1940</v>
      </c>
      <c r="B679" s="43" t="s">
        <v>3301</v>
      </c>
      <c r="C679" s="44" t="s">
        <v>3748</v>
      </c>
      <c r="D679" s="71">
        <v>3000</v>
      </c>
    </row>
    <row r="680" spans="1:4" ht="15.75" x14ac:dyDescent="0.2">
      <c r="A680" s="62">
        <v>1941</v>
      </c>
      <c r="B680" s="43" t="s">
        <v>3302</v>
      </c>
      <c r="C680" s="44" t="s">
        <v>3748</v>
      </c>
      <c r="D680" s="71">
        <v>3755</v>
      </c>
    </row>
    <row r="681" spans="1:4" ht="15.75" x14ac:dyDescent="0.2">
      <c r="A681" s="62">
        <v>1942</v>
      </c>
      <c r="B681" s="43" t="s">
        <v>3303</v>
      </c>
      <c r="C681" s="44" t="s">
        <v>3748</v>
      </c>
      <c r="D681" s="71">
        <v>4510</v>
      </c>
    </row>
    <row r="682" spans="1:4" ht="15.75" x14ac:dyDescent="0.2">
      <c r="A682" s="62">
        <v>1943</v>
      </c>
      <c r="B682" s="43" t="s">
        <v>3304</v>
      </c>
      <c r="C682" s="44" t="s">
        <v>3748</v>
      </c>
      <c r="D682" s="71">
        <v>8585</v>
      </c>
    </row>
    <row r="683" spans="1:4" ht="15.75" x14ac:dyDescent="0.2">
      <c r="A683" s="62">
        <v>1944</v>
      </c>
      <c r="B683" s="43" t="s">
        <v>3305</v>
      </c>
      <c r="C683" s="44" t="s">
        <v>3748</v>
      </c>
      <c r="D683" s="71">
        <v>12785</v>
      </c>
    </row>
    <row r="684" spans="1:4" ht="15.75" x14ac:dyDescent="0.2">
      <c r="A684" s="62">
        <v>1945</v>
      </c>
      <c r="B684" s="43" t="s">
        <v>3306</v>
      </c>
      <c r="C684" s="44" t="s">
        <v>3748</v>
      </c>
      <c r="D684" s="71">
        <v>15750</v>
      </c>
    </row>
    <row r="685" spans="1:4" ht="15.75" x14ac:dyDescent="0.2">
      <c r="A685" s="62">
        <v>1947</v>
      </c>
      <c r="B685" s="43" t="s">
        <v>3307</v>
      </c>
      <c r="C685" s="44" t="s">
        <v>3748</v>
      </c>
      <c r="D685" s="71">
        <v>930</v>
      </c>
    </row>
    <row r="686" spans="1:4" ht="15.75" x14ac:dyDescent="0.2">
      <c r="A686" s="62">
        <v>1949</v>
      </c>
      <c r="B686" s="43" t="s">
        <v>3308</v>
      </c>
      <c r="C686" s="44" t="s">
        <v>3748</v>
      </c>
      <c r="D686" s="71">
        <v>860</v>
      </c>
    </row>
    <row r="687" spans="1:4" ht="15.75" x14ac:dyDescent="0.2">
      <c r="A687" s="62">
        <v>1950</v>
      </c>
      <c r="B687" s="43" t="s">
        <v>3309</v>
      </c>
      <c r="C687" s="44" t="s">
        <v>3748</v>
      </c>
      <c r="D687" s="71">
        <v>550</v>
      </c>
    </row>
    <row r="688" spans="1:4" ht="15.75" x14ac:dyDescent="0.2">
      <c r="A688" s="62">
        <v>1951</v>
      </c>
      <c r="B688" s="43" t="s">
        <v>4537</v>
      </c>
      <c r="C688" s="44" t="s">
        <v>3748</v>
      </c>
      <c r="D688" s="71">
        <v>115</v>
      </c>
    </row>
    <row r="689" spans="1:4" ht="15.75" x14ac:dyDescent="0.2">
      <c r="A689" s="62">
        <v>1952</v>
      </c>
      <c r="B689" s="43" t="s">
        <v>4538</v>
      </c>
      <c r="C689" s="44" t="s">
        <v>3748</v>
      </c>
      <c r="D689" s="71">
        <v>185</v>
      </c>
    </row>
    <row r="690" spans="1:4" ht="15.75" x14ac:dyDescent="0.2">
      <c r="A690" s="62">
        <v>1953</v>
      </c>
      <c r="B690" s="43" t="s">
        <v>3310</v>
      </c>
      <c r="C690" s="44" t="s">
        <v>3748</v>
      </c>
      <c r="D690" s="71">
        <v>530</v>
      </c>
    </row>
    <row r="691" spans="1:4" ht="15.75" x14ac:dyDescent="0.2">
      <c r="A691" s="62">
        <v>1954</v>
      </c>
      <c r="B691" s="43" t="s">
        <v>3311</v>
      </c>
      <c r="C691" s="44" t="s">
        <v>3748</v>
      </c>
      <c r="D691" s="71">
        <v>1280</v>
      </c>
    </row>
    <row r="692" spans="1:4" ht="15.75" x14ac:dyDescent="0.2">
      <c r="A692" s="62">
        <v>1955</v>
      </c>
      <c r="B692" s="43" t="s">
        <v>3312</v>
      </c>
      <c r="C692" s="44" t="s">
        <v>3748</v>
      </c>
      <c r="D692" s="71">
        <v>1015</v>
      </c>
    </row>
    <row r="693" spans="1:4" ht="15.75" x14ac:dyDescent="0.2">
      <c r="A693" s="62">
        <v>1956</v>
      </c>
      <c r="B693" s="43" t="s">
        <v>3313</v>
      </c>
      <c r="C693" s="44" t="s">
        <v>3748</v>
      </c>
      <c r="D693" s="71">
        <v>14</v>
      </c>
    </row>
    <row r="694" spans="1:4" ht="15.75" x14ac:dyDescent="0.2">
      <c r="A694" s="62">
        <v>1957</v>
      </c>
      <c r="B694" s="43" t="s">
        <v>3314</v>
      </c>
      <c r="C694" s="44" t="s">
        <v>3748</v>
      </c>
      <c r="D694" s="71">
        <v>14</v>
      </c>
    </row>
    <row r="695" spans="1:4" ht="15.75" x14ac:dyDescent="0.2">
      <c r="A695" s="62">
        <v>1958</v>
      </c>
      <c r="B695" s="43" t="s">
        <v>3315</v>
      </c>
      <c r="C695" s="44" t="s">
        <v>3748</v>
      </c>
      <c r="D695" s="71">
        <v>19</v>
      </c>
    </row>
    <row r="696" spans="1:4" ht="15.75" x14ac:dyDescent="0.2">
      <c r="A696" s="62">
        <v>1959</v>
      </c>
      <c r="B696" s="43" t="s">
        <v>3316</v>
      </c>
      <c r="C696" s="44" t="s">
        <v>3748</v>
      </c>
      <c r="D696" s="71">
        <v>19</v>
      </c>
    </row>
    <row r="697" spans="1:4" ht="15.75" x14ac:dyDescent="0.2">
      <c r="A697" s="62">
        <v>1960</v>
      </c>
      <c r="B697" s="43" t="s">
        <v>3317</v>
      </c>
      <c r="C697" s="44" t="s">
        <v>3748</v>
      </c>
      <c r="D697" s="71">
        <v>20</v>
      </c>
    </row>
    <row r="698" spans="1:4" ht="15.75" x14ac:dyDescent="0.2">
      <c r="A698" s="62">
        <v>1961</v>
      </c>
      <c r="B698" s="43" t="s">
        <v>3318</v>
      </c>
      <c r="C698" s="44" t="s">
        <v>3748</v>
      </c>
      <c r="D698" s="71">
        <v>24</v>
      </c>
    </row>
    <row r="699" spans="1:4" ht="15.75" x14ac:dyDescent="0.2">
      <c r="A699" s="62">
        <v>1962</v>
      </c>
      <c r="B699" s="43" t="s">
        <v>3319</v>
      </c>
      <c r="C699" s="44" t="s">
        <v>3748</v>
      </c>
      <c r="D699" s="71">
        <v>34</v>
      </c>
    </row>
    <row r="700" spans="1:4" ht="15.75" x14ac:dyDescent="0.2">
      <c r="A700" s="62">
        <v>1963</v>
      </c>
      <c r="B700" s="43" t="s">
        <v>3320</v>
      </c>
      <c r="C700" s="44" t="s">
        <v>3748</v>
      </c>
      <c r="D700" s="71">
        <v>43</v>
      </c>
    </row>
    <row r="701" spans="1:4" ht="15.75" x14ac:dyDescent="0.2">
      <c r="A701" s="62">
        <v>1964</v>
      </c>
      <c r="B701" s="43" t="s">
        <v>3321</v>
      </c>
      <c r="C701" s="44" t="s">
        <v>3748</v>
      </c>
      <c r="D701" s="71">
        <v>48</v>
      </c>
    </row>
    <row r="702" spans="1:4" ht="50.25" customHeight="1" x14ac:dyDescent="0.2">
      <c r="A702" s="62">
        <v>1965</v>
      </c>
      <c r="B702" s="43" t="s">
        <v>3322</v>
      </c>
      <c r="C702" s="44" t="s">
        <v>3748</v>
      </c>
      <c r="D702" s="71">
        <v>5500</v>
      </c>
    </row>
    <row r="703" spans="1:4" ht="15.75" x14ac:dyDescent="0.2">
      <c r="A703" s="62">
        <v>1966</v>
      </c>
      <c r="B703" s="43" t="s">
        <v>4554</v>
      </c>
      <c r="C703" s="44" t="s">
        <v>3748</v>
      </c>
      <c r="D703" s="71">
        <v>240</v>
      </c>
    </row>
    <row r="704" spans="1:4" ht="15.75" x14ac:dyDescent="0.2">
      <c r="A704" s="62">
        <v>1967</v>
      </c>
      <c r="B704" s="43" t="s">
        <v>4555</v>
      </c>
      <c r="C704" s="44" t="s">
        <v>3748</v>
      </c>
      <c r="D704" s="71">
        <v>280</v>
      </c>
    </row>
    <row r="705" spans="1:4" ht="15.75" x14ac:dyDescent="0.2">
      <c r="A705" s="62">
        <v>1968</v>
      </c>
      <c r="B705" s="43" t="s">
        <v>4556</v>
      </c>
      <c r="C705" s="44" t="s">
        <v>3748</v>
      </c>
      <c r="D705" s="71">
        <v>150</v>
      </c>
    </row>
    <row r="706" spans="1:4" ht="15.75" x14ac:dyDescent="0.2">
      <c r="A706" s="62">
        <v>1969</v>
      </c>
      <c r="B706" s="43" t="s">
        <v>4558</v>
      </c>
      <c r="C706" s="44" t="s">
        <v>3748</v>
      </c>
      <c r="D706" s="71">
        <v>170</v>
      </c>
    </row>
    <row r="707" spans="1:4" ht="15.75" x14ac:dyDescent="0.2">
      <c r="A707" s="62">
        <v>1970</v>
      </c>
      <c r="B707" s="43" t="s">
        <v>4557</v>
      </c>
      <c r="C707" s="44" t="s">
        <v>3748</v>
      </c>
      <c r="D707" s="71">
        <v>70</v>
      </c>
    </row>
    <row r="708" spans="1:4" ht="15.75" x14ac:dyDescent="0.2">
      <c r="A708" s="62">
        <v>1971</v>
      </c>
      <c r="B708" s="43" t="s">
        <v>4559</v>
      </c>
      <c r="C708" s="44" t="s">
        <v>3748</v>
      </c>
      <c r="D708" s="71">
        <v>170</v>
      </c>
    </row>
    <row r="709" spans="1:4" ht="15.75" x14ac:dyDescent="0.2">
      <c r="A709" s="62">
        <v>1972</v>
      </c>
      <c r="B709" s="65" t="s">
        <v>4562</v>
      </c>
      <c r="C709" s="44" t="s">
        <v>3748</v>
      </c>
      <c r="D709" s="71">
        <v>170</v>
      </c>
    </row>
    <row r="710" spans="1:4" ht="15.75" x14ac:dyDescent="0.2">
      <c r="A710" s="62">
        <v>1973</v>
      </c>
      <c r="B710" s="65" t="s">
        <v>4560</v>
      </c>
      <c r="C710" s="44" t="s">
        <v>3748</v>
      </c>
      <c r="D710" s="71">
        <v>230</v>
      </c>
    </row>
    <row r="711" spans="1:4" ht="15.75" x14ac:dyDescent="0.2">
      <c r="A711" s="62">
        <v>1974</v>
      </c>
      <c r="B711" s="65" t="s">
        <v>4561</v>
      </c>
      <c r="C711" s="44" t="s">
        <v>3748</v>
      </c>
      <c r="D711" s="71">
        <v>380</v>
      </c>
    </row>
    <row r="712" spans="1:4" ht="15.75" x14ac:dyDescent="0.2">
      <c r="A712" s="62">
        <v>1979</v>
      </c>
      <c r="B712" s="43" t="s">
        <v>3323</v>
      </c>
      <c r="C712" s="44" t="s">
        <v>3069</v>
      </c>
      <c r="D712" s="71">
        <v>140</v>
      </c>
    </row>
    <row r="713" spans="1:4" ht="15.75" x14ac:dyDescent="0.2">
      <c r="A713" s="62">
        <v>1980</v>
      </c>
      <c r="B713" s="43" t="s">
        <v>3324</v>
      </c>
      <c r="C713" s="44" t="s">
        <v>3751</v>
      </c>
      <c r="D713" s="71">
        <v>12</v>
      </c>
    </row>
    <row r="714" spans="1:4" ht="15.75" x14ac:dyDescent="0.2">
      <c r="A714" s="62">
        <v>1984</v>
      </c>
      <c r="B714" s="43" t="s">
        <v>3325</v>
      </c>
      <c r="C714" s="44" t="s">
        <v>3326</v>
      </c>
      <c r="D714" s="71">
        <v>4500</v>
      </c>
    </row>
    <row r="715" spans="1:4" ht="15.75" x14ac:dyDescent="0.2">
      <c r="A715" s="62">
        <v>1986</v>
      </c>
      <c r="B715" s="43" t="s">
        <v>639</v>
      </c>
      <c r="C715" s="44" t="s">
        <v>3326</v>
      </c>
      <c r="D715" s="71">
        <v>6000</v>
      </c>
    </row>
    <row r="716" spans="1:4" ht="15.75" x14ac:dyDescent="0.2">
      <c r="A716" s="62">
        <v>2200</v>
      </c>
      <c r="B716" s="43" t="s">
        <v>3418</v>
      </c>
      <c r="C716" s="44" t="s">
        <v>4100</v>
      </c>
      <c r="D716" s="71">
        <v>0</v>
      </c>
    </row>
    <row r="717" spans="1:4" ht="15.75" x14ac:dyDescent="0.2">
      <c r="A717" s="62">
        <v>2201</v>
      </c>
      <c r="B717" s="43" t="s">
        <v>4124</v>
      </c>
      <c r="C717" s="44" t="s">
        <v>3326</v>
      </c>
      <c r="D717" s="71">
        <v>0</v>
      </c>
    </row>
    <row r="718" spans="1:4" ht="15.75" x14ac:dyDescent="0.2">
      <c r="A718" s="62">
        <v>2202</v>
      </c>
      <c r="B718" s="43" t="s">
        <v>3327</v>
      </c>
      <c r="C718" s="44" t="s">
        <v>3751</v>
      </c>
      <c r="D718" s="71">
        <v>0</v>
      </c>
    </row>
    <row r="719" spans="1:4" ht="15.75" x14ac:dyDescent="0.2">
      <c r="A719" s="62">
        <v>2203</v>
      </c>
      <c r="B719" s="43" t="s">
        <v>4104</v>
      </c>
      <c r="C719" s="44" t="s">
        <v>3751</v>
      </c>
      <c r="D719" s="71">
        <v>0</v>
      </c>
    </row>
    <row r="720" spans="1:4" ht="15.75" x14ac:dyDescent="0.2">
      <c r="A720" s="62">
        <v>2204</v>
      </c>
      <c r="B720" s="43" t="s">
        <v>4185</v>
      </c>
      <c r="C720" s="44" t="s">
        <v>3751</v>
      </c>
      <c r="D720" s="71">
        <v>0</v>
      </c>
    </row>
    <row r="721" spans="1:4" ht="15.75" x14ac:dyDescent="0.2">
      <c r="A721" s="62">
        <v>2205</v>
      </c>
      <c r="B721" s="43" t="s">
        <v>3328</v>
      </c>
      <c r="C721" s="44" t="s">
        <v>4100</v>
      </c>
      <c r="D721" s="71">
        <v>150</v>
      </c>
    </row>
    <row r="722" spans="1:4" ht="15.75" x14ac:dyDescent="0.2">
      <c r="A722" s="62">
        <v>2206</v>
      </c>
      <c r="B722" s="43" t="s">
        <v>3329</v>
      </c>
      <c r="C722" s="44" t="s">
        <v>3751</v>
      </c>
      <c r="D722" s="71">
        <v>0</v>
      </c>
    </row>
    <row r="723" spans="1:4" ht="15.75" x14ac:dyDescent="0.2">
      <c r="A723" s="62">
        <v>2207</v>
      </c>
      <c r="B723" s="43" t="s">
        <v>4131</v>
      </c>
      <c r="C723" s="44" t="s">
        <v>3326</v>
      </c>
      <c r="D723" s="71">
        <v>0</v>
      </c>
    </row>
    <row r="724" spans="1:4" ht="15.75" x14ac:dyDescent="0.2">
      <c r="A724" s="62">
        <v>2208</v>
      </c>
      <c r="B724" s="43" t="s">
        <v>3330</v>
      </c>
      <c r="C724" s="44" t="s">
        <v>3751</v>
      </c>
      <c r="D724" s="71">
        <v>0</v>
      </c>
    </row>
    <row r="725" spans="1:4" ht="15.75" x14ac:dyDescent="0.2">
      <c r="A725" s="62">
        <v>2209</v>
      </c>
      <c r="B725" s="43" t="s">
        <v>4101</v>
      </c>
      <c r="C725" s="44" t="s">
        <v>4100</v>
      </c>
      <c r="D725" s="71">
        <v>0</v>
      </c>
    </row>
    <row r="726" spans="1:4" ht="15.75" x14ac:dyDescent="0.2">
      <c r="A726" s="62">
        <v>2210</v>
      </c>
      <c r="B726" s="43" t="s">
        <v>2582</v>
      </c>
      <c r="C726" s="44" t="s">
        <v>4100</v>
      </c>
      <c r="D726" s="71">
        <v>0</v>
      </c>
    </row>
    <row r="727" spans="1:4" ht="15.75" x14ac:dyDescent="0.2">
      <c r="A727" s="62">
        <v>2211</v>
      </c>
      <c r="B727" s="43" t="s">
        <v>3331</v>
      </c>
      <c r="C727" s="44" t="s">
        <v>4100</v>
      </c>
      <c r="D727" s="71">
        <v>0</v>
      </c>
    </row>
    <row r="728" spans="1:4" ht="15.75" x14ac:dyDescent="0.2">
      <c r="A728" s="62">
        <v>2215</v>
      </c>
      <c r="B728" s="43" t="s">
        <v>3332</v>
      </c>
      <c r="C728" s="44" t="s">
        <v>3751</v>
      </c>
      <c r="D728" s="71">
        <v>0</v>
      </c>
    </row>
    <row r="729" spans="1:4" ht="15.75" x14ac:dyDescent="0.2">
      <c r="A729" s="62">
        <v>2216</v>
      </c>
      <c r="B729" s="43" t="s">
        <v>4143</v>
      </c>
      <c r="C729" s="44" t="s">
        <v>4100</v>
      </c>
      <c r="D729" s="71">
        <v>0</v>
      </c>
    </row>
    <row r="730" spans="1:4" ht="15.75" x14ac:dyDescent="0.2">
      <c r="A730" s="62">
        <v>2224</v>
      </c>
      <c r="B730" s="43" t="s">
        <v>3333</v>
      </c>
      <c r="C730" s="44" t="s">
        <v>3334</v>
      </c>
      <c r="D730" s="71">
        <v>0</v>
      </c>
    </row>
    <row r="731" spans="1:4" ht="15.75" x14ac:dyDescent="0.2">
      <c r="A731" s="62">
        <v>2225</v>
      </c>
      <c r="B731" s="43" t="s">
        <v>3335</v>
      </c>
      <c r="C731" s="44" t="s">
        <v>3334</v>
      </c>
      <c r="D731" s="71">
        <v>0</v>
      </c>
    </row>
    <row r="732" spans="1:4" ht="15.75" x14ac:dyDescent="0.2">
      <c r="A732" s="62">
        <v>2226</v>
      </c>
      <c r="B732" s="43" t="s">
        <v>3336</v>
      </c>
      <c r="C732" s="44" t="s">
        <v>3334</v>
      </c>
      <c r="D732" s="71">
        <v>0</v>
      </c>
    </row>
    <row r="733" spans="1:4" ht="15.75" x14ac:dyDescent="0.2">
      <c r="A733" s="62">
        <v>2227</v>
      </c>
      <c r="B733" s="43" t="s">
        <v>3337</v>
      </c>
      <c r="C733" s="44" t="s">
        <v>3334</v>
      </c>
      <c r="D733" s="71">
        <v>0</v>
      </c>
    </row>
    <row r="734" spans="1:4" ht="15.75" x14ac:dyDescent="0.2">
      <c r="A734" s="62">
        <v>2228</v>
      </c>
      <c r="B734" s="43" t="s">
        <v>3338</v>
      </c>
      <c r="C734" s="44" t="s">
        <v>3334</v>
      </c>
      <c r="D734" s="71">
        <v>0</v>
      </c>
    </row>
    <row r="735" spans="1:4" ht="15.75" x14ac:dyDescent="0.2">
      <c r="A735" s="62">
        <v>2229</v>
      </c>
      <c r="B735" s="43" t="s">
        <v>3339</v>
      </c>
      <c r="C735" s="44" t="s">
        <v>3334</v>
      </c>
      <c r="D735" s="71">
        <v>0</v>
      </c>
    </row>
    <row r="736" spans="1:4" ht="15.75" x14ac:dyDescent="0.2">
      <c r="A736" s="62">
        <v>2241</v>
      </c>
      <c r="B736" s="43" t="s">
        <v>3340</v>
      </c>
      <c r="C736" s="44" t="s">
        <v>3751</v>
      </c>
      <c r="D736" s="71">
        <v>0</v>
      </c>
    </row>
    <row r="737" spans="1:4" ht="15.75" x14ac:dyDescent="0.2">
      <c r="A737" s="62">
        <v>2242</v>
      </c>
      <c r="B737" s="43" t="s">
        <v>3341</v>
      </c>
      <c r="C737" s="44" t="s">
        <v>3751</v>
      </c>
      <c r="D737" s="71">
        <v>0</v>
      </c>
    </row>
    <row r="738" spans="1:4" ht="15.75" x14ac:dyDescent="0.2">
      <c r="A738" s="62">
        <v>2260</v>
      </c>
      <c r="B738" s="43" t="s">
        <v>3342</v>
      </c>
      <c r="C738" s="44" t="s">
        <v>3751</v>
      </c>
      <c r="D738" s="71">
        <v>0</v>
      </c>
    </row>
    <row r="739" spans="1:4" ht="15.75" x14ac:dyDescent="0.2">
      <c r="A739" s="62">
        <v>2261</v>
      </c>
      <c r="B739" s="43" t="s">
        <v>3343</v>
      </c>
      <c r="C739" s="44" t="s">
        <v>3751</v>
      </c>
      <c r="D739" s="71">
        <v>0</v>
      </c>
    </row>
    <row r="740" spans="1:4" ht="15.75" x14ac:dyDescent="0.2">
      <c r="A740" s="62">
        <v>2262</v>
      </c>
      <c r="B740" s="43" t="s">
        <v>3324</v>
      </c>
      <c r="C740" s="44" t="s">
        <v>3751</v>
      </c>
      <c r="D740" s="71">
        <v>0</v>
      </c>
    </row>
    <row r="741" spans="1:4" ht="15.75" x14ac:dyDescent="0.2">
      <c r="A741" s="62">
        <v>2264</v>
      </c>
      <c r="B741" s="43" t="s">
        <v>3344</v>
      </c>
      <c r="C741" s="44" t="s">
        <v>3751</v>
      </c>
      <c r="D741" s="71">
        <v>0</v>
      </c>
    </row>
    <row r="742" spans="1:4" ht="15.75" x14ac:dyDescent="0.2">
      <c r="A742" s="62">
        <v>2265</v>
      </c>
      <c r="B742" s="43" t="s">
        <v>3345</v>
      </c>
      <c r="C742" s="44" t="s">
        <v>3751</v>
      </c>
      <c r="D742" s="71">
        <v>0</v>
      </c>
    </row>
    <row r="743" spans="1:4" ht="15.75" x14ac:dyDescent="0.2">
      <c r="A743" s="62">
        <v>2266</v>
      </c>
      <c r="B743" s="43" t="s">
        <v>3346</v>
      </c>
      <c r="C743" s="44" t="s">
        <v>3751</v>
      </c>
      <c r="D743" s="71">
        <v>0</v>
      </c>
    </row>
    <row r="744" spans="1:4" ht="15.75" x14ac:dyDescent="0.2">
      <c r="A744" s="62">
        <v>2267</v>
      </c>
      <c r="B744" s="43" t="s">
        <v>4106</v>
      </c>
      <c r="C744" s="44" t="s">
        <v>3751</v>
      </c>
      <c r="D744" s="71">
        <v>0</v>
      </c>
    </row>
    <row r="745" spans="1:4" ht="15.75" x14ac:dyDescent="0.2">
      <c r="A745" s="62">
        <v>2268</v>
      </c>
      <c r="B745" s="43" t="s">
        <v>3347</v>
      </c>
      <c r="C745" s="44" t="s">
        <v>3751</v>
      </c>
      <c r="D745" s="71">
        <v>0</v>
      </c>
    </row>
    <row r="746" spans="1:4" ht="15.75" x14ac:dyDescent="0.2">
      <c r="A746" s="62">
        <v>2271</v>
      </c>
      <c r="B746" s="43" t="s">
        <v>3348</v>
      </c>
      <c r="C746" s="44" t="s">
        <v>4100</v>
      </c>
      <c r="D746" s="71">
        <v>0</v>
      </c>
    </row>
    <row r="747" spans="1:4" ht="15.75" x14ac:dyDescent="0.2">
      <c r="A747" s="62">
        <v>2273</v>
      </c>
      <c r="B747" s="43" t="s">
        <v>3349</v>
      </c>
      <c r="C747" s="44" t="s">
        <v>4100</v>
      </c>
      <c r="D747" s="71">
        <v>0</v>
      </c>
    </row>
    <row r="748" spans="1:4" ht="15.75" x14ac:dyDescent="0.2">
      <c r="A748" s="62">
        <v>2275</v>
      </c>
      <c r="B748" s="43" t="s">
        <v>3350</v>
      </c>
      <c r="C748" s="44" t="s">
        <v>3334</v>
      </c>
      <c r="D748" s="71">
        <v>0</v>
      </c>
    </row>
    <row r="749" spans="1:4" ht="15.75" x14ac:dyDescent="0.2">
      <c r="A749" s="62">
        <v>2281</v>
      </c>
      <c r="B749" s="43" t="s">
        <v>3351</v>
      </c>
      <c r="C749" s="44" t="s">
        <v>3334</v>
      </c>
      <c r="D749" s="71">
        <v>0</v>
      </c>
    </row>
    <row r="750" spans="1:4" ht="15.75" x14ac:dyDescent="0.2">
      <c r="A750" s="62">
        <v>2287</v>
      </c>
      <c r="B750" s="43" t="s">
        <v>3352</v>
      </c>
      <c r="C750" s="44" t="s">
        <v>3334</v>
      </c>
      <c r="D750" s="71">
        <v>0</v>
      </c>
    </row>
    <row r="751" spans="1:4" ht="15.75" x14ac:dyDescent="0.2">
      <c r="A751" s="62">
        <v>2290</v>
      </c>
      <c r="B751" s="43" t="s">
        <v>3353</v>
      </c>
      <c r="C751" s="44" t="s">
        <v>3334</v>
      </c>
      <c r="D751" s="71">
        <v>0</v>
      </c>
    </row>
    <row r="752" spans="1:4" ht="15.75" x14ac:dyDescent="0.2">
      <c r="A752" s="62">
        <v>2299</v>
      </c>
      <c r="B752" s="43" t="s">
        <v>3354</v>
      </c>
      <c r="C752" s="44" t="s">
        <v>3334</v>
      </c>
      <c r="D752" s="71">
        <v>0</v>
      </c>
    </row>
    <row r="753" spans="1:4" ht="15.75" x14ac:dyDescent="0.2">
      <c r="A753" s="62">
        <v>2302</v>
      </c>
      <c r="B753" s="43" t="s">
        <v>3355</v>
      </c>
      <c r="C753" s="44" t="s">
        <v>4100</v>
      </c>
      <c r="D753" s="71">
        <v>0</v>
      </c>
    </row>
    <row r="754" spans="1:4" ht="15.75" x14ac:dyDescent="0.2">
      <c r="A754" s="62">
        <v>2303</v>
      </c>
      <c r="B754" s="43" t="s">
        <v>3356</v>
      </c>
      <c r="C754" s="44" t="s">
        <v>3334</v>
      </c>
      <c r="D754" s="71">
        <v>0</v>
      </c>
    </row>
    <row r="755" spans="1:4" ht="15.75" x14ac:dyDescent="0.2">
      <c r="A755" s="62">
        <v>2308</v>
      </c>
      <c r="B755" s="43" t="s">
        <v>3357</v>
      </c>
      <c r="C755" s="44" t="s">
        <v>4100</v>
      </c>
      <c r="D755" s="71">
        <v>0</v>
      </c>
    </row>
    <row r="756" spans="1:4" ht="15.75" x14ac:dyDescent="0.2">
      <c r="A756" s="62">
        <v>2309</v>
      </c>
      <c r="B756" s="43" t="s">
        <v>3358</v>
      </c>
      <c r="C756" s="44" t="s">
        <v>4100</v>
      </c>
      <c r="D756" s="71">
        <v>0</v>
      </c>
    </row>
    <row r="757" spans="1:4" ht="15.75" x14ac:dyDescent="0.2">
      <c r="A757" s="62">
        <v>2311</v>
      </c>
      <c r="B757" s="43" t="s">
        <v>3359</v>
      </c>
      <c r="C757" s="44" t="s">
        <v>3751</v>
      </c>
      <c r="D757" s="71">
        <v>0</v>
      </c>
    </row>
    <row r="758" spans="1:4" ht="15.75" x14ac:dyDescent="0.2">
      <c r="A758" s="62">
        <v>2314</v>
      </c>
      <c r="B758" s="43" t="s">
        <v>3360</v>
      </c>
      <c r="C758" s="44" t="s">
        <v>4100</v>
      </c>
      <c r="D758" s="71">
        <v>0</v>
      </c>
    </row>
    <row r="759" spans="1:4" ht="15.75" x14ac:dyDescent="0.2">
      <c r="A759" s="62">
        <v>2317</v>
      </c>
      <c r="B759" s="43" t="s">
        <v>3361</v>
      </c>
      <c r="C759" s="44" t="s">
        <v>3751</v>
      </c>
      <c r="D759" s="71">
        <v>0</v>
      </c>
    </row>
    <row r="760" spans="1:4" ht="15.75" x14ac:dyDescent="0.2">
      <c r="A760" s="62">
        <v>2319</v>
      </c>
      <c r="B760" s="43" t="s">
        <v>3362</v>
      </c>
      <c r="C760" s="44" t="s">
        <v>3334</v>
      </c>
      <c r="D760" s="71">
        <v>0</v>
      </c>
    </row>
    <row r="761" spans="1:4" ht="15.75" x14ac:dyDescent="0.2">
      <c r="A761" s="62">
        <v>2320</v>
      </c>
      <c r="B761" s="43" t="s">
        <v>3363</v>
      </c>
      <c r="C761" s="44" t="s">
        <v>3334</v>
      </c>
      <c r="D761" s="71">
        <v>0</v>
      </c>
    </row>
    <row r="762" spans="1:4" ht="15.75" x14ac:dyDescent="0.2">
      <c r="A762" s="62">
        <v>2321</v>
      </c>
      <c r="B762" s="43" t="s">
        <v>3364</v>
      </c>
      <c r="C762" s="44" t="s">
        <v>3334</v>
      </c>
      <c r="D762" s="71">
        <v>0</v>
      </c>
    </row>
    <row r="763" spans="1:4" ht="15.75" x14ac:dyDescent="0.2">
      <c r="A763" s="62">
        <v>2322</v>
      </c>
      <c r="B763" s="43" t="s">
        <v>3365</v>
      </c>
      <c r="C763" s="44" t="s">
        <v>3334</v>
      </c>
      <c r="D763" s="71">
        <v>0</v>
      </c>
    </row>
    <row r="764" spans="1:4" ht="15.75" x14ac:dyDescent="0.2">
      <c r="A764" s="62">
        <v>2323</v>
      </c>
      <c r="B764" s="43" t="s">
        <v>3366</v>
      </c>
      <c r="C764" s="44" t="s">
        <v>3334</v>
      </c>
      <c r="D764" s="71">
        <v>0</v>
      </c>
    </row>
    <row r="765" spans="1:4" ht="15.75" x14ac:dyDescent="0.2">
      <c r="A765" s="62">
        <v>2324</v>
      </c>
      <c r="B765" s="43" t="s">
        <v>3367</v>
      </c>
      <c r="C765" s="44" t="s">
        <v>3334</v>
      </c>
      <c r="D765" s="71">
        <v>0</v>
      </c>
    </row>
    <row r="766" spans="1:4" ht="15.75" x14ac:dyDescent="0.2">
      <c r="A766" s="62">
        <v>2325</v>
      </c>
      <c r="B766" s="43" t="s">
        <v>3368</v>
      </c>
      <c r="C766" s="44" t="s">
        <v>3334</v>
      </c>
      <c r="D766" s="71">
        <v>0</v>
      </c>
    </row>
    <row r="767" spans="1:4" ht="15.75" x14ac:dyDescent="0.2">
      <c r="A767" s="62">
        <v>2326</v>
      </c>
      <c r="B767" s="43" t="s">
        <v>3369</v>
      </c>
      <c r="C767" s="44" t="s">
        <v>3334</v>
      </c>
      <c r="D767" s="71">
        <v>0</v>
      </c>
    </row>
    <row r="768" spans="1:4" ht="15.75" x14ac:dyDescent="0.2">
      <c r="A768" s="62">
        <v>2327</v>
      </c>
      <c r="B768" s="43" t="s">
        <v>3370</v>
      </c>
      <c r="C768" s="44" t="s">
        <v>3334</v>
      </c>
      <c r="D768" s="71">
        <v>0</v>
      </c>
    </row>
    <row r="769" spans="1:4" ht="15.75" x14ac:dyDescent="0.2">
      <c r="A769" s="62">
        <v>2328</v>
      </c>
      <c r="B769" s="43" t="s">
        <v>3371</v>
      </c>
      <c r="C769" s="44" t="s">
        <v>3334</v>
      </c>
      <c r="D769" s="71">
        <v>0</v>
      </c>
    </row>
    <row r="770" spans="1:4" ht="15.75" x14ac:dyDescent="0.2">
      <c r="A770" s="62">
        <v>2329</v>
      </c>
      <c r="B770" s="43" t="s">
        <v>3372</v>
      </c>
      <c r="C770" s="44" t="s">
        <v>3334</v>
      </c>
      <c r="D770" s="71">
        <v>0</v>
      </c>
    </row>
    <row r="771" spans="1:4" ht="15.75" x14ac:dyDescent="0.2">
      <c r="A771" s="62">
        <v>2330</v>
      </c>
      <c r="B771" s="43" t="s">
        <v>3373</v>
      </c>
      <c r="C771" s="44" t="s">
        <v>3334</v>
      </c>
      <c r="D771" s="71">
        <v>0</v>
      </c>
    </row>
    <row r="772" spans="1:4" ht="15.75" x14ac:dyDescent="0.2">
      <c r="A772" s="62">
        <v>2331</v>
      </c>
      <c r="B772" s="43" t="s">
        <v>3374</v>
      </c>
      <c r="C772" s="44" t="s">
        <v>3334</v>
      </c>
      <c r="D772" s="71">
        <v>0</v>
      </c>
    </row>
    <row r="773" spans="1:4" ht="15.75" x14ac:dyDescent="0.2">
      <c r="A773" s="62">
        <v>2332</v>
      </c>
      <c r="B773" s="43" t="s">
        <v>3375</v>
      </c>
      <c r="C773" s="44" t="s">
        <v>3334</v>
      </c>
      <c r="D773" s="71">
        <v>0</v>
      </c>
    </row>
    <row r="774" spans="1:4" ht="15.75" x14ac:dyDescent="0.2">
      <c r="A774" s="62">
        <v>2333</v>
      </c>
      <c r="B774" s="43" t="s">
        <v>3376</v>
      </c>
      <c r="C774" s="44" t="s">
        <v>3334</v>
      </c>
      <c r="D774" s="71">
        <v>0</v>
      </c>
    </row>
    <row r="775" spans="1:4" ht="15.75" x14ac:dyDescent="0.2">
      <c r="A775" s="62">
        <v>2334</v>
      </c>
      <c r="B775" s="43" t="s">
        <v>3377</v>
      </c>
      <c r="C775" s="44" t="s">
        <v>3334</v>
      </c>
      <c r="D775" s="71">
        <v>0</v>
      </c>
    </row>
    <row r="776" spans="1:4" ht="15.75" x14ac:dyDescent="0.2">
      <c r="A776" s="62">
        <v>2335</v>
      </c>
      <c r="B776" s="43" t="s">
        <v>4233</v>
      </c>
      <c r="C776" s="44" t="s">
        <v>3751</v>
      </c>
      <c r="D776" s="71">
        <v>0</v>
      </c>
    </row>
    <row r="777" spans="1:4" ht="15.75" x14ac:dyDescent="0.2">
      <c r="A777" s="62">
        <v>2341</v>
      </c>
      <c r="B777" s="43" t="s">
        <v>3378</v>
      </c>
      <c r="C777" s="44" t="s">
        <v>4100</v>
      </c>
      <c r="D777" s="71">
        <v>0</v>
      </c>
    </row>
    <row r="778" spans="1:4" ht="15.75" x14ac:dyDescent="0.2">
      <c r="A778" s="62">
        <v>2342</v>
      </c>
      <c r="B778" s="43" t="s">
        <v>3379</v>
      </c>
      <c r="C778" s="44" t="s">
        <v>3741</v>
      </c>
      <c r="D778" s="71">
        <v>0</v>
      </c>
    </row>
    <row r="779" spans="1:4" ht="15.75" x14ac:dyDescent="0.2">
      <c r="A779" s="62">
        <v>2343</v>
      </c>
      <c r="B779" s="43" t="s">
        <v>3380</v>
      </c>
      <c r="C779" s="44" t="s">
        <v>3334</v>
      </c>
      <c r="D779" s="71">
        <v>0</v>
      </c>
    </row>
    <row r="780" spans="1:4" ht="15.75" x14ac:dyDescent="0.2">
      <c r="A780" s="62">
        <v>2344</v>
      </c>
      <c r="B780" s="43" t="s">
        <v>3381</v>
      </c>
      <c r="C780" s="44" t="s">
        <v>3334</v>
      </c>
      <c r="D780" s="71">
        <v>0</v>
      </c>
    </row>
    <row r="781" spans="1:4" ht="15.75" x14ac:dyDescent="0.2">
      <c r="A781" s="62">
        <v>2345</v>
      </c>
      <c r="B781" s="43" t="s">
        <v>3382</v>
      </c>
      <c r="C781" s="44" t="s">
        <v>3334</v>
      </c>
      <c r="D781" s="71">
        <v>0</v>
      </c>
    </row>
    <row r="782" spans="1:4" ht="15.75" x14ac:dyDescent="0.2">
      <c r="A782" s="62">
        <v>2346</v>
      </c>
      <c r="B782" s="43" t="s">
        <v>3383</v>
      </c>
      <c r="C782" s="44" t="s">
        <v>3334</v>
      </c>
      <c r="D782" s="71">
        <v>0</v>
      </c>
    </row>
    <row r="783" spans="1:4" ht="15.75" x14ac:dyDescent="0.2">
      <c r="A783" s="62">
        <v>2347</v>
      </c>
      <c r="B783" s="43" t="s">
        <v>3384</v>
      </c>
      <c r="C783" s="44" t="s">
        <v>3334</v>
      </c>
      <c r="D783" s="71">
        <v>0</v>
      </c>
    </row>
    <row r="784" spans="1:4" ht="15.75" x14ac:dyDescent="0.2">
      <c r="A784" s="62">
        <v>2348</v>
      </c>
      <c r="B784" s="43" t="s">
        <v>3385</v>
      </c>
      <c r="C784" s="44" t="s">
        <v>3334</v>
      </c>
      <c r="D784" s="71">
        <v>0</v>
      </c>
    </row>
    <row r="785" spans="1:4" ht="15.75" x14ac:dyDescent="0.2">
      <c r="A785" s="62">
        <v>2349</v>
      </c>
      <c r="B785" s="43" t="s">
        <v>3386</v>
      </c>
      <c r="C785" s="44" t="s">
        <v>3334</v>
      </c>
      <c r="D785" s="71">
        <v>0</v>
      </c>
    </row>
    <row r="786" spans="1:4" ht="15.75" x14ac:dyDescent="0.2">
      <c r="A786" s="62">
        <v>2350</v>
      </c>
      <c r="B786" s="43" t="s">
        <v>3387</v>
      </c>
      <c r="C786" s="44" t="s">
        <v>3334</v>
      </c>
      <c r="D786" s="71">
        <v>0</v>
      </c>
    </row>
    <row r="787" spans="1:4" ht="15.75" x14ac:dyDescent="0.2">
      <c r="A787" s="62">
        <v>2351</v>
      </c>
      <c r="B787" s="43" t="s">
        <v>3388</v>
      </c>
      <c r="C787" s="44" t="s">
        <v>3334</v>
      </c>
      <c r="D787" s="71">
        <v>0</v>
      </c>
    </row>
    <row r="788" spans="1:4" ht="15.75" x14ac:dyDescent="0.2">
      <c r="A788" s="62">
        <v>2352</v>
      </c>
      <c r="B788" s="43" t="s">
        <v>3389</v>
      </c>
      <c r="C788" s="44" t="s">
        <v>3334</v>
      </c>
      <c r="D788" s="71">
        <v>0</v>
      </c>
    </row>
    <row r="789" spans="1:4" ht="15.75" x14ac:dyDescent="0.2">
      <c r="A789" s="62">
        <v>2353</v>
      </c>
      <c r="B789" s="43" t="s">
        <v>3390</v>
      </c>
      <c r="C789" s="44" t="s">
        <v>3334</v>
      </c>
      <c r="D789" s="71">
        <v>0</v>
      </c>
    </row>
    <row r="790" spans="1:4" ht="15.75" x14ac:dyDescent="0.2">
      <c r="A790" s="62">
        <v>2355</v>
      </c>
      <c r="B790" s="43" t="s">
        <v>3391</v>
      </c>
      <c r="C790" s="44" t="s">
        <v>3334</v>
      </c>
      <c r="D790" s="71">
        <v>0</v>
      </c>
    </row>
    <row r="791" spans="1:4" ht="15.75" x14ac:dyDescent="0.2">
      <c r="A791" s="62">
        <v>2356</v>
      </c>
      <c r="B791" s="43" t="s">
        <v>3392</v>
      </c>
      <c r="C791" s="44" t="s">
        <v>3334</v>
      </c>
      <c r="D791" s="71">
        <v>0</v>
      </c>
    </row>
    <row r="792" spans="1:4" ht="15.75" x14ac:dyDescent="0.2">
      <c r="A792" s="62">
        <v>2357</v>
      </c>
      <c r="B792" s="43" t="s">
        <v>3393</v>
      </c>
      <c r="C792" s="44" t="s">
        <v>3334</v>
      </c>
      <c r="D792" s="71">
        <v>0</v>
      </c>
    </row>
    <row r="793" spans="1:4" ht="15.75" x14ac:dyDescent="0.2">
      <c r="A793" s="62">
        <v>2391</v>
      </c>
      <c r="B793" s="43" t="s">
        <v>3394</v>
      </c>
      <c r="C793" s="44" t="s">
        <v>3753</v>
      </c>
      <c r="D793" s="71">
        <v>350</v>
      </c>
    </row>
    <row r="794" spans="1:4" ht="15.75" x14ac:dyDescent="0.2">
      <c r="A794" s="62">
        <v>2392</v>
      </c>
      <c r="B794" s="43" t="s">
        <v>3421</v>
      </c>
      <c r="C794" s="44" t="s">
        <v>3756</v>
      </c>
      <c r="D794" s="71">
        <v>450</v>
      </c>
    </row>
    <row r="795" spans="1:4" ht="15.75" x14ac:dyDescent="0.2">
      <c r="A795" s="62">
        <v>2393</v>
      </c>
      <c r="B795" s="48" t="s">
        <v>5505</v>
      </c>
      <c r="C795" s="44" t="s">
        <v>3756</v>
      </c>
      <c r="D795" s="71">
        <v>60</v>
      </c>
    </row>
    <row r="796" spans="1:4" ht="31.5" x14ac:dyDescent="0.2">
      <c r="A796" s="62">
        <v>2406</v>
      </c>
      <c r="B796" s="43" t="s">
        <v>3395</v>
      </c>
      <c r="C796" s="44" t="s">
        <v>4112</v>
      </c>
      <c r="D796" s="71">
        <v>450</v>
      </c>
    </row>
    <row r="797" spans="1:4" ht="31.5" x14ac:dyDescent="0.2">
      <c r="A797" s="62">
        <v>2407</v>
      </c>
      <c r="B797" s="43" t="s">
        <v>1600</v>
      </c>
      <c r="C797" s="44" t="s">
        <v>4112</v>
      </c>
      <c r="D797" s="71">
        <v>550</v>
      </c>
    </row>
    <row r="798" spans="1:4" ht="15.75" x14ac:dyDescent="0.2">
      <c r="A798" s="62">
        <v>2408</v>
      </c>
      <c r="B798" s="43" t="s">
        <v>1599</v>
      </c>
      <c r="C798" s="44" t="s">
        <v>4112</v>
      </c>
      <c r="D798" s="71">
        <v>950</v>
      </c>
    </row>
    <row r="799" spans="1:4" s="42" customFormat="1" ht="15.75" x14ac:dyDescent="0.2">
      <c r="A799" s="62">
        <v>2409</v>
      </c>
      <c r="B799" s="43" t="s">
        <v>5646</v>
      </c>
      <c r="C799" s="44" t="s">
        <v>4112</v>
      </c>
      <c r="D799" s="71">
        <v>700</v>
      </c>
    </row>
    <row r="800" spans="1:4" s="42" customFormat="1" ht="15.75" x14ac:dyDescent="0.2">
      <c r="A800" s="62">
        <v>2410</v>
      </c>
      <c r="B800" s="43" t="s">
        <v>5647</v>
      </c>
      <c r="C800" s="44" t="s">
        <v>4112</v>
      </c>
      <c r="D800" s="71">
        <v>1200</v>
      </c>
    </row>
    <row r="801" spans="1:4" s="42" customFormat="1" ht="15.75" x14ac:dyDescent="0.2">
      <c r="A801" s="62">
        <v>2411</v>
      </c>
      <c r="B801" s="43" t="s">
        <v>5648</v>
      </c>
      <c r="C801" s="44" t="s">
        <v>4112</v>
      </c>
      <c r="D801" s="71">
        <v>1500</v>
      </c>
    </row>
    <row r="802" spans="1:4" ht="15.75" x14ac:dyDescent="0.2">
      <c r="A802" s="62">
        <v>2412</v>
      </c>
      <c r="B802" s="43" t="s">
        <v>4197</v>
      </c>
      <c r="C802" s="44" t="s">
        <v>4112</v>
      </c>
      <c r="D802" s="71">
        <v>515</v>
      </c>
    </row>
    <row r="803" spans="1:4" s="42" customFormat="1" ht="15.75" x14ac:dyDescent="0.2">
      <c r="A803" s="62">
        <v>2413</v>
      </c>
      <c r="B803" s="43" t="s">
        <v>5657</v>
      </c>
      <c r="C803" s="44" t="s">
        <v>4112</v>
      </c>
      <c r="D803" s="71">
        <v>650</v>
      </c>
    </row>
    <row r="804" spans="1:4" s="42" customFormat="1" ht="15.75" x14ac:dyDescent="0.2">
      <c r="A804" s="62">
        <v>2414</v>
      </c>
      <c r="B804" s="43" t="s">
        <v>5658</v>
      </c>
      <c r="C804" s="44" t="s">
        <v>4112</v>
      </c>
      <c r="D804" s="71">
        <v>800</v>
      </c>
    </row>
    <row r="805" spans="1:4" ht="15.75" x14ac:dyDescent="0.2">
      <c r="A805" s="62">
        <v>2447</v>
      </c>
      <c r="B805" s="43" t="s">
        <v>3396</v>
      </c>
      <c r="C805" s="44" t="s">
        <v>3753</v>
      </c>
      <c r="D805" s="71">
        <v>60</v>
      </c>
    </row>
    <row r="806" spans="1:4" ht="31.5" x14ac:dyDescent="0.2">
      <c r="A806" s="62">
        <v>2449</v>
      </c>
      <c r="B806" s="43" t="s">
        <v>3397</v>
      </c>
      <c r="C806" s="44" t="s">
        <v>3748</v>
      </c>
      <c r="D806" s="71">
        <v>45</v>
      </c>
    </row>
    <row r="807" spans="1:4" ht="15.75" x14ac:dyDescent="0.2">
      <c r="A807" s="62">
        <v>2451</v>
      </c>
      <c r="B807" s="43" t="s">
        <v>3398</v>
      </c>
      <c r="C807" s="44" t="s">
        <v>3748</v>
      </c>
      <c r="D807" s="71">
        <v>250</v>
      </c>
    </row>
    <row r="808" spans="1:4" ht="15.75" x14ac:dyDescent="0.2">
      <c r="A808" s="62">
        <v>2452</v>
      </c>
      <c r="B808" s="43" t="s">
        <v>3399</v>
      </c>
      <c r="C808" s="44" t="s">
        <v>3748</v>
      </c>
      <c r="D808" s="71">
        <v>300</v>
      </c>
    </row>
    <row r="809" spans="1:4" ht="15.75" x14ac:dyDescent="0.2">
      <c r="A809" s="62">
        <v>2453</v>
      </c>
      <c r="B809" s="43" t="s">
        <v>3400</v>
      </c>
      <c r="C809" s="44" t="s">
        <v>3748</v>
      </c>
      <c r="D809" s="71">
        <v>340</v>
      </c>
    </row>
    <row r="810" spans="1:4" ht="15.75" x14ac:dyDescent="0.2">
      <c r="A810" s="62">
        <v>2454</v>
      </c>
      <c r="B810" s="43" t="s">
        <v>3401</v>
      </c>
      <c r="C810" s="44" t="s">
        <v>3748</v>
      </c>
      <c r="D810" s="71">
        <v>400</v>
      </c>
    </row>
    <row r="811" spans="1:4" ht="15.75" x14ac:dyDescent="0.2">
      <c r="A811" s="62">
        <v>2455</v>
      </c>
      <c r="B811" s="43" t="s">
        <v>3402</v>
      </c>
      <c r="C811" s="44" t="s">
        <v>3748</v>
      </c>
      <c r="D811" s="71">
        <v>75</v>
      </c>
    </row>
    <row r="812" spans="1:4" ht="31.5" x14ac:dyDescent="0.2">
      <c r="A812" s="62">
        <v>2456</v>
      </c>
      <c r="B812" s="43" t="s">
        <v>3403</v>
      </c>
      <c r="C812" s="44" t="s">
        <v>3748</v>
      </c>
      <c r="D812" s="71">
        <v>1050</v>
      </c>
    </row>
    <row r="813" spans="1:4" ht="15.75" x14ac:dyDescent="0.2">
      <c r="A813" s="62">
        <v>2459</v>
      </c>
      <c r="B813" s="43" t="s">
        <v>3404</v>
      </c>
      <c r="C813" s="44" t="s">
        <v>3748</v>
      </c>
      <c r="D813" s="71">
        <v>25</v>
      </c>
    </row>
    <row r="814" spans="1:4" ht="31.5" x14ac:dyDescent="0.2">
      <c r="A814" s="62">
        <v>2464</v>
      </c>
      <c r="B814" s="43" t="s">
        <v>3405</v>
      </c>
      <c r="C814" s="44" t="s">
        <v>3748</v>
      </c>
      <c r="D814" s="71">
        <v>50</v>
      </c>
    </row>
    <row r="815" spans="1:4" ht="15.75" x14ac:dyDescent="0.2">
      <c r="A815" s="62">
        <v>2465</v>
      </c>
      <c r="B815" s="43" t="s">
        <v>3406</v>
      </c>
      <c r="C815" s="44" t="s">
        <v>3748</v>
      </c>
      <c r="D815" s="71">
        <v>60</v>
      </c>
    </row>
    <row r="816" spans="1:4" ht="15.75" x14ac:dyDescent="0.2">
      <c r="A816" s="62">
        <v>2466</v>
      </c>
      <c r="B816" s="43" t="s">
        <v>4225</v>
      </c>
      <c r="C816" s="44" t="s">
        <v>3945</v>
      </c>
      <c r="D816" s="71">
        <v>470</v>
      </c>
    </row>
    <row r="817" spans="1:4" ht="31.5" x14ac:dyDescent="0.2">
      <c r="A817" s="62">
        <v>2467</v>
      </c>
      <c r="B817" s="43" t="s">
        <v>3407</v>
      </c>
      <c r="C817" s="44" t="s">
        <v>3748</v>
      </c>
      <c r="D817" s="71">
        <v>185</v>
      </c>
    </row>
    <row r="818" spans="1:4" ht="15.75" x14ac:dyDescent="0.2">
      <c r="A818" s="62">
        <v>2468</v>
      </c>
      <c r="B818" s="43" t="s">
        <v>3408</v>
      </c>
      <c r="C818" s="44" t="s">
        <v>3748</v>
      </c>
      <c r="D818" s="71">
        <v>150</v>
      </c>
    </row>
    <row r="819" spans="1:4" ht="15.75" x14ac:dyDescent="0.2">
      <c r="A819" s="62">
        <v>2469</v>
      </c>
      <c r="B819" s="43" t="s">
        <v>3409</v>
      </c>
      <c r="C819" s="44" t="s">
        <v>3748</v>
      </c>
      <c r="D819" s="71">
        <v>200</v>
      </c>
    </row>
    <row r="820" spans="1:4" ht="15.75" x14ac:dyDescent="0.2">
      <c r="A820" s="62">
        <v>2470</v>
      </c>
      <c r="B820" s="43" t="s">
        <v>3410</v>
      </c>
      <c r="C820" s="44" t="s">
        <v>3748</v>
      </c>
      <c r="D820" s="71">
        <v>250</v>
      </c>
    </row>
    <row r="821" spans="1:4" ht="15.75" x14ac:dyDescent="0.2">
      <c r="A821" s="62">
        <v>2471</v>
      </c>
      <c r="B821" s="43" t="s">
        <v>3411</v>
      </c>
      <c r="C821" s="44" t="s">
        <v>3748</v>
      </c>
      <c r="D821" s="71">
        <v>300</v>
      </c>
    </row>
    <row r="822" spans="1:4" ht="15.75" x14ac:dyDescent="0.2">
      <c r="A822" s="62">
        <v>2480</v>
      </c>
      <c r="B822" s="43" t="s">
        <v>4183</v>
      </c>
      <c r="C822" s="44" t="s">
        <v>4112</v>
      </c>
      <c r="D822" s="71">
        <v>1050</v>
      </c>
    </row>
    <row r="823" spans="1:4" ht="31.5" x14ac:dyDescent="0.2">
      <c r="A823" s="62">
        <v>2481</v>
      </c>
      <c r="B823" s="43" t="s">
        <v>3412</v>
      </c>
      <c r="C823" s="44" t="s">
        <v>4112</v>
      </c>
      <c r="D823" s="71">
        <v>850</v>
      </c>
    </row>
    <row r="824" spans="1:4" ht="15.75" x14ac:dyDescent="0.2">
      <c r="A824" s="62">
        <v>2482</v>
      </c>
      <c r="B824" s="43" t="s">
        <v>1405</v>
      </c>
      <c r="C824" s="44" t="s">
        <v>4112</v>
      </c>
      <c r="D824" s="71">
        <v>350</v>
      </c>
    </row>
    <row r="825" spans="1:4" ht="15.75" x14ac:dyDescent="0.2">
      <c r="A825" s="62">
        <v>2483</v>
      </c>
      <c r="B825" s="43" t="s">
        <v>1401</v>
      </c>
      <c r="C825" s="44" t="s">
        <v>4112</v>
      </c>
      <c r="D825" s="71">
        <v>600</v>
      </c>
    </row>
    <row r="826" spans="1:4" ht="15.75" x14ac:dyDescent="0.2">
      <c r="A826" s="62">
        <v>2484</v>
      </c>
      <c r="B826" s="43" t="s">
        <v>1399</v>
      </c>
      <c r="C826" s="44" t="s">
        <v>4112</v>
      </c>
      <c r="D826" s="71">
        <v>1050</v>
      </c>
    </row>
    <row r="827" spans="1:4" ht="15.75" x14ac:dyDescent="0.2">
      <c r="A827" s="62">
        <v>2485</v>
      </c>
      <c r="B827" s="43" t="s">
        <v>1400</v>
      </c>
      <c r="C827" s="44" t="s">
        <v>4112</v>
      </c>
      <c r="D827" s="71">
        <v>1350</v>
      </c>
    </row>
    <row r="828" spans="1:4" ht="15.75" x14ac:dyDescent="0.2">
      <c r="A828" s="62">
        <v>2486</v>
      </c>
      <c r="B828" s="43" t="s">
        <v>1402</v>
      </c>
      <c r="C828" s="44" t="s">
        <v>4112</v>
      </c>
      <c r="D828" s="71">
        <v>650</v>
      </c>
    </row>
    <row r="829" spans="1:4" ht="15.75" x14ac:dyDescent="0.2">
      <c r="A829" s="62">
        <v>2487</v>
      </c>
      <c r="B829" s="43" t="s">
        <v>1403</v>
      </c>
      <c r="C829" s="44" t="s">
        <v>4112</v>
      </c>
      <c r="D829" s="71">
        <v>1250</v>
      </c>
    </row>
    <row r="830" spans="1:4" ht="15.75" x14ac:dyDescent="0.2">
      <c r="A830" s="62">
        <v>2488</v>
      </c>
      <c r="B830" s="43" t="s">
        <v>1404</v>
      </c>
      <c r="C830" s="44" t="s">
        <v>4112</v>
      </c>
      <c r="D830" s="71">
        <v>1470</v>
      </c>
    </row>
    <row r="831" spans="1:4" ht="15.75" x14ac:dyDescent="0.2">
      <c r="A831" s="62">
        <v>2489</v>
      </c>
      <c r="B831" s="43" t="s">
        <v>1406</v>
      </c>
      <c r="C831" s="44" t="s">
        <v>4112</v>
      </c>
      <c r="D831" s="71">
        <v>300</v>
      </c>
    </row>
    <row r="832" spans="1:4" ht="15.75" x14ac:dyDescent="0.2">
      <c r="A832" s="62">
        <v>2490</v>
      </c>
      <c r="B832" s="43" t="s">
        <v>1407</v>
      </c>
      <c r="C832" s="44" t="s">
        <v>4112</v>
      </c>
      <c r="D832" s="71">
        <v>450</v>
      </c>
    </row>
    <row r="833" spans="1:4" ht="15.75" x14ac:dyDescent="0.2">
      <c r="A833" s="62">
        <v>2491</v>
      </c>
      <c r="B833" s="43" t="s">
        <v>1408</v>
      </c>
      <c r="C833" s="44" t="s">
        <v>4112</v>
      </c>
      <c r="D833" s="71">
        <v>700</v>
      </c>
    </row>
    <row r="834" spans="1:4" ht="15.75" x14ac:dyDescent="0.2">
      <c r="A834" s="62">
        <v>2492</v>
      </c>
      <c r="B834" s="43" t="s">
        <v>1463</v>
      </c>
      <c r="C834" s="44" t="s">
        <v>4112</v>
      </c>
      <c r="D834" s="71">
        <v>350</v>
      </c>
    </row>
    <row r="835" spans="1:4" ht="15.75" x14ac:dyDescent="0.2">
      <c r="A835" s="62">
        <v>2493</v>
      </c>
      <c r="B835" s="43" t="s">
        <v>1464</v>
      </c>
      <c r="C835" s="44" t="s">
        <v>4112</v>
      </c>
      <c r="D835" s="71">
        <v>600</v>
      </c>
    </row>
    <row r="836" spans="1:4" ht="15.75" x14ac:dyDescent="0.2">
      <c r="A836" s="62">
        <v>2494</v>
      </c>
      <c r="B836" s="43" t="s">
        <v>1467</v>
      </c>
      <c r="C836" s="44" t="s">
        <v>4112</v>
      </c>
      <c r="D836" s="71">
        <v>800</v>
      </c>
    </row>
    <row r="837" spans="1:4" ht="15.75" x14ac:dyDescent="0.2">
      <c r="A837" s="62">
        <v>2495</v>
      </c>
      <c r="B837" s="49" t="s">
        <v>1470</v>
      </c>
      <c r="C837" s="44" t="s">
        <v>4112</v>
      </c>
      <c r="D837" s="71">
        <v>800</v>
      </c>
    </row>
    <row r="838" spans="1:4" ht="15.75" x14ac:dyDescent="0.2">
      <c r="A838" s="62">
        <v>2496</v>
      </c>
      <c r="B838" s="49" t="s">
        <v>1355</v>
      </c>
      <c r="C838" s="44" t="s">
        <v>4112</v>
      </c>
      <c r="D838" s="71">
        <v>950</v>
      </c>
    </row>
    <row r="839" spans="1:4" ht="15.75" x14ac:dyDescent="0.2">
      <c r="A839" s="62">
        <v>2497</v>
      </c>
      <c r="B839" s="49" t="s">
        <v>1472</v>
      </c>
      <c r="C839" s="44" t="s">
        <v>4112</v>
      </c>
      <c r="D839" s="71">
        <v>550</v>
      </c>
    </row>
    <row r="840" spans="1:4" ht="15.75" x14ac:dyDescent="0.2">
      <c r="A840" s="62">
        <v>2498</v>
      </c>
      <c r="B840" s="49" t="s">
        <v>1473</v>
      </c>
      <c r="C840" s="44" t="s">
        <v>4112</v>
      </c>
      <c r="D840" s="71">
        <v>250</v>
      </c>
    </row>
    <row r="841" spans="1:4" ht="15.75" x14ac:dyDescent="0.2">
      <c r="A841" s="62">
        <v>2500</v>
      </c>
      <c r="B841" s="43" t="s">
        <v>3413</v>
      </c>
      <c r="C841" s="44" t="s">
        <v>3945</v>
      </c>
      <c r="D841" s="71">
        <v>120</v>
      </c>
    </row>
    <row r="842" spans="1:4" ht="15.75" x14ac:dyDescent="0.2">
      <c r="A842" s="62">
        <v>2504</v>
      </c>
      <c r="B842" s="43" t="s">
        <v>4177</v>
      </c>
      <c r="C842" s="44" t="s">
        <v>3751</v>
      </c>
      <c r="D842" s="71">
        <v>1050</v>
      </c>
    </row>
    <row r="843" spans="1:4" ht="15.75" x14ac:dyDescent="0.2">
      <c r="A843" s="62">
        <v>2505</v>
      </c>
      <c r="B843" s="43" t="s">
        <v>3414</v>
      </c>
      <c r="C843" s="44" t="s">
        <v>3945</v>
      </c>
      <c r="D843" s="71">
        <v>500</v>
      </c>
    </row>
    <row r="844" spans="1:4" ht="15.75" x14ac:dyDescent="0.2">
      <c r="A844" s="62">
        <v>2602</v>
      </c>
      <c r="B844" s="43" t="s">
        <v>3415</v>
      </c>
      <c r="C844" s="44" t="s">
        <v>3326</v>
      </c>
      <c r="D844" s="71">
        <v>4500</v>
      </c>
    </row>
    <row r="845" spans="1:4" ht="15.75" x14ac:dyDescent="0.2">
      <c r="A845" s="62">
        <v>2603</v>
      </c>
      <c r="B845" s="43" t="s">
        <v>2683</v>
      </c>
      <c r="C845" s="44" t="s">
        <v>3326</v>
      </c>
      <c r="D845" s="71">
        <v>4200</v>
      </c>
    </row>
    <row r="846" spans="1:4" ht="15.75" x14ac:dyDescent="0.2">
      <c r="A846" s="62">
        <v>2704</v>
      </c>
      <c r="B846" s="43" t="s">
        <v>2684</v>
      </c>
      <c r="C846" s="44" t="s">
        <v>3747</v>
      </c>
      <c r="D846" s="71">
        <v>325</v>
      </c>
    </row>
    <row r="847" spans="1:4" ht="31.5" x14ac:dyDescent="0.2">
      <c r="A847" s="62">
        <v>2710</v>
      </c>
      <c r="B847" s="43" t="s">
        <v>2685</v>
      </c>
      <c r="C847" s="44" t="s">
        <v>3741</v>
      </c>
      <c r="D847" s="71">
        <v>170</v>
      </c>
    </row>
    <row r="848" spans="1:4" ht="15.75" x14ac:dyDescent="0.2">
      <c r="A848" s="62">
        <v>2750</v>
      </c>
      <c r="B848" s="43" t="s">
        <v>4176</v>
      </c>
      <c r="C848" s="44" t="s">
        <v>4112</v>
      </c>
      <c r="D848" s="76">
        <v>770</v>
      </c>
    </row>
    <row r="849" spans="1:4" ht="15.75" x14ac:dyDescent="0.2">
      <c r="A849" s="62">
        <v>2751</v>
      </c>
      <c r="B849" s="43" t="s">
        <v>2686</v>
      </c>
      <c r="C849" s="44" t="s">
        <v>4112</v>
      </c>
      <c r="D849" s="76">
        <v>400</v>
      </c>
    </row>
    <row r="850" spans="1:4" ht="15.75" x14ac:dyDescent="0.2">
      <c r="A850" s="62">
        <v>2901</v>
      </c>
      <c r="B850" s="43" t="s">
        <v>2687</v>
      </c>
      <c r="C850" s="44" t="s">
        <v>3751</v>
      </c>
      <c r="D850" s="71">
        <v>750</v>
      </c>
    </row>
    <row r="851" spans="1:4" ht="15.75" x14ac:dyDescent="0.2">
      <c r="A851" s="62">
        <v>2902</v>
      </c>
      <c r="B851" s="43" t="s">
        <v>2688</v>
      </c>
      <c r="C851" s="44" t="s">
        <v>3751</v>
      </c>
      <c r="D851" s="71">
        <v>810</v>
      </c>
    </row>
    <row r="852" spans="1:4" ht="15.75" x14ac:dyDescent="0.2">
      <c r="A852" s="62">
        <v>2903</v>
      </c>
      <c r="B852" s="43" t="s">
        <v>2689</v>
      </c>
      <c r="C852" s="44" t="s">
        <v>3751</v>
      </c>
      <c r="D852" s="71">
        <v>1100</v>
      </c>
    </row>
    <row r="853" spans="1:4" ht="15.75" x14ac:dyDescent="0.2">
      <c r="A853" s="62">
        <v>2904</v>
      </c>
      <c r="B853" s="43" t="s">
        <v>2690</v>
      </c>
      <c r="C853" s="44" t="s">
        <v>3751</v>
      </c>
      <c r="D853" s="71">
        <v>1100</v>
      </c>
    </row>
    <row r="854" spans="1:4" ht="15.75" x14ac:dyDescent="0.2">
      <c r="A854" s="62">
        <v>2908</v>
      </c>
      <c r="B854" s="43" t="s">
        <v>2691</v>
      </c>
      <c r="C854" s="44" t="s">
        <v>3751</v>
      </c>
      <c r="D854" s="71">
        <v>405</v>
      </c>
    </row>
    <row r="855" spans="1:4" ht="15.75" x14ac:dyDescent="0.2">
      <c r="A855" s="62">
        <v>2909</v>
      </c>
      <c r="B855" s="43" t="s">
        <v>2692</v>
      </c>
      <c r="C855" s="44" t="s">
        <v>3751</v>
      </c>
      <c r="D855" s="71">
        <v>470</v>
      </c>
    </row>
    <row r="856" spans="1:4" ht="15.75" x14ac:dyDescent="0.2">
      <c r="A856" s="62">
        <v>2910</v>
      </c>
      <c r="B856" s="43" t="s">
        <v>2693</v>
      </c>
      <c r="C856" s="44" t="s">
        <v>3751</v>
      </c>
      <c r="D856" s="71">
        <v>810</v>
      </c>
    </row>
    <row r="857" spans="1:4" ht="15.75" x14ac:dyDescent="0.2">
      <c r="A857" s="62">
        <v>2911</v>
      </c>
      <c r="B857" s="43" t="s">
        <v>2694</v>
      </c>
      <c r="C857" s="44" t="s">
        <v>3751</v>
      </c>
      <c r="D857" s="71">
        <v>810</v>
      </c>
    </row>
    <row r="858" spans="1:4" ht="15.75" x14ac:dyDescent="0.2">
      <c r="A858" s="62">
        <v>2914</v>
      </c>
      <c r="B858" s="43" t="s">
        <v>2695</v>
      </c>
      <c r="C858" s="44" t="s">
        <v>3747</v>
      </c>
      <c r="D858" s="71">
        <v>35</v>
      </c>
    </row>
    <row r="859" spans="1:4" ht="15.75" x14ac:dyDescent="0.2">
      <c r="A859" s="62">
        <v>2916</v>
      </c>
      <c r="B859" s="43" t="s">
        <v>2696</v>
      </c>
      <c r="C859" s="44" t="s">
        <v>4100</v>
      </c>
      <c r="D859" s="71">
        <v>52000</v>
      </c>
    </row>
    <row r="860" spans="1:4" ht="15.75" x14ac:dyDescent="0.2">
      <c r="A860" s="62">
        <v>3002</v>
      </c>
      <c r="B860" s="43" t="s">
        <v>2697</v>
      </c>
      <c r="C860" s="44" t="s">
        <v>4112</v>
      </c>
      <c r="D860" s="71">
        <v>37</v>
      </c>
    </row>
    <row r="861" spans="1:4" ht="15.75" x14ac:dyDescent="0.2">
      <c r="A861" s="62">
        <v>3004</v>
      </c>
      <c r="B861" s="43" t="s">
        <v>2698</v>
      </c>
      <c r="C861" s="44" t="s">
        <v>3748</v>
      </c>
      <c r="D861" s="71">
        <v>41</v>
      </c>
    </row>
    <row r="862" spans="1:4" ht="15.75" x14ac:dyDescent="0.2">
      <c r="A862" s="62">
        <v>3050</v>
      </c>
      <c r="B862" s="43" t="s">
        <v>2699</v>
      </c>
      <c r="C862" s="44" t="s">
        <v>3741</v>
      </c>
      <c r="D862" s="71">
        <v>7000</v>
      </c>
    </row>
    <row r="863" spans="1:4" ht="15.75" x14ac:dyDescent="0.2">
      <c r="A863" s="62">
        <v>3213</v>
      </c>
      <c r="B863" s="43" t="s">
        <v>2700</v>
      </c>
      <c r="C863" s="44" t="s">
        <v>3748</v>
      </c>
      <c r="D863" s="71">
        <v>1300</v>
      </c>
    </row>
    <row r="864" spans="1:4" ht="31.5" x14ac:dyDescent="0.2">
      <c r="A864" s="62">
        <v>3228</v>
      </c>
      <c r="B864" s="43" t="s">
        <v>2701</v>
      </c>
      <c r="C864" s="44" t="s">
        <v>3748</v>
      </c>
      <c r="D864" s="71">
        <v>175</v>
      </c>
    </row>
    <row r="865" spans="1:4" ht="15.75" x14ac:dyDescent="0.2">
      <c r="A865" s="62">
        <v>3229</v>
      </c>
      <c r="B865" s="43" t="s">
        <v>2702</v>
      </c>
      <c r="C865" s="44" t="s">
        <v>3748</v>
      </c>
      <c r="D865" s="71">
        <v>1400</v>
      </c>
    </row>
    <row r="866" spans="1:4" ht="15.75" x14ac:dyDescent="0.2">
      <c r="A866" s="62">
        <v>3311</v>
      </c>
      <c r="B866" s="43" t="s">
        <v>2703</v>
      </c>
      <c r="C866" s="44" t="s">
        <v>3748</v>
      </c>
      <c r="D866" s="71">
        <v>2750</v>
      </c>
    </row>
    <row r="867" spans="1:4" ht="15.75" x14ac:dyDescent="0.2">
      <c r="A867" s="62">
        <v>3314</v>
      </c>
      <c r="B867" s="43" t="s">
        <v>2704</v>
      </c>
      <c r="C867" s="44" t="s">
        <v>3748</v>
      </c>
      <c r="D867" s="71">
        <v>2500</v>
      </c>
    </row>
    <row r="868" spans="1:4" ht="15.75" x14ac:dyDescent="0.2">
      <c r="A868" s="62">
        <v>3317</v>
      </c>
      <c r="B868" s="43" t="s">
        <v>2705</v>
      </c>
      <c r="C868" s="44" t="s">
        <v>3748</v>
      </c>
      <c r="D868" s="71">
        <v>4200</v>
      </c>
    </row>
    <row r="869" spans="1:4" ht="15.75" x14ac:dyDescent="0.2">
      <c r="A869" s="62">
        <v>3320</v>
      </c>
      <c r="B869" s="43" t="s">
        <v>2706</v>
      </c>
      <c r="C869" s="44" t="s">
        <v>3748</v>
      </c>
      <c r="D869" s="71">
        <v>8100</v>
      </c>
    </row>
    <row r="870" spans="1:4" ht="15.75" x14ac:dyDescent="0.2">
      <c r="A870" s="62">
        <v>3321</v>
      </c>
      <c r="B870" s="43" t="s">
        <v>2707</v>
      </c>
      <c r="C870" s="44" t="s">
        <v>3748</v>
      </c>
      <c r="D870" s="71">
        <v>11500</v>
      </c>
    </row>
    <row r="871" spans="1:4" ht="15.75" x14ac:dyDescent="0.2">
      <c r="A871" s="62">
        <v>3326</v>
      </c>
      <c r="B871" s="43" t="s">
        <v>2708</v>
      </c>
      <c r="C871" s="44" t="s">
        <v>3748</v>
      </c>
      <c r="D871" s="71">
        <v>14400</v>
      </c>
    </row>
    <row r="872" spans="1:4" ht="15.75" x14ac:dyDescent="0.2">
      <c r="A872" s="62">
        <v>3617</v>
      </c>
      <c r="B872" s="43" t="s">
        <v>2709</v>
      </c>
      <c r="C872" s="44" t="s">
        <v>3748</v>
      </c>
      <c r="D872" s="71">
        <v>165</v>
      </c>
    </row>
    <row r="873" spans="1:4" ht="31.5" x14ac:dyDescent="0.2">
      <c r="A873" s="62">
        <v>3620</v>
      </c>
      <c r="B873" s="43" t="s">
        <v>2710</v>
      </c>
      <c r="C873" s="44" t="s">
        <v>3748</v>
      </c>
      <c r="D873" s="71">
        <v>1400</v>
      </c>
    </row>
    <row r="874" spans="1:4" ht="15.75" x14ac:dyDescent="0.2">
      <c r="A874" s="62">
        <v>3621</v>
      </c>
      <c r="B874" s="43" t="s">
        <v>2711</v>
      </c>
      <c r="C874" s="44" t="s">
        <v>3748</v>
      </c>
      <c r="D874" s="71">
        <v>1150</v>
      </c>
    </row>
    <row r="875" spans="1:4" ht="15.75" x14ac:dyDescent="0.2">
      <c r="A875" s="62">
        <v>3624</v>
      </c>
      <c r="B875" s="43" t="s">
        <v>2712</v>
      </c>
      <c r="C875" s="44" t="s">
        <v>3748</v>
      </c>
      <c r="D875" s="71">
        <v>250</v>
      </c>
    </row>
    <row r="876" spans="1:4" ht="15.75" x14ac:dyDescent="0.2">
      <c r="A876" s="62">
        <v>3625</v>
      </c>
      <c r="B876" s="43" t="s">
        <v>2713</v>
      </c>
      <c r="C876" s="44" t="s">
        <v>3748</v>
      </c>
      <c r="D876" s="71">
        <v>250</v>
      </c>
    </row>
    <row r="877" spans="1:4" ht="15.75" x14ac:dyDescent="0.2">
      <c r="A877" s="62">
        <v>3628</v>
      </c>
      <c r="B877" s="43" t="s">
        <v>2714</v>
      </c>
      <c r="C877" s="44" t="s">
        <v>3748</v>
      </c>
      <c r="D877" s="71">
        <v>270</v>
      </c>
    </row>
    <row r="878" spans="1:4" ht="15.75" x14ac:dyDescent="0.2">
      <c r="A878" s="62">
        <v>3629</v>
      </c>
      <c r="B878" s="43" t="s">
        <v>2715</v>
      </c>
      <c r="C878" s="44" t="s">
        <v>3748</v>
      </c>
      <c r="D878" s="71">
        <v>200</v>
      </c>
    </row>
    <row r="879" spans="1:4" ht="15.75" x14ac:dyDescent="0.2">
      <c r="A879" s="62">
        <v>3634</v>
      </c>
      <c r="B879" s="43" t="s">
        <v>2716</v>
      </c>
      <c r="C879" s="44" t="s">
        <v>3748</v>
      </c>
      <c r="D879" s="71">
        <v>330</v>
      </c>
    </row>
    <row r="880" spans="1:4" ht="15.75" x14ac:dyDescent="0.2">
      <c r="A880" s="62">
        <v>3635</v>
      </c>
      <c r="B880" s="43" t="s">
        <v>2717</v>
      </c>
      <c r="C880" s="44" t="s">
        <v>3748</v>
      </c>
      <c r="D880" s="71">
        <v>290</v>
      </c>
    </row>
    <row r="881" spans="1:4" ht="15.75" x14ac:dyDescent="0.2">
      <c r="A881" s="62">
        <v>3640</v>
      </c>
      <c r="B881" s="43" t="s">
        <v>2718</v>
      </c>
      <c r="C881" s="44" t="s">
        <v>3748</v>
      </c>
      <c r="D881" s="71">
        <v>520</v>
      </c>
    </row>
    <row r="882" spans="1:4" ht="15.75" x14ac:dyDescent="0.2">
      <c r="A882" s="62">
        <v>3641</v>
      </c>
      <c r="B882" s="43" t="s">
        <v>2719</v>
      </c>
      <c r="C882" s="44" t="s">
        <v>3748</v>
      </c>
      <c r="D882" s="71">
        <v>390</v>
      </c>
    </row>
    <row r="883" spans="1:4" ht="15.75" x14ac:dyDescent="0.2">
      <c r="A883" s="62">
        <v>3644</v>
      </c>
      <c r="B883" s="43" t="s">
        <v>2720</v>
      </c>
      <c r="C883" s="44" t="s">
        <v>3748</v>
      </c>
      <c r="D883" s="71">
        <v>560</v>
      </c>
    </row>
    <row r="884" spans="1:4" ht="15.75" x14ac:dyDescent="0.2">
      <c r="A884" s="62">
        <v>3645</v>
      </c>
      <c r="B884" s="43" t="s">
        <v>2721</v>
      </c>
      <c r="C884" s="44" t="s">
        <v>3748</v>
      </c>
      <c r="D884" s="71">
        <v>410</v>
      </c>
    </row>
    <row r="885" spans="1:4" ht="15.75" x14ac:dyDescent="0.2">
      <c r="A885" s="62">
        <v>3650</v>
      </c>
      <c r="B885" s="43" t="s">
        <v>2722</v>
      </c>
      <c r="C885" s="44" t="s">
        <v>3748</v>
      </c>
      <c r="D885" s="71">
        <v>650</v>
      </c>
    </row>
    <row r="886" spans="1:4" ht="15.75" x14ac:dyDescent="0.2">
      <c r="A886" s="62">
        <v>3651</v>
      </c>
      <c r="B886" s="43" t="s">
        <v>2723</v>
      </c>
      <c r="C886" s="44" t="s">
        <v>3748</v>
      </c>
      <c r="D886" s="71">
        <v>520</v>
      </c>
    </row>
    <row r="887" spans="1:4" ht="31.5" x14ac:dyDescent="0.2">
      <c r="A887" s="62">
        <v>3654</v>
      </c>
      <c r="B887" s="43" t="s">
        <v>2724</v>
      </c>
      <c r="C887" s="44" t="s">
        <v>3748</v>
      </c>
      <c r="D887" s="71">
        <v>700</v>
      </c>
    </row>
    <row r="888" spans="1:4" ht="15.75" x14ac:dyDescent="0.2">
      <c r="A888" s="62">
        <v>3655</v>
      </c>
      <c r="B888" s="43" t="s">
        <v>2725</v>
      </c>
      <c r="C888" s="44" t="s">
        <v>3748</v>
      </c>
      <c r="D888" s="71">
        <v>560</v>
      </c>
    </row>
    <row r="889" spans="1:4" ht="15.75" x14ac:dyDescent="0.2">
      <c r="A889" s="62">
        <v>3660</v>
      </c>
      <c r="B889" s="43" t="s">
        <v>2726</v>
      </c>
      <c r="C889" s="44" t="s">
        <v>3748</v>
      </c>
      <c r="D889" s="71">
        <v>650</v>
      </c>
    </row>
    <row r="890" spans="1:4" ht="15.75" x14ac:dyDescent="0.2">
      <c r="A890" s="62">
        <v>3664</v>
      </c>
      <c r="B890" s="43" t="s">
        <v>2727</v>
      </c>
      <c r="C890" s="44" t="s">
        <v>3748</v>
      </c>
      <c r="D890" s="71">
        <v>730</v>
      </c>
    </row>
    <row r="891" spans="1:4" ht="15.75" x14ac:dyDescent="0.2">
      <c r="A891" s="62">
        <v>3670</v>
      </c>
      <c r="B891" s="43" t="s">
        <v>2728</v>
      </c>
      <c r="C891" s="44" t="s">
        <v>3748</v>
      </c>
      <c r="D891" s="71">
        <v>900</v>
      </c>
    </row>
    <row r="892" spans="1:4" ht="31.5" x14ac:dyDescent="0.2">
      <c r="A892" s="62">
        <v>3674</v>
      </c>
      <c r="B892" s="43" t="s">
        <v>2729</v>
      </c>
      <c r="C892" s="44" t="s">
        <v>3748</v>
      </c>
      <c r="D892" s="71">
        <v>980</v>
      </c>
    </row>
    <row r="893" spans="1:4" ht="31.5" x14ac:dyDescent="0.2">
      <c r="A893" s="62">
        <v>3681</v>
      </c>
      <c r="B893" s="43" t="s">
        <v>2730</v>
      </c>
      <c r="C893" s="44" t="s">
        <v>3748</v>
      </c>
      <c r="D893" s="71">
        <v>455</v>
      </c>
    </row>
    <row r="894" spans="1:4" ht="15.75" x14ac:dyDescent="0.2">
      <c r="A894" s="62">
        <v>3682</v>
      </c>
      <c r="B894" s="43" t="s">
        <v>2731</v>
      </c>
      <c r="C894" s="44" t="s">
        <v>3748</v>
      </c>
      <c r="D894" s="71">
        <v>345</v>
      </c>
    </row>
    <row r="895" spans="1:4" ht="31.5" x14ac:dyDescent="0.2">
      <c r="A895" s="62">
        <v>3685</v>
      </c>
      <c r="B895" s="43" t="s">
        <v>2732</v>
      </c>
      <c r="C895" s="44" t="s">
        <v>3748</v>
      </c>
      <c r="D895" s="71">
        <v>580</v>
      </c>
    </row>
    <row r="896" spans="1:4" ht="31.5" x14ac:dyDescent="0.2">
      <c r="A896" s="62">
        <v>3686</v>
      </c>
      <c r="B896" s="43" t="s">
        <v>2733</v>
      </c>
      <c r="C896" s="44" t="s">
        <v>3748</v>
      </c>
      <c r="D896" s="71">
        <v>470</v>
      </c>
    </row>
    <row r="897" spans="1:4" ht="31.5" x14ac:dyDescent="0.2">
      <c r="A897" s="62">
        <v>3690</v>
      </c>
      <c r="B897" s="43" t="s">
        <v>2734</v>
      </c>
      <c r="C897" s="44" t="s">
        <v>3748</v>
      </c>
      <c r="D897" s="71">
        <v>590</v>
      </c>
    </row>
    <row r="898" spans="1:4" ht="31.5" x14ac:dyDescent="0.2">
      <c r="A898" s="62">
        <v>3695</v>
      </c>
      <c r="B898" s="43" t="s">
        <v>2735</v>
      </c>
      <c r="C898" s="44" t="s">
        <v>3748</v>
      </c>
      <c r="D898" s="71">
        <v>800</v>
      </c>
    </row>
    <row r="899" spans="1:4" ht="15.75" x14ac:dyDescent="0.2">
      <c r="A899" s="62">
        <v>3699</v>
      </c>
      <c r="B899" s="43" t="s">
        <v>2736</v>
      </c>
      <c r="C899" s="44" t="s">
        <v>3748</v>
      </c>
      <c r="D899" s="71">
        <v>250</v>
      </c>
    </row>
    <row r="900" spans="1:4" ht="15.75" x14ac:dyDescent="0.2">
      <c r="A900" s="62">
        <v>3707</v>
      </c>
      <c r="B900" s="43" t="s">
        <v>2737</v>
      </c>
      <c r="C900" s="44" t="s">
        <v>3748</v>
      </c>
      <c r="D900" s="71">
        <v>315</v>
      </c>
    </row>
    <row r="901" spans="1:4" ht="15.75" x14ac:dyDescent="0.2">
      <c r="A901" s="62">
        <v>3708</v>
      </c>
      <c r="B901" s="43" t="s">
        <v>2738</v>
      </c>
      <c r="C901" s="44" t="s">
        <v>3748</v>
      </c>
      <c r="D901" s="71">
        <v>430</v>
      </c>
    </row>
    <row r="902" spans="1:4" ht="15.75" x14ac:dyDescent="0.2">
      <c r="A902" s="62">
        <v>3712</v>
      </c>
      <c r="B902" s="43" t="s">
        <v>2739</v>
      </c>
      <c r="C902" s="44" t="s">
        <v>3748</v>
      </c>
      <c r="D902" s="71">
        <v>310</v>
      </c>
    </row>
    <row r="903" spans="1:4" ht="15.75" x14ac:dyDescent="0.2">
      <c r="A903" s="62">
        <v>3713</v>
      </c>
      <c r="B903" s="43" t="s">
        <v>2740</v>
      </c>
      <c r="C903" s="44" t="s">
        <v>3748</v>
      </c>
      <c r="D903" s="71">
        <v>405</v>
      </c>
    </row>
    <row r="904" spans="1:4" ht="15.75" x14ac:dyDescent="0.2">
      <c r="A904" s="62">
        <v>3716</v>
      </c>
      <c r="B904" s="43" t="s">
        <v>2741</v>
      </c>
      <c r="C904" s="44" t="s">
        <v>3748</v>
      </c>
      <c r="D904" s="71">
        <v>390</v>
      </c>
    </row>
    <row r="905" spans="1:4" ht="15.75" x14ac:dyDescent="0.2">
      <c r="A905" s="62">
        <v>3717</v>
      </c>
      <c r="B905" s="43" t="s">
        <v>2742</v>
      </c>
      <c r="C905" s="44" t="s">
        <v>3748</v>
      </c>
      <c r="D905" s="71">
        <v>505</v>
      </c>
    </row>
    <row r="906" spans="1:4" ht="15.75" x14ac:dyDescent="0.2">
      <c r="A906" s="62">
        <v>3728</v>
      </c>
      <c r="B906" s="43" t="s">
        <v>2743</v>
      </c>
      <c r="C906" s="44" t="s">
        <v>3748</v>
      </c>
      <c r="D906" s="71">
        <v>325</v>
      </c>
    </row>
    <row r="907" spans="1:4" ht="15.75" x14ac:dyDescent="0.2">
      <c r="A907" s="62">
        <v>3729</v>
      </c>
      <c r="B907" s="43" t="s">
        <v>2744</v>
      </c>
      <c r="C907" s="44" t="s">
        <v>3748</v>
      </c>
      <c r="D907" s="71">
        <v>250</v>
      </c>
    </row>
    <row r="908" spans="1:4" ht="15.75" x14ac:dyDescent="0.2">
      <c r="A908" s="62">
        <v>3733</v>
      </c>
      <c r="B908" s="43" t="s">
        <v>2745</v>
      </c>
      <c r="C908" s="44" t="s">
        <v>3748</v>
      </c>
      <c r="D908" s="71">
        <v>220</v>
      </c>
    </row>
    <row r="909" spans="1:4" ht="15.75" x14ac:dyDescent="0.2">
      <c r="A909" s="62">
        <v>3734</v>
      </c>
      <c r="B909" s="43" t="s">
        <v>2746</v>
      </c>
      <c r="C909" s="44" t="s">
        <v>3748</v>
      </c>
      <c r="D909" s="71">
        <v>200</v>
      </c>
    </row>
    <row r="910" spans="1:4" ht="15.75" x14ac:dyDescent="0.2">
      <c r="A910" s="62">
        <v>3738</v>
      </c>
      <c r="B910" s="43" t="s">
        <v>2747</v>
      </c>
      <c r="C910" s="44" t="s">
        <v>3748</v>
      </c>
      <c r="D910" s="71">
        <v>230</v>
      </c>
    </row>
    <row r="911" spans="1:4" ht="15.75" x14ac:dyDescent="0.2">
      <c r="A911" s="62">
        <v>3739</v>
      </c>
      <c r="B911" s="43" t="s">
        <v>2748</v>
      </c>
      <c r="C911" s="44" t="s">
        <v>3748</v>
      </c>
      <c r="D911" s="71">
        <v>160</v>
      </c>
    </row>
    <row r="912" spans="1:4" ht="15.75" x14ac:dyDescent="0.2">
      <c r="A912" s="62">
        <v>3746</v>
      </c>
      <c r="B912" s="43" t="s">
        <v>2749</v>
      </c>
      <c r="C912" s="44" t="s">
        <v>3748</v>
      </c>
      <c r="D912" s="71">
        <v>180</v>
      </c>
    </row>
    <row r="913" spans="1:4" ht="15.75" x14ac:dyDescent="0.2">
      <c r="A913" s="62">
        <v>3747</v>
      </c>
      <c r="B913" s="43" t="s">
        <v>2750</v>
      </c>
      <c r="C913" s="44" t="s">
        <v>3748</v>
      </c>
      <c r="D913" s="71">
        <v>310</v>
      </c>
    </row>
    <row r="914" spans="1:4" ht="15.75" x14ac:dyDescent="0.2">
      <c r="A914" s="62">
        <v>3749</v>
      </c>
      <c r="B914" s="43" t="s">
        <v>2751</v>
      </c>
      <c r="C914" s="44" t="s">
        <v>3748</v>
      </c>
      <c r="D914" s="71">
        <v>150</v>
      </c>
    </row>
    <row r="915" spans="1:4" ht="15.75" x14ac:dyDescent="0.2">
      <c r="A915" s="62">
        <v>3860</v>
      </c>
      <c r="B915" s="43" t="s">
        <v>2752</v>
      </c>
      <c r="C915" s="44" t="s">
        <v>3748</v>
      </c>
      <c r="D915" s="71">
        <v>3000</v>
      </c>
    </row>
    <row r="916" spans="1:4" ht="15.75" x14ac:dyDescent="0.2">
      <c r="A916" s="62">
        <v>3861</v>
      </c>
      <c r="B916" s="43" t="s">
        <v>2753</v>
      </c>
      <c r="C916" s="44" t="s">
        <v>3748</v>
      </c>
      <c r="D916" s="71">
        <v>2600</v>
      </c>
    </row>
    <row r="917" spans="1:4" ht="15.75" x14ac:dyDescent="0.2">
      <c r="A917" s="62">
        <v>4006</v>
      </c>
      <c r="B917" s="43" t="s">
        <v>2754</v>
      </c>
      <c r="C917" s="44" t="s">
        <v>3753</v>
      </c>
      <c r="D917" s="71">
        <v>350</v>
      </c>
    </row>
    <row r="918" spans="1:4" ht="15.75" x14ac:dyDescent="0.2">
      <c r="A918" s="62">
        <v>4007</v>
      </c>
      <c r="B918" s="43" t="s">
        <v>2755</v>
      </c>
      <c r="C918" s="44" t="s">
        <v>3753</v>
      </c>
      <c r="D918" s="71">
        <v>375</v>
      </c>
    </row>
    <row r="919" spans="1:4" ht="15.75" x14ac:dyDescent="0.2">
      <c r="A919" s="62">
        <v>4008</v>
      </c>
      <c r="B919" s="43" t="s">
        <v>2756</v>
      </c>
      <c r="C919" s="44" t="s">
        <v>3753</v>
      </c>
      <c r="D919" s="71">
        <v>400</v>
      </c>
    </row>
    <row r="920" spans="1:4" ht="15.75" x14ac:dyDescent="0.2">
      <c r="A920" s="62">
        <v>4009</v>
      </c>
      <c r="B920" s="43" t="s">
        <v>2757</v>
      </c>
      <c r="C920" s="44" t="s">
        <v>3747</v>
      </c>
      <c r="D920" s="71">
        <v>87</v>
      </c>
    </row>
    <row r="921" spans="1:4" ht="15.75" x14ac:dyDescent="0.2">
      <c r="A921" s="62">
        <v>4010</v>
      </c>
      <c r="B921" s="43" t="s">
        <v>2758</v>
      </c>
      <c r="C921" s="44" t="s">
        <v>3747</v>
      </c>
      <c r="D921" s="71">
        <v>110</v>
      </c>
    </row>
    <row r="922" spans="1:4" ht="15.75" x14ac:dyDescent="0.2">
      <c r="A922" s="62">
        <v>4011</v>
      </c>
      <c r="B922" s="43" t="s">
        <v>2759</v>
      </c>
      <c r="C922" s="44" t="s">
        <v>3747</v>
      </c>
      <c r="D922" s="71">
        <v>80</v>
      </c>
    </row>
    <row r="923" spans="1:4" ht="15.75" x14ac:dyDescent="0.2">
      <c r="A923" s="62">
        <v>4012</v>
      </c>
      <c r="B923" s="43" t="s">
        <v>2760</v>
      </c>
      <c r="C923" s="44" t="s">
        <v>3748</v>
      </c>
      <c r="D923" s="71">
        <v>60</v>
      </c>
    </row>
    <row r="924" spans="1:4" ht="15.75" x14ac:dyDescent="0.2">
      <c r="A924" s="62">
        <v>4013</v>
      </c>
      <c r="B924" s="43" t="s">
        <v>2761</v>
      </c>
      <c r="C924" s="44" t="s">
        <v>3748</v>
      </c>
      <c r="D924" s="71">
        <v>40</v>
      </c>
    </row>
    <row r="925" spans="1:4" ht="31.5" x14ac:dyDescent="0.2">
      <c r="A925" s="62">
        <v>4014</v>
      </c>
      <c r="B925" s="43" t="s">
        <v>2762</v>
      </c>
      <c r="C925" s="44" t="s">
        <v>4112</v>
      </c>
      <c r="D925" s="71">
        <v>2200</v>
      </c>
    </row>
    <row r="926" spans="1:4" ht="15.75" x14ac:dyDescent="0.2">
      <c r="A926" s="62">
        <v>4201</v>
      </c>
      <c r="B926" s="43" t="s">
        <v>2763</v>
      </c>
      <c r="C926" s="44" t="s">
        <v>3740</v>
      </c>
      <c r="D926" s="71">
        <v>225</v>
      </c>
    </row>
    <row r="927" spans="1:4" ht="15.75" x14ac:dyDescent="0.2">
      <c r="A927" s="62">
        <v>4202</v>
      </c>
      <c r="B927" s="43" t="s">
        <v>2764</v>
      </c>
      <c r="C927" s="44" t="s">
        <v>3740</v>
      </c>
      <c r="D927" s="71">
        <v>240</v>
      </c>
    </row>
    <row r="928" spans="1:4" ht="15.75" x14ac:dyDescent="0.2">
      <c r="A928" s="62">
        <v>4203</v>
      </c>
      <c r="B928" s="43" t="s">
        <v>2765</v>
      </c>
      <c r="C928" s="44" t="s">
        <v>3747</v>
      </c>
      <c r="D928" s="71">
        <v>350</v>
      </c>
    </row>
    <row r="929" spans="1:4" ht="15.75" x14ac:dyDescent="0.2">
      <c r="A929" s="62">
        <v>4204</v>
      </c>
      <c r="B929" s="43" t="s">
        <v>2766</v>
      </c>
      <c r="C929" s="44" t="s">
        <v>3747</v>
      </c>
      <c r="D929" s="71">
        <v>35</v>
      </c>
    </row>
    <row r="930" spans="1:4" ht="15.75" x14ac:dyDescent="0.2">
      <c r="A930" s="62">
        <v>4205</v>
      </c>
      <c r="B930" s="43" t="s">
        <v>2767</v>
      </c>
      <c r="C930" s="44" t="s">
        <v>3747</v>
      </c>
      <c r="D930" s="71">
        <v>350</v>
      </c>
    </row>
    <row r="931" spans="1:4" ht="15.75" x14ac:dyDescent="0.2">
      <c r="A931" s="62">
        <v>4206</v>
      </c>
      <c r="B931" s="43" t="s">
        <v>2768</v>
      </c>
      <c r="C931" s="44" t="s">
        <v>3747</v>
      </c>
      <c r="D931" s="71">
        <v>250</v>
      </c>
    </row>
    <row r="932" spans="1:4" ht="15.75" x14ac:dyDescent="0.2">
      <c r="A932" s="62">
        <v>4207</v>
      </c>
      <c r="B932" s="43" t="s">
        <v>2769</v>
      </c>
      <c r="C932" s="44" t="s">
        <v>3747</v>
      </c>
      <c r="D932" s="71">
        <v>20</v>
      </c>
    </row>
    <row r="933" spans="1:4" ht="15.75" x14ac:dyDescent="0.2">
      <c r="A933" s="62">
        <v>5001</v>
      </c>
      <c r="B933" s="43" t="s">
        <v>2770</v>
      </c>
      <c r="C933" s="44" t="s">
        <v>3740</v>
      </c>
      <c r="D933" s="71">
        <v>150</v>
      </c>
    </row>
    <row r="934" spans="1:4" ht="15.75" x14ac:dyDescent="0.2">
      <c r="A934" s="62">
        <v>6001</v>
      </c>
      <c r="B934" s="43" t="s">
        <v>2771</v>
      </c>
      <c r="C934" s="44" t="s">
        <v>4112</v>
      </c>
      <c r="D934" s="71">
        <v>4000</v>
      </c>
    </row>
    <row r="935" spans="1:4" ht="15.75" x14ac:dyDescent="0.2">
      <c r="A935" s="62">
        <v>6007</v>
      </c>
      <c r="B935" s="43" t="s">
        <v>2772</v>
      </c>
      <c r="C935" s="44" t="s">
        <v>4112</v>
      </c>
      <c r="D935" s="71">
        <v>950</v>
      </c>
    </row>
    <row r="936" spans="1:4" ht="15.75" x14ac:dyDescent="0.2">
      <c r="A936" s="62">
        <v>6010</v>
      </c>
      <c r="B936" s="43" t="s">
        <v>2773</v>
      </c>
      <c r="C936" s="44" t="s">
        <v>4112</v>
      </c>
      <c r="D936" s="71">
        <v>800</v>
      </c>
    </row>
    <row r="937" spans="1:4" ht="15.75" x14ac:dyDescent="0.2">
      <c r="A937" s="62">
        <v>6019</v>
      </c>
      <c r="B937" s="43" t="s">
        <v>2774</v>
      </c>
      <c r="C937" s="44" t="s">
        <v>4112</v>
      </c>
      <c r="D937" s="71">
        <v>650</v>
      </c>
    </row>
    <row r="938" spans="1:4" ht="15.75" x14ac:dyDescent="0.2">
      <c r="A938" s="62">
        <v>6501</v>
      </c>
      <c r="B938" s="43" t="s">
        <v>195</v>
      </c>
      <c r="C938" s="44" t="s">
        <v>3751</v>
      </c>
      <c r="D938" s="71">
        <v>300</v>
      </c>
    </row>
    <row r="939" spans="1:4" ht="15.75" x14ac:dyDescent="0.2">
      <c r="A939" s="62">
        <v>6502</v>
      </c>
      <c r="B939" s="66" t="s">
        <v>4338</v>
      </c>
      <c r="C939" s="64" t="s">
        <v>3751</v>
      </c>
      <c r="D939" s="71">
        <v>1000</v>
      </c>
    </row>
    <row r="940" spans="1:4" ht="15.75" x14ac:dyDescent="0.2">
      <c r="A940" s="62">
        <v>7001</v>
      </c>
      <c r="B940" s="43" t="s">
        <v>2775</v>
      </c>
      <c r="C940" s="44" t="s">
        <v>3748</v>
      </c>
      <c r="D940" s="71">
        <v>400</v>
      </c>
    </row>
    <row r="941" spans="1:4" ht="15.75" x14ac:dyDescent="0.2">
      <c r="A941" s="62">
        <v>7003</v>
      </c>
      <c r="B941" s="43" t="s">
        <v>3422</v>
      </c>
      <c r="C941" s="44" t="s">
        <v>3748</v>
      </c>
      <c r="D941" s="71">
        <v>260</v>
      </c>
    </row>
    <row r="942" spans="1:4" ht="15.75" x14ac:dyDescent="0.2">
      <c r="A942" s="62">
        <v>7004</v>
      </c>
      <c r="B942" s="43" t="s">
        <v>3423</v>
      </c>
      <c r="C942" s="44" t="s">
        <v>3748</v>
      </c>
      <c r="D942" s="71">
        <v>600</v>
      </c>
    </row>
    <row r="943" spans="1:4" ht="15.75" x14ac:dyDescent="0.2">
      <c r="A943" s="62">
        <v>7005</v>
      </c>
      <c r="B943" s="43" t="s">
        <v>3424</v>
      </c>
      <c r="C943" s="44" t="s">
        <v>3748</v>
      </c>
      <c r="D943" s="71">
        <v>1500</v>
      </c>
    </row>
    <row r="944" spans="1:4" ht="15.75" x14ac:dyDescent="0.2">
      <c r="A944" s="62">
        <v>7006</v>
      </c>
      <c r="B944" s="43" t="s">
        <v>3425</v>
      </c>
      <c r="C944" s="44" t="s">
        <v>3748</v>
      </c>
      <c r="D944" s="71">
        <v>2000</v>
      </c>
    </row>
    <row r="945" spans="1:4" ht="15.75" x14ac:dyDescent="0.2">
      <c r="A945" s="62">
        <v>7008</v>
      </c>
      <c r="B945" s="43" t="s">
        <v>3426</v>
      </c>
      <c r="C945" s="44" t="s">
        <v>3326</v>
      </c>
      <c r="D945" s="71">
        <v>4400</v>
      </c>
    </row>
    <row r="946" spans="1:4" ht="15.75" x14ac:dyDescent="0.2">
      <c r="A946" s="62">
        <v>7009</v>
      </c>
      <c r="B946" s="43" t="s">
        <v>3427</v>
      </c>
      <c r="C946" s="44" t="s">
        <v>4112</v>
      </c>
      <c r="D946" s="71">
        <v>300</v>
      </c>
    </row>
    <row r="947" spans="1:4" ht="15.75" x14ac:dyDescent="0.2">
      <c r="A947" s="62">
        <v>7010</v>
      </c>
      <c r="B947" s="43" t="s">
        <v>3428</v>
      </c>
      <c r="C947" s="44" t="s">
        <v>3753</v>
      </c>
      <c r="D947" s="71">
        <v>58</v>
      </c>
    </row>
    <row r="948" spans="1:4" ht="15.75" x14ac:dyDescent="0.2">
      <c r="A948" s="62">
        <v>7011</v>
      </c>
      <c r="B948" s="43" t="s">
        <v>3429</v>
      </c>
      <c r="C948" s="44" t="s">
        <v>3753</v>
      </c>
      <c r="D948" s="71">
        <v>35</v>
      </c>
    </row>
    <row r="949" spans="1:4" ht="15.75" x14ac:dyDescent="0.2">
      <c r="A949" s="62">
        <v>7012</v>
      </c>
      <c r="B949" s="43" t="s">
        <v>3430</v>
      </c>
      <c r="C949" s="44" t="s">
        <v>3753</v>
      </c>
      <c r="D949" s="71">
        <v>61</v>
      </c>
    </row>
    <row r="950" spans="1:4" ht="15.75" x14ac:dyDescent="0.2">
      <c r="A950" s="62">
        <v>7013</v>
      </c>
      <c r="B950" s="43" t="s">
        <v>3431</v>
      </c>
      <c r="C950" s="44" t="s">
        <v>3753</v>
      </c>
      <c r="D950" s="71">
        <v>23</v>
      </c>
    </row>
    <row r="951" spans="1:4" ht="15.75" x14ac:dyDescent="0.2">
      <c r="A951" s="62">
        <v>7014</v>
      </c>
      <c r="B951" s="43" t="s">
        <v>3432</v>
      </c>
      <c r="C951" s="44" t="s">
        <v>3748</v>
      </c>
      <c r="D951" s="71">
        <v>7</v>
      </c>
    </row>
    <row r="952" spans="1:4" ht="15.75" x14ac:dyDescent="0.2">
      <c r="A952" s="62">
        <v>7015</v>
      </c>
      <c r="B952" s="43" t="s">
        <v>3433</v>
      </c>
      <c r="C952" s="44" t="s">
        <v>3748</v>
      </c>
      <c r="D952" s="71">
        <v>4</v>
      </c>
    </row>
    <row r="953" spans="1:4" ht="15.75" x14ac:dyDescent="0.2">
      <c r="A953" s="62">
        <v>7016</v>
      </c>
      <c r="B953" s="43" t="s">
        <v>3434</v>
      </c>
      <c r="C953" s="44" t="s">
        <v>3747</v>
      </c>
      <c r="D953" s="71">
        <v>29</v>
      </c>
    </row>
    <row r="954" spans="1:4" ht="15.75" x14ac:dyDescent="0.2">
      <c r="A954" s="62">
        <v>7017</v>
      </c>
      <c r="B954" s="43" t="s">
        <v>3435</v>
      </c>
      <c r="C954" s="44" t="s">
        <v>3747</v>
      </c>
      <c r="D954" s="71">
        <v>32</v>
      </c>
    </row>
    <row r="955" spans="1:4" ht="15.75" x14ac:dyDescent="0.2">
      <c r="A955" s="62">
        <v>7018</v>
      </c>
      <c r="B955" s="43" t="s">
        <v>3709</v>
      </c>
      <c r="C955" s="44" t="s">
        <v>4215</v>
      </c>
      <c r="D955" s="71">
        <v>162</v>
      </c>
    </row>
    <row r="956" spans="1:4" ht="15.75" x14ac:dyDescent="0.2">
      <c r="A956" s="62">
        <v>7019</v>
      </c>
      <c r="B956" s="43" t="s">
        <v>3436</v>
      </c>
      <c r="C956" s="44" t="s">
        <v>3748</v>
      </c>
      <c r="D956" s="71">
        <v>14</v>
      </c>
    </row>
    <row r="957" spans="1:4" ht="15.75" x14ac:dyDescent="0.2">
      <c r="A957" s="62">
        <v>7020</v>
      </c>
      <c r="B957" s="43" t="s">
        <v>3437</v>
      </c>
      <c r="C957" s="44" t="s">
        <v>3783</v>
      </c>
      <c r="D957" s="71">
        <v>58</v>
      </c>
    </row>
    <row r="958" spans="1:4" ht="15.75" x14ac:dyDescent="0.2">
      <c r="A958" s="62">
        <v>7021</v>
      </c>
      <c r="B958" s="43" t="s">
        <v>3438</v>
      </c>
      <c r="C958" s="44" t="s">
        <v>3740</v>
      </c>
      <c r="D958" s="71">
        <v>130</v>
      </c>
    </row>
    <row r="959" spans="1:4" ht="15.75" x14ac:dyDescent="0.2">
      <c r="A959" s="62">
        <v>7022</v>
      </c>
      <c r="B959" s="43" t="s">
        <v>3439</v>
      </c>
      <c r="C959" s="44" t="s">
        <v>3740</v>
      </c>
      <c r="D959" s="71">
        <v>220</v>
      </c>
    </row>
    <row r="960" spans="1:4" ht="15.75" x14ac:dyDescent="0.2">
      <c r="A960" s="62">
        <v>7023</v>
      </c>
      <c r="B960" s="43" t="s">
        <v>3440</v>
      </c>
      <c r="C960" s="44" t="s">
        <v>3748</v>
      </c>
      <c r="D960" s="71">
        <v>7</v>
      </c>
    </row>
    <row r="961" spans="1:4" ht="15.75" x14ac:dyDescent="0.2">
      <c r="A961" s="62">
        <v>7024</v>
      </c>
      <c r="B961" s="43" t="s">
        <v>3441</v>
      </c>
      <c r="C961" s="44" t="s">
        <v>4100</v>
      </c>
      <c r="D961" s="71">
        <v>9820</v>
      </c>
    </row>
    <row r="962" spans="1:4" ht="15.75" x14ac:dyDescent="0.2">
      <c r="A962" s="62">
        <v>7027</v>
      </c>
      <c r="B962" s="43" t="s">
        <v>3442</v>
      </c>
      <c r="C962" s="44" t="s">
        <v>4204</v>
      </c>
      <c r="D962" s="71">
        <v>120</v>
      </c>
    </row>
    <row r="963" spans="1:4" ht="31.5" x14ac:dyDescent="0.2">
      <c r="A963" s="62">
        <v>7029</v>
      </c>
      <c r="B963" s="43" t="s">
        <v>3443</v>
      </c>
      <c r="C963" s="44" t="s">
        <v>4112</v>
      </c>
      <c r="D963" s="71">
        <v>200</v>
      </c>
    </row>
    <row r="964" spans="1:4" ht="31.5" x14ac:dyDescent="0.2">
      <c r="A964" s="62">
        <v>7032</v>
      </c>
      <c r="B964" s="43" t="s">
        <v>3444</v>
      </c>
      <c r="C964" s="44" t="s">
        <v>4112</v>
      </c>
      <c r="D964" s="71">
        <v>725</v>
      </c>
    </row>
    <row r="965" spans="1:4" ht="15.75" x14ac:dyDescent="0.2">
      <c r="A965" s="62">
        <v>7034</v>
      </c>
      <c r="B965" s="43" t="s">
        <v>4198</v>
      </c>
      <c r="C965" s="44" t="s">
        <v>3753</v>
      </c>
      <c r="D965" s="71">
        <v>73</v>
      </c>
    </row>
    <row r="966" spans="1:4" ht="15.75" x14ac:dyDescent="0.2">
      <c r="A966" s="62">
        <v>7035</v>
      </c>
      <c r="B966" s="43" t="s">
        <v>4199</v>
      </c>
      <c r="C966" s="44" t="s">
        <v>3748</v>
      </c>
      <c r="D966" s="71">
        <v>4</v>
      </c>
    </row>
    <row r="967" spans="1:4" ht="15.75" x14ac:dyDescent="0.2">
      <c r="A967" s="62">
        <v>7036</v>
      </c>
      <c r="B967" s="43" t="s">
        <v>3445</v>
      </c>
      <c r="C967" s="44" t="s">
        <v>3748</v>
      </c>
      <c r="D967" s="71">
        <v>6</v>
      </c>
    </row>
    <row r="968" spans="1:4" ht="15.75" x14ac:dyDescent="0.2">
      <c r="A968" s="62">
        <v>7040</v>
      </c>
      <c r="B968" s="43" t="s">
        <v>3446</v>
      </c>
      <c r="C968" s="44" t="s">
        <v>3783</v>
      </c>
      <c r="D968" s="71">
        <v>41</v>
      </c>
    </row>
    <row r="969" spans="1:4" ht="15.75" x14ac:dyDescent="0.2">
      <c r="A969" s="62">
        <v>7042</v>
      </c>
      <c r="B969" s="43" t="s">
        <v>3447</v>
      </c>
      <c r="C969" s="44" t="s">
        <v>3753</v>
      </c>
      <c r="D969" s="71">
        <v>61</v>
      </c>
    </row>
    <row r="970" spans="1:4" ht="15.75" x14ac:dyDescent="0.2">
      <c r="A970" s="62">
        <v>7043</v>
      </c>
      <c r="B970" s="43" t="s">
        <v>3448</v>
      </c>
      <c r="C970" s="44" t="s">
        <v>3753</v>
      </c>
      <c r="D970" s="71">
        <v>69</v>
      </c>
    </row>
    <row r="971" spans="1:4" ht="15.75" x14ac:dyDescent="0.2">
      <c r="A971" s="62">
        <v>7044</v>
      </c>
      <c r="B971" s="43" t="s">
        <v>3449</v>
      </c>
      <c r="C971" s="44" t="s">
        <v>4112</v>
      </c>
      <c r="D971" s="71">
        <v>890</v>
      </c>
    </row>
    <row r="972" spans="1:4" ht="15.75" x14ac:dyDescent="0.2">
      <c r="A972" s="62">
        <v>7045</v>
      </c>
      <c r="B972" s="43" t="s">
        <v>3450</v>
      </c>
      <c r="C972" s="44" t="s">
        <v>4112</v>
      </c>
      <c r="D972" s="71">
        <v>1020</v>
      </c>
    </row>
    <row r="973" spans="1:4" ht="15.75" x14ac:dyDescent="0.2">
      <c r="A973" s="62">
        <v>7046</v>
      </c>
      <c r="B973" s="43" t="s">
        <v>3451</v>
      </c>
      <c r="C973" s="44" t="s">
        <v>3753</v>
      </c>
      <c r="D973" s="71">
        <v>460</v>
      </c>
    </row>
    <row r="974" spans="1:4" ht="15.75" x14ac:dyDescent="0.2">
      <c r="A974" s="62">
        <v>7047</v>
      </c>
      <c r="B974" s="43" t="s">
        <v>3452</v>
      </c>
      <c r="C974" s="44" t="s">
        <v>3753</v>
      </c>
      <c r="D974" s="71">
        <v>520</v>
      </c>
    </row>
    <row r="975" spans="1:4" ht="15.75" x14ac:dyDescent="0.2">
      <c r="A975" s="62">
        <v>7048</v>
      </c>
      <c r="B975" s="43" t="s">
        <v>3453</v>
      </c>
      <c r="C975" s="44" t="s">
        <v>3748</v>
      </c>
      <c r="D975" s="71">
        <v>9</v>
      </c>
    </row>
    <row r="976" spans="1:4" ht="15.75" x14ac:dyDescent="0.2">
      <c r="A976" s="62">
        <v>7049</v>
      </c>
      <c r="B976" s="43" t="s">
        <v>3454</v>
      </c>
      <c r="C976" s="44" t="s">
        <v>3753</v>
      </c>
      <c r="D976" s="71">
        <v>23</v>
      </c>
    </row>
    <row r="977" spans="1:4" ht="31.5" x14ac:dyDescent="0.2">
      <c r="A977" s="62">
        <v>7055</v>
      </c>
      <c r="B977" s="43" t="s">
        <v>3455</v>
      </c>
      <c r="C977" s="44" t="s">
        <v>4112</v>
      </c>
      <c r="D977" s="71">
        <v>420</v>
      </c>
    </row>
    <row r="978" spans="1:4" ht="15.75" x14ac:dyDescent="0.2">
      <c r="A978" s="62">
        <v>7056</v>
      </c>
      <c r="B978" s="43" t="s">
        <v>3456</v>
      </c>
      <c r="C978" s="44" t="s">
        <v>3753</v>
      </c>
      <c r="D978" s="71">
        <v>48</v>
      </c>
    </row>
    <row r="979" spans="1:4" ht="15.75" x14ac:dyDescent="0.2">
      <c r="A979" s="62">
        <v>7059</v>
      </c>
      <c r="B979" s="43" t="s">
        <v>3457</v>
      </c>
      <c r="C979" s="44" t="s">
        <v>3748</v>
      </c>
      <c r="D979" s="71">
        <v>61</v>
      </c>
    </row>
    <row r="980" spans="1:4" ht="15.75" x14ac:dyDescent="0.2">
      <c r="A980" s="62">
        <v>7060</v>
      </c>
      <c r="B980" s="43" t="s">
        <v>3458</v>
      </c>
      <c r="C980" s="44" t="s">
        <v>3748</v>
      </c>
      <c r="D980" s="71">
        <v>1600</v>
      </c>
    </row>
    <row r="981" spans="1:4" ht="31.5" x14ac:dyDescent="0.2">
      <c r="A981" s="62">
        <v>7063</v>
      </c>
      <c r="B981" s="43" t="s">
        <v>3459</v>
      </c>
      <c r="C981" s="44" t="s">
        <v>3748</v>
      </c>
      <c r="D981" s="71">
        <v>21</v>
      </c>
    </row>
    <row r="982" spans="1:4" ht="31.5" x14ac:dyDescent="0.2">
      <c r="A982" s="62">
        <v>7064</v>
      </c>
      <c r="B982" s="43" t="s">
        <v>3460</v>
      </c>
      <c r="C982" s="44" t="s">
        <v>3748</v>
      </c>
      <c r="D982" s="71">
        <v>18</v>
      </c>
    </row>
    <row r="983" spans="1:4" ht="31.5" x14ac:dyDescent="0.2">
      <c r="A983" s="62">
        <v>7065</v>
      </c>
      <c r="B983" s="43" t="s">
        <v>3461</v>
      </c>
      <c r="C983" s="44" t="s">
        <v>3748</v>
      </c>
      <c r="D983" s="71">
        <v>17</v>
      </c>
    </row>
    <row r="984" spans="1:4" ht="15.75" x14ac:dyDescent="0.2">
      <c r="A984" s="62">
        <v>7068</v>
      </c>
      <c r="B984" s="43" t="s">
        <v>3462</v>
      </c>
      <c r="C984" s="44" t="s">
        <v>4112</v>
      </c>
      <c r="D984" s="71">
        <v>295</v>
      </c>
    </row>
    <row r="985" spans="1:4" ht="31.5" x14ac:dyDescent="0.2">
      <c r="A985" s="62">
        <v>7070</v>
      </c>
      <c r="B985" s="43" t="s">
        <v>3463</v>
      </c>
      <c r="C985" s="44" t="s">
        <v>4112</v>
      </c>
      <c r="D985" s="71">
        <v>170</v>
      </c>
    </row>
    <row r="986" spans="1:4" ht="31.5" x14ac:dyDescent="0.2">
      <c r="A986" s="62">
        <v>7071</v>
      </c>
      <c r="B986" s="43" t="s">
        <v>3464</v>
      </c>
      <c r="C986" s="44" t="s">
        <v>4112</v>
      </c>
      <c r="D986" s="71">
        <v>650</v>
      </c>
    </row>
    <row r="987" spans="1:4" ht="15.75" x14ac:dyDescent="0.2">
      <c r="A987" s="62">
        <v>7077</v>
      </c>
      <c r="B987" s="43" t="s">
        <v>3465</v>
      </c>
      <c r="C987" s="44" t="s">
        <v>4204</v>
      </c>
      <c r="D987" s="71">
        <v>650</v>
      </c>
    </row>
    <row r="988" spans="1:4" ht="15.75" x14ac:dyDescent="0.2">
      <c r="A988" s="62">
        <v>7087</v>
      </c>
      <c r="B988" s="43" t="s">
        <v>3466</v>
      </c>
      <c r="C988" s="44" t="s">
        <v>3748</v>
      </c>
      <c r="D988" s="71">
        <v>800</v>
      </c>
    </row>
    <row r="989" spans="1:4" ht="15.75" x14ac:dyDescent="0.2">
      <c r="A989" s="62">
        <v>7090</v>
      </c>
      <c r="B989" s="43" t="s">
        <v>3467</v>
      </c>
      <c r="C989" s="44" t="s">
        <v>4112</v>
      </c>
      <c r="D989" s="71">
        <v>165</v>
      </c>
    </row>
    <row r="990" spans="1:4" ht="15.75" x14ac:dyDescent="0.2">
      <c r="A990" s="62">
        <v>7091</v>
      </c>
      <c r="B990" s="43" t="s">
        <v>3468</v>
      </c>
      <c r="C990" s="44" t="s">
        <v>4112</v>
      </c>
      <c r="D990" s="71">
        <v>200</v>
      </c>
    </row>
    <row r="991" spans="1:4" ht="15.75" x14ac:dyDescent="0.2">
      <c r="A991" s="62">
        <v>7092</v>
      </c>
      <c r="B991" s="43" t="s">
        <v>4542</v>
      </c>
      <c r="C991" s="44" t="s">
        <v>3748</v>
      </c>
      <c r="D991" s="71">
        <v>3200</v>
      </c>
    </row>
    <row r="992" spans="1:4" ht="15.75" x14ac:dyDescent="0.2">
      <c r="A992" s="62">
        <v>7093</v>
      </c>
      <c r="B992" s="43" t="s">
        <v>4543</v>
      </c>
      <c r="C992" s="44" t="s">
        <v>3748</v>
      </c>
      <c r="D992" s="71">
        <v>3800</v>
      </c>
    </row>
    <row r="993" spans="1:4" ht="15.75" x14ac:dyDescent="0.2">
      <c r="A993" s="62">
        <v>7094</v>
      </c>
      <c r="B993" s="43" t="s">
        <v>4544</v>
      </c>
      <c r="C993" s="44" t="s">
        <v>3748</v>
      </c>
      <c r="D993" s="71">
        <v>6500</v>
      </c>
    </row>
    <row r="994" spans="1:4" ht="15.75" x14ac:dyDescent="0.2">
      <c r="A994" s="62">
        <v>7095</v>
      </c>
      <c r="B994" s="43" t="s">
        <v>3469</v>
      </c>
      <c r="C994" s="44" t="s">
        <v>3748</v>
      </c>
      <c r="D994" s="71">
        <v>6900</v>
      </c>
    </row>
    <row r="995" spans="1:4" ht="31.5" x14ac:dyDescent="0.2">
      <c r="A995" s="62">
        <v>7096</v>
      </c>
      <c r="B995" s="43" t="s">
        <v>3470</v>
      </c>
      <c r="C995" s="44" t="s">
        <v>3748</v>
      </c>
      <c r="D995" s="71">
        <v>6430</v>
      </c>
    </row>
    <row r="996" spans="1:4" ht="31.5" x14ac:dyDescent="0.2">
      <c r="A996" s="62">
        <v>7097</v>
      </c>
      <c r="B996" s="43" t="s">
        <v>3471</v>
      </c>
      <c r="C996" s="44" t="s">
        <v>3748</v>
      </c>
      <c r="D996" s="71">
        <v>5730</v>
      </c>
    </row>
    <row r="997" spans="1:4" ht="31.5" x14ac:dyDescent="0.2">
      <c r="A997" s="62">
        <v>7098</v>
      </c>
      <c r="B997" s="43" t="s">
        <v>3472</v>
      </c>
      <c r="C997" s="44" t="s">
        <v>3748</v>
      </c>
      <c r="D997" s="71">
        <v>3630</v>
      </c>
    </row>
    <row r="998" spans="1:4" ht="15.75" x14ac:dyDescent="0.2">
      <c r="A998" s="62">
        <v>7099</v>
      </c>
      <c r="B998" s="43" t="s">
        <v>4545</v>
      </c>
      <c r="C998" s="44" t="s">
        <v>3748</v>
      </c>
      <c r="D998" s="71">
        <v>7700</v>
      </c>
    </row>
    <row r="999" spans="1:4" ht="15.75" x14ac:dyDescent="0.2">
      <c r="A999" s="62">
        <v>7100</v>
      </c>
      <c r="B999" s="43" t="s">
        <v>4546</v>
      </c>
      <c r="C999" s="44" t="s">
        <v>3748</v>
      </c>
      <c r="D999" s="71">
        <v>10825</v>
      </c>
    </row>
    <row r="1000" spans="1:4" ht="31.5" x14ac:dyDescent="0.2">
      <c r="A1000" s="62">
        <v>7101</v>
      </c>
      <c r="B1000" s="43" t="s">
        <v>3473</v>
      </c>
      <c r="C1000" s="44" t="s">
        <v>3748</v>
      </c>
      <c r="D1000" s="71">
        <v>3780</v>
      </c>
    </row>
    <row r="1001" spans="1:4" ht="31.5" x14ac:dyDescent="0.2">
      <c r="A1001" s="62">
        <v>7102</v>
      </c>
      <c r="B1001" s="43" t="s">
        <v>3474</v>
      </c>
      <c r="C1001" s="44" t="s">
        <v>3748</v>
      </c>
      <c r="D1001" s="71">
        <v>3500</v>
      </c>
    </row>
    <row r="1002" spans="1:4" ht="31.5" x14ac:dyDescent="0.2">
      <c r="A1002" s="62">
        <v>7103</v>
      </c>
      <c r="B1002" s="43" t="s">
        <v>3475</v>
      </c>
      <c r="C1002" s="44" t="s">
        <v>3748</v>
      </c>
      <c r="D1002" s="71">
        <v>2250</v>
      </c>
    </row>
    <row r="1003" spans="1:4" ht="15.75" x14ac:dyDescent="0.2">
      <c r="A1003" s="62">
        <v>7104</v>
      </c>
      <c r="B1003" s="43" t="s">
        <v>3476</v>
      </c>
      <c r="C1003" s="44" t="s">
        <v>3748</v>
      </c>
      <c r="D1003" s="71">
        <v>3220</v>
      </c>
    </row>
    <row r="1004" spans="1:4" ht="15.75" x14ac:dyDescent="0.2">
      <c r="A1004" s="62">
        <v>7105</v>
      </c>
      <c r="B1004" s="43" t="s">
        <v>4974</v>
      </c>
      <c r="C1004" s="44" t="s">
        <v>3748</v>
      </c>
      <c r="D1004" s="71">
        <v>2600</v>
      </c>
    </row>
    <row r="1005" spans="1:4" ht="15.75" x14ac:dyDescent="0.2">
      <c r="A1005" s="62">
        <v>7106</v>
      </c>
      <c r="B1005" s="43" t="s">
        <v>3477</v>
      </c>
      <c r="C1005" s="44" t="s">
        <v>3748</v>
      </c>
      <c r="D1005" s="71">
        <v>2100</v>
      </c>
    </row>
    <row r="1006" spans="1:4" ht="15.75" x14ac:dyDescent="0.2">
      <c r="A1006" s="62">
        <v>7107</v>
      </c>
      <c r="B1006" s="43" t="s">
        <v>3478</v>
      </c>
      <c r="C1006" s="44" t="s">
        <v>3748</v>
      </c>
      <c r="D1006" s="71">
        <v>400</v>
      </c>
    </row>
    <row r="1007" spans="1:4" ht="34.5" customHeight="1" x14ac:dyDescent="0.2">
      <c r="A1007" s="62">
        <v>7108</v>
      </c>
      <c r="B1007" s="43" t="s">
        <v>4470</v>
      </c>
      <c r="C1007" s="44" t="s">
        <v>3748</v>
      </c>
      <c r="D1007" s="71">
        <v>250</v>
      </c>
    </row>
    <row r="1008" spans="1:4" ht="34.5" customHeight="1" x14ac:dyDescent="0.2">
      <c r="A1008" s="62">
        <v>7109</v>
      </c>
      <c r="B1008" s="43" t="s">
        <v>4472</v>
      </c>
      <c r="C1008" s="44" t="s">
        <v>3748</v>
      </c>
      <c r="D1008" s="71">
        <v>300</v>
      </c>
    </row>
    <row r="1009" spans="1:4" ht="31.5" x14ac:dyDescent="0.2">
      <c r="A1009" s="62">
        <v>7110</v>
      </c>
      <c r="B1009" s="43" t="s">
        <v>4471</v>
      </c>
      <c r="C1009" s="44" t="s">
        <v>3748</v>
      </c>
      <c r="D1009" s="71">
        <v>350</v>
      </c>
    </row>
    <row r="1010" spans="1:4" ht="15.75" x14ac:dyDescent="0.2">
      <c r="A1010" s="62">
        <v>7111</v>
      </c>
      <c r="B1010" s="43" t="s">
        <v>4473</v>
      </c>
      <c r="C1010" s="44"/>
      <c r="D1010" s="71">
        <v>95</v>
      </c>
    </row>
    <row r="1011" spans="1:4" ht="15.75" x14ac:dyDescent="0.2">
      <c r="A1011" s="62">
        <v>7112</v>
      </c>
      <c r="B1011" s="43" t="s">
        <v>4565</v>
      </c>
      <c r="C1011" s="44" t="s">
        <v>3748</v>
      </c>
      <c r="D1011" s="71">
        <v>460</v>
      </c>
    </row>
    <row r="1012" spans="1:4" ht="15.75" x14ac:dyDescent="0.2">
      <c r="A1012" s="62">
        <v>7113</v>
      </c>
      <c r="B1012" s="43" t="s">
        <v>4564</v>
      </c>
      <c r="C1012" s="44" t="s">
        <v>3748</v>
      </c>
      <c r="D1012" s="71">
        <v>450</v>
      </c>
    </row>
    <row r="1013" spans="1:4" ht="31.5" x14ac:dyDescent="0.2">
      <c r="A1013" s="62">
        <v>7114</v>
      </c>
      <c r="B1013" s="43" t="s">
        <v>3479</v>
      </c>
      <c r="C1013" s="44" t="s">
        <v>3748</v>
      </c>
      <c r="D1013" s="71">
        <v>500</v>
      </c>
    </row>
    <row r="1014" spans="1:4" ht="15.75" x14ac:dyDescent="0.2">
      <c r="A1014" s="62">
        <v>7115</v>
      </c>
      <c r="B1014" s="43" t="s">
        <v>3480</v>
      </c>
      <c r="C1014" s="44" t="s">
        <v>3748</v>
      </c>
      <c r="D1014" s="71">
        <v>900</v>
      </c>
    </row>
    <row r="1015" spans="1:4" ht="15.75" x14ac:dyDescent="0.2">
      <c r="A1015" s="62">
        <v>7116</v>
      </c>
      <c r="B1015" s="43" t="s">
        <v>3481</v>
      </c>
      <c r="C1015" s="44" t="s">
        <v>4112</v>
      </c>
      <c r="D1015" s="71">
        <v>210</v>
      </c>
    </row>
    <row r="1016" spans="1:4" ht="35.25" customHeight="1" x14ac:dyDescent="0.2">
      <c r="A1016" s="62">
        <v>7117</v>
      </c>
      <c r="B1016" s="43" t="s">
        <v>3482</v>
      </c>
      <c r="C1016" s="44" t="s">
        <v>3748</v>
      </c>
      <c r="D1016" s="71">
        <v>80</v>
      </c>
    </row>
    <row r="1017" spans="1:4" ht="35.25" customHeight="1" x14ac:dyDescent="0.2">
      <c r="A1017" s="62">
        <v>7118</v>
      </c>
      <c r="B1017" s="43" t="s">
        <v>3483</v>
      </c>
      <c r="C1017" s="44" t="s">
        <v>3748</v>
      </c>
      <c r="D1017" s="71">
        <v>90</v>
      </c>
    </row>
    <row r="1018" spans="1:4" ht="31.5" x14ac:dyDescent="0.2">
      <c r="A1018" s="62">
        <v>7119</v>
      </c>
      <c r="B1018" s="43" t="s">
        <v>3484</v>
      </c>
      <c r="C1018" s="44" t="s">
        <v>3748</v>
      </c>
      <c r="D1018" s="71">
        <v>60</v>
      </c>
    </row>
    <row r="1019" spans="1:4" ht="31.5" x14ac:dyDescent="0.2">
      <c r="A1019" s="62">
        <v>7120</v>
      </c>
      <c r="B1019" s="43" t="s">
        <v>3485</v>
      </c>
      <c r="C1019" s="44" t="s">
        <v>3748</v>
      </c>
      <c r="D1019" s="71">
        <v>70</v>
      </c>
    </row>
    <row r="1020" spans="1:4" ht="31.5" x14ac:dyDescent="0.2">
      <c r="A1020" s="62">
        <v>7123</v>
      </c>
      <c r="B1020" s="43" t="s">
        <v>3486</v>
      </c>
      <c r="C1020" s="44" t="s">
        <v>3748</v>
      </c>
      <c r="D1020" s="71">
        <v>1050</v>
      </c>
    </row>
    <row r="1021" spans="1:4" ht="31.5" x14ac:dyDescent="0.2">
      <c r="A1021" s="62">
        <v>7126</v>
      </c>
      <c r="B1021" s="43" t="s">
        <v>3487</v>
      </c>
      <c r="C1021" s="44" t="s">
        <v>3748</v>
      </c>
      <c r="D1021" s="71">
        <v>1420</v>
      </c>
    </row>
    <row r="1022" spans="1:4" ht="31.5" x14ac:dyDescent="0.2">
      <c r="A1022" s="62">
        <v>7127</v>
      </c>
      <c r="B1022" s="43" t="s">
        <v>3488</v>
      </c>
      <c r="C1022" s="44" t="s">
        <v>3748</v>
      </c>
      <c r="D1022" s="71">
        <v>2110</v>
      </c>
    </row>
    <row r="1023" spans="1:4" ht="15.75" x14ac:dyDescent="0.2">
      <c r="A1023" s="62">
        <v>7128</v>
      </c>
      <c r="B1023" s="43" t="s">
        <v>3489</v>
      </c>
      <c r="C1023" s="44" t="s">
        <v>3748</v>
      </c>
      <c r="D1023" s="71">
        <v>275</v>
      </c>
    </row>
    <row r="1024" spans="1:4" ht="15.75" x14ac:dyDescent="0.2">
      <c r="A1024" s="62">
        <v>7129</v>
      </c>
      <c r="B1024" s="43" t="s">
        <v>3490</v>
      </c>
      <c r="C1024" s="44" t="s">
        <v>3748</v>
      </c>
      <c r="D1024" s="71">
        <v>350</v>
      </c>
    </row>
    <row r="1025" spans="1:4" ht="31.5" x14ac:dyDescent="0.2">
      <c r="A1025" s="62">
        <v>7130</v>
      </c>
      <c r="B1025" s="43" t="s">
        <v>3491</v>
      </c>
      <c r="C1025" s="44" t="s">
        <v>3748</v>
      </c>
      <c r="D1025" s="71">
        <v>1270</v>
      </c>
    </row>
    <row r="1026" spans="1:4" ht="31.5" x14ac:dyDescent="0.2">
      <c r="A1026" s="62">
        <v>7131</v>
      </c>
      <c r="B1026" s="43" t="s">
        <v>3492</v>
      </c>
      <c r="C1026" s="44" t="s">
        <v>3748</v>
      </c>
      <c r="D1026" s="71">
        <v>870</v>
      </c>
    </row>
    <row r="1027" spans="1:4" ht="31.5" x14ac:dyDescent="0.2">
      <c r="A1027" s="62">
        <v>7132</v>
      </c>
      <c r="B1027" s="43" t="s">
        <v>3493</v>
      </c>
      <c r="C1027" s="44" t="s">
        <v>3748</v>
      </c>
      <c r="D1027" s="71">
        <v>1040</v>
      </c>
    </row>
    <row r="1028" spans="1:4" ht="31.5" x14ac:dyDescent="0.2">
      <c r="A1028" s="62">
        <v>7133</v>
      </c>
      <c r="B1028" s="43" t="s">
        <v>3494</v>
      </c>
      <c r="C1028" s="44" t="s">
        <v>3748</v>
      </c>
      <c r="D1028" s="71">
        <v>2310</v>
      </c>
    </row>
    <row r="1029" spans="1:4" ht="31.5" x14ac:dyDescent="0.2">
      <c r="A1029" s="62">
        <v>7134</v>
      </c>
      <c r="B1029" s="43" t="s">
        <v>3495</v>
      </c>
      <c r="C1029" s="44" t="s">
        <v>3748</v>
      </c>
      <c r="D1029" s="71">
        <v>2310</v>
      </c>
    </row>
    <row r="1030" spans="1:4" ht="31.5" x14ac:dyDescent="0.2">
      <c r="A1030" s="62">
        <v>7135</v>
      </c>
      <c r="B1030" s="43" t="s">
        <v>3496</v>
      </c>
      <c r="C1030" s="44" t="s">
        <v>3748</v>
      </c>
      <c r="D1030" s="71">
        <v>2900</v>
      </c>
    </row>
    <row r="1031" spans="1:4" ht="31.5" x14ac:dyDescent="0.2">
      <c r="A1031" s="62">
        <v>7136</v>
      </c>
      <c r="B1031" s="43" t="s">
        <v>3497</v>
      </c>
      <c r="C1031" s="44" t="s">
        <v>3748</v>
      </c>
      <c r="D1031" s="71">
        <v>3300</v>
      </c>
    </row>
    <row r="1032" spans="1:4" ht="63" x14ac:dyDescent="0.2">
      <c r="A1032" s="62">
        <v>7137</v>
      </c>
      <c r="B1032" s="43" t="s">
        <v>3498</v>
      </c>
      <c r="C1032" s="44" t="s">
        <v>4112</v>
      </c>
      <c r="D1032" s="71">
        <v>2250</v>
      </c>
    </row>
    <row r="1033" spans="1:4" ht="63" x14ac:dyDescent="0.2">
      <c r="A1033" s="62">
        <v>7139</v>
      </c>
      <c r="B1033" s="43" t="s">
        <v>3499</v>
      </c>
      <c r="C1033" s="44" t="s">
        <v>4112</v>
      </c>
      <c r="D1033" s="71">
        <v>2430</v>
      </c>
    </row>
    <row r="1034" spans="1:4" ht="66" customHeight="1" x14ac:dyDescent="0.2">
      <c r="A1034" s="62">
        <v>7143</v>
      </c>
      <c r="B1034" s="43" t="s">
        <v>6366</v>
      </c>
      <c r="C1034" s="44" t="s">
        <v>4112</v>
      </c>
      <c r="D1034" s="71">
        <v>2350</v>
      </c>
    </row>
    <row r="1035" spans="1:4" ht="47.25" x14ac:dyDescent="0.2">
      <c r="A1035" s="62">
        <v>7151</v>
      </c>
      <c r="B1035" s="43" t="s">
        <v>3500</v>
      </c>
      <c r="C1035" s="44" t="s">
        <v>4112</v>
      </c>
      <c r="D1035" s="71">
        <v>1950</v>
      </c>
    </row>
    <row r="1036" spans="1:4" ht="47.25" x14ac:dyDescent="0.2">
      <c r="A1036" s="62">
        <v>7154</v>
      </c>
      <c r="B1036" s="43" t="s">
        <v>3501</v>
      </c>
      <c r="C1036" s="44" t="s">
        <v>4112</v>
      </c>
      <c r="D1036" s="71">
        <v>2000</v>
      </c>
    </row>
    <row r="1037" spans="1:4" ht="47.25" x14ac:dyDescent="0.2">
      <c r="A1037" s="62">
        <v>7155</v>
      </c>
      <c r="B1037" s="43" t="s">
        <v>3502</v>
      </c>
      <c r="C1037" s="44" t="s">
        <v>4112</v>
      </c>
      <c r="D1037" s="71">
        <v>1850</v>
      </c>
    </row>
    <row r="1038" spans="1:4" ht="31.5" x14ac:dyDescent="0.2">
      <c r="A1038" s="62">
        <v>7157</v>
      </c>
      <c r="B1038" s="43" t="s">
        <v>3503</v>
      </c>
      <c r="C1038" s="44" t="s">
        <v>3945</v>
      </c>
      <c r="D1038" s="71">
        <v>850</v>
      </c>
    </row>
    <row r="1039" spans="1:4" ht="15.75" x14ac:dyDescent="0.2">
      <c r="A1039" s="62">
        <v>7181</v>
      </c>
      <c r="B1039" s="43" t="s">
        <v>3504</v>
      </c>
      <c r="C1039" s="44" t="s">
        <v>3747</v>
      </c>
      <c r="D1039" s="71">
        <v>53</v>
      </c>
    </row>
    <row r="1040" spans="1:4" ht="15.75" x14ac:dyDescent="0.2">
      <c r="A1040" s="62">
        <v>7182</v>
      </c>
      <c r="B1040" s="43" t="s">
        <v>3505</v>
      </c>
      <c r="C1040" s="44" t="s">
        <v>3747</v>
      </c>
      <c r="D1040" s="71">
        <v>46</v>
      </c>
    </row>
    <row r="1041" spans="1:4" ht="15.75" x14ac:dyDescent="0.2">
      <c r="A1041" s="62">
        <v>7183</v>
      </c>
      <c r="B1041" s="43" t="s">
        <v>3506</v>
      </c>
      <c r="C1041" s="44" t="s">
        <v>4100</v>
      </c>
      <c r="D1041" s="71">
        <v>3700</v>
      </c>
    </row>
    <row r="1042" spans="1:4" ht="15.75" x14ac:dyDescent="0.2">
      <c r="A1042" s="62">
        <v>7184</v>
      </c>
      <c r="B1042" s="43" t="s">
        <v>3507</v>
      </c>
      <c r="C1042" s="44" t="s">
        <v>3748</v>
      </c>
      <c r="D1042" s="71">
        <v>69</v>
      </c>
    </row>
    <row r="1043" spans="1:4" ht="15.75" x14ac:dyDescent="0.2">
      <c r="A1043" s="62">
        <v>7187</v>
      </c>
      <c r="B1043" s="43" t="s">
        <v>3508</v>
      </c>
      <c r="C1043" s="44" t="s">
        <v>3748</v>
      </c>
      <c r="D1043" s="71">
        <v>52</v>
      </c>
    </row>
    <row r="1044" spans="1:4" ht="31.5" x14ac:dyDescent="0.2">
      <c r="A1044" s="62">
        <v>7188</v>
      </c>
      <c r="B1044" s="43" t="s">
        <v>3509</v>
      </c>
      <c r="C1044" s="44" t="s">
        <v>3753</v>
      </c>
      <c r="D1044" s="71">
        <v>150</v>
      </c>
    </row>
    <row r="1045" spans="1:4" ht="31.5" x14ac:dyDescent="0.2">
      <c r="A1045" s="62">
        <v>7189</v>
      </c>
      <c r="B1045" s="43" t="s">
        <v>3510</v>
      </c>
      <c r="C1045" s="44" t="s">
        <v>3753</v>
      </c>
      <c r="D1045" s="71">
        <v>275</v>
      </c>
    </row>
    <row r="1046" spans="1:4" ht="31.5" x14ac:dyDescent="0.2">
      <c r="A1046" s="62">
        <v>7190</v>
      </c>
      <c r="B1046" s="43" t="s">
        <v>3511</v>
      </c>
      <c r="C1046" s="44" t="s">
        <v>3748</v>
      </c>
      <c r="D1046" s="71">
        <v>25</v>
      </c>
    </row>
    <row r="1047" spans="1:4" ht="31.5" x14ac:dyDescent="0.2">
      <c r="A1047" s="62">
        <v>7191</v>
      </c>
      <c r="B1047" s="43" t="s">
        <v>3512</v>
      </c>
      <c r="C1047" s="44" t="s">
        <v>3748</v>
      </c>
      <c r="D1047" s="71">
        <v>30</v>
      </c>
    </row>
    <row r="1048" spans="1:4" ht="15.75" x14ac:dyDescent="0.2">
      <c r="A1048" s="62">
        <v>7192</v>
      </c>
      <c r="B1048" s="43" t="s">
        <v>3513</v>
      </c>
      <c r="C1048" s="44" t="s">
        <v>3748</v>
      </c>
      <c r="D1048" s="71">
        <v>57</v>
      </c>
    </row>
    <row r="1049" spans="1:4" ht="15.75" x14ac:dyDescent="0.2">
      <c r="A1049" s="62">
        <v>7193</v>
      </c>
      <c r="B1049" s="43" t="s">
        <v>3514</v>
      </c>
      <c r="C1049" s="44" t="s">
        <v>3748</v>
      </c>
      <c r="D1049" s="71">
        <v>75</v>
      </c>
    </row>
    <row r="1050" spans="1:4" ht="15.75" x14ac:dyDescent="0.2">
      <c r="A1050" s="62">
        <v>7194</v>
      </c>
      <c r="B1050" s="43" t="s">
        <v>3515</v>
      </c>
      <c r="C1050" s="44" t="s">
        <v>3748</v>
      </c>
      <c r="D1050" s="71">
        <v>90</v>
      </c>
    </row>
    <row r="1051" spans="1:4" ht="15.75" x14ac:dyDescent="0.2">
      <c r="A1051" s="62">
        <v>7195</v>
      </c>
      <c r="B1051" s="43" t="s">
        <v>3516</v>
      </c>
      <c r="C1051" s="44" t="s">
        <v>3748</v>
      </c>
      <c r="D1051" s="71">
        <v>137</v>
      </c>
    </row>
    <row r="1052" spans="1:4" ht="15.75" x14ac:dyDescent="0.2">
      <c r="A1052" s="62">
        <v>7196</v>
      </c>
      <c r="B1052" s="43" t="s">
        <v>3517</v>
      </c>
      <c r="C1052" s="44" t="s">
        <v>3748</v>
      </c>
      <c r="D1052" s="71">
        <v>158</v>
      </c>
    </row>
    <row r="1053" spans="1:4" ht="15.75" x14ac:dyDescent="0.2">
      <c r="A1053" s="62">
        <v>7197</v>
      </c>
      <c r="B1053" s="43" t="s">
        <v>3518</v>
      </c>
      <c r="C1053" s="44" t="s">
        <v>3748</v>
      </c>
      <c r="D1053" s="71">
        <v>220</v>
      </c>
    </row>
    <row r="1054" spans="1:4" ht="15.75" x14ac:dyDescent="0.2">
      <c r="A1054" s="62">
        <v>7198</v>
      </c>
      <c r="B1054" s="43" t="s">
        <v>3517</v>
      </c>
      <c r="C1054" s="44" t="s">
        <v>3748</v>
      </c>
      <c r="D1054" s="71">
        <v>190</v>
      </c>
    </row>
    <row r="1055" spans="1:4" ht="15.75" x14ac:dyDescent="0.2">
      <c r="A1055" s="62">
        <v>7199</v>
      </c>
      <c r="B1055" s="43" t="s">
        <v>3518</v>
      </c>
      <c r="C1055" s="44" t="s">
        <v>3748</v>
      </c>
      <c r="D1055" s="71">
        <v>305</v>
      </c>
    </row>
    <row r="1056" spans="1:4" ht="15.75" x14ac:dyDescent="0.2">
      <c r="A1056" s="62">
        <v>7208</v>
      </c>
      <c r="B1056" s="43" t="s">
        <v>4144</v>
      </c>
      <c r="C1056" s="44" t="s">
        <v>3748</v>
      </c>
      <c r="D1056" s="71">
        <v>96</v>
      </c>
    </row>
    <row r="1057" spans="1:4" ht="15.75" x14ac:dyDescent="0.2">
      <c r="A1057" s="62">
        <v>7209</v>
      </c>
      <c r="B1057" s="43" t="s">
        <v>4145</v>
      </c>
      <c r="C1057" s="44" t="s">
        <v>3748</v>
      </c>
      <c r="D1057" s="71">
        <v>160</v>
      </c>
    </row>
    <row r="1058" spans="1:4" ht="15.75" x14ac:dyDescent="0.2">
      <c r="A1058" s="62">
        <v>7212</v>
      </c>
      <c r="B1058" s="43" t="s">
        <v>4146</v>
      </c>
      <c r="C1058" s="44" t="s">
        <v>3748</v>
      </c>
      <c r="D1058" s="71">
        <v>200</v>
      </c>
    </row>
    <row r="1059" spans="1:4" ht="15.75" x14ac:dyDescent="0.2">
      <c r="A1059" s="62">
        <v>7213</v>
      </c>
      <c r="B1059" s="43" t="s">
        <v>4147</v>
      </c>
      <c r="C1059" s="44" t="s">
        <v>3748</v>
      </c>
      <c r="D1059" s="71">
        <v>375</v>
      </c>
    </row>
    <row r="1060" spans="1:4" ht="15.75" x14ac:dyDescent="0.2">
      <c r="A1060" s="62">
        <v>7214</v>
      </c>
      <c r="B1060" s="43" t="s">
        <v>4148</v>
      </c>
      <c r="C1060" s="44" t="s">
        <v>3748</v>
      </c>
      <c r="D1060" s="71">
        <v>29</v>
      </c>
    </row>
    <row r="1061" spans="1:4" ht="15.75" x14ac:dyDescent="0.2">
      <c r="A1061" s="62">
        <v>7215</v>
      </c>
      <c r="B1061" s="43" t="s">
        <v>4149</v>
      </c>
      <c r="C1061" s="44" t="s">
        <v>3748</v>
      </c>
      <c r="D1061" s="71">
        <v>57</v>
      </c>
    </row>
    <row r="1062" spans="1:4" ht="15.75" x14ac:dyDescent="0.2">
      <c r="A1062" s="62">
        <v>7231</v>
      </c>
      <c r="B1062" s="43" t="s">
        <v>4150</v>
      </c>
      <c r="C1062" s="44" t="s">
        <v>4112</v>
      </c>
      <c r="D1062" s="71">
        <v>221</v>
      </c>
    </row>
    <row r="1063" spans="1:4" ht="15.75" x14ac:dyDescent="0.2">
      <c r="A1063" s="62">
        <v>7232</v>
      </c>
      <c r="B1063" s="43" t="s">
        <v>4151</v>
      </c>
      <c r="C1063" s="44" t="s">
        <v>4112</v>
      </c>
      <c r="D1063" s="71">
        <v>332</v>
      </c>
    </row>
    <row r="1064" spans="1:4" ht="15.75" x14ac:dyDescent="0.2">
      <c r="A1064" s="62">
        <v>7233</v>
      </c>
      <c r="B1064" s="43" t="s">
        <v>4152</v>
      </c>
      <c r="C1064" s="44" t="s">
        <v>4112</v>
      </c>
      <c r="D1064" s="71">
        <v>126</v>
      </c>
    </row>
    <row r="1065" spans="1:4" ht="31.5" x14ac:dyDescent="0.2">
      <c r="A1065" s="62">
        <v>7236</v>
      </c>
      <c r="B1065" s="43" t="s">
        <v>4153</v>
      </c>
      <c r="C1065" s="44" t="s">
        <v>4112</v>
      </c>
      <c r="D1065" s="71">
        <v>200</v>
      </c>
    </row>
    <row r="1066" spans="1:4" ht="31.5" x14ac:dyDescent="0.2">
      <c r="A1066" s="62">
        <v>7237</v>
      </c>
      <c r="B1066" s="43" t="s">
        <v>4154</v>
      </c>
      <c r="C1066" s="44" t="s">
        <v>4112</v>
      </c>
      <c r="D1066" s="71">
        <v>250</v>
      </c>
    </row>
    <row r="1067" spans="1:4" ht="15.75" x14ac:dyDescent="0.2">
      <c r="A1067" s="62">
        <v>7239</v>
      </c>
      <c r="B1067" s="43" t="s">
        <v>4155</v>
      </c>
      <c r="C1067" s="44" t="s">
        <v>3740</v>
      </c>
      <c r="D1067" s="71">
        <v>400</v>
      </c>
    </row>
    <row r="1068" spans="1:4" ht="15.75" x14ac:dyDescent="0.2">
      <c r="A1068" s="62">
        <v>7240</v>
      </c>
      <c r="B1068" s="43" t="s">
        <v>4156</v>
      </c>
      <c r="C1068" s="44" t="s">
        <v>3740</v>
      </c>
      <c r="D1068" s="71">
        <v>450</v>
      </c>
    </row>
    <row r="1069" spans="1:4" ht="15.75" x14ac:dyDescent="0.2">
      <c r="A1069" s="62">
        <v>7241</v>
      </c>
      <c r="B1069" s="43" t="s">
        <v>4157</v>
      </c>
      <c r="C1069" s="44" t="s">
        <v>3740</v>
      </c>
      <c r="D1069" s="71">
        <v>350</v>
      </c>
    </row>
    <row r="1070" spans="1:4" ht="15.75" x14ac:dyDescent="0.2">
      <c r="A1070" s="62">
        <v>7242</v>
      </c>
      <c r="B1070" s="65" t="s">
        <v>719</v>
      </c>
      <c r="C1070" s="44" t="s">
        <v>721</v>
      </c>
      <c r="D1070" s="71">
        <v>2050</v>
      </c>
    </row>
    <row r="1071" spans="1:4" ht="15.75" x14ac:dyDescent="0.2">
      <c r="A1071" s="62">
        <v>7243</v>
      </c>
      <c r="B1071" s="65" t="s">
        <v>720</v>
      </c>
      <c r="C1071" s="44" t="s">
        <v>4111</v>
      </c>
      <c r="D1071" s="71">
        <v>1150</v>
      </c>
    </row>
    <row r="1072" spans="1:4" ht="31.5" x14ac:dyDescent="0.2">
      <c r="A1072" s="62">
        <v>7244</v>
      </c>
      <c r="B1072" s="43" t="s">
        <v>4158</v>
      </c>
      <c r="C1072" s="44" t="s">
        <v>4112</v>
      </c>
      <c r="D1072" s="71">
        <v>2000</v>
      </c>
    </row>
    <row r="1073" spans="1:4" ht="31.5" x14ac:dyDescent="0.2">
      <c r="A1073" s="62">
        <v>7245</v>
      </c>
      <c r="B1073" s="43" t="s">
        <v>4159</v>
      </c>
      <c r="C1073" s="44" t="s">
        <v>4112</v>
      </c>
      <c r="D1073" s="71">
        <v>2250</v>
      </c>
    </row>
    <row r="1074" spans="1:4" ht="63" x14ac:dyDescent="0.2">
      <c r="A1074" s="62">
        <v>7246</v>
      </c>
      <c r="B1074" s="43" t="s">
        <v>4160</v>
      </c>
      <c r="C1074" s="44" t="s">
        <v>4161</v>
      </c>
      <c r="D1074" s="71">
        <v>27200</v>
      </c>
    </row>
    <row r="1075" spans="1:4" ht="63" x14ac:dyDescent="0.2">
      <c r="A1075" s="62">
        <v>7247</v>
      </c>
      <c r="B1075" s="43" t="s">
        <v>4162</v>
      </c>
      <c r="C1075" s="44" t="s">
        <v>4161</v>
      </c>
      <c r="D1075" s="71">
        <v>38100</v>
      </c>
    </row>
    <row r="1076" spans="1:4" ht="63" x14ac:dyDescent="0.2">
      <c r="A1076" s="62">
        <v>7248</v>
      </c>
      <c r="B1076" s="43" t="s">
        <v>4162</v>
      </c>
      <c r="C1076" s="44" t="s">
        <v>4161</v>
      </c>
      <c r="D1076" s="71">
        <v>52000</v>
      </c>
    </row>
    <row r="1077" spans="1:4" ht="31.5" x14ac:dyDescent="0.2">
      <c r="A1077" s="62">
        <v>7249</v>
      </c>
      <c r="B1077" s="43" t="s">
        <v>4163</v>
      </c>
      <c r="C1077" s="44" t="s">
        <v>4161</v>
      </c>
      <c r="D1077" s="71">
        <v>16200</v>
      </c>
    </row>
    <row r="1078" spans="1:4" ht="47.25" x14ac:dyDescent="0.2">
      <c r="A1078" s="62">
        <v>7250</v>
      </c>
      <c r="B1078" s="43" t="s">
        <v>4164</v>
      </c>
      <c r="C1078" s="44" t="s">
        <v>4161</v>
      </c>
      <c r="D1078" s="71">
        <v>25200</v>
      </c>
    </row>
    <row r="1079" spans="1:4" ht="47.25" x14ac:dyDescent="0.2">
      <c r="A1079" s="62">
        <v>7251</v>
      </c>
      <c r="B1079" s="43" t="s">
        <v>3527</v>
      </c>
      <c r="C1079" s="44" t="s">
        <v>4161</v>
      </c>
      <c r="D1079" s="71">
        <v>29300</v>
      </c>
    </row>
    <row r="1080" spans="1:4" ht="31.5" x14ac:dyDescent="0.2">
      <c r="A1080" s="62">
        <v>7252</v>
      </c>
      <c r="B1080" s="43" t="s">
        <v>3528</v>
      </c>
      <c r="C1080" s="44" t="s">
        <v>4161</v>
      </c>
      <c r="D1080" s="71">
        <v>16200</v>
      </c>
    </row>
    <row r="1081" spans="1:4" ht="31.5" x14ac:dyDescent="0.2">
      <c r="A1081" s="62">
        <v>7253</v>
      </c>
      <c r="B1081" s="43" t="s">
        <v>3529</v>
      </c>
      <c r="C1081" s="44" t="s">
        <v>4161</v>
      </c>
      <c r="D1081" s="71">
        <v>26000</v>
      </c>
    </row>
    <row r="1082" spans="1:4" ht="15.75" x14ac:dyDescent="0.2">
      <c r="A1082" s="62">
        <v>7254</v>
      </c>
      <c r="B1082" s="43" t="s">
        <v>3530</v>
      </c>
      <c r="C1082" s="44" t="s">
        <v>3740</v>
      </c>
      <c r="D1082" s="71">
        <v>48</v>
      </c>
    </row>
    <row r="1083" spans="1:4" ht="15.75" x14ac:dyDescent="0.2">
      <c r="A1083" s="62">
        <v>7255</v>
      </c>
      <c r="B1083" s="43" t="s">
        <v>3531</v>
      </c>
      <c r="C1083" s="44" t="s">
        <v>3740</v>
      </c>
      <c r="D1083" s="71">
        <v>150</v>
      </c>
    </row>
    <row r="1084" spans="1:4" ht="15.75" x14ac:dyDescent="0.2">
      <c r="A1084" s="62">
        <v>7256</v>
      </c>
      <c r="B1084" s="43" t="s">
        <v>3532</v>
      </c>
      <c r="C1084" s="44" t="s">
        <v>3740</v>
      </c>
      <c r="D1084" s="71">
        <v>230</v>
      </c>
    </row>
    <row r="1085" spans="1:4" ht="15.75" x14ac:dyDescent="0.2">
      <c r="A1085" s="62">
        <v>7257</v>
      </c>
      <c r="B1085" s="43" t="s">
        <v>3533</v>
      </c>
      <c r="C1085" s="44" t="s">
        <v>3748</v>
      </c>
      <c r="D1085" s="71">
        <v>520</v>
      </c>
    </row>
    <row r="1086" spans="1:4" ht="15.75" x14ac:dyDescent="0.2">
      <c r="A1086" s="62">
        <v>7258</v>
      </c>
      <c r="B1086" s="43" t="s">
        <v>3534</v>
      </c>
      <c r="C1086" s="44" t="s">
        <v>3748</v>
      </c>
      <c r="D1086" s="71">
        <v>920</v>
      </c>
    </row>
    <row r="1087" spans="1:4" ht="15.75" x14ac:dyDescent="0.2">
      <c r="A1087" s="62">
        <v>7259</v>
      </c>
      <c r="B1087" s="43" t="s">
        <v>3535</v>
      </c>
      <c r="C1087" s="44" t="s">
        <v>3748</v>
      </c>
      <c r="D1087" s="71">
        <v>705</v>
      </c>
    </row>
    <row r="1088" spans="1:4" ht="15.75" x14ac:dyDescent="0.2">
      <c r="A1088" s="62">
        <v>7260</v>
      </c>
      <c r="B1088" s="43" t="s">
        <v>3536</v>
      </c>
      <c r="C1088" s="44" t="s">
        <v>3748</v>
      </c>
      <c r="D1088" s="71">
        <v>1000</v>
      </c>
    </row>
    <row r="1089" spans="1:4" ht="15.75" x14ac:dyDescent="0.2">
      <c r="A1089" s="62">
        <v>7261</v>
      </c>
      <c r="B1089" s="43" t="s">
        <v>3537</v>
      </c>
      <c r="C1089" s="44" t="s">
        <v>3748</v>
      </c>
      <c r="D1089" s="71">
        <v>470</v>
      </c>
    </row>
    <row r="1090" spans="1:4" ht="15.75" x14ac:dyDescent="0.2">
      <c r="A1090" s="62">
        <v>7266</v>
      </c>
      <c r="B1090" s="43" t="s">
        <v>3538</v>
      </c>
      <c r="C1090" s="44" t="s">
        <v>3326</v>
      </c>
      <c r="D1090" s="71">
        <v>12500</v>
      </c>
    </row>
    <row r="1091" spans="1:4" ht="31.5" x14ac:dyDescent="0.2">
      <c r="A1091" s="62">
        <v>7267</v>
      </c>
      <c r="B1091" s="43" t="s">
        <v>3539</v>
      </c>
      <c r="C1091" s="44" t="s">
        <v>3748</v>
      </c>
      <c r="D1091" s="71">
        <v>140</v>
      </c>
    </row>
    <row r="1092" spans="1:4" ht="15.75" x14ac:dyDescent="0.2">
      <c r="A1092" s="62">
        <v>7268</v>
      </c>
      <c r="B1092" s="43" t="s">
        <v>3540</v>
      </c>
      <c r="C1092" s="44" t="s">
        <v>3748</v>
      </c>
      <c r="D1092" s="71">
        <v>125</v>
      </c>
    </row>
    <row r="1093" spans="1:4" ht="15.75" x14ac:dyDescent="0.2">
      <c r="A1093" s="62">
        <v>7269</v>
      </c>
      <c r="B1093" s="43" t="s">
        <v>3701</v>
      </c>
      <c r="C1093" s="44" t="s">
        <v>4112</v>
      </c>
      <c r="D1093" s="71">
        <v>550</v>
      </c>
    </row>
    <row r="1094" spans="1:4" ht="15.75" x14ac:dyDescent="0.2">
      <c r="A1094" s="62">
        <v>7270</v>
      </c>
      <c r="B1094" s="43" t="s">
        <v>3541</v>
      </c>
      <c r="C1094" s="44" t="s">
        <v>4112</v>
      </c>
      <c r="D1094" s="71">
        <v>990</v>
      </c>
    </row>
    <row r="1095" spans="1:4" ht="15.75" x14ac:dyDescent="0.2">
      <c r="A1095" s="62">
        <v>7271</v>
      </c>
      <c r="B1095" s="43" t="s">
        <v>3542</v>
      </c>
      <c r="C1095" s="44" t="s">
        <v>3753</v>
      </c>
      <c r="D1095" s="71">
        <v>47</v>
      </c>
    </row>
    <row r="1096" spans="1:4" ht="15.75" x14ac:dyDescent="0.2">
      <c r="A1096" s="62">
        <v>7272</v>
      </c>
      <c r="B1096" s="43" t="s">
        <v>3543</v>
      </c>
      <c r="C1096" s="44" t="s">
        <v>4112</v>
      </c>
      <c r="D1096" s="71">
        <v>940</v>
      </c>
    </row>
    <row r="1097" spans="1:4" ht="31.5" x14ac:dyDescent="0.2">
      <c r="A1097" s="62">
        <v>7295</v>
      </c>
      <c r="B1097" s="43" t="s">
        <v>4597</v>
      </c>
      <c r="C1097" s="44" t="s">
        <v>4112</v>
      </c>
      <c r="D1097" s="71">
        <v>1000</v>
      </c>
    </row>
    <row r="1098" spans="1:4" ht="31.5" x14ac:dyDescent="0.2">
      <c r="A1098" s="62">
        <v>7296</v>
      </c>
      <c r="B1098" s="43" t="s">
        <v>4595</v>
      </c>
      <c r="C1098" s="44" t="s">
        <v>4112</v>
      </c>
      <c r="D1098" s="71">
        <v>1200</v>
      </c>
    </row>
    <row r="1099" spans="1:4" ht="31.5" x14ac:dyDescent="0.2">
      <c r="A1099" s="62">
        <v>7297</v>
      </c>
      <c r="B1099" s="43" t="s">
        <v>4596</v>
      </c>
      <c r="C1099" s="44" t="s">
        <v>4112</v>
      </c>
      <c r="D1099" s="71">
        <v>1400</v>
      </c>
    </row>
    <row r="1100" spans="1:4" ht="15.75" x14ac:dyDescent="0.2">
      <c r="A1100" s="62">
        <v>7298</v>
      </c>
      <c r="B1100" s="43" t="s">
        <v>1999</v>
      </c>
      <c r="C1100" s="44" t="s">
        <v>4112</v>
      </c>
      <c r="D1100" s="71">
        <v>1500</v>
      </c>
    </row>
    <row r="1101" spans="1:4" ht="15.75" x14ac:dyDescent="0.2">
      <c r="A1101" s="62">
        <v>7299</v>
      </c>
      <c r="B1101" s="43" t="s">
        <v>2000</v>
      </c>
      <c r="C1101" s="44" t="s">
        <v>4112</v>
      </c>
      <c r="D1101" s="71">
        <v>2000</v>
      </c>
    </row>
    <row r="1102" spans="1:4" ht="15.75" x14ac:dyDescent="0.2">
      <c r="A1102" s="62">
        <v>7300</v>
      </c>
      <c r="B1102" s="43" t="s">
        <v>2001</v>
      </c>
      <c r="C1102" s="44" t="s">
        <v>4112</v>
      </c>
      <c r="D1102" s="71">
        <v>3000</v>
      </c>
    </row>
    <row r="1103" spans="1:4" ht="15.75" x14ac:dyDescent="0.2">
      <c r="A1103" s="62">
        <v>7301</v>
      </c>
      <c r="B1103" s="43" t="s">
        <v>4598</v>
      </c>
      <c r="C1103" s="44" t="s">
        <v>4112</v>
      </c>
      <c r="D1103" s="71">
        <v>1200</v>
      </c>
    </row>
    <row r="1104" spans="1:4" ht="15.75" x14ac:dyDescent="0.2">
      <c r="A1104" s="62">
        <v>7302</v>
      </c>
      <c r="B1104" s="43" t="s">
        <v>4599</v>
      </c>
      <c r="C1104" s="44" t="s">
        <v>4112</v>
      </c>
      <c r="D1104" s="71">
        <v>2200</v>
      </c>
    </row>
    <row r="1105" spans="1:4" ht="15.75" x14ac:dyDescent="0.2">
      <c r="A1105" s="62">
        <v>7303</v>
      </c>
      <c r="B1105" s="43" t="s">
        <v>4600</v>
      </c>
      <c r="C1105" s="44" t="s">
        <v>4112</v>
      </c>
      <c r="D1105" s="71">
        <v>3000</v>
      </c>
    </row>
    <row r="1106" spans="1:4" ht="15.75" x14ac:dyDescent="0.2">
      <c r="A1106" s="62">
        <v>7304</v>
      </c>
      <c r="B1106" s="43" t="s">
        <v>4601</v>
      </c>
      <c r="C1106" s="44" t="s">
        <v>4112</v>
      </c>
      <c r="D1106" s="71">
        <v>900</v>
      </c>
    </row>
    <row r="1107" spans="1:4" ht="15.75" x14ac:dyDescent="0.2">
      <c r="A1107" s="62">
        <v>7305</v>
      </c>
      <c r="B1107" s="43" t="s">
        <v>4602</v>
      </c>
      <c r="C1107" s="44" t="s">
        <v>4112</v>
      </c>
      <c r="D1107" s="71">
        <v>1800</v>
      </c>
    </row>
    <row r="1108" spans="1:4" ht="15.75" x14ac:dyDescent="0.2">
      <c r="A1108" s="62">
        <v>7306</v>
      </c>
      <c r="B1108" s="43" t="s">
        <v>3544</v>
      </c>
      <c r="C1108" s="44" t="s">
        <v>3747</v>
      </c>
      <c r="D1108" s="71">
        <v>250</v>
      </c>
    </row>
    <row r="1109" spans="1:4" ht="31.5" x14ac:dyDescent="0.2">
      <c r="A1109" s="62">
        <v>7307</v>
      </c>
      <c r="B1109" s="43" t="s">
        <v>3545</v>
      </c>
      <c r="C1109" s="44" t="s">
        <v>4112</v>
      </c>
      <c r="D1109" s="71">
        <v>600</v>
      </c>
    </row>
    <row r="1110" spans="1:4" ht="15.75" x14ac:dyDescent="0.2">
      <c r="A1110" s="62">
        <v>7308</v>
      </c>
      <c r="B1110" s="43" t="s">
        <v>4603</v>
      </c>
      <c r="C1110" s="44" t="s">
        <v>4112</v>
      </c>
      <c r="D1110" s="71">
        <v>1950</v>
      </c>
    </row>
    <row r="1111" spans="1:4" ht="15.75" x14ac:dyDescent="0.2">
      <c r="A1111" s="62">
        <v>7309</v>
      </c>
      <c r="B1111" s="43" t="s">
        <v>3546</v>
      </c>
      <c r="C1111" s="44" t="s">
        <v>4100</v>
      </c>
      <c r="D1111" s="71">
        <v>56600</v>
      </c>
    </row>
    <row r="1112" spans="1:4" ht="15.75" x14ac:dyDescent="0.2">
      <c r="A1112" s="62">
        <v>7312</v>
      </c>
      <c r="B1112" s="43" t="s">
        <v>3547</v>
      </c>
      <c r="C1112" s="44" t="s">
        <v>3748</v>
      </c>
      <c r="D1112" s="71">
        <v>12</v>
      </c>
    </row>
    <row r="1113" spans="1:4" ht="15.75" x14ac:dyDescent="0.2">
      <c r="A1113" s="62">
        <v>7313</v>
      </c>
      <c r="B1113" s="43" t="s">
        <v>3548</v>
      </c>
      <c r="C1113" s="44" t="s">
        <v>3748</v>
      </c>
      <c r="D1113" s="71">
        <v>13</v>
      </c>
    </row>
    <row r="1114" spans="1:4" ht="15.75" x14ac:dyDescent="0.2">
      <c r="A1114" s="62">
        <v>7314</v>
      </c>
      <c r="B1114" s="43" t="s">
        <v>3549</v>
      </c>
      <c r="C1114" s="44" t="s">
        <v>3748</v>
      </c>
      <c r="D1114" s="71">
        <v>14</v>
      </c>
    </row>
    <row r="1115" spans="1:4" ht="15.75" x14ac:dyDescent="0.2">
      <c r="A1115" s="62">
        <v>7315</v>
      </c>
      <c r="B1115" s="43" t="s">
        <v>3550</v>
      </c>
      <c r="C1115" s="44" t="s">
        <v>3748</v>
      </c>
      <c r="D1115" s="71">
        <v>15</v>
      </c>
    </row>
    <row r="1116" spans="1:4" ht="15.75" x14ac:dyDescent="0.2">
      <c r="A1116" s="62">
        <v>7318</v>
      </c>
      <c r="B1116" s="43" t="s">
        <v>4119</v>
      </c>
      <c r="C1116" s="44" t="s">
        <v>3747</v>
      </c>
      <c r="D1116" s="71">
        <v>46</v>
      </c>
    </row>
    <row r="1117" spans="1:4" ht="15.75" x14ac:dyDescent="0.2">
      <c r="A1117" s="62">
        <v>7319</v>
      </c>
      <c r="B1117" s="43" t="s">
        <v>3551</v>
      </c>
      <c r="C1117" s="44" t="s">
        <v>3748</v>
      </c>
      <c r="D1117" s="71">
        <v>830</v>
      </c>
    </row>
    <row r="1118" spans="1:4" ht="15.75" x14ac:dyDescent="0.2">
      <c r="A1118" s="62">
        <v>7320</v>
      </c>
      <c r="B1118" s="43" t="s">
        <v>3552</v>
      </c>
      <c r="C1118" s="44" t="s">
        <v>3748</v>
      </c>
      <c r="D1118" s="71">
        <v>46</v>
      </c>
    </row>
    <row r="1119" spans="1:4" ht="15.75" x14ac:dyDescent="0.2">
      <c r="A1119" s="62">
        <v>7321</v>
      </c>
      <c r="B1119" s="43" t="s">
        <v>3553</v>
      </c>
      <c r="C1119" s="44" t="s">
        <v>3748</v>
      </c>
      <c r="D1119" s="71">
        <v>58</v>
      </c>
    </row>
    <row r="1120" spans="1:4" ht="15.75" x14ac:dyDescent="0.2">
      <c r="A1120" s="62">
        <v>7322</v>
      </c>
      <c r="B1120" s="43" t="s">
        <v>3554</v>
      </c>
      <c r="C1120" s="44" t="s">
        <v>3748</v>
      </c>
      <c r="D1120" s="71">
        <v>81</v>
      </c>
    </row>
    <row r="1121" spans="1:4" ht="15.75" x14ac:dyDescent="0.2">
      <c r="A1121" s="62">
        <v>7323</v>
      </c>
      <c r="B1121" s="43" t="s">
        <v>3555</v>
      </c>
      <c r="C1121" s="44" t="s">
        <v>3748</v>
      </c>
      <c r="D1121" s="71">
        <v>98</v>
      </c>
    </row>
    <row r="1122" spans="1:4" ht="15.75" x14ac:dyDescent="0.2">
      <c r="A1122" s="62">
        <v>7324</v>
      </c>
      <c r="B1122" s="43" t="s">
        <v>3556</v>
      </c>
      <c r="C1122" s="44" t="s">
        <v>3748</v>
      </c>
      <c r="D1122" s="71">
        <v>15</v>
      </c>
    </row>
    <row r="1123" spans="1:4" ht="15.75" x14ac:dyDescent="0.2">
      <c r="A1123" s="62">
        <v>7325</v>
      </c>
      <c r="B1123" s="43" t="s">
        <v>3557</v>
      </c>
      <c r="C1123" s="44" t="s">
        <v>3748</v>
      </c>
      <c r="D1123" s="71">
        <v>18</v>
      </c>
    </row>
    <row r="1124" spans="1:4" ht="15.75" x14ac:dyDescent="0.2">
      <c r="A1124" s="62">
        <v>7326</v>
      </c>
      <c r="B1124" s="43" t="s">
        <v>3558</v>
      </c>
      <c r="C1124" s="44" t="s">
        <v>3748</v>
      </c>
      <c r="D1124" s="71">
        <v>250</v>
      </c>
    </row>
    <row r="1125" spans="1:4" ht="15.75" x14ac:dyDescent="0.2">
      <c r="A1125" s="62">
        <v>7327</v>
      </c>
      <c r="B1125" s="43" t="s">
        <v>3559</v>
      </c>
      <c r="C1125" s="44" t="s">
        <v>3748</v>
      </c>
      <c r="D1125" s="71">
        <v>870</v>
      </c>
    </row>
    <row r="1126" spans="1:4" ht="15.75" x14ac:dyDescent="0.2">
      <c r="A1126" s="62">
        <v>7328</v>
      </c>
      <c r="B1126" s="43" t="s">
        <v>3560</v>
      </c>
      <c r="C1126" s="44" t="s">
        <v>3748</v>
      </c>
      <c r="D1126" s="71">
        <v>87</v>
      </c>
    </row>
    <row r="1127" spans="1:4" ht="15.75" x14ac:dyDescent="0.2">
      <c r="A1127" s="62">
        <v>7329</v>
      </c>
      <c r="B1127" s="43" t="s">
        <v>4110</v>
      </c>
      <c r="C1127" s="44" t="s">
        <v>3748</v>
      </c>
      <c r="D1127" s="71">
        <v>75</v>
      </c>
    </row>
    <row r="1128" spans="1:4" ht="15.75" x14ac:dyDescent="0.2">
      <c r="A1128" s="62">
        <v>7330</v>
      </c>
      <c r="B1128" s="43" t="s">
        <v>3561</v>
      </c>
      <c r="C1128" s="44" t="s">
        <v>3753</v>
      </c>
      <c r="D1128" s="71">
        <v>220</v>
      </c>
    </row>
    <row r="1129" spans="1:4" ht="15.75" x14ac:dyDescent="0.2">
      <c r="A1129" s="62">
        <v>7331</v>
      </c>
      <c r="B1129" s="43" t="s">
        <v>3562</v>
      </c>
      <c r="C1129" s="44" t="s">
        <v>3748</v>
      </c>
      <c r="D1129" s="71">
        <v>750</v>
      </c>
    </row>
    <row r="1130" spans="1:4" ht="15.75" x14ac:dyDescent="0.2">
      <c r="A1130" s="62">
        <v>7332</v>
      </c>
      <c r="B1130" s="43" t="s">
        <v>3563</v>
      </c>
      <c r="C1130" s="44" t="s">
        <v>3748</v>
      </c>
      <c r="D1130" s="71">
        <v>350</v>
      </c>
    </row>
    <row r="1131" spans="1:4" ht="15.75" x14ac:dyDescent="0.2">
      <c r="A1131" s="62">
        <v>7333</v>
      </c>
      <c r="B1131" s="43" t="s">
        <v>3564</v>
      </c>
      <c r="C1131" s="44" t="s">
        <v>3748</v>
      </c>
      <c r="D1131" s="71">
        <v>1200</v>
      </c>
    </row>
    <row r="1132" spans="1:4" ht="15.75" x14ac:dyDescent="0.2">
      <c r="A1132" s="62">
        <v>7334</v>
      </c>
      <c r="B1132" s="43" t="s">
        <v>3565</v>
      </c>
      <c r="C1132" s="44" t="s">
        <v>3748</v>
      </c>
      <c r="D1132" s="71">
        <v>870</v>
      </c>
    </row>
    <row r="1133" spans="1:4" ht="15.75" x14ac:dyDescent="0.2">
      <c r="A1133" s="62">
        <v>7335</v>
      </c>
      <c r="B1133" s="43" t="s">
        <v>3566</v>
      </c>
      <c r="C1133" s="44" t="s">
        <v>3747</v>
      </c>
      <c r="D1133" s="71">
        <v>90</v>
      </c>
    </row>
    <row r="1134" spans="1:4" ht="15.75" x14ac:dyDescent="0.2">
      <c r="A1134" s="62">
        <v>7338</v>
      </c>
      <c r="B1134" s="43" t="s">
        <v>4175</v>
      </c>
      <c r="C1134" s="44" t="s">
        <v>3747</v>
      </c>
      <c r="D1134" s="71">
        <v>405</v>
      </c>
    </row>
    <row r="1135" spans="1:4" ht="15.75" x14ac:dyDescent="0.2">
      <c r="A1135" s="62">
        <v>7339</v>
      </c>
      <c r="B1135" s="43" t="s">
        <v>4139</v>
      </c>
      <c r="C1135" s="44" t="s">
        <v>3747</v>
      </c>
      <c r="D1135" s="71">
        <v>420</v>
      </c>
    </row>
    <row r="1136" spans="1:4" ht="15.75" x14ac:dyDescent="0.2">
      <c r="A1136" s="62">
        <v>7340</v>
      </c>
      <c r="B1136" s="43" t="s">
        <v>3567</v>
      </c>
      <c r="C1136" s="44" t="s">
        <v>4111</v>
      </c>
      <c r="D1136" s="71">
        <v>180</v>
      </c>
    </row>
    <row r="1137" spans="1:4" ht="15.75" x14ac:dyDescent="0.2">
      <c r="A1137" s="62">
        <v>7342</v>
      </c>
      <c r="B1137" s="43" t="s">
        <v>3568</v>
      </c>
      <c r="C1137" s="44" t="s">
        <v>3748</v>
      </c>
      <c r="D1137" s="71">
        <v>1970</v>
      </c>
    </row>
    <row r="1138" spans="1:4" ht="15.75" x14ac:dyDescent="0.2">
      <c r="A1138" s="62">
        <v>7343</v>
      </c>
      <c r="B1138" s="43" t="s">
        <v>3569</v>
      </c>
      <c r="C1138" s="44" t="s">
        <v>3748</v>
      </c>
      <c r="D1138" s="71">
        <v>1155</v>
      </c>
    </row>
    <row r="1139" spans="1:4" ht="15.75" x14ac:dyDescent="0.2">
      <c r="A1139" s="62">
        <v>7344</v>
      </c>
      <c r="B1139" s="43" t="s">
        <v>3570</v>
      </c>
      <c r="C1139" s="44" t="s">
        <v>4116</v>
      </c>
      <c r="D1139" s="71">
        <v>470</v>
      </c>
    </row>
    <row r="1140" spans="1:4" ht="15.75" x14ac:dyDescent="0.2">
      <c r="A1140" s="62">
        <v>7345</v>
      </c>
      <c r="B1140" s="43" t="s">
        <v>3571</v>
      </c>
      <c r="C1140" s="44" t="s">
        <v>3748</v>
      </c>
      <c r="D1140" s="71">
        <v>1270</v>
      </c>
    </row>
    <row r="1141" spans="1:4" ht="15.75" x14ac:dyDescent="0.2">
      <c r="A1141" s="62">
        <v>7346</v>
      </c>
      <c r="B1141" s="43" t="s">
        <v>3572</v>
      </c>
      <c r="C1141" s="44" t="s">
        <v>3748</v>
      </c>
      <c r="D1141" s="71">
        <v>58</v>
      </c>
    </row>
    <row r="1142" spans="1:4" ht="15.75" x14ac:dyDescent="0.2">
      <c r="A1142" s="62">
        <v>7347</v>
      </c>
      <c r="B1142" s="43" t="s">
        <v>3573</v>
      </c>
      <c r="C1142" s="44" t="s">
        <v>3783</v>
      </c>
      <c r="D1142" s="71">
        <v>35</v>
      </c>
    </row>
    <row r="1143" spans="1:4" ht="15.75" x14ac:dyDescent="0.2">
      <c r="A1143" s="62">
        <v>7348</v>
      </c>
      <c r="B1143" s="43" t="s">
        <v>3574</v>
      </c>
      <c r="C1143" s="44" t="s">
        <v>3783</v>
      </c>
      <c r="D1143" s="71">
        <v>12</v>
      </c>
    </row>
    <row r="1144" spans="1:4" ht="15.75" x14ac:dyDescent="0.2">
      <c r="A1144" s="62">
        <v>7349</v>
      </c>
      <c r="B1144" s="43" t="s">
        <v>3575</v>
      </c>
      <c r="C1144" s="44" t="s">
        <v>3753</v>
      </c>
      <c r="D1144" s="71">
        <v>14</v>
      </c>
    </row>
    <row r="1145" spans="1:4" ht="15.75" x14ac:dyDescent="0.2">
      <c r="A1145" s="62">
        <v>7354</v>
      </c>
      <c r="B1145" s="43" t="s">
        <v>3576</v>
      </c>
      <c r="C1145" s="44" t="s">
        <v>3748</v>
      </c>
      <c r="D1145" s="71">
        <v>133</v>
      </c>
    </row>
    <row r="1146" spans="1:4" ht="31.5" x14ac:dyDescent="0.2">
      <c r="A1146" s="62">
        <v>7358</v>
      </c>
      <c r="B1146" s="43" t="s">
        <v>3577</v>
      </c>
      <c r="C1146" s="44" t="s">
        <v>3748</v>
      </c>
      <c r="D1146" s="71">
        <v>1100</v>
      </c>
    </row>
    <row r="1147" spans="1:4" ht="15.75" x14ac:dyDescent="0.2">
      <c r="A1147" s="62">
        <v>7359</v>
      </c>
      <c r="B1147" s="43" t="s">
        <v>3578</v>
      </c>
      <c r="C1147" s="44" t="s">
        <v>3748</v>
      </c>
      <c r="D1147" s="71">
        <v>600</v>
      </c>
    </row>
    <row r="1148" spans="1:4" ht="15.75" x14ac:dyDescent="0.2">
      <c r="A1148" s="62">
        <v>7361</v>
      </c>
      <c r="B1148" s="43" t="s">
        <v>3579</v>
      </c>
      <c r="C1148" s="44" t="s">
        <v>3748</v>
      </c>
      <c r="D1148" s="71">
        <v>650</v>
      </c>
    </row>
    <row r="1149" spans="1:4" ht="15.75" x14ac:dyDescent="0.2">
      <c r="A1149" s="62">
        <v>7363</v>
      </c>
      <c r="B1149" s="43" t="s">
        <v>3580</v>
      </c>
      <c r="C1149" s="44" t="s">
        <v>3748</v>
      </c>
      <c r="D1149" s="71">
        <v>870</v>
      </c>
    </row>
    <row r="1150" spans="1:4" ht="15.75" x14ac:dyDescent="0.2">
      <c r="A1150" s="62">
        <v>7364</v>
      </c>
      <c r="B1150" s="43" t="s">
        <v>3581</v>
      </c>
      <c r="C1150" s="44" t="s">
        <v>3748</v>
      </c>
      <c r="D1150" s="71">
        <v>550</v>
      </c>
    </row>
    <row r="1151" spans="1:4" ht="15.75" x14ac:dyDescent="0.2">
      <c r="A1151" s="62">
        <v>7366</v>
      </c>
      <c r="B1151" s="43" t="s">
        <v>3582</v>
      </c>
      <c r="C1151" s="44" t="s">
        <v>4112</v>
      </c>
      <c r="D1151" s="71">
        <v>290</v>
      </c>
    </row>
    <row r="1152" spans="1:4" ht="31.5" x14ac:dyDescent="0.2">
      <c r="A1152" s="62">
        <v>7367</v>
      </c>
      <c r="B1152" s="43" t="s">
        <v>3583</v>
      </c>
      <c r="C1152" s="44" t="s">
        <v>3753</v>
      </c>
      <c r="D1152" s="71">
        <v>85</v>
      </c>
    </row>
    <row r="1153" spans="1:4" ht="15.75" x14ac:dyDescent="0.2">
      <c r="A1153" s="62">
        <v>7369</v>
      </c>
      <c r="B1153" s="43" t="s">
        <v>3584</v>
      </c>
      <c r="C1153" s="44" t="s">
        <v>3753</v>
      </c>
      <c r="D1153" s="71">
        <v>85</v>
      </c>
    </row>
    <row r="1154" spans="1:4" ht="31.5" x14ac:dyDescent="0.2">
      <c r="A1154" s="62">
        <v>7375</v>
      </c>
      <c r="B1154" s="43" t="s">
        <v>3585</v>
      </c>
      <c r="C1154" s="44" t="s">
        <v>3748</v>
      </c>
      <c r="D1154" s="71">
        <v>500</v>
      </c>
    </row>
    <row r="1155" spans="1:4" ht="31.5" x14ac:dyDescent="0.2">
      <c r="A1155" s="62">
        <v>7376</v>
      </c>
      <c r="B1155" s="43" t="s">
        <v>3586</v>
      </c>
      <c r="C1155" s="44" t="s">
        <v>3748</v>
      </c>
      <c r="D1155" s="71">
        <v>1230</v>
      </c>
    </row>
    <row r="1156" spans="1:4" ht="31.5" x14ac:dyDescent="0.2">
      <c r="A1156" s="62">
        <v>7377</v>
      </c>
      <c r="B1156" s="43" t="s">
        <v>3587</v>
      </c>
      <c r="C1156" s="44" t="s">
        <v>3748</v>
      </c>
      <c r="D1156" s="71">
        <v>1500</v>
      </c>
    </row>
    <row r="1157" spans="1:4" ht="31.5" x14ac:dyDescent="0.2">
      <c r="A1157" s="62">
        <v>7378</v>
      </c>
      <c r="B1157" s="43" t="s">
        <v>3588</v>
      </c>
      <c r="C1157" s="44" t="s">
        <v>3748</v>
      </c>
      <c r="D1157" s="71">
        <v>2140</v>
      </c>
    </row>
    <row r="1158" spans="1:4" ht="31.5" x14ac:dyDescent="0.2">
      <c r="A1158" s="62">
        <v>7379</v>
      </c>
      <c r="B1158" s="43" t="s">
        <v>3589</v>
      </c>
      <c r="C1158" s="44" t="s">
        <v>3748</v>
      </c>
      <c r="D1158" s="71">
        <v>1720</v>
      </c>
    </row>
    <row r="1159" spans="1:4" ht="15.75" x14ac:dyDescent="0.2">
      <c r="A1159" s="62">
        <v>7380</v>
      </c>
      <c r="B1159" s="43" t="s">
        <v>3590</v>
      </c>
      <c r="C1159" s="44" t="s">
        <v>3748</v>
      </c>
      <c r="D1159" s="71">
        <v>820</v>
      </c>
    </row>
    <row r="1160" spans="1:4" ht="15.75" x14ac:dyDescent="0.2">
      <c r="A1160" s="62">
        <v>7381</v>
      </c>
      <c r="B1160" s="43" t="s">
        <v>3591</v>
      </c>
      <c r="C1160" s="44" t="s">
        <v>3748</v>
      </c>
      <c r="D1160" s="71">
        <v>385</v>
      </c>
    </row>
    <row r="1161" spans="1:4" ht="15.75" x14ac:dyDescent="0.2">
      <c r="A1161" s="62">
        <v>7382</v>
      </c>
      <c r="B1161" s="43" t="s">
        <v>3592</v>
      </c>
      <c r="C1161" s="44" t="s">
        <v>4100</v>
      </c>
      <c r="D1161" s="71">
        <v>44000</v>
      </c>
    </row>
    <row r="1162" spans="1:4" ht="15.75" x14ac:dyDescent="0.2">
      <c r="A1162" s="62">
        <v>7385</v>
      </c>
      <c r="B1162" s="43" t="s">
        <v>3593</v>
      </c>
      <c r="C1162" s="44" t="s">
        <v>4112</v>
      </c>
      <c r="D1162" s="71">
        <v>705</v>
      </c>
    </row>
    <row r="1163" spans="1:4" ht="15.75" x14ac:dyDescent="0.2">
      <c r="A1163" s="62">
        <v>7386</v>
      </c>
      <c r="B1163" s="43" t="s">
        <v>3594</v>
      </c>
      <c r="C1163" s="44" t="s">
        <v>4112</v>
      </c>
      <c r="D1163" s="71">
        <v>400</v>
      </c>
    </row>
    <row r="1164" spans="1:4" ht="15.75" x14ac:dyDescent="0.2">
      <c r="A1164" s="62">
        <v>7388</v>
      </c>
      <c r="B1164" s="43" t="s">
        <v>3595</v>
      </c>
      <c r="C1164" s="44" t="s">
        <v>3748</v>
      </c>
      <c r="D1164" s="71">
        <v>45</v>
      </c>
    </row>
    <row r="1165" spans="1:4" ht="15.75" x14ac:dyDescent="0.2">
      <c r="A1165" s="62">
        <v>7389</v>
      </c>
      <c r="B1165" s="43" t="s">
        <v>3596</v>
      </c>
      <c r="C1165" s="44" t="s">
        <v>3747</v>
      </c>
      <c r="D1165" s="71">
        <v>45</v>
      </c>
    </row>
    <row r="1166" spans="1:4" ht="15.75" x14ac:dyDescent="0.2">
      <c r="A1166" s="62">
        <v>7390</v>
      </c>
      <c r="B1166" s="43" t="s">
        <v>3597</v>
      </c>
      <c r="C1166" s="44" t="s">
        <v>3753</v>
      </c>
      <c r="D1166" s="71">
        <v>60</v>
      </c>
    </row>
    <row r="1167" spans="1:4" ht="15.75" x14ac:dyDescent="0.2">
      <c r="A1167" s="62">
        <v>7391</v>
      </c>
      <c r="B1167" s="43" t="s">
        <v>3598</v>
      </c>
      <c r="C1167" s="44" t="s">
        <v>3747</v>
      </c>
      <c r="D1167" s="71">
        <v>55</v>
      </c>
    </row>
    <row r="1168" spans="1:4" ht="15.75" x14ac:dyDescent="0.2">
      <c r="A1168" s="62">
        <v>7392</v>
      </c>
      <c r="B1168" s="43" t="s">
        <v>3599</v>
      </c>
      <c r="C1168" s="44" t="s">
        <v>3747</v>
      </c>
      <c r="D1168" s="71">
        <v>65</v>
      </c>
    </row>
    <row r="1169" spans="1:4" ht="15.75" x14ac:dyDescent="0.2">
      <c r="A1169" s="62">
        <v>7393</v>
      </c>
      <c r="B1169" s="43" t="s">
        <v>3600</v>
      </c>
      <c r="C1169" s="44" t="s">
        <v>3747</v>
      </c>
      <c r="D1169" s="71">
        <v>75</v>
      </c>
    </row>
    <row r="1170" spans="1:4" ht="15.75" x14ac:dyDescent="0.2">
      <c r="A1170" s="62">
        <v>7394</v>
      </c>
      <c r="B1170" s="43" t="s">
        <v>3601</v>
      </c>
      <c r="C1170" s="44" t="s">
        <v>3748</v>
      </c>
      <c r="D1170" s="71">
        <v>1550</v>
      </c>
    </row>
    <row r="1171" spans="1:4" ht="15.75" x14ac:dyDescent="0.2">
      <c r="A1171" s="62">
        <v>7395</v>
      </c>
      <c r="B1171" s="43" t="s">
        <v>3602</v>
      </c>
      <c r="C1171" s="44" t="s">
        <v>3748</v>
      </c>
      <c r="D1171" s="71">
        <v>35</v>
      </c>
    </row>
    <row r="1172" spans="1:4" ht="15.75" x14ac:dyDescent="0.2">
      <c r="A1172" s="62">
        <v>7396</v>
      </c>
      <c r="B1172" s="43" t="s">
        <v>3603</v>
      </c>
      <c r="C1172" s="44" t="s">
        <v>3748</v>
      </c>
      <c r="D1172" s="71">
        <v>2500</v>
      </c>
    </row>
    <row r="1173" spans="1:4" ht="15.75" x14ac:dyDescent="0.2">
      <c r="A1173" s="62">
        <v>7397</v>
      </c>
      <c r="B1173" s="43" t="s">
        <v>3604</v>
      </c>
      <c r="C1173" s="44" t="s">
        <v>3748</v>
      </c>
      <c r="D1173" s="71">
        <v>255</v>
      </c>
    </row>
    <row r="1174" spans="1:4" ht="15.75" x14ac:dyDescent="0.2">
      <c r="A1174" s="62">
        <v>7398</v>
      </c>
      <c r="B1174" s="43" t="s">
        <v>3605</v>
      </c>
      <c r="C1174" s="44" t="s">
        <v>3748</v>
      </c>
      <c r="D1174" s="71">
        <v>990</v>
      </c>
    </row>
    <row r="1175" spans="1:4" ht="15.75" x14ac:dyDescent="0.2">
      <c r="A1175" s="62">
        <v>7399</v>
      </c>
      <c r="B1175" s="43" t="s">
        <v>3606</v>
      </c>
      <c r="C1175" s="44" t="s">
        <v>3748</v>
      </c>
      <c r="D1175" s="71">
        <v>105</v>
      </c>
    </row>
    <row r="1176" spans="1:4" ht="15.75" x14ac:dyDescent="0.2">
      <c r="A1176" s="62">
        <v>7400</v>
      </c>
      <c r="B1176" s="43" t="s">
        <v>3607</v>
      </c>
      <c r="C1176" s="44" t="s">
        <v>3748</v>
      </c>
      <c r="D1176" s="71">
        <v>225</v>
      </c>
    </row>
    <row r="1177" spans="1:4" ht="15.75" x14ac:dyDescent="0.2">
      <c r="A1177" s="62">
        <v>7401</v>
      </c>
      <c r="B1177" s="43" t="s">
        <v>3608</v>
      </c>
      <c r="C1177" s="44" t="s">
        <v>3748</v>
      </c>
      <c r="D1177" s="71">
        <v>310</v>
      </c>
    </row>
    <row r="1178" spans="1:4" ht="15.75" x14ac:dyDescent="0.2">
      <c r="A1178" s="62">
        <v>7402</v>
      </c>
      <c r="B1178" s="43" t="s">
        <v>3609</v>
      </c>
      <c r="C1178" s="44" t="s">
        <v>3748</v>
      </c>
      <c r="D1178" s="71">
        <v>370</v>
      </c>
    </row>
    <row r="1179" spans="1:4" ht="15.75" x14ac:dyDescent="0.2">
      <c r="A1179" s="62">
        <v>7403</v>
      </c>
      <c r="B1179" s="43" t="s">
        <v>3610</v>
      </c>
      <c r="C1179" s="44" t="s">
        <v>3748</v>
      </c>
      <c r="D1179" s="71">
        <v>235</v>
      </c>
    </row>
    <row r="1180" spans="1:4" ht="15.75" x14ac:dyDescent="0.2">
      <c r="A1180" s="62">
        <v>7405</v>
      </c>
      <c r="B1180" s="43" t="s">
        <v>3611</v>
      </c>
      <c r="C1180" s="44" t="s">
        <v>3748</v>
      </c>
      <c r="D1180" s="71">
        <v>265</v>
      </c>
    </row>
    <row r="1181" spans="1:4" ht="15.75" x14ac:dyDescent="0.2">
      <c r="A1181" s="62">
        <v>7406</v>
      </c>
      <c r="B1181" s="43" t="s">
        <v>3612</v>
      </c>
      <c r="C1181" s="44" t="s">
        <v>3748</v>
      </c>
      <c r="D1181" s="71">
        <v>380</v>
      </c>
    </row>
    <row r="1182" spans="1:4" ht="15.75" x14ac:dyDescent="0.2">
      <c r="A1182" s="62">
        <v>7407</v>
      </c>
      <c r="B1182" s="43" t="s">
        <v>3613</v>
      </c>
      <c r="C1182" s="44" t="s">
        <v>3748</v>
      </c>
      <c r="D1182" s="71">
        <v>185</v>
      </c>
    </row>
    <row r="1183" spans="1:4" ht="15.75" x14ac:dyDescent="0.2">
      <c r="A1183" s="62">
        <v>7408</v>
      </c>
      <c r="B1183" s="43" t="s">
        <v>3614</v>
      </c>
      <c r="C1183" s="44" t="s">
        <v>3748</v>
      </c>
      <c r="D1183" s="71">
        <v>185</v>
      </c>
    </row>
    <row r="1184" spans="1:4" ht="15.75" x14ac:dyDescent="0.2">
      <c r="A1184" s="62">
        <v>7409</v>
      </c>
      <c r="B1184" s="43" t="s">
        <v>3615</v>
      </c>
      <c r="C1184" s="44" t="s">
        <v>3748</v>
      </c>
      <c r="D1184" s="71">
        <v>82</v>
      </c>
    </row>
    <row r="1185" spans="1:4" ht="15.75" x14ac:dyDescent="0.2">
      <c r="A1185" s="62">
        <v>7410</v>
      </c>
      <c r="B1185" s="43" t="s">
        <v>3616</v>
      </c>
      <c r="C1185" s="44" t="s">
        <v>3748</v>
      </c>
      <c r="D1185" s="71">
        <v>400</v>
      </c>
    </row>
    <row r="1186" spans="1:4" ht="15.75" x14ac:dyDescent="0.2">
      <c r="A1186" s="62">
        <v>7411</v>
      </c>
      <c r="B1186" s="43" t="s">
        <v>3617</v>
      </c>
      <c r="C1186" s="44" t="s">
        <v>3748</v>
      </c>
      <c r="D1186" s="71">
        <v>80</v>
      </c>
    </row>
    <row r="1187" spans="1:4" ht="31.5" x14ac:dyDescent="0.2">
      <c r="A1187" s="62">
        <v>7412</v>
      </c>
      <c r="B1187" s="43" t="s">
        <v>3618</v>
      </c>
      <c r="C1187" s="44" t="s">
        <v>3748</v>
      </c>
      <c r="D1187" s="71">
        <v>130</v>
      </c>
    </row>
    <row r="1188" spans="1:4" ht="15.75" x14ac:dyDescent="0.2">
      <c r="A1188" s="62">
        <v>7415</v>
      </c>
      <c r="B1188" s="43" t="s">
        <v>3619</v>
      </c>
      <c r="C1188" s="44" t="s">
        <v>3748</v>
      </c>
      <c r="D1188" s="71">
        <v>4270</v>
      </c>
    </row>
    <row r="1189" spans="1:4" ht="15.75" x14ac:dyDescent="0.2">
      <c r="A1189" s="62">
        <v>7416</v>
      </c>
      <c r="B1189" s="43" t="s">
        <v>3620</v>
      </c>
      <c r="C1189" s="44" t="s">
        <v>3748</v>
      </c>
      <c r="D1189" s="71">
        <v>6300</v>
      </c>
    </row>
    <row r="1190" spans="1:4" ht="15.75" x14ac:dyDescent="0.2">
      <c r="A1190" s="62">
        <v>7417</v>
      </c>
      <c r="B1190" s="43" t="s">
        <v>3621</v>
      </c>
      <c r="C1190" s="44" t="s">
        <v>3748</v>
      </c>
      <c r="D1190" s="71">
        <v>8100</v>
      </c>
    </row>
    <row r="1191" spans="1:4" ht="15.75" x14ac:dyDescent="0.2">
      <c r="A1191" s="62">
        <v>7418</v>
      </c>
      <c r="B1191" s="43" t="s">
        <v>3622</v>
      </c>
      <c r="C1191" s="44" t="s">
        <v>3748</v>
      </c>
      <c r="D1191" s="71">
        <v>2500</v>
      </c>
    </row>
    <row r="1192" spans="1:4" ht="15.75" x14ac:dyDescent="0.2">
      <c r="A1192" s="62">
        <v>7419</v>
      </c>
      <c r="B1192" s="43" t="s">
        <v>3623</v>
      </c>
      <c r="C1192" s="44" t="s">
        <v>3748</v>
      </c>
      <c r="D1192" s="71">
        <v>3900</v>
      </c>
    </row>
    <row r="1193" spans="1:4" ht="15.75" x14ac:dyDescent="0.2">
      <c r="A1193" s="62">
        <v>7420</v>
      </c>
      <c r="B1193" s="43" t="s">
        <v>3624</v>
      </c>
      <c r="C1193" s="44" t="s">
        <v>3748</v>
      </c>
      <c r="D1193" s="71">
        <v>5600</v>
      </c>
    </row>
    <row r="1194" spans="1:4" ht="15.75" x14ac:dyDescent="0.2">
      <c r="A1194" s="62">
        <v>7421</v>
      </c>
      <c r="B1194" s="43" t="s">
        <v>3625</v>
      </c>
      <c r="C1194" s="44" t="s">
        <v>3748</v>
      </c>
      <c r="D1194" s="71">
        <v>6300</v>
      </c>
    </row>
    <row r="1195" spans="1:4" ht="15.75" x14ac:dyDescent="0.2">
      <c r="A1195" s="62">
        <v>7422</v>
      </c>
      <c r="B1195" s="43" t="s">
        <v>3626</v>
      </c>
      <c r="C1195" s="44" t="s">
        <v>3748</v>
      </c>
      <c r="D1195" s="71">
        <v>3500</v>
      </c>
    </row>
    <row r="1196" spans="1:4" ht="15.75" x14ac:dyDescent="0.2">
      <c r="A1196" s="62">
        <v>7423</v>
      </c>
      <c r="B1196" s="43" t="s">
        <v>3627</v>
      </c>
      <c r="C1196" s="44" t="s">
        <v>3748</v>
      </c>
      <c r="D1196" s="71">
        <v>5250</v>
      </c>
    </row>
    <row r="1197" spans="1:4" ht="15.75" x14ac:dyDescent="0.2">
      <c r="A1197" s="62">
        <v>7424</v>
      </c>
      <c r="B1197" s="43" t="s">
        <v>3628</v>
      </c>
      <c r="C1197" s="44" t="s">
        <v>3748</v>
      </c>
      <c r="D1197" s="71">
        <v>6800</v>
      </c>
    </row>
    <row r="1198" spans="1:4" ht="15.75" x14ac:dyDescent="0.2">
      <c r="A1198" s="62">
        <v>7425</v>
      </c>
      <c r="B1198" s="43" t="s">
        <v>3629</v>
      </c>
      <c r="C1198" s="44" t="s">
        <v>3748</v>
      </c>
      <c r="D1198" s="71">
        <v>9500</v>
      </c>
    </row>
    <row r="1199" spans="1:4" ht="15.75" x14ac:dyDescent="0.2">
      <c r="A1199" s="62">
        <v>7426</v>
      </c>
      <c r="B1199" s="43" t="s">
        <v>3630</v>
      </c>
      <c r="C1199" s="44" t="s">
        <v>3748</v>
      </c>
      <c r="D1199" s="71">
        <v>650</v>
      </c>
    </row>
    <row r="1200" spans="1:4" ht="15.75" x14ac:dyDescent="0.2">
      <c r="A1200" s="62">
        <v>7427</v>
      </c>
      <c r="B1200" s="43" t="s">
        <v>3631</v>
      </c>
      <c r="C1200" s="44" t="s">
        <v>3753</v>
      </c>
      <c r="D1200" s="71">
        <v>460</v>
      </c>
    </row>
    <row r="1201" spans="1:4" ht="15.75" x14ac:dyDescent="0.2">
      <c r="A1201" s="62">
        <v>7428</v>
      </c>
      <c r="B1201" s="43" t="s">
        <v>3632</v>
      </c>
      <c r="C1201" s="44" t="s">
        <v>3753</v>
      </c>
      <c r="D1201" s="71">
        <v>439</v>
      </c>
    </row>
    <row r="1202" spans="1:4" ht="15.75" x14ac:dyDescent="0.2">
      <c r="A1202" s="62">
        <v>7429</v>
      </c>
      <c r="B1202" s="43" t="s">
        <v>3633</v>
      </c>
      <c r="C1202" s="44" t="s">
        <v>3753</v>
      </c>
      <c r="D1202" s="71">
        <v>440</v>
      </c>
    </row>
    <row r="1203" spans="1:4" ht="15.75" x14ac:dyDescent="0.2">
      <c r="A1203" s="62">
        <v>7430</v>
      </c>
      <c r="B1203" s="43" t="s">
        <v>3634</v>
      </c>
      <c r="C1203" s="44" t="s">
        <v>3748</v>
      </c>
      <c r="D1203" s="71">
        <v>15</v>
      </c>
    </row>
    <row r="1204" spans="1:4" ht="15.75" x14ac:dyDescent="0.2">
      <c r="A1204" s="62">
        <v>7431</v>
      </c>
      <c r="B1204" s="43" t="s">
        <v>3635</v>
      </c>
      <c r="C1204" s="44" t="s">
        <v>3748</v>
      </c>
      <c r="D1204" s="71">
        <v>18</v>
      </c>
    </row>
    <row r="1205" spans="1:4" ht="15.75" x14ac:dyDescent="0.2">
      <c r="A1205" s="62">
        <v>7432</v>
      </c>
      <c r="B1205" s="43" t="s">
        <v>3636</v>
      </c>
      <c r="C1205" s="44" t="s">
        <v>3748</v>
      </c>
      <c r="D1205" s="71">
        <v>35</v>
      </c>
    </row>
    <row r="1206" spans="1:4" ht="15.75" x14ac:dyDescent="0.2">
      <c r="A1206" s="62">
        <v>7439</v>
      </c>
      <c r="B1206" s="43" t="s">
        <v>3637</v>
      </c>
      <c r="C1206" s="44" t="s">
        <v>4112</v>
      </c>
      <c r="D1206" s="71">
        <v>610</v>
      </c>
    </row>
    <row r="1207" spans="1:4" ht="15.75" x14ac:dyDescent="0.2">
      <c r="A1207" s="62">
        <v>7442</v>
      </c>
      <c r="B1207" s="43" t="s">
        <v>3638</v>
      </c>
      <c r="C1207" s="44" t="s">
        <v>3748</v>
      </c>
      <c r="D1207" s="71">
        <v>72</v>
      </c>
    </row>
    <row r="1208" spans="1:4" ht="15.75" x14ac:dyDescent="0.2">
      <c r="A1208" s="62">
        <v>7443</v>
      </c>
      <c r="B1208" s="43" t="s">
        <v>3702</v>
      </c>
      <c r="C1208" s="44" t="s">
        <v>3748</v>
      </c>
      <c r="D1208" s="71">
        <v>15</v>
      </c>
    </row>
    <row r="1209" spans="1:4" ht="15.75" x14ac:dyDescent="0.2">
      <c r="A1209" s="62">
        <v>7444</v>
      </c>
      <c r="B1209" s="43" t="s">
        <v>3703</v>
      </c>
      <c r="C1209" s="44" t="s">
        <v>3748</v>
      </c>
      <c r="D1209" s="71">
        <v>12</v>
      </c>
    </row>
    <row r="1210" spans="1:4" ht="15.75" x14ac:dyDescent="0.2">
      <c r="A1210" s="62">
        <v>7445</v>
      </c>
      <c r="B1210" s="43" t="s">
        <v>3639</v>
      </c>
      <c r="C1210" s="44" t="s">
        <v>4112</v>
      </c>
      <c r="D1210" s="71">
        <v>870</v>
      </c>
    </row>
    <row r="1211" spans="1:4" ht="15.75" x14ac:dyDescent="0.2">
      <c r="A1211" s="62">
        <v>7449</v>
      </c>
      <c r="B1211" s="43" t="s">
        <v>3640</v>
      </c>
      <c r="C1211" s="44" t="s">
        <v>3747</v>
      </c>
      <c r="D1211" s="71">
        <v>270</v>
      </c>
    </row>
    <row r="1212" spans="1:4" ht="15.75" x14ac:dyDescent="0.2">
      <c r="A1212" s="62">
        <v>7451</v>
      </c>
      <c r="B1212" s="43" t="s">
        <v>3641</v>
      </c>
      <c r="C1212" s="44" t="s">
        <v>4112</v>
      </c>
      <c r="D1212" s="71">
        <v>225</v>
      </c>
    </row>
    <row r="1213" spans="1:4" ht="31.5" x14ac:dyDescent="0.2">
      <c r="A1213" s="62">
        <v>7452</v>
      </c>
      <c r="B1213" s="43" t="s">
        <v>2368</v>
      </c>
      <c r="C1213" s="44" t="s">
        <v>4112</v>
      </c>
      <c r="D1213" s="71">
        <v>550</v>
      </c>
    </row>
    <row r="1214" spans="1:4" ht="31.5" x14ac:dyDescent="0.2">
      <c r="A1214" s="62">
        <v>7453</v>
      </c>
      <c r="B1214" s="43" t="s">
        <v>2369</v>
      </c>
      <c r="C1214" s="44" t="s">
        <v>4112</v>
      </c>
      <c r="D1214" s="71">
        <v>700</v>
      </c>
    </row>
    <row r="1215" spans="1:4" ht="31.5" x14ac:dyDescent="0.2">
      <c r="A1215" s="62">
        <v>7454</v>
      </c>
      <c r="B1215" s="43" t="s">
        <v>2370</v>
      </c>
      <c r="C1215" s="44" t="s">
        <v>4112</v>
      </c>
      <c r="D1215" s="71">
        <v>800</v>
      </c>
    </row>
    <row r="1216" spans="1:4" ht="15.75" x14ac:dyDescent="0.2">
      <c r="A1216" s="62">
        <v>7455</v>
      </c>
      <c r="B1216" s="43" t="s">
        <v>1984</v>
      </c>
      <c r="C1216" s="44" t="s">
        <v>4112</v>
      </c>
      <c r="D1216" s="71">
        <v>800</v>
      </c>
    </row>
    <row r="1217" spans="1:4" ht="15.75" x14ac:dyDescent="0.2">
      <c r="A1217" s="62">
        <v>7456</v>
      </c>
      <c r="B1217" s="43" t="s">
        <v>1985</v>
      </c>
      <c r="C1217" s="44" t="s">
        <v>4112</v>
      </c>
      <c r="D1217" s="71">
        <v>900</v>
      </c>
    </row>
    <row r="1218" spans="1:4" ht="15.75" x14ac:dyDescent="0.2">
      <c r="A1218" s="62">
        <v>7457</v>
      </c>
      <c r="B1218" s="43" t="s">
        <v>1986</v>
      </c>
      <c r="C1218" s="44" t="s">
        <v>4112</v>
      </c>
      <c r="D1218" s="71">
        <v>1100</v>
      </c>
    </row>
    <row r="1219" spans="1:4" ht="15.75" x14ac:dyDescent="0.2">
      <c r="A1219" s="62">
        <v>7458</v>
      </c>
      <c r="B1219" s="43" t="s">
        <v>1992</v>
      </c>
      <c r="C1219" s="44" t="s">
        <v>4112</v>
      </c>
      <c r="D1219" s="71">
        <v>650</v>
      </c>
    </row>
    <row r="1220" spans="1:4" ht="31.5" x14ac:dyDescent="0.2">
      <c r="A1220" s="62">
        <v>7459</v>
      </c>
      <c r="B1220" s="43" t="s">
        <v>1994</v>
      </c>
      <c r="C1220" s="44" t="s">
        <v>4112</v>
      </c>
      <c r="D1220" s="71">
        <v>750</v>
      </c>
    </row>
    <row r="1221" spans="1:4" ht="31.5" x14ac:dyDescent="0.2">
      <c r="A1221" s="62">
        <v>7460</v>
      </c>
      <c r="B1221" s="43" t="s">
        <v>1993</v>
      </c>
      <c r="C1221" s="44" t="s">
        <v>4112</v>
      </c>
      <c r="D1221" s="71">
        <v>950</v>
      </c>
    </row>
    <row r="1222" spans="1:4" ht="31.5" x14ac:dyDescent="0.2">
      <c r="A1222" s="62">
        <v>7461</v>
      </c>
      <c r="B1222" s="43" t="s">
        <v>1997</v>
      </c>
      <c r="C1222" s="44" t="s">
        <v>4112</v>
      </c>
      <c r="D1222" s="71">
        <v>550</v>
      </c>
    </row>
    <row r="1223" spans="1:4" ht="31.5" x14ac:dyDescent="0.2">
      <c r="A1223" s="62">
        <v>7462</v>
      </c>
      <c r="B1223" s="43" t="s">
        <v>1996</v>
      </c>
      <c r="C1223" s="44" t="s">
        <v>4112</v>
      </c>
      <c r="D1223" s="71">
        <v>650</v>
      </c>
    </row>
    <row r="1224" spans="1:4" ht="31.5" x14ac:dyDescent="0.2">
      <c r="A1224" s="62">
        <v>7463</v>
      </c>
      <c r="B1224" s="43" t="s">
        <v>1995</v>
      </c>
      <c r="C1224" s="44" t="s">
        <v>4112</v>
      </c>
      <c r="D1224" s="71">
        <v>800</v>
      </c>
    </row>
    <row r="1225" spans="1:4" ht="15.75" x14ac:dyDescent="0.2">
      <c r="A1225" s="62">
        <v>7466</v>
      </c>
      <c r="B1225" s="43" t="s">
        <v>3642</v>
      </c>
      <c r="C1225" s="44" t="s">
        <v>3753</v>
      </c>
      <c r="D1225" s="71">
        <v>40</v>
      </c>
    </row>
    <row r="1226" spans="1:4" ht="31.5" x14ac:dyDescent="0.2">
      <c r="A1226" s="62">
        <v>7468</v>
      </c>
      <c r="B1226" s="43" t="s">
        <v>3643</v>
      </c>
      <c r="C1226" s="44" t="s">
        <v>4112</v>
      </c>
      <c r="D1226" s="71">
        <v>700</v>
      </c>
    </row>
    <row r="1227" spans="1:4" ht="47.25" x14ac:dyDescent="0.2">
      <c r="A1227" s="62">
        <v>7477</v>
      </c>
      <c r="B1227" s="43" t="s">
        <v>3644</v>
      </c>
      <c r="C1227" s="44" t="s">
        <v>4112</v>
      </c>
      <c r="D1227" s="71">
        <v>950</v>
      </c>
    </row>
    <row r="1228" spans="1:4" ht="47.25" x14ac:dyDescent="0.2">
      <c r="A1228" s="62">
        <v>7478</v>
      </c>
      <c r="B1228" s="43" t="s">
        <v>3645</v>
      </c>
      <c r="C1228" s="44" t="s">
        <v>4112</v>
      </c>
      <c r="D1228" s="71">
        <v>1100</v>
      </c>
    </row>
    <row r="1229" spans="1:4" ht="47.25" x14ac:dyDescent="0.2">
      <c r="A1229" s="62">
        <v>7479</v>
      </c>
      <c r="B1229" s="43" t="s">
        <v>4194</v>
      </c>
      <c r="C1229" s="44" t="s">
        <v>4112</v>
      </c>
      <c r="D1229" s="71">
        <v>1350</v>
      </c>
    </row>
    <row r="1230" spans="1:4" ht="47.25" x14ac:dyDescent="0.2">
      <c r="A1230" s="62">
        <v>7480</v>
      </c>
      <c r="B1230" s="43" t="s">
        <v>3646</v>
      </c>
      <c r="C1230" s="44" t="s">
        <v>4112</v>
      </c>
      <c r="D1230" s="71">
        <v>950</v>
      </c>
    </row>
    <row r="1231" spans="1:4" ht="15.75" x14ac:dyDescent="0.2">
      <c r="A1231" s="62">
        <v>7485</v>
      </c>
      <c r="B1231" s="43" t="s">
        <v>3647</v>
      </c>
      <c r="C1231" s="44" t="s">
        <v>3753</v>
      </c>
      <c r="D1231" s="71">
        <v>41</v>
      </c>
    </row>
    <row r="1232" spans="1:4" ht="15.75" x14ac:dyDescent="0.2">
      <c r="A1232" s="62">
        <v>7486</v>
      </c>
      <c r="B1232" s="43" t="s">
        <v>3648</v>
      </c>
      <c r="C1232" s="44" t="s">
        <v>3753</v>
      </c>
      <c r="D1232" s="71">
        <v>46</v>
      </c>
    </row>
    <row r="1233" spans="1:4" ht="15.75" x14ac:dyDescent="0.2">
      <c r="A1233" s="62">
        <v>7491</v>
      </c>
      <c r="B1233" s="43" t="s">
        <v>3649</v>
      </c>
      <c r="C1233" s="44" t="s">
        <v>4217</v>
      </c>
      <c r="D1233" s="71">
        <v>120</v>
      </c>
    </row>
    <row r="1234" spans="1:4" ht="15.75" x14ac:dyDescent="0.2">
      <c r="A1234" s="62">
        <v>7492</v>
      </c>
      <c r="B1234" s="43" t="s">
        <v>3650</v>
      </c>
      <c r="C1234" s="44" t="s">
        <v>4217</v>
      </c>
      <c r="D1234" s="71">
        <v>165</v>
      </c>
    </row>
    <row r="1235" spans="1:4" ht="15.75" x14ac:dyDescent="0.2">
      <c r="A1235" s="62">
        <v>7493</v>
      </c>
      <c r="B1235" s="43" t="s">
        <v>3651</v>
      </c>
      <c r="C1235" s="44" t="s">
        <v>4217</v>
      </c>
      <c r="D1235" s="71">
        <v>670</v>
      </c>
    </row>
    <row r="1236" spans="1:4" ht="15.75" x14ac:dyDescent="0.2">
      <c r="A1236" s="62">
        <v>7494</v>
      </c>
      <c r="B1236" s="43" t="s">
        <v>3652</v>
      </c>
      <c r="C1236" s="44" t="s">
        <v>4217</v>
      </c>
      <c r="D1236" s="71">
        <v>700</v>
      </c>
    </row>
    <row r="1237" spans="1:4" ht="31.5" x14ac:dyDescent="0.2">
      <c r="A1237" s="62">
        <v>7495</v>
      </c>
      <c r="B1237" s="43" t="s">
        <v>3653</v>
      </c>
      <c r="C1237" s="44" t="s">
        <v>4217</v>
      </c>
      <c r="D1237" s="71">
        <v>350</v>
      </c>
    </row>
    <row r="1238" spans="1:4" ht="31.5" x14ac:dyDescent="0.2">
      <c r="A1238" s="62">
        <v>7496</v>
      </c>
      <c r="B1238" s="43" t="s">
        <v>3654</v>
      </c>
      <c r="C1238" s="44" t="s">
        <v>4217</v>
      </c>
      <c r="D1238" s="71">
        <v>520</v>
      </c>
    </row>
    <row r="1239" spans="1:4" ht="31.5" x14ac:dyDescent="0.2">
      <c r="A1239" s="62">
        <v>7497</v>
      </c>
      <c r="B1239" s="43" t="s">
        <v>3655</v>
      </c>
      <c r="C1239" s="44" t="s">
        <v>4217</v>
      </c>
      <c r="D1239" s="71">
        <v>970</v>
      </c>
    </row>
    <row r="1240" spans="1:4" ht="31.5" x14ac:dyDescent="0.2">
      <c r="A1240" s="62">
        <v>7498</v>
      </c>
      <c r="B1240" s="43" t="s">
        <v>3656</v>
      </c>
      <c r="C1240" s="44" t="s">
        <v>4217</v>
      </c>
      <c r="D1240" s="71">
        <v>1620</v>
      </c>
    </row>
    <row r="1241" spans="1:4" ht="31.5" x14ac:dyDescent="0.2">
      <c r="A1241" s="62">
        <v>7499</v>
      </c>
      <c r="B1241" s="43" t="s">
        <v>3657</v>
      </c>
      <c r="C1241" s="44" t="s">
        <v>4217</v>
      </c>
      <c r="D1241" s="71">
        <v>2400</v>
      </c>
    </row>
    <row r="1242" spans="1:4" ht="15.75" x14ac:dyDescent="0.2">
      <c r="A1242" s="62">
        <v>7500</v>
      </c>
      <c r="B1242" s="43" t="s">
        <v>3658</v>
      </c>
      <c r="C1242" s="44" t="s">
        <v>4217</v>
      </c>
      <c r="D1242" s="71">
        <v>290</v>
      </c>
    </row>
    <row r="1243" spans="1:4" ht="15.75" x14ac:dyDescent="0.2">
      <c r="A1243" s="62">
        <v>7501</v>
      </c>
      <c r="B1243" s="43" t="s">
        <v>3659</v>
      </c>
      <c r="C1243" s="44" t="s">
        <v>4217</v>
      </c>
      <c r="D1243" s="71">
        <v>250</v>
      </c>
    </row>
    <row r="1244" spans="1:4" ht="15.75" x14ac:dyDescent="0.2">
      <c r="A1244" s="62">
        <v>7503</v>
      </c>
      <c r="B1244" s="43" t="s">
        <v>3660</v>
      </c>
      <c r="C1244" s="44" t="s">
        <v>4217</v>
      </c>
      <c r="D1244" s="71">
        <v>350</v>
      </c>
    </row>
    <row r="1245" spans="1:4" ht="15.75" x14ac:dyDescent="0.2">
      <c r="A1245" s="62">
        <v>7504</v>
      </c>
      <c r="B1245" s="43" t="s">
        <v>3661</v>
      </c>
      <c r="C1245" s="44" t="s">
        <v>4217</v>
      </c>
      <c r="D1245" s="71">
        <v>240</v>
      </c>
    </row>
    <row r="1246" spans="1:4" ht="15.75" x14ac:dyDescent="0.2">
      <c r="A1246" s="62">
        <v>7505</v>
      </c>
      <c r="B1246" s="43" t="s">
        <v>3662</v>
      </c>
      <c r="C1246" s="44" t="s">
        <v>4217</v>
      </c>
      <c r="D1246" s="71">
        <v>450</v>
      </c>
    </row>
    <row r="1247" spans="1:4" ht="15.75" x14ac:dyDescent="0.2">
      <c r="A1247" s="62">
        <v>7506</v>
      </c>
      <c r="B1247" s="43" t="s">
        <v>3663</v>
      </c>
      <c r="C1247" s="44" t="s">
        <v>4217</v>
      </c>
      <c r="D1247" s="71">
        <v>540</v>
      </c>
    </row>
    <row r="1248" spans="1:4" ht="15.75" x14ac:dyDescent="0.2">
      <c r="A1248" s="62">
        <v>7507</v>
      </c>
      <c r="B1248" s="43" t="s">
        <v>3664</v>
      </c>
      <c r="C1248" s="44" t="s">
        <v>4217</v>
      </c>
      <c r="D1248" s="71">
        <v>610</v>
      </c>
    </row>
    <row r="1249" spans="1:4" ht="15.75" x14ac:dyDescent="0.2">
      <c r="A1249" s="62">
        <v>7508</v>
      </c>
      <c r="B1249" s="43" t="s">
        <v>3665</v>
      </c>
      <c r="C1249" s="44" t="s">
        <v>4217</v>
      </c>
      <c r="D1249" s="71">
        <v>270</v>
      </c>
    </row>
    <row r="1250" spans="1:4" ht="15.75" x14ac:dyDescent="0.2">
      <c r="A1250" s="62">
        <v>7509</v>
      </c>
      <c r="B1250" s="43" t="s">
        <v>3666</v>
      </c>
      <c r="C1250" s="44" t="s">
        <v>4217</v>
      </c>
      <c r="D1250" s="71">
        <v>240</v>
      </c>
    </row>
    <row r="1251" spans="1:4" ht="15.75" x14ac:dyDescent="0.2">
      <c r="A1251" s="62">
        <v>7512</v>
      </c>
      <c r="B1251" s="43" t="s">
        <v>4216</v>
      </c>
      <c r="C1251" s="44" t="s">
        <v>4217</v>
      </c>
      <c r="D1251" s="71">
        <v>47</v>
      </c>
    </row>
    <row r="1252" spans="1:4" ht="15.75" x14ac:dyDescent="0.2">
      <c r="A1252" s="62">
        <v>7513</v>
      </c>
      <c r="B1252" s="43" t="s">
        <v>4218</v>
      </c>
      <c r="C1252" s="44" t="s">
        <v>4217</v>
      </c>
      <c r="D1252" s="71">
        <v>51</v>
      </c>
    </row>
    <row r="1253" spans="1:4" ht="15.75" x14ac:dyDescent="0.2">
      <c r="A1253" s="62">
        <v>7514</v>
      </c>
      <c r="B1253" s="43" t="s">
        <v>4219</v>
      </c>
      <c r="C1253" s="44" t="s">
        <v>4217</v>
      </c>
      <c r="D1253" s="71">
        <v>62</v>
      </c>
    </row>
    <row r="1254" spans="1:4" ht="15.75" x14ac:dyDescent="0.2">
      <c r="A1254" s="62">
        <v>7515</v>
      </c>
      <c r="B1254" s="43" t="s">
        <v>4220</v>
      </c>
      <c r="C1254" s="44" t="s">
        <v>4217</v>
      </c>
      <c r="D1254" s="71">
        <v>82</v>
      </c>
    </row>
    <row r="1255" spans="1:4" ht="15.75" x14ac:dyDescent="0.2">
      <c r="A1255" s="62">
        <v>7516</v>
      </c>
      <c r="B1255" s="43" t="s">
        <v>4221</v>
      </c>
      <c r="C1255" s="44" t="s">
        <v>4217</v>
      </c>
      <c r="D1255" s="71">
        <v>105</v>
      </c>
    </row>
    <row r="1256" spans="1:4" ht="15.75" x14ac:dyDescent="0.2">
      <c r="A1256" s="62">
        <v>7517</v>
      </c>
      <c r="B1256" s="43" t="s">
        <v>4222</v>
      </c>
      <c r="C1256" s="44" t="s">
        <v>4217</v>
      </c>
      <c r="D1256" s="71">
        <v>125</v>
      </c>
    </row>
    <row r="1257" spans="1:4" ht="15.75" x14ac:dyDescent="0.2">
      <c r="A1257" s="62">
        <v>7518</v>
      </c>
      <c r="B1257" s="43" t="s">
        <v>4223</v>
      </c>
      <c r="C1257" s="44" t="s">
        <v>4217</v>
      </c>
      <c r="D1257" s="71">
        <v>41</v>
      </c>
    </row>
    <row r="1258" spans="1:4" ht="15.75" x14ac:dyDescent="0.2">
      <c r="A1258" s="62">
        <v>7519</v>
      </c>
      <c r="B1258" s="43" t="s">
        <v>1082</v>
      </c>
      <c r="C1258" s="44" t="s">
        <v>4217</v>
      </c>
      <c r="D1258" s="71">
        <v>230</v>
      </c>
    </row>
    <row r="1259" spans="1:4" ht="15.75" x14ac:dyDescent="0.2">
      <c r="A1259" s="62">
        <v>7520</v>
      </c>
      <c r="B1259" s="43" t="s">
        <v>1083</v>
      </c>
      <c r="C1259" s="44" t="s">
        <v>4217</v>
      </c>
      <c r="D1259" s="71">
        <v>260</v>
      </c>
    </row>
    <row r="1260" spans="1:4" ht="15.75" x14ac:dyDescent="0.2">
      <c r="A1260" s="62">
        <v>7521</v>
      </c>
      <c r="B1260" s="43" t="s">
        <v>1085</v>
      </c>
      <c r="C1260" s="44" t="s">
        <v>4217</v>
      </c>
      <c r="D1260" s="71">
        <v>230</v>
      </c>
    </row>
    <row r="1261" spans="1:4" ht="15.75" x14ac:dyDescent="0.2">
      <c r="A1261" s="62">
        <v>7552</v>
      </c>
      <c r="B1261" s="43" t="s">
        <v>4196</v>
      </c>
      <c r="C1261" s="44" t="s">
        <v>4112</v>
      </c>
      <c r="D1261" s="71">
        <v>360</v>
      </c>
    </row>
    <row r="1262" spans="1:4" ht="15.75" x14ac:dyDescent="0.2">
      <c r="A1262" s="62">
        <v>7553</v>
      </c>
      <c r="B1262" s="43" t="s">
        <v>4201</v>
      </c>
      <c r="C1262" s="44" t="s">
        <v>4112</v>
      </c>
      <c r="D1262" s="71">
        <v>470</v>
      </c>
    </row>
    <row r="1263" spans="1:4" ht="15.75" x14ac:dyDescent="0.2">
      <c r="A1263" s="62">
        <v>7555</v>
      </c>
      <c r="B1263" s="43" t="s">
        <v>4184</v>
      </c>
      <c r="C1263" s="44" t="s">
        <v>4112</v>
      </c>
      <c r="D1263" s="71">
        <v>835</v>
      </c>
    </row>
    <row r="1264" spans="1:4" ht="15.75" x14ac:dyDescent="0.2">
      <c r="A1264" s="62">
        <v>7556</v>
      </c>
      <c r="B1264" s="43" t="s">
        <v>4200</v>
      </c>
      <c r="C1264" s="44" t="s">
        <v>4112</v>
      </c>
      <c r="D1264" s="71">
        <v>1250</v>
      </c>
    </row>
    <row r="1265" spans="1:4" ht="18.75" x14ac:dyDescent="0.2">
      <c r="A1265" s="72">
        <v>7557</v>
      </c>
      <c r="B1265" s="73" t="s">
        <v>6010</v>
      </c>
      <c r="C1265" s="74" t="s">
        <v>4112</v>
      </c>
      <c r="D1265" s="75">
        <v>200</v>
      </c>
    </row>
    <row r="1266" spans="1:4" ht="18.75" x14ac:dyDescent="0.2">
      <c r="A1266" s="72">
        <v>7558</v>
      </c>
      <c r="B1266" s="73" t="s">
        <v>6011</v>
      </c>
      <c r="C1266" s="74" t="s">
        <v>4112</v>
      </c>
      <c r="D1266" s="75">
        <v>400</v>
      </c>
    </row>
    <row r="1267" spans="1:4" ht="18.75" x14ac:dyDescent="0.2">
      <c r="A1267" s="72">
        <v>7559</v>
      </c>
      <c r="B1267" s="73" t="s">
        <v>6012</v>
      </c>
      <c r="C1267" s="74" t="s">
        <v>4112</v>
      </c>
      <c r="D1267" s="75">
        <v>600</v>
      </c>
    </row>
    <row r="1268" spans="1:4" ht="18.75" x14ac:dyDescent="0.2">
      <c r="A1268" s="72">
        <v>7560</v>
      </c>
      <c r="B1268" s="73" t="s">
        <v>6013</v>
      </c>
      <c r="C1268" s="74" t="s">
        <v>4112</v>
      </c>
      <c r="D1268" s="75">
        <v>400</v>
      </c>
    </row>
    <row r="1269" spans="1:4" ht="18.75" x14ac:dyDescent="0.2">
      <c r="A1269" s="72">
        <v>7561</v>
      </c>
      <c r="B1269" s="73" t="s">
        <v>6014</v>
      </c>
      <c r="C1269" s="74" t="s">
        <v>4112</v>
      </c>
      <c r="D1269" s="75">
        <v>600</v>
      </c>
    </row>
    <row r="1270" spans="1:4" ht="18.75" x14ac:dyDescent="0.2">
      <c r="A1270" s="72">
        <v>7562</v>
      </c>
      <c r="B1270" s="73" t="s">
        <v>6015</v>
      </c>
      <c r="C1270" s="74"/>
      <c r="D1270" s="75">
        <v>900</v>
      </c>
    </row>
    <row r="1271" spans="1:4" ht="15.75" x14ac:dyDescent="0.2">
      <c r="A1271" s="62">
        <v>7651</v>
      </c>
      <c r="B1271" s="43" t="s">
        <v>3667</v>
      </c>
      <c r="C1271" s="44" t="s">
        <v>3756</v>
      </c>
      <c r="D1271" s="71">
        <v>920</v>
      </c>
    </row>
    <row r="1272" spans="1:4" ht="15.75" x14ac:dyDescent="0.2">
      <c r="A1272" s="62">
        <v>7652</v>
      </c>
      <c r="B1272" s="43" t="s">
        <v>3668</v>
      </c>
      <c r="C1272" s="44" t="s">
        <v>3756</v>
      </c>
      <c r="D1272" s="71">
        <v>1370</v>
      </c>
    </row>
    <row r="1273" spans="1:4" ht="15.75" x14ac:dyDescent="0.2">
      <c r="A1273" s="62">
        <v>7653</v>
      </c>
      <c r="B1273" s="43" t="s">
        <v>3669</v>
      </c>
      <c r="C1273" s="44" t="s">
        <v>3756</v>
      </c>
      <c r="D1273" s="71">
        <v>1890</v>
      </c>
    </row>
    <row r="1274" spans="1:4" ht="15.75" x14ac:dyDescent="0.2">
      <c r="A1274" s="62">
        <v>7654</v>
      </c>
      <c r="B1274" s="43" t="s">
        <v>3670</v>
      </c>
      <c r="C1274" s="44" t="s">
        <v>3756</v>
      </c>
      <c r="D1274" s="71">
        <v>2435</v>
      </c>
    </row>
    <row r="1275" spans="1:4" ht="15.75" x14ac:dyDescent="0.2">
      <c r="A1275" s="62">
        <v>7655</v>
      </c>
      <c r="B1275" s="43" t="s">
        <v>3671</v>
      </c>
      <c r="C1275" s="44" t="s">
        <v>3756</v>
      </c>
      <c r="D1275" s="71">
        <v>3130</v>
      </c>
    </row>
    <row r="1276" spans="1:4" ht="15.75" x14ac:dyDescent="0.2">
      <c r="A1276" s="62">
        <v>7656</v>
      </c>
      <c r="B1276" s="43" t="s">
        <v>3672</v>
      </c>
      <c r="C1276" s="44" t="s">
        <v>3756</v>
      </c>
      <c r="D1276" s="71">
        <v>3670</v>
      </c>
    </row>
    <row r="1277" spans="1:4" ht="15.75" x14ac:dyDescent="0.2">
      <c r="A1277" s="62">
        <v>7657</v>
      </c>
      <c r="B1277" s="43" t="s">
        <v>3673</v>
      </c>
      <c r="C1277" s="44" t="s">
        <v>3756</v>
      </c>
      <c r="D1277" s="71">
        <v>5260</v>
      </c>
    </row>
    <row r="1278" spans="1:4" ht="15.75" x14ac:dyDescent="0.2">
      <c r="A1278" s="62">
        <v>7658</v>
      </c>
      <c r="B1278" s="43" t="s">
        <v>3674</v>
      </c>
      <c r="C1278" s="44" t="s">
        <v>3756</v>
      </c>
      <c r="D1278" s="71">
        <v>5850</v>
      </c>
    </row>
    <row r="1279" spans="1:4" ht="15.75" x14ac:dyDescent="0.2">
      <c r="A1279" s="62">
        <v>7659</v>
      </c>
      <c r="B1279" s="43" t="s">
        <v>3675</v>
      </c>
      <c r="C1279" s="44" t="s">
        <v>3756</v>
      </c>
      <c r="D1279" s="71">
        <v>7830</v>
      </c>
    </row>
    <row r="1280" spans="1:4" ht="15.75" x14ac:dyDescent="0.2">
      <c r="A1280" s="62">
        <v>7660</v>
      </c>
      <c r="B1280" s="43" t="s">
        <v>3676</v>
      </c>
      <c r="C1280" s="44" t="s">
        <v>3756</v>
      </c>
      <c r="D1280" s="71">
        <v>8770</v>
      </c>
    </row>
    <row r="1281" spans="1:4" ht="15.75" x14ac:dyDescent="0.2">
      <c r="A1281" s="62">
        <v>7661</v>
      </c>
      <c r="B1281" s="43" t="s">
        <v>3677</v>
      </c>
      <c r="C1281" s="44" t="s">
        <v>3756</v>
      </c>
      <c r="D1281" s="71">
        <v>12000</v>
      </c>
    </row>
    <row r="1282" spans="1:4" ht="15.75" x14ac:dyDescent="0.2">
      <c r="A1282" s="62">
        <v>7662</v>
      </c>
      <c r="B1282" s="43" t="s">
        <v>3678</v>
      </c>
      <c r="C1282" s="44" t="s">
        <v>3756</v>
      </c>
      <c r="D1282" s="71">
        <v>13600</v>
      </c>
    </row>
    <row r="1283" spans="1:4" ht="15.75" x14ac:dyDescent="0.2">
      <c r="A1283" s="62">
        <v>7663</v>
      </c>
      <c r="B1283" s="43" t="s">
        <v>3679</v>
      </c>
      <c r="C1283" s="44" t="s">
        <v>3756</v>
      </c>
      <c r="D1283" s="71">
        <v>14000</v>
      </c>
    </row>
    <row r="1284" spans="1:4" ht="15.75" x14ac:dyDescent="0.2">
      <c r="A1284" s="62">
        <v>7664</v>
      </c>
      <c r="B1284" s="43" t="s">
        <v>3680</v>
      </c>
      <c r="C1284" s="44" t="s">
        <v>3756</v>
      </c>
      <c r="D1284" s="71">
        <v>16300</v>
      </c>
    </row>
    <row r="1285" spans="1:4" ht="15.75" x14ac:dyDescent="0.2">
      <c r="A1285" s="62">
        <v>7665</v>
      </c>
      <c r="B1285" s="43" t="s">
        <v>3681</v>
      </c>
      <c r="C1285" s="44" t="s">
        <v>3756</v>
      </c>
      <c r="D1285" s="71">
        <v>18350</v>
      </c>
    </row>
    <row r="1286" spans="1:4" ht="15.75" x14ac:dyDescent="0.2">
      <c r="A1286" s="62">
        <v>7666</v>
      </c>
      <c r="B1286" s="43" t="s">
        <v>3682</v>
      </c>
      <c r="C1286" s="44" t="s">
        <v>4217</v>
      </c>
      <c r="D1286" s="71">
        <v>38</v>
      </c>
    </row>
    <row r="1287" spans="1:4" ht="15.75" x14ac:dyDescent="0.2">
      <c r="A1287" s="62">
        <v>7668</v>
      </c>
      <c r="B1287" s="43" t="s">
        <v>3683</v>
      </c>
      <c r="C1287" s="44" t="s">
        <v>4217</v>
      </c>
      <c r="D1287" s="71">
        <v>53</v>
      </c>
    </row>
    <row r="1288" spans="1:4" ht="15.75" x14ac:dyDescent="0.2">
      <c r="A1288" s="62">
        <v>7669</v>
      </c>
      <c r="B1288" s="43" t="s">
        <v>3684</v>
      </c>
      <c r="C1288" s="44" t="s">
        <v>4217</v>
      </c>
      <c r="D1288" s="71">
        <v>95</v>
      </c>
    </row>
    <row r="1289" spans="1:4" ht="15.75" x14ac:dyDescent="0.2">
      <c r="A1289" s="62">
        <v>7670</v>
      </c>
      <c r="B1289" s="43" t="s">
        <v>3685</v>
      </c>
      <c r="C1289" s="44" t="s">
        <v>4217</v>
      </c>
      <c r="D1289" s="71">
        <v>105</v>
      </c>
    </row>
    <row r="1290" spans="1:4" ht="15.75" x14ac:dyDescent="0.2">
      <c r="A1290" s="62">
        <v>7671</v>
      </c>
      <c r="B1290" s="43" t="s">
        <v>3686</v>
      </c>
      <c r="C1290" s="44" t="s">
        <v>4217</v>
      </c>
      <c r="D1290" s="71">
        <v>150</v>
      </c>
    </row>
    <row r="1291" spans="1:4" ht="15.75" x14ac:dyDescent="0.2">
      <c r="A1291" s="62">
        <v>7672</v>
      </c>
      <c r="B1291" s="43" t="s">
        <v>3687</v>
      </c>
      <c r="C1291" s="44" t="s">
        <v>4217</v>
      </c>
      <c r="D1291" s="71">
        <v>190</v>
      </c>
    </row>
    <row r="1292" spans="1:4" ht="15.75" x14ac:dyDescent="0.2">
      <c r="A1292" s="62">
        <v>7673</v>
      </c>
      <c r="B1292" s="43" t="s">
        <v>3688</v>
      </c>
      <c r="C1292" s="44" t="s">
        <v>4217</v>
      </c>
      <c r="D1292" s="71">
        <v>380</v>
      </c>
    </row>
    <row r="1293" spans="1:4" ht="15.75" x14ac:dyDescent="0.2">
      <c r="A1293" s="62">
        <v>7674</v>
      </c>
      <c r="B1293" s="43" t="s">
        <v>2893</v>
      </c>
      <c r="C1293" s="44" t="s">
        <v>4217</v>
      </c>
      <c r="D1293" s="71">
        <v>420</v>
      </c>
    </row>
    <row r="1294" spans="1:4" ht="15.75" x14ac:dyDescent="0.2">
      <c r="A1294" s="62">
        <v>7675</v>
      </c>
      <c r="B1294" s="43" t="s">
        <v>2894</v>
      </c>
      <c r="C1294" s="44" t="s">
        <v>4217</v>
      </c>
      <c r="D1294" s="71">
        <v>435</v>
      </c>
    </row>
    <row r="1295" spans="1:4" ht="15.75" x14ac:dyDescent="0.2">
      <c r="A1295" s="62">
        <v>7676</v>
      </c>
      <c r="B1295" s="43" t="s">
        <v>2895</v>
      </c>
      <c r="C1295" s="44" t="s">
        <v>4217</v>
      </c>
      <c r="D1295" s="71">
        <v>530</v>
      </c>
    </row>
    <row r="1296" spans="1:4" ht="15.75" x14ac:dyDescent="0.2">
      <c r="A1296" s="62">
        <v>7677</v>
      </c>
      <c r="B1296" s="43" t="s">
        <v>2896</v>
      </c>
      <c r="C1296" s="44" t="s">
        <v>4217</v>
      </c>
      <c r="D1296" s="71">
        <v>840</v>
      </c>
    </row>
    <row r="1297" spans="1:4" ht="15.75" x14ac:dyDescent="0.2">
      <c r="A1297" s="62">
        <v>7678</v>
      </c>
      <c r="B1297" s="43" t="s">
        <v>2897</v>
      </c>
      <c r="C1297" s="44" t="s">
        <v>4217</v>
      </c>
      <c r="D1297" s="71">
        <v>990</v>
      </c>
    </row>
    <row r="1298" spans="1:4" ht="15.75" x14ac:dyDescent="0.2">
      <c r="A1298" s="62">
        <v>7679</v>
      </c>
      <c r="B1298" s="43" t="s">
        <v>2898</v>
      </c>
      <c r="C1298" s="44" t="s">
        <v>4217</v>
      </c>
      <c r="D1298" s="71">
        <v>1100</v>
      </c>
    </row>
    <row r="1299" spans="1:4" ht="15.75" x14ac:dyDescent="0.2">
      <c r="A1299" s="62">
        <v>7680</v>
      </c>
      <c r="B1299" s="43" t="s">
        <v>2899</v>
      </c>
      <c r="C1299" s="44" t="s">
        <v>4217</v>
      </c>
      <c r="D1299" s="71">
        <v>1480</v>
      </c>
    </row>
    <row r="1300" spans="1:4" ht="15.75" x14ac:dyDescent="0.2">
      <c r="A1300" s="62">
        <v>7681</v>
      </c>
      <c r="B1300" s="43" t="s">
        <v>2900</v>
      </c>
      <c r="C1300" s="44" t="s">
        <v>4217</v>
      </c>
      <c r="D1300" s="71">
        <v>1815</v>
      </c>
    </row>
    <row r="1301" spans="1:4" ht="15.75" x14ac:dyDescent="0.2">
      <c r="A1301" s="62">
        <v>7682</v>
      </c>
      <c r="B1301" s="43" t="s">
        <v>2901</v>
      </c>
      <c r="C1301" s="44" t="s">
        <v>2902</v>
      </c>
      <c r="D1301" s="71">
        <v>12500</v>
      </c>
    </row>
    <row r="1302" spans="1:4" ht="15.75" x14ac:dyDescent="0.2">
      <c r="A1302" s="62">
        <v>7683</v>
      </c>
      <c r="B1302" s="43" t="s">
        <v>2903</v>
      </c>
      <c r="C1302" s="44" t="s">
        <v>2902</v>
      </c>
      <c r="D1302" s="71">
        <v>18800</v>
      </c>
    </row>
    <row r="1303" spans="1:4" ht="31.5" x14ac:dyDescent="0.2">
      <c r="A1303" s="62">
        <v>7684</v>
      </c>
      <c r="B1303" s="43" t="s">
        <v>2904</v>
      </c>
      <c r="C1303" s="44" t="s">
        <v>2902</v>
      </c>
      <c r="D1303" s="71">
        <v>13150</v>
      </c>
    </row>
    <row r="1304" spans="1:4" ht="31.5" x14ac:dyDescent="0.2">
      <c r="A1304" s="62">
        <v>7685</v>
      </c>
      <c r="B1304" s="43" t="s">
        <v>2905</v>
      </c>
      <c r="C1304" s="44" t="s">
        <v>2902</v>
      </c>
      <c r="D1304" s="71">
        <v>19900</v>
      </c>
    </row>
    <row r="1305" spans="1:4" ht="15.75" x14ac:dyDescent="0.2">
      <c r="A1305" s="62">
        <v>7686</v>
      </c>
      <c r="B1305" s="43" t="s">
        <v>2906</v>
      </c>
      <c r="C1305" s="44" t="s">
        <v>3756</v>
      </c>
      <c r="D1305" s="71">
        <v>2650</v>
      </c>
    </row>
    <row r="1306" spans="1:4" ht="15.75" x14ac:dyDescent="0.2">
      <c r="A1306" s="62">
        <v>7687</v>
      </c>
      <c r="B1306" s="43" t="s">
        <v>2907</v>
      </c>
      <c r="C1306" s="44" t="s">
        <v>3753</v>
      </c>
      <c r="D1306" s="71">
        <v>3650</v>
      </c>
    </row>
    <row r="1307" spans="1:4" ht="15.75" x14ac:dyDescent="0.2">
      <c r="A1307" s="62">
        <v>7688</v>
      </c>
      <c r="B1307" s="43" t="s">
        <v>2908</v>
      </c>
      <c r="C1307" s="44" t="s">
        <v>3756</v>
      </c>
      <c r="D1307" s="71">
        <v>4750</v>
      </c>
    </row>
    <row r="1308" spans="1:4" ht="15.75" x14ac:dyDescent="0.2">
      <c r="A1308" s="62">
        <v>7689</v>
      </c>
      <c r="B1308" s="43" t="s">
        <v>2909</v>
      </c>
      <c r="C1308" s="44" t="s">
        <v>3756</v>
      </c>
      <c r="D1308" s="71">
        <v>6300</v>
      </c>
    </row>
    <row r="1309" spans="1:4" ht="15.75" x14ac:dyDescent="0.2">
      <c r="A1309" s="62">
        <v>7690</v>
      </c>
      <c r="B1309" s="43" t="s">
        <v>2910</v>
      </c>
      <c r="C1309" s="44" t="s">
        <v>3753</v>
      </c>
      <c r="D1309" s="71">
        <v>8100</v>
      </c>
    </row>
    <row r="1310" spans="1:4" ht="15.75" x14ac:dyDescent="0.2">
      <c r="A1310" s="62">
        <v>7691</v>
      </c>
      <c r="B1310" s="43" t="s">
        <v>2911</v>
      </c>
      <c r="C1310" s="44" t="s">
        <v>3756</v>
      </c>
      <c r="D1310" s="71">
        <v>10080</v>
      </c>
    </row>
    <row r="1311" spans="1:4" ht="15.75" x14ac:dyDescent="0.2">
      <c r="A1311" s="62">
        <v>7692</v>
      </c>
      <c r="B1311" s="43" t="s">
        <v>2912</v>
      </c>
      <c r="C1311" s="44" t="s">
        <v>3756</v>
      </c>
      <c r="D1311" s="71">
        <v>12050</v>
      </c>
    </row>
    <row r="1312" spans="1:4" ht="15.75" x14ac:dyDescent="0.2">
      <c r="A1312" s="62">
        <v>7693</v>
      </c>
      <c r="B1312" s="43" t="s">
        <v>2913</v>
      </c>
      <c r="C1312" s="44" t="s">
        <v>3756</v>
      </c>
      <c r="D1312" s="71">
        <v>14550</v>
      </c>
    </row>
    <row r="1313" spans="1:4" ht="15.75" x14ac:dyDescent="0.2">
      <c r="A1313" s="62">
        <v>7694</v>
      </c>
      <c r="B1313" s="43" t="s">
        <v>2914</v>
      </c>
      <c r="C1313" s="44" t="s">
        <v>3756</v>
      </c>
      <c r="D1313" s="71">
        <v>17650</v>
      </c>
    </row>
    <row r="1314" spans="1:4" ht="15.75" x14ac:dyDescent="0.2">
      <c r="A1314" s="62">
        <v>7695</v>
      </c>
      <c r="B1314" s="43" t="s">
        <v>2915</v>
      </c>
      <c r="C1314" s="44" t="s">
        <v>3756</v>
      </c>
      <c r="D1314" s="71">
        <v>24000</v>
      </c>
    </row>
    <row r="1315" spans="1:4" ht="15.75" x14ac:dyDescent="0.2">
      <c r="A1315" s="62">
        <v>7696</v>
      </c>
      <c r="B1315" s="43" t="s">
        <v>2916</v>
      </c>
      <c r="C1315" s="44" t="s">
        <v>3756</v>
      </c>
      <c r="D1315" s="71">
        <v>29500</v>
      </c>
    </row>
    <row r="1316" spans="1:4" ht="15.75" x14ac:dyDescent="0.2">
      <c r="A1316" s="62">
        <v>7697</v>
      </c>
      <c r="B1316" s="43" t="s">
        <v>406</v>
      </c>
      <c r="C1316" s="44" t="s">
        <v>4217</v>
      </c>
      <c r="D1316" s="71">
        <v>2770</v>
      </c>
    </row>
    <row r="1317" spans="1:4" ht="15.75" x14ac:dyDescent="0.2">
      <c r="A1317" s="62">
        <v>7698</v>
      </c>
      <c r="B1317" s="43" t="s">
        <v>407</v>
      </c>
      <c r="C1317" s="44" t="s">
        <v>4217</v>
      </c>
      <c r="D1317" s="71">
        <v>3400</v>
      </c>
    </row>
    <row r="1318" spans="1:4" ht="15.75" x14ac:dyDescent="0.2">
      <c r="A1318" s="62">
        <v>7699</v>
      </c>
      <c r="B1318" s="43" t="s">
        <v>408</v>
      </c>
      <c r="C1318" s="44" t="s">
        <v>4217</v>
      </c>
      <c r="D1318" s="71">
        <v>6215</v>
      </c>
    </row>
    <row r="1319" spans="1:4" ht="15.75" x14ac:dyDescent="0.2">
      <c r="A1319" s="62">
        <v>7700</v>
      </c>
      <c r="B1319" s="43" t="s">
        <v>2917</v>
      </c>
      <c r="C1319" s="44" t="s">
        <v>3756</v>
      </c>
      <c r="D1319" s="71">
        <v>1930</v>
      </c>
    </row>
    <row r="1320" spans="1:4" ht="15.75" x14ac:dyDescent="0.2">
      <c r="A1320" s="62">
        <v>7701</v>
      </c>
      <c r="B1320" s="43" t="s">
        <v>2918</v>
      </c>
      <c r="C1320" s="44" t="s">
        <v>3756</v>
      </c>
      <c r="D1320" s="71">
        <v>2735</v>
      </c>
    </row>
    <row r="1321" spans="1:4" ht="15.75" x14ac:dyDescent="0.2">
      <c r="A1321" s="62">
        <v>7702</v>
      </c>
      <c r="B1321" s="43" t="s">
        <v>2919</v>
      </c>
      <c r="C1321" s="44" t="s">
        <v>3756</v>
      </c>
      <c r="D1321" s="71">
        <v>3640</v>
      </c>
    </row>
    <row r="1322" spans="1:4" ht="15.75" x14ac:dyDescent="0.2">
      <c r="A1322" s="62">
        <v>7703</v>
      </c>
      <c r="B1322" s="43" t="s">
        <v>2920</v>
      </c>
      <c r="C1322" s="44" t="s">
        <v>3753</v>
      </c>
      <c r="D1322" s="71">
        <v>4500</v>
      </c>
    </row>
    <row r="1323" spans="1:4" ht="15.75" x14ac:dyDescent="0.2">
      <c r="A1323" s="62">
        <v>7704</v>
      </c>
      <c r="B1323" s="43" t="s">
        <v>2921</v>
      </c>
      <c r="C1323" s="44" t="s">
        <v>3756</v>
      </c>
      <c r="D1323" s="71">
        <v>5500</v>
      </c>
    </row>
    <row r="1324" spans="1:4" ht="15.75" x14ac:dyDescent="0.2">
      <c r="A1324" s="62">
        <v>7705</v>
      </c>
      <c r="B1324" s="43" t="s">
        <v>2922</v>
      </c>
      <c r="C1324" s="44" t="s">
        <v>3756</v>
      </c>
      <c r="D1324" s="71">
        <v>6580</v>
      </c>
    </row>
    <row r="1325" spans="1:4" ht="15.75" x14ac:dyDescent="0.2">
      <c r="A1325" s="62">
        <v>7706</v>
      </c>
      <c r="B1325" s="43" t="s">
        <v>2923</v>
      </c>
      <c r="C1325" s="44" t="s">
        <v>3756</v>
      </c>
      <c r="D1325" s="71">
        <v>8010</v>
      </c>
    </row>
    <row r="1326" spans="1:4" ht="15.75" x14ac:dyDescent="0.2">
      <c r="A1326" s="62">
        <v>7707</v>
      </c>
      <c r="B1326" s="43" t="s">
        <v>2924</v>
      </c>
      <c r="C1326" s="44" t="s">
        <v>3756</v>
      </c>
      <c r="D1326" s="71">
        <v>10600</v>
      </c>
    </row>
    <row r="1327" spans="1:4" ht="31.5" x14ac:dyDescent="0.2">
      <c r="A1327" s="62">
        <v>7708</v>
      </c>
      <c r="B1327" s="43" t="s">
        <v>2925</v>
      </c>
      <c r="C1327" s="44" t="s">
        <v>2902</v>
      </c>
      <c r="D1327" s="71">
        <v>4950</v>
      </c>
    </row>
    <row r="1328" spans="1:4" ht="31.5" x14ac:dyDescent="0.2">
      <c r="A1328" s="62">
        <v>7709</v>
      </c>
      <c r="B1328" s="43" t="s">
        <v>2926</v>
      </c>
      <c r="C1328" s="44" t="s">
        <v>2902</v>
      </c>
      <c r="D1328" s="71">
        <v>5580</v>
      </c>
    </row>
    <row r="1329" spans="1:4" ht="31.5" x14ac:dyDescent="0.2">
      <c r="A1329" s="62">
        <v>7710</v>
      </c>
      <c r="B1329" s="43" t="s">
        <v>2927</v>
      </c>
      <c r="C1329" s="44" t="s">
        <v>2902</v>
      </c>
      <c r="D1329" s="71">
        <v>7500</v>
      </c>
    </row>
    <row r="1330" spans="1:4" ht="31.5" x14ac:dyDescent="0.2">
      <c r="A1330" s="62">
        <v>7711</v>
      </c>
      <c r="B1330" s="43" t="s">
        <v>2928</v>
      </c>
      <c r="C1330" s="44" t="s">
        <v>2902</v>
      </c>
      <c r="D1330" s="71">
        <v>7800</v>
      </c>
    </row>
    <row r="1331" spans="1:4" ht="31.5" x14ac:dyDescent="0.2">
      <c r="A1331" s="62">
        <v>7712</v>
      </c>
      <c r="B1331" s="43" t="s">
        <v>2929</v>
      </c>
      <c r="C1331" s="44" t="s">
        <v>3756</v>
      </c>
      <c r="D1331" s="71">
        <v>1370</v>
      </c>
    </row>
    <row r="1332" spans="1:4" ht="31.5" x14ac:dyDescent="0.2">
      <c r="A1332" s="62">
        <v>7713</v>
      </c>
      <c r="B1332" s="43" t="s">
        <v>2930</v>
      </c>
      <c r="C1332" s="44" t="s">
        <v>3756</v>
      </c>
      <c r="D1332" s="71">
        <v>2120</v>
      </c>
    </row>
    <row r="1333" spans="1:4" ht="31.5" x14ac:dyDescent="0.2">
      <c r="A1333" s="62">
        <v>7714</v>
      </c>
      <c r="B1333" s="43" t="s">
        <v>2931</v>
      </c>
      <c r="C1333" s="44" t="s">
        <v>3756</v>
      </c>
      <c r="D1333" s="71">
        <v>2950</v>
      </c>
    </row>
    <row r="1334" spans="1:4" ht="31.5" x14ac:dyDescent="0.2">
      <c r="A1334" s="62">
        <v>7715</v>
      </c>
      <c r="B1334" s="43" t="s">
        <v>2932</v>
      </c>
      <c r="C1334" s="44" t="s">
        <v>3756</v>
      </c>
      <c r="D1334" s="71">
        <v>3920</v>
      </c>
    </row>
    <row r="1335" spans="1:4" ht="31.5" x14ac:dyDescent="0.2">
      <c r="A1335" s="62">
        <v>7716</v>
      </c>
      <c r="B1335" s="43" t="s">
        <v>2933</v>
      </c>
      <c r="C1335" s="44" t="s">
        <v>3756</v>
      </c>
      <c r="D1335" s="71">
        <v>5000</v>
      </c>
    </row>
    <row r="1336" spans="1:4" ht="31.5" x14ac:dyDescent="0.2">
      <c r="A1336" s="62">
        <v>7717</v>
      </c>
      <c r="B1336" s="43" t="s">
        <v>2934</v>
      </c>
      <c r="C1336" s="44" t="s">
        <v>3756</v>
      </c>
      <c r="D1336" s="71">
        <v>6400</v>
      </c>
    </row>
    <row r="1337" spans="1:4" ht="31.5" x14ac:dyDescent="0.2">
      <c r="A1337" s="62">
        <v>7718</v>
      </c>
      <c r="B1337" s="43" t="s">
        <v>2935</v>
      </c>
      <c r="C1337" s="44" t="s">
        <v>3753</v>
      </c>
      <c r="D1337" s="71">
        <v>8100</v>
      </c>
    </row>
    <row r="1338" spans="1:4" ht="31.5" x14ac:dyDescent="0.2">
      <c r="A1338" s="62">
        <v>7719</v>
      </c>
      <c r="B1338" s="43" t="s">
        <v>2936</v>
      </c>
      <c r="C1338" s="44" t="s">
        <v>3756</v>
      </c>
      <c r="D1338" s="71">
        <v>10700</v>
      </c>
    </row>
    <row r="1339" spans="1:4" ht="31.5" x14ac:dyDescent="0.2">
      <c r="A1339" s="62">
        <v>7720</v>
      </c>
      <c r="B1339" s="43" t="s">
        <v>2937</v>
      </c>
      <c r="C1339" s="44" t="s">
        <v>3753</v>
      </c>
      <c r="D1339" s="71">
        <v>14000</v>
      </c>
    </row>
    <row r="1340" spans="1:4" ht="31.5" x14ac:dyDescent="0.2">
      <c r="A1340" s="62">
        <v>7721</v>
      </c>
      <c r="B1340" s="43" t="s">
        <v>2938</v>
      </c>
      <c r="C1340" s="44" t="s">
        <v>3756</v>
      </c>
      <c r="D1340" s="71">
        <v>18200</v>
      </c>
    </row>
    <row r="1341" spans="1:4" ht="15.75" x14ac:dyDescent="0.2">
      <c r="A1341" s="62">
        <v>7722</v>
      </c>
      <c r="B1341" s="43" t="s">
        <v>2939</v>
      </c>
      <c r="C1341" s="44" t="s">
        <v>3756</v>
      </c>
      <c r="D1341" s="71">
        <v>850</v>
      </c>
    </row>
    <row r="1342" spans="1:4" ht="15.75" x14ac:dyDescent="0.2">
      <c r="A1342" s="62">
        <v>7723</v>
      </c>
      <c r="B1342" s="43" t="s">
        <v>2940</v>
      </c>
      <c r="C1342" s="44" t="s">
        <v>3756</v>
      </c>
      <c r="D1342" s="71">
        <v>1220</v>
      </c>
    </row>
    <row r="1343" spans="1:4" ht="15.75" x14ac:dyDescent="0.2">
      <c r="A1343" s="62">
        <v>7724</v>
      </c>
      <c r="B1343" s="43" t="s">
        <v>2941</v>
      </c>
      <c r="C1343" s="44" t="s">
        <v>3756</v>
      </c>
      <c r="D1343" s="71">
        <v>1730</v>
      </c>
    </row>
    <row r="1344" spans="1:4" ht="15.75" x14ac:dyDescent="0.2">
      <c r="A1344" s="62">
        <v>7725</v>
      </c>
      <c r="B1344" s="43" t="s">
        <v>2942</v>
      </c>
      <c r="C1344" s="44" t="s">
        <v>3756</v>
      </c>
      <c r="D1344" s="71">
        <v>2350</v>
      </c>
    </row>
    <row r="1345" spans="1:4" ht="15.75" x14ac:dyDescent="0.2">
      <c r="A1345" s="62">
        <v>7726</v>
      </c>
      <c r="B1345" s="43" t="s">
        <v>2943</v>
      </c>
      <c r="C1345" s="44" t="s">
        <v>3756</v>
      </c>
      <c r="D1345" s="71">
        <v>3310</v>
      </c>
    </row>
    <row r="1346" spans="1:4" ht="15.75" x14ac:dyDescent="0.2">
      <c r="A1346" s="62">
        <v>7727</v>
      </c>
      <c r="B1346" s="43" t="s">
        <v>2944</v>
      </c>
      <c r="C1346" s="44" t="s">
        <v>3756</v>
      </c>
      <c r="D1346" s="71">
        <v>3820</v>
      </c>
    </row>
    <row r="1347" spans="1:4" ht="15.75" x14ac:dyDescent="0.2">
      <c r="A1347" s="62">
        <v>7728</v>
      </c>
      <c r="B1347" s="43" t="s">
        <v>2945</v>
      </c>
      <c r="C1347" s="44" t="s">
        <v>3756</v>
      </c>
      <c r="D1347" s="71">
        <v>4550</v>
      </c>
    </row>
    <row r="1348" spans="1:4" ht="15.75" x14ac:dyDescent="0.2">
      <c r="A1348" s="62">
        <v>7729</v>
      </c>
      <c r="B1348" s="43" t="s">
        <v>2946</v>
      </c>
      <c r="C1348" s="44" t="s">
        <v>3756</v>
      </c>
      <c r="D1348" s="71">
        <v>5400</v>
      </c>
    </row>
    <row r="1349" spans="1:4" ht="15.75" x14ac:dyDescent="0.2">
      <c r="A1349" s="62">
        <v>7730</v>
      </c>
      <c r="B1349" s="43" t="s">
        <v>2947</v>
      </c>
      <c r="C1349" s="44" t="s">
        <v>3756</v>
      </c>
      <c r="D1349" s="71">
        <v>6400</v>
      </c>
    </row>
    <row r="1350" spans="1:4" ht="15.75" x14ac:dyDescent="0.2">
      <c r="A1350" s="62">
        <v>7731</v>
      </c>
      <c r="B1350" s="43" t="s">
        <v>2948</v>
      </c>
      <c r="C1350" s="44" t="s">
        <v>3753</v>
      </c>
      <c r="D1350" s="71">
        <v>8400</v>
      </c>
    </row>
    <row r="1351" spans="1:4" ht="15.75" x14ac:dyDescent="0.2">
      <c r="A1351" s="62">
        <v>7732</v>
      </c>
      <c r="B1351" s="43" t="s">
        <v>2949</v>
      </c>
      <c r="C1351" s="44" t="s">
        <v>3756</v>
      </c>
      <c r="D1351" s="71">
        <v>10450</v>
      </c>
    </row>
    <row r="1352" spans="1:4" ht="15.75" x14ac:dyDescent="0.2">
      <c r="A1352" s="62">
        <v>7733</v>
      </c>
      <c r="B1352" s="43" t="s">
        <v>2950</v>
      </c>
      <c r="C1352" s="44" t="s">
        <v>3756</v>
      </c>
      <c r="D1352" s="71">
        <v>14550</v>
      </c>
    </row>
    <row r="1353" spans="1:4" ht="15.75" x14ac:dyDescent="0.2">
      <c r="A1353" s="62">
        <v>7734</v>
      </c>
      <c r="B1353" s="43" t="s">
        <v>2951</v>
      </c>
      <c r="C1353" s="44" t="s">
        <v>3753</v>
      </c>
      <c r="D1353" s="71">
        <v>17900</v>
      </c>
    </row>
    <row r="1354" spans="1:4" ht="15.75" x14ac:dyDescent="0.2">
      <c r="A1354" s="62">
        <v>7735</v>
      </c>
      <c r="B1354" s="43" t="s">
        <v>2952</v>
      </c>
      <c r="C1354" s="44" t="s">
        <v>3753</v>
      </c>
      <c r="D1354" s="71">
        <v>21700</v>
      </c>
    </row>
    <row r="1355" spans="1:4" ht="15.75" x14ac:dyDescent="0.2">
      <c r="A1355" s="62">
        <v>7736</v>
      </c>
      <c r="B1355" s="43" t="s">
        <v>2953</v>
      </c>
      <c r="C1355" s="44" t="s">
        <v>3326</v>
      </c>
      <c r="D1355" s="71">
        <v>5500</v>
      </c>
    </row>
    <row r="1356" spans="1:4" ht="15.75" x14ac:dyDescent="0.2">
      <c r="A1356" s="62">
        <v>7737</v>
      </c>
      <c r="B1356" s="43" t="s">
        <v>2954</v>
      </c>
      <c r="C1356" s="44" t="s">
        <v>3326</v>
      </c>
      <c r="D1356" s="71">
        <v>2800</v>
      </c>
    </row>
    <row r="1357" spans="1:4" ht="15.75" x14ac:dyDescent="0.2">
      <c r="A1357" s="62">
        <v>7738</v>
      </c>
      <c r="B1357" s="43" t="s">
        <v>2955</v>
      </c>
      <c r="C1357" s="44" t="s">
        <v>3326</v>
      </c>
      <c r="D1357" s="71">
        <v>4850</v>
      </c>
    </row>
    <row r="1358" spans="1:4" ht="15.75" x14ac:dyDescent="0.2">
      <c r="A1358" s="62">
        <v>7739</v>
      </c>
      <c r="B1358" s="43" t="s">
        <v>2956</v>
      </c>
      <c r="C1358" s="44" t="s">
        <v>2957</v>
      </c>
      <c r="D1358" s="71">
        <v>56600</v>
      </c>
    </row>
    <row r="1359" spans="1:4" ht="15.75" x14ac:dyDescent="0.2">
      <c r="A1359" s="62">
        <v>7741</v>
      </c>
      <c r="B1359" s="43" t="s">
        <v>2958</v>
      </c>
      <c r="C1359" s="44" t="s">
        <v>4100</v>
      </c>
      <c r="D1359" s="71">
        <v>56600</v>
      </c>
    </row>
    <row r="1360" spans="1:4" ht="15.75" x14ac:dyDescent="0.2">
      <c r="A1360" s="62">
        <v>7742</v>
      </c>
      <c r="B1360" s="43" t="s">
        <v>2959</v>
      </c>
      <c r="C1360" s="44" t="s">
        <v>4100</v>
      </c>
      <c r="D1360" s="71">
        <v>46200</v>
      </c>
    </row>
    <row r="1361" spans="1:4" ht="15.75" x14ac:dyDescent="0.2">
      <c r="A1361" s="62">
        <v>7750</v>
      </c>
      <c r="B1361" s="43" t="s">
        <v>4567</v>
      </c>
      <c r="C1361" s="44" t="s">
        <v>4217</v>
      </c>
      <c r="D1361" s="71">
        <v>375</v>
      </c>
    </row>
    <row r="1362" spans="1:4" ht="15.75" x14ac:dyDescent="0.2">
      <c r="A1362" s="62">
        <v>7751</v>
      </c>
      <c r="B1362" s="43" t="s">
        <v>4568</v>
      </c>
      <c r="C1362" s="44" t="s">
        <v>4217</v>
      </c>
      <c r="D1362" s="71">
        <v>450</v>
      </c>
    </row>
    <row r="1363" spans="1:4" ht="31.5" customHeight="1" x14ac:dyDescent="0.2">
      <c r="A1363" s="62">
        <v>7752</v>
      </c>
      <c r="B1363" s="43" t="s">
        <v>5506</v>
      </c>
      <c r="C1363" s="44" t="s">
        <v>4217</v>
      </c>
      <c r="D1363" s="71">
        <v>380</v>
      </c>
    </row>
    <row r="1364" spans="1:4" ht="15.75" x14ac:dyDescent="0.2">
      <c r="A1364" s="62">
        <v>7753</v>
      </c>
      <c r="B1364" s="43" t="s">
        <v>4973</v>
      </c>
      <c r="C1364" s="44" t="s">
        <v>4217</v>
      </c>
      <c r="D1364" s="71">
        <v>450</v>
      </c>
    </row>
    <row r="1365" spans="1:4" ht="31.5" x14ac:dyDescent="0.2">
      <c r="A1365" s="62">
        <v>7754</v>
      </c>
      <c r="B1365" s="43" t="s">
        <v>5507</v>
      </c>
      <c r="C1365" s="44" t="s">
        <v>4217</v>
      </c>
      <c r="D1365" s="71">
        <v>785</v>
      </c>
    </row>
    <row r="1366" spans="1:4" ht="31.5" x14ac:dyDescent="0.2">
      <c r="A1366" s="62">
        <v>7755</v>
      </c>
      <c r="B1366" s="43" t="s">
        <v>4566</v>
      </c>
      <c r="C1366" s="44" t="s">
        <v>4217</v>
      </c>
      <c r="D1366" s="71">
        <v>290</v>
      </c>
    </row>
    <row r="1367" spans="1:4" ht="31.5" x14ac:dyDescent="0.2">
      <c r="A1367" s="62">
        <v>7756</v>
      </c>
      <c r="B1367" s="43" t="s">
        <v>1077</v>
      </c>
      <c r="C1367" s="44" t="s">
        <v>4217</v>
      </c>
      <c r="D1367" s="71">
        <v>405</v>
      </c>
    </row>
    <row r="1368" spans="1:4" ht="31.5" x14ac:dyDescent="0.2">
      <c r="A1368" s="62">
        <v>7757</v>
      </c>
      <c r="B1368" s="43" t="s">
        <v>1079</v>
      </c>
      <c r="C1368" s="44" t="s">
        <v>4217</v>
      </c>
      <c r="D1368" s="71">
        <v>465</v>
      </c>
    </row>
    <row r="1369" spans="1:4" ht="15.75" x14ac:dyDescent="0.2">
      <c r="A1369" s="62">
        <v>7758</v>
      </c>
      <c r="B1369" s="43" t="s">
        <v>1080</v>
      </c>
      <c r="C1369" s="44" t="s">
        <v>4217</v>
      </c>
      <c r="D1369" s="71">
        <v>230</v>
      </c>
    </row>
    <row r="1370" spans="1:4" ht="15.75" x14ac:dyDescent="0.2">
      <c r="A1370" s="62">
        <v>7759</v>
      </c>
      <c r="B1370" s="43" t="s">
        <v>1081</v>
      </c>
      <c r="C1370" s="44" t="s">
        <v>4217</v>
      </c>
      <c r="D1370" s="71">
        <v>240</v>
      </c>
    </row>
    <row r="1371" spans="1:4" ht="31.5" x14ac:dyDescent="0.2">
      <c r="A1371" s="62">
        <v>7760</v>
      </c>
      <c r="B1371" s="43" t="s">
        <v>4580</v>
      </c>
      <c r="C1371" s="44" t="s">
        <v>4217</v>
      </c>
      <c r="D1371" s="71">
        <v>69</v>
      </c>
    </row>
    <row r="1372" spans="1:4" ht="15.75" x14ac:dyDescent="0.2">
      <c r="A1372" s="62">
        <v>7761</v>
      </c>
      <c r="B1372" s="43" t="s">
        <v>1084</v>
      </c>
      <c r="C1372" s="44" t="s">
        <v>4217</v>
      </c>
      <c r="D1372" s="71">
        <v>175</v>
      </c>
    </row>
    <row r="1373" spans="1:4" ht="15.75" x14ac:dyDescent="0.2">
      <c r="A1373" s="72">
        <v>7773</v>
      </c>
      <c r="B1373" s="73" t="s">
        <v>6034</v>
      </c>
      <c r="C1373" s="74" t="s">
        <v>2437</v>
      </c>
      <c r="D1373" s="75">
        <v>600</v>
      </c>
    </row>
    <row r="1374" spans="1:4" ht="31.5" x14ac:dyDescent="0.2">
      <c r="A1374" s="72">
        <v>7774</v>
      </c>
      <c r="B1374" s="73" t="s">
        <v>6008</v>
      </c>
      <c r="C1374" s="74" t="s">
        <v>2439</v>
      </c>
      <c r="D1374" s="75">
        <v>3250</v>
      </c>
    </row>
    <row r="1375" spans="1:4" ht="15.75" x14ac:dyDescent="0.2">
      <c r="A1375" s="62">
        <v>7799</v>
      </c>
      <c r="B1375" s="43" t="s">
        <v>1310</v>
      </c>
      <c r="C1375" s="44" t="s">
        <v>2634</v>
      </c>
      <c r="D1375" s="71">
        <v>8</v>
      </c>
    </row>
    <row r="1376" spans="1:4" ht="31.5" x14ac:dyDescent="0.2">
      <c r="A1376" s="62">
        <v>7800</v>
      </c>
      <c r="B1376" s="43" t="s">
        <v>591</v>
      </c>
      <c r="C1376" s="44" t="s">
        <v>4167</v>
      </c>
      <c r="D1376" s="71">
        <v>350</v>
      </c>
    </row>
    <row r="1377" spans="1:4" ht="31.5" x14ac:dyDescent="0.2">
      <c r="A1377" s="62">
        <v>7801</v>
      </c>
      <c r="B1377" s="43" t="s">
        <v>592</v>
      </c>
      <c r="C1377" s="44" t="s">
        <v>4167</v>
      </c>
      <c r="D1377" s="71">
        <v>380</v>
      </c>
    </row>
    <row r="1378" spans="1:4" ht="31.5" x14ac:dyDescent="0.2">
      <c r="A1378" s="62">
        <v>7802</v>
      </c>
      <c r="B1378" s="43" t="s">
        <v>2960</v>
      </c>
      <c r="C1378" s="44" t="s">
        <v>4167</v>
      </c>
      <c r="D1378" s="71">
        <v>350</v>
      </c>
    </row>
    <row r="1379" spans="1:4" ht="31.5" x14ac:dyDescent="0.2">
      <c r="A1379" s="62">
        <v>7803</v>
      </c>
      <c r="B1379" s="43" t="s">
        <v>2961</v>
      </c>
      <c r="C1379" s="44" t="s">
        <v>4167</v>
      </c>
      <c r="D1379" s="71">
        <v>550</v>
      </c>
    </row>
    <row r="1380" spans="1:4" ht="31.5" x14ac:dyDescent="0.2">
      <c r="A1380" s="62">
        <v>7804</v>
      </c>
      <c r="B1380" s="43" t="s">
        <v>2962</v>
      </c>
      <c r="C1380" s="44" t="s">
        <v>4167</v>
      </c>
      <c r="D1380" s="71">
        <v>675</v>
      </c>
    </row>
    <row r="1381" spans="1:4" ht="31.5" x14ac:dyDescent="0.2">
      <c r="A1381" s="62">
        <v>7805</v>
      </c>
      <c r="B1381" s="43" t="s">
        <v>2963</v>
      </c>
      <c r="C1381" s="44" t="s">
        <v>3748</v>
      </c>
      <c r="D1381" s="71">
        <v>4700</v>
      </c>
    </row>
    <row r="1382" spans="1:4" ht="15.75" x14ac:dyDescent="0.2">
      <c r="A1382" s="62">
        <v>7806</v>
      </c>
      <c r="B1382" s="43" t="s">
        <v>2964</v>
      </c>
      <c r="C1382" s="44" t="s">
        <v>3748</v>
      </c>
      <c r="D1382" s="71">
        <v>2100</v>
      </c>
    </row>
    <row r="1383" spans="1:4" ht="15.75" x14ac:dyDescent="0.2">
      <c r="A1383" s="62">
        <v>7807</v>
      </c>
      <c r="B1383" s="43" t="s">
        <v>2965</v>
      </c>
      <c r="C1383" s="44" t="s">
        <v>3748</v>
      </c>
      <c r="D1383" s="71">
        <v>1900</v>
      </c>
    </row>
    <row r="1384" spans="1:4" ht="15.75" x14ac:dyDescent="0.2">
      <c r="A1384" s="62">
        <v>7808</v>
      </c>
      <c r="B1384" s="43" t="s">
        <v>2966</v>
      </c>
      <c r="C1384" s="44" t="s">
        <v>3748</v>
      </c>
      <c r="D1384" s="71">
        <v>435</v>
      </c>
    </row>
    <row r="1385" spans="1:4" ht="15.75" x14ac:dyDescent="0.2">
      <c r="A1385" s="62">
        <v>7809</v>
      </c>
      <c r="B1385" s="43" t="s">
        <v>2967</v>
      </c>
      <c r="C1385" s="44" t="s">
        <v>3748</v>
      </c>
      <c r="D1385" s="71">
        <v>470</v>
      </c>
    </row>
    <row r="1386" spans="1:4" ht="15.75" x14ac:dyDescent="0.2">
      <c r="A1386" s="62">
        <v>7810</v>
      </c>
      <c r="B1386" s="43" t="s">
        <v>2006</v>
      </c>
      <c r="C1386" s="44" t="s">
        <v>2785</v>
      </c>
      <c r="D1386" s="71">
        <v>125</v>
      </c>
    </row>
    <row r="1387" spans="1:4" ht="15.75" x14ac:dyDescent="0.2">
      <c r="A1387" s="62">
        <v>7811</v>
      </c>
      <c r="B1387" s="43" t="s">
        <v>2007</v>
      </c>
      <c r="C1387" s="44" t="s">
        <v>4217</v>
      </c>
      <c r="D1387" s="71">
        <v>125</v>
      </c>
    </row>
    <row r="1388" spans="1:4" ht="15.75" x14ac:dyDescent="0.2">
      <c r="A1388" s="62">
        <v>7812</v>
      </c>
      <c r="B1388" s="43" t="s">
        <v>2008</v>
      </c>
      <c r="C1388" s="44" t="s">
        <v>4217</v>
      </c>
      <c r="D1388" s="71">
        <v>150</v>
      </c>
    </row>
    <row r="1389" spans="1:4" ht="15.75" x14ac:dyDescent="0.2">
      <c r="A1389" s="62">
        <v>7813</v>
      </c>
      <c r="B1389" s="43" t="s">
        <v>4623</v>
      </c>
      <c r="C1389" s="44" t="s">
        <v>4217</v>
      </c>
      <c r="D1389" s="71">
        <v>190</v>
      </c>
    </row>
    <row r="1390" spans="1:4" ht="15.75" x14ac:dyDescent="0.2">
      <c r="A1390" s="62">
        <v>7814</v>
      </c>
      <c r="B1390" s="43" t="s">
        <v>4624</v>
      </c>
      <c r="C1390" s="44" t="s">
        <v>4217</v>
      </c>
      <c r="D1390" s="71">
        <v>210</v>
      </c>
    </row>
    <row r="1391" spans="1:4" ht="15.75" x14ac:dyDescent="0.2">
      <c r="A1391" s="62">
        <v>7815</v>
      </c>
      <c r="B1391" s="43" t="s">
        <v>4625</v>
      </c>
      <c r="C1391" s="44" t="s">
        <v>4217</v>
      </c>
      <c r="D1391" s="71">
        <v>250</v>
      </c>
    </row>
    <row r="1392" spans="1:4" ht="15.75" x14ac:dyDescent="0.2">
      <c r="A1392" s="62">
        <v>7825</v>
      </c>
      <c r="B1392" s="43" t="s">
        <v>4609</v>
      </c>
      <c r="C1392" s="44" t="s">
        <v>2437</v>
      </c>
      <c r="D1392" s="71">
        <v>1025</v>
      </c>
    </row>
    <row r="1393" spans="1:4" ht="15.75" x14ac:dyDescent="0.2">
      <c r="A1393" s="62">
        <v>7826</v>
      </c>
      <c r="B1393" s="43" t="s">
        <v>4610</v>
      </c>
      <c r="C1393" s="44" t="s">
        <v>2437</v>
      </c>
      <c r="D1393" s="71">
        <v>1360</v>
      </c>
    </row>
    <row r="1394" spans="1:4" ht="15.75" x14ac:dyDescent="0.2">
      <c r="A1394" s="62">
        <v>7827</v>
      </c>
      <c r="B1394" s="43" t="s">
        <v>4611</v>
      </c>
      <c r="C1394" s="44" t="s">
        <v>2437</v>
      </c>
      <c r="D1394" s="71">
        <v>1355</v>
      </c>
    </row>
    <row r="1395" spans="1:4" ht="15.75" x14ac:dyDescent="0.2">
      <c r="A1395" s="62">
        <v>7828</v>
      </c>
      <c r="B1395" s="43" t="s">
        <v>4612</v>
      </c>
      <c r="C1395" s="44" t="s">
        <v>2437</v>
      </c>
      <c r="D1395" s="71">
        <v>320</v>
      </c>
    </row>
    <row r="1396" spans="1:4" ht="15.75" x14ac:dyDescent="0.2">
      <c r="A1396" s="62">
        <v>7829</v>
      </c>
      <c r="B1396" s="43" t="s">
        <v>4613</v>
      </c>
      <c r="C1396" s="44" t="s">
        <v>2437</v>
      </c>
      <c r="D1396" s="71">
        <v>425</v>
      </c>
    </row>
    <row r="1397" spans="1:4" ht="15.75" x14ac:dyDescent="0.2">
      <c r="A1397" s="62">
        <v>7830</v>
      </c>
      <c r="B1397" s="43" t="s">
        <v>4614</v>
      </c>
      <c r="C1397" s="44" t="s">
        <v>2437</v>
      </c>
      <c r="D1397" s="71">
        <v>525</v>
      </c>
    </row>
    <row r="1398" spans="1:4" ht="15.75" x14ac:dyDescent="0.2">
      <c r="A1398" s="62">
        <v>7831</v>
      </c>
      <c r="B1398" s="43" t="s">
        <v>4615</v>
      </c>
      <c r="C1398" s="44" t="s">
        <v>2437</v>
      </c>
      <c r="D1398" s="71">
        <v>900</v>
      </c>
    </row>
    <row r="1399" spans="1:4" ht="15.75" x14ac:dyDescent="0.2">
      <c r="A1399" s="62">
        <v>7832</v>
      </c>
      <c r="B1399" s="43" t="s">
        <v>4616</v>
      </c>
      <c r="C1399" s="44" t="s">
        <v>2437</v>
      </c>
      <c r="D1399" s="71">
        <v>460</v>
      </c>
    </row>
    <row r="1400" spans="1:4" ht="15.75" x14ac:dyDescent="0.2">
      <c r="A1400" s="62">
        <v>7833</v>
      </c>
      <c r="B1400" s="43" t="s">
        <v>4617</v>
      </c>
      <c r="C1400" s="44" t="s">
        <v>2437</v>
      </c>
      <c r="D1400" s="71">
        <v>475</v>
      </c>
    </row>
    <row r="1401" spans="1:4" ht="15.75" x14ac:dyDescent="0.2">
      <c r="A1401" s="62">
        <v>7834</v>
      </c>
      <c r="B1401" s="43" t="s">
        <v>4618</v>
      </c>
      <c r="C1401" s="44" t="s">
        <v>2437</v>
      </c>
      <c r="D1401" s="71">
        <v>700</v>
      </c>
    </row>
    <row r="1402" spans="1:4" ht="20.25" customHeight="1" x14ac:dyDescent="0.2">
      <c r="A1402" s="72">
        <v>7835</v>
      </c>
      <c r="B1402" s="73" t="s">
        <v>5662</v>
      </c>
      <c r="C1402" s="74" t="s">
        <v>2437</v>
      </c>
      <c r="D1402" s="75">
        <v>750</v>
      </c>
    </row>
    <row r="1403" spans="1:4" ht="15.75" x14ac:dyDescent="0.2">
      <c r="A1403" s="62">
        <v>7850</v>
      </c>
      <c r="B1403" s="43" t="s">
        <v>2968</v>
      </c>
      <c r="C1403" s="44" t="s">
        <v>4112</v>
      </c>
      <c r="D1403" s="71">
        <v>1325</v>
      </c>
    </row>
    <row r="1404" spans="1:4" ht="15.75" x14ac:dyDescent="0.2">
      <c r="A1404" s="62">
        <v>7857</v>
      </c>
      <c r="B1404" s="43" t="s">
        <v>2969</v>
      </c>
      <c r="C1404" s="44" t="s">
        <v>3748</v>
      </c>
      <c r="D1404" s="71">
        <v>150</v>
      </c>
    </row>
    <row r="1405" spans="1:4" ht="15.75" x14ac:dyDescent="0.2">
      <c r="A1405" s="62">
        <v>7858</v>
      </c>
      <c r="B1405" s="43" t="s">
        <v>2970</v>
      </c>
      <c r="C1405" s="44" t="s">
        <v>3748</v>
      </c>
      <c r="D1405" s="71">
        <v>155</v>
      </c>
    </row>
    <row r="1406" spans="1:4" ht="15.75" x14ac:dyDescent="0.2">
      <c r="A1406" s="62">
        <v>7859</v>
      </c>
      <c r="B1406" s="43" t="s">
        <v>2971</v>
      </c>
      <c r="C1406" s="44" t="s">
        <v>3748</v>
      </c>
      <c r="D1406" s="71">
        <v>200</v>
      </c>
    </row>
    <row r="1407" spans="1:4" ht="15.75" x14ac:dyDescent="0.2">
      <c r="A1407" s="62">
        <v>7861</v>
      </c>
      <c r="B1407" s="43" t="s">
        <v>2972</v>
      </c>
      <c r="C1407" s="44" t="s">
        <v>3748</v>
      </c>
      <c r="D1407" s="71">
        <v>275</v>
      </c>
    </row>
    <row r="1408" spans="1:4" ht="31.5" x14ac:dyDescent="0.2">
      <c r="A1408" s="62">
        <v>7862</v>
      </c>
      <c r="B1408" s="43" t="s">
        <v>2973</v>
      </c>
      <c r="C1408" s="44" t="s">
        <v>3748</v>
      </c>
      <c r="D1408" s="71">
        <v>67</v>
      </c>
    </row>
    <row r="1409" spans="1:4" ht="31.5" x14ac:dyDescent="0.2">
      <c r="A1409" s="62">
        <v>7863</v>
      </c>
      <c r="B1409" s="43" t="s">
        <v>2974</v>
      </c>
      <c r="C1409" s="44" t="s">
        <v>3748</v>
      </c>
      <c r="D1409" s="71">
        <v>84</v>
      </c>
    </row>
    <row r="1410" spans="1:4" ht="15.75" x14ac:dyDescent="0.2">
      <c r="A1410" s="62">
        <v>7864</v>
      </c>
      <c r="B1410" s="43" t="s">
        <v>2975</v>
      </c>
      <c r="C1410" s="44" t="s">
        <v>3748</v>
      </c>
      <c r="D1410" s="71">
        <v>42</v>
      </c>
    </row>
    <row r="1411" spans="1:4" ht="15.75" x14ac:dyDescent="0.2">
      <c r="A1411" s="62">
        <v>7865</v>
      </c>
      <c r="B1411" s="43" t="s">
        <v>2976</v>
      </c>
      <c r="C1411" s="44" t="s">
        <v>3748</v>
      </c>
      <c r="D1411" s="71">
        <v>51</v>
      </c>
    </row>
    <row r="1412" spans="1:4" ht="15.75" x14ac:dyDescent="0.2">
      <c r="A1412" s="62">
        <v>7866</v>
      </c>
      <c r="B1412" s="43" t="s">
        <v>2977</v>
      </c>
      <c r="C1412" s="44" t="s">
        <v>3748</v>
      </c>
      <c r="D1412" s="71">
        <v>75</v>
      </c>
    </row>
    <row r="1413" spans="1:4" ht="15.75" x14ac:dyDescent="0.2">
      <c r="A1413" s="72">
        <v>7896</v>
      </c>
      <c r="B1413" s="73" t="s">
        <v>6035</v>
      </c>
      <c r="C1413" s="74" t="s">
        <v>2437</v>
      </c>
      <c r="D1413" s="75">
        <v>350</v>
      </c>
    </row>
    <row r="1414" spans="1:4" ht="15.75" x14ac:dyDescent="0.2">
      <c r="A1414" s="62">
        <v>7900</v>
      </c>
      <c r="B1414" s="43" t="s">
        <v>17</v>
      </c>
      <c r="C1414" s="44" t="s">
        <v>3326</v>
      </c>
      <c r="D1414" s="71">
        <v>5200</v>
      </c>
    </row>
    <row r="1415" spans="1:4" ht="15.75" x14ac:dyDescent="0.2">
      <c r="A1415" s="62">
        <v>7901</v>
      </c>
      <c r="B1415" s="43" t="s">
        <v>4125</v>
      </c>
      <c r="C1415" s="44" t="s">
        <v>3326</v>
      </c>
      <c r="D1415" s="71">
        <v>5200</v>
      </c>
    </row>
    <row r="1416" spans="1:4" ht="15.75" x14ac:dyDescent="0.2">
      <c r="A1416" s="62">
        <v>7902</v>
      </c>
      <c r="B1416" s="43" t="s">
        <v>4133</v>
      </c>
      <c r="C1416" s="44" t="s">
        <v>3326</v>
      </c>
      <c r="D1416" s="71">
        <v>5200</v>
      </c>
    </row>
    <row r="1417" spans="1:4" ht="15.75" x14ac:dyDescent="0.2">
      <c r="A1417" s="62">
        <v>7903</v>
      </c>
      <c r="B1417" s="43" t="s">
        <v>4132</v>
      </c>
      <c r="C1417" s="44" t="s">
        <v>3326</v>
      </c>
      <c r="D1417" s="71">
        <v>5200</v>
      </c>
    </row>
    <row r="1418" spans="1:4" ht="15.75" x14ac:dyDescent="0.2">
      <c r="A1418" s="62">
        <v>7904</v>
      </c>
      <c r="B1418" s="43" t="s">
        <v>4130</v>
      </c>
      <c r="C1418" s="44" t="s">
        <v>3326</v>
      </c>
      <c r="D1418" s="71">
        <v>5000</v>
      </c>
    </row>
    <row r="1419" spans="1:4" ht="31.5" x14ac:dyDescent="0.2">
      <c r="A1419" s="62">
        <v>8001</v>
      </c>
      <c r="B1419" s="43" t="s">
        <v>2978</v>
      </c>
      <c r="C1419" s="44" t="s">
        <v>4112</v>
      </c>
      <c r="D1419" s="71">
        <v>1500</v>
      </c>
    </row>
    <row r="1420" spans="1:4" ht="31.5" x14ac:dyDescent="0.2">
      <c r="A1420" s="62">
        <v>8002</v>
      </c>
      <c r="B1420" s="43" t="s">
        <v>3690</v>
      </c>
      <c r="C1420" s="44" t="s">
        <v>4112</v>
      </c>
      <c r="D1420" s="71">
        <v>1560</v>
      </c>
    </row>
    <row r="1421" spans="1:4" ht="15.75" x14ac:dyDescent="0.2">
      <c r="A1421" s="62">
        <v>8003</v>
      </c>
      <c r="B1421" s="43" t="s">
        <v>5510</v>
      </c>
      <c r="C1421" s="44" t="s">
        <v>4112</v>
      </c>
      <c r="D1421" s="71">
        <v>1865</v>
      </c>
    </row>
    <row r="1422" spans="1:4" ht="27" customHeight="1" x14ac:dyDescent="0.2">
      <c r="A1422" s="62">
        <v>8004</v>
      </c>
      <c r="B1422" s="43" t="s">
        <v>5509</v>
      </c>
      <c r="C1422" s="44" t="s">
        <v>4112</v>
      </c>
      <c r="D1422" s="71">
        <v>2000</v>
      </c>
    </row>
    <row r="1423" spans="1:4" ht="15.75" x14ac:dyDescent="0.2">
      <c r="A1423" s="62">
        <v>8006</v>
      </c>
      <c r="B1423" s="43" t="s">
        <v>2979</v>
      </c>
      <c r="C1423" s="44" t="s">
        <v>4112</v>
      </c>
      <c r="D1423" s="71">
        <v>185</v>
      </c>
    </row>
    <row r="1424" spans="1:4" ht="15.75" x14ac:dyDescent="0.2">
      <c r="A1424" s="62">
        <v>8007</v>
      </c>
      <c r="B1424" s="43" t="s">
        <v>2980</v>
      </c>
      <c r="C1424" s="44" t="s">
        <v>4112</v>
      </c>
      <c r="D1424" s="71">
        <v>770</v>
      </c>
    </row>
    <row r="1425" spans="1:4" ht="15.75" x14ac:dyDescent="0.2">
      <c r="A1425" s="62">
        <v>8008</v>
      </c>
      <c r="B1425" s="43" t="s">
        <v>2981</v>
      </c>
      <c r="C1425" s="44" t="s">
        <v>4112</v>
      </c>
      <c r="D1425" s="71">
        <v>925</v>
      </c>
    </row>
    <row r="1426" spans="1:4" ht="31.5" x14ac:dyDescent="0.2">
      <c r="A1426" s="62">
        <v>8010</v>
      </c>
      <c r="B1426" s="43" t="s">
        <v>2982</v>
      </c>
      <c r="C1426" s="44" t="s">
        <v>3753</v>
      </c>
      <c r="D1426" s="71">
        <v>190</v>
      </c>
    </row>
    <row r="1427" spans="1:4" ht="15.75" x14ac:dyDescent="0.2">
      <c r="A1427" s="62">
        <v>8011</v>
      </c>
      <c r="B1427" s="43" t="s">
        <v>3691</v>
      </c>
      <c r="C1427" s="44" t="s">
        <v>3753</v>
      </c>
      <c r="D1427" s="71">
        <v>230</v>
      </c>
    </row>
    <row r="1428" spans="1:4" ht="15.75" x14ac:dyDescent="0.2">
      <c r="A1428" s="62">
        <v>8012</v>
      </c>
      <c r="B1428" s="43" t="s">
        <v>2983</v>
      </c>
      <c r="C1428" s="44" t="s">
        <v>4111</v>
      </c>
      <c r="D1428" s="71">
        <v>130</v>
      </c>
    </row>
    <row r="1429" spans="1:4" ht="15.75" x14ac:dyDescent="0.2">
      <c r="A1429" s="62">
        <v>8100</v>
      </c>
      <c r="B1429" s="43" t="s">
        <v>3692</v>
      </c>
      <c r="C1429" s="44" t="s">
        <v>4204</v>
      </c>
      <c r="D1429" s="71">
        <v>95</v>
      </c>
    </row>
    <row r="1430" spans="1:4" ht="15.75" x14ac:dyDescent="0.2">
      <c r="A1430" s="62">
        <v>8200</v>
      </c>
      <c r="B1430" s="43" t="s">
        <v>2984</v>
      </c>
      <c r="C1430" s="44" t="s">
        <v>4112</v>
      </c>
      <c r="D1430" s="71">
        <v>110</v>
      </c>
    </row>
    <row r="1431" spans="1:4" ht="15.75" x14ac:dyDescent="0.2">
      <c r="A1431" s="62">
        <v>8201</v>
      </c>
      <c r="B1431" s="43" t="s">
        <v>2985</v>
      </c>
      <c r="C1431" s="44" t="s">
        <v>4112</v>
      </c>
      <c r="D1431" s="71">
        <v>150</v>
      </c>
    </row>
    <row r="1432" spans="1:4" ht="15.75" x14ac:dyDescent="0.2">
      <c r="A1432" s="62">
        <v>8203</v>
      </c>
      <c r="B1432" s="43" t="s">
        <v>2986</v>
      </c>
      <c r="C1432" s="44" t="s">
        <v>4112</v>
      </c>
      <c r="D1432" s="71">
        <v>250</v>
      </c>
    </row>
    <row r="1433" spans="1:4" ht="15.75" x14ac:dyDescent="0.2">
      <c r="A1433" s="62">
        <v>8204</v>
      </c>
      <c r="B1433" s="43" t="s">
        <v>2987</v>
      </c>
      <c r="C1433" s="44" t="s">
        <v>4112</v>
      </c>
      <c r="D1433" s="71">
        <v>175</v>
      </c>
    </row>
    <row r="1434" spans="1:4" ht="15.75" x14ac:dyDescent="0.2">
      <c r="A1434" s="62">
        <v>8205</v>
      </c>
      <c r="B1434" s="43" t="s">
        <v>2988</v>
      </c>
      <c r="C1434" s="44" t="s">
        <v>4112</v>
      </c>
      <c r="D1434" s="71">
        <v>225</v>
      </c>
    </row>
    <row r="1435" spans="1:4" ht="15.75" x14ac:dyDescent="0.2">
      <c r="A1435" s="62">
        <v>8206</v>
      </c>
      <c r="B1435" s="43" t="s">
        <v>2989</v>
      </c>
      <c r="C1435" s="44" t="s">
        <v>3740</v>
      </c>
      <c r="D1435" s="71">
        <v>110</v>
      </c>
    </row>
    <row r="1436" spans="1:4" ht="15.75" x14ac:dyDescent="0.2">
      <c r="A1436" s="62">
        <v>8207</v>
      </c>
      <c r="B1436" s="43" t="s">
        <v>2990</v>
      </c>
      <c r="C1436" s="44" t="s">
        <v>4112</v>
      </c>
      <c r="D1436" s="71">
        <v>40</v>
      </c>
    </row>
    <row r="1437" spans="1:4" ht="15.75" x14ac:dyDescent="0.2">
      <c r="A1437" s="62">
        <v>8210</v>
      </c>
      <c r="B1437" s="43" t="s">
        <v>4208</v>
      </c>
      <c r="C1437" s="44" t="s">
        <v>3783</v>
      </c>
      <c r="D1437" s="71">
        <v>305</v>
      </c>
    </row>
    <row r="1438" spans="1:4" ht="15.75" x14ac:dyDescent="0.2">
      <c r="A1438" s="62">
        <v>8211</v>
      </c>
      <c r="B1438" s="43" t="s">
        <v>4187</v>
      </c>
      <c r="C1438" s="44" t="s">
        <v>3783</v>
      </c>
      <c r="D1438" s="71">
        <v>250</v>
      </c>
    </row>
    <row r="1439" spans="1:4" ht="15.75" x14ac:dyDescent="0.2">
      <c r="A1439" s="62">
        <v>8212</v>
      </c>
      <c r="B1439" s="43" t="s">
        <v>4209</v>
      </c>
      <c r="C1439" s="44" t="s">
        <v>3783</v>
      </c>
      <c r="D1439" s="71">
        <v>150</v>
      </c>
    </row>
    <row r="1440" spans="1:4" ht="15.75" x14ac:dyDescent="0.2">
      <c r="A1440" s="62">
        <v>8214</v>
      </c>
      <c r="B1440" s="43" t="s">
        <v>4188</v>
      </c>
      <c r="C1440" s="44" t="s">
        <v>3783</v>
      </c>
      <c r="D1440" s="71">
        <v>100</v>
      </c>
    </row>
    <row r="1441" spans="1:4" ht="15.75" x14ac:dyDescent="0.2">
      <c r="A1441" s="62">
        <v>8215</v>
      </c>
      <c r="B1441" s="43" t="s">
        <v>2991</v>
      </c>
      <c r="C1441" s="44" t="s">
        <v>4204</v>
      </c>
      <c r="D1441" s="71">
        <v>315</v>
      </c>
    </row>
    <row r="1442" spans="1:4" ht="15.75" x14ac:dyDescent="0.2">
      <c r="A1442" s="62">
        <v>8216</v>
      </c>
      <c r="B1442" s="43" t="s">
        <v>2992</v>
      </c>
      <c r="C1442" s="44" t="s">
        <v>4204</v>
      </c>
      <c r="D1442" s="71">
        <v>210</v>
      </c>
    </row>
    <row r="1443" spans="1:4" ht="15.75" x14ac:dyDescent="0.2">
      <c r="A1443" s="62">
        <v>8217</v>
      </c>
      <c r="B1443" s="43" t="s">
        <v>2993</v>
      </c>
      <c r="C1443" s="44" t="s">
        <v>4204</v>
      </c>
      <c r="D1443" s="71">
        <v>175</v>
      </c>
    </row>
    <row r="1444" spans="1:4" ht="15.75" x14ac:dyDescent="0.2">
      <c r="A1444" s="62">
        <v>8218</v>
      </c>
      <c r="B1444" s="43" t="s">
        <v>4190</v>
      </c>
      <c r="C1444" s="44" t="s">
        <v>4204</v>
      </c>
      <c r="D1444" s="71">
        <v>150</v>
      </c>
    </row>
    <row r="1445" spans="1:4" ht="31.5" x14ac:dyDescent="0.2">
      <c r="A1445" s="62">
        <v>8219</v>
      </c>
      <c r="B1445" s="43" t="s">
        <v>2994</v>
      </c>
      <c r="C1445" s="44" t="s">
        <v>4204</v>
      </c>
      <c r="D1445" s="71">
        <v>485</v>
      </c>
    </row>
    <row r="1446" spans="1:4" ht="31.5" x14ac:dyDescent="0.2">
      <c r="A1446" s="62">
        <v>8220</v>
      </c>
      <c r="B1446" s="43" t="s">
        <v>4189</v>
      </c>
      <c r="C1446" s="44" t="s">
        <v>4204</v>
      </c>
      <c r="D1446" s="71">
        <v>430</v>
      </c>
    </row>
    <row r="1447" spans="1:4" ht="15.75" x14ac:dyDescent="0.2">
      <c r="A1447" s="62">
        <v>8221</v>
      </c>
      <c r="B1447" s="43" t="s">
        <v>4193</v>
      </c>
      <c r="C1447" s="44" t="s">
        <v>4204</v>
      </c>
      <c r="D1447" s="71">
        <v>370</v>
      </c>
    </row>
    <row r="1448" spans="1:4" ht="15.75" x14ac:dyDescent="0.2">
      <c r="A1448" s="62">
        <v>8222</v>
      </c>
      <c r="B1448" s="43" t="s">
        <v>4203</v>
      </c>
      <c r="C1448" s="44" t="s">
        <v>2995</v>
      </c>
      <c r="D1448" s="71">
        <v>330</v>
      </c>
    </row>
    <row r="1449" spans="1:4" ht="15.75" x14ac:dyDescent="0.2">
      <c r="A1449" s="62">
        <v>8223</v>
      </c>
      <c r="B1449" s="43" t="s">
        <v>4205</v>
      </c>
      <c r="C1449" s="44" t="s">
        <v>2996</v>
      </c>
      <c r="D1449" s="71">
        <v>170</v>
      </c>
    </row>
    <row r="1450" spans="1:4" ht="15.75" x14ac:dyDescent="0.2">
      <c r="A1450" s="62">
        <v>8224</v>
      </c>
      <c r="B1450" s="43" t="s">
        <v>4206</v>
      </c>
      <c r="C1450" s="44" t="s">
        <v>2995</v>
      </c>
      <c r="D1450" s="71">
        <v>98</v>
      </c>
    </row>
    <row r="1451" spans="1:4" ht="15.75" x14ac:dyDescent="0.2">
      <c r="A1451" s="62">
        <v>8225</v>
      </c>
      <c r="B1451" s="43" t="s">
        <v>4207</v>
      </c>
      <c r="C1451" s="44" t="s">
        <v>2995</v>
      </c>
      <c r="D1451" s="71">
        <v>81</v>
      </c>
    </row>
    <row r="1452" spans="1:4" ht="15.75" x14ac:dyDescent="0.2">
      <c r="A1452" s="62">
        <v>8300</v>
      </c>
      <c r="B1452" s="43" t="s">
        <v>2997</v>
      </c>
      <c r="C1452" s="44" t="s">
        <v>3756</v>
      </c>
      <c r="D1452" s="71">
        <v>90</v>
      </c>
    </row>
    <row r="1453" spans="1:4" ht="15.75" x14ac:dyDescent="0.2">
      <c r="A1453" s="62">
        <v>8301</v>
      </c>
      <c r="B1453" s="43" t="s">
        <v>2998</v>
      </c>
      <c r="C1453" s="44" t="s">
        <v>3756</v>
      </c>
      <c r="D1453" s="71">
        <v>100</v>
      </c>
    </row>
    <row r="1454" spans="1:4" ht="15.75" x14ac:dyDescent="0.2">
      <c r="A1454" s="62">
        <v>8302</v>
      </c>
      <c r="B1454" s="43" t="s">
        <v>2999</v>
      </c>
      <c r="C1454" s="44" t="s">
        <v>3756</v>
      </c>
      <c r="D1454" s="71">
        <v>130</v>
      </c>
    </row>
    <row r="1455" spans="1:4" ht="15.75" x14ac:dyDescent="0.2">
      <c r="A1455" s="62">
        <v>8303</v>
      </c>
      <c r="B1455" s="43" t="s">
        <v>3000</v>
      </c>
      <c r="C1455" s="44" t="s">
        <v>3756</v>
      </c>
      <c r="D1455" s="71">
        <v>190</v>
      </c>
    </row>
    <row r="1456" spans="1:4" ht="15.75" x14ac:dyDescent="0.2">
      <c r="A1456" s="62">
        <v>8304</v>
      </c>
      <c r="B1456" s="43" t="s">
        <v>3001</v>
      </c>
      <c r="C1456" s="44" t="s">
        <v>3756</v>
      </c>
      <c r="D1456" s="71">
        <v>240</v>
      </c>
    </row>
    <row r="1457" spans="1:4" ht="15.75" x14ac:dyDescent="0.2">
      <c r="A1457" s="62">
        <v>8305</v>
      </c>
      <c r="B1457" s="43" t="s">
        <v>3002</v>
      </c>
      <c r="C1457" s="44" t="s">
        <v>3756</v>
      </c>
      <c r="D1457" s="71">
        <v>350</v>
      </c>
    </row>
    <row r="1458" spans="1:4" ht="15.75" x14ac:dyDescent="0.2">
      <c r="A1458" s="62">
        <v>8501</v>
      </c>
      <c r="B1458" s="43" t="s">
        <v>3003</v>
      </c>
      <c r="C1458" s="44" t="s">
        <v>3747</v>
      </c>
      <c r="D1458" s="71">
        <v>290</v>
      </c>
    </row>
    <row r="1459" spans="1:4" ht="15.75" x14ac:dyDescent="0.2">
      <c r="A1459" s="62">
        <v>8502</v>
      </c>
      <c r="B1459" s="43" t="s">
        <v>3004</v>
      </c>
      <c r="C1459" s="44" t="s">
        <v>4112</v>
      </c>
      <c r="D1459" s="71">
        <v>50</v>
      </c>
    </row>
    <row r="1460" spans="1:4" ht="15.75" x14ac:dyDescent="0.2">
      <c r="A1460" s="62">
        <v>8504</v>
      </c>
      <c r="B1460" s="43" t="s">
        <v>3005</v>
      </c>
      <c r="C1460" s="44" t="s">
        <v>3740</v>
      </c>
      <c r="D1460" s="71">
        <v>460</v>
      </c>
    </row>
    <row r="1461" spans="1:4" ht="15.75" x14ac:dyDescent="0.2">
      <c r="A1461" s="62">
        <v>8505</v>
      </c>
      <c r="B1461" s="43" t="s">
        <v>3006</v>
      </c>
      <c r="C1461" s="44" t="s">
        <v>3740</v>
      </c>
      <c r="D1461" s="71">
        <v>450</v>
      </c>
    </row>
    <row r="1462" spans="1:4" ht="15.75" x14ac:dyDescent="0.2">
      <c r="A1462" s="62">
        <v>8506</v>
      </c>
      <c r="B1462" s="43" t="s">
        <v>3007</v>
      </c>
      <c r="C1462" s="44" t="s">
        <v>3740</v>
      </c>
      <c r="D1462" s="71">
        <v>250</v>
      </c>
    </row>
    <row r="1463" spans="1:4" ht="15.75" x14ac:dyDescent="0.2">
      <c r="A1463" s="62">
        <v>8507</v>
      </c>
      <c r="B1463" s="43" t="s">
        <v>3008</v>
      </c>
      <c r="C1463" s="44" t="s">
        <v>3740</v>
      </c>
      <c r="D1463" s="71">
        <v>350</v>
      </c>
    </row>
    <row r="1464" spans="1:4" ht="15.75" x14ac:dyDescent="0.2">
      <c r="A1464" s="62">
        <v>8508</v>
      </c>
      <c r="B1464" s="43" t="s">
        <v>3009</v>
      </c>
      <c r="C1464" s="44" t="s">
        <v>3740</v>
      </c>
      <c r="D1464" s="71">
        <v>158</v>
      </c>
    </row>
    <row r="1465" spans="1:4" ht="15.75" x14ac:dyDescent="0.2">
      <c r="A1465" s="62">
        <v>8509</v>
      </c>
      <c r="B1465" s="43" t="s">
        <v>3010</v>
      </c>
      <c r="C1465" s="44" t="s">
        <v>3740</v>
      </c>
      <c r="D1465" s="71">
        <v>190</v>
      </c>
    </row>
    <row r="1466" spans="1:4" ht="15.75" x14ac:dyDescent="0.2">
      <c r="A1466" s="62">
        <v>8510</v>
      </c>
      <c r="B1466" s="43" t="s">
        <v>3011</v>
      </c>
      <c r="C1466" s="44" t="s">
        <v>3740</v>
      </c>
      <c r="D1466" s="71">
        <v>130</v>
      </c>
    </row>
    <row r="1467" spans="1:4" ht="15.75" x14ac:dyDescent="0.2">
      <c r="A1467" s="62">
        <v>8520</v>
      </c>
      <c r="B1467" s="56" t="s">
        <v>4337</v>
      </c>
      <c r="C1467" s="64" t="s">
        <v>3751</v>
      </c>
      <c r="D1467" s="71">
        <v>110</v>
      </c>
    </row>
    <row r="1468" spans="1:4" ht="31.5" x14ac:dyDescent="0.2">
      <c r="A1468" s="62">
        <v>8521</v>
      </c>
      <c r="B1468" s="56" t="s">
        <v>6017</v>
      </c>
      <c r="C1468" s="64" t="s">
        <v>4112</v>
      </c>
      <c r="D1468" s="71">
        <v>578</v>
      </c>
    </row>
    <row r="1469" spans="1:4" ht="31.5" x14ac:dyDescent="0.2">
      <c r="A1469" s="62">
        <v>8522</v>
      </c>
      <c r="B1469" s="56" t="s">
        <v>6018</v>
      </c>
      <c r="C1469" s="64" t="s">
        <v>4112</v>
      </c>
      <c r="D1469" s="71">
        <v>551</v>
      </c>
    </row>
    <row r="1470" spans="1:4" ht="31.5" x14ac:dyDescent="0.2">
      <c r="A1470" s="62">
        <v>8523</v>
      </c>
      <c r="B1470" s="56" t="s">
        <v>6019</v>
      </c>
      <c r="C1470" s="64" t="s">
        <v>4112</v>
      </c>
      <c r="D1470" s="71">
        <v>525</v>
      </c>
    </row>
    <row r="1471" spans="1:4" ht="31.5" x14ac:dyDescent="0.2">
      <c r="A1471" s="62">
        <v>8524</v>
      </c>
      <c r="B1471" s="56" t="s">
        <v>6020</v>
      </c>
      <c r="C1471" s="64" t="s">
        <v>4112</v>
      </c>
      <c r="D1471" s="71">
        <v>709</v>
      </c>
    </row>
    <row r="1472" spans="1:4" ht="31.5" x14ac:dyDescent="0.2">
      <c r="A1472" s="62">
        <v>8525</v>
      </c>
      <c r="B1472" s="56" t="s">
        <v>6021</v>
      </c>
      <c r="C1472" s="64" t="s">
        <v>4112</v>
      </c>
      <c r="D1472" s="71">
        <v>683</v>
      </c>
    </row>
    <row r="1473" spans="1:4" ht="31.5" x14ac:dyDescent="0.2">
      <c r="A1473" s="62">
        <v>8526</v>
      </c>
      <c r="B1473" s="56" t="s">
        <v>6022</v>
      </c>
      <c r="C1473" s="64" t="s">
        <v>4112</v>
      </c>
      <c r="D1473" s="71">
        <v>609</v>
      </c>
    </row>
    <row r="1474" spans="1:4" ht="31.5" x14ac:dyDescent="0.2">
      <c r="A1474" s="62">
        <v>8527</v>
      </c>
      <c r="B1474" s="56" t="s">
        <v>6023</v>
      </c>
      <c r="C1474" s="64" t="s">
        <v>4112</v>
      </c>
      <c r="D1474" s="71">
        <v>824</v>
      </c>
    </row>
    <row r="1475" spans="1:4" ht="31.5" x14ac:dyDescent="0.2">
      <c r="A1475" s="62">
        <v>8528</v>
      </c>
      <c r="B1475" s="56" t="s">
        <v>6024</v>
      </c>
      <c r="C1475" s="64" t="s">
        <v>4112</v>
      </c>
      <c r="D1475" s="71">
        <v>798</v>
      </c>
    </row>
    <row r="1476" spans="1:4" ht="31.5" x14ac:dyDescent="0.2">
      <c r="A1476" s="62">
        <v>8529</v>
      </c>
      <c r="B1476" s="56" t="s">
        <v>6025</v>
      </c>
      <c r="C1476" s="64" t="s">
        <v>4112</v>
      </c>
      <c r="D1476" s="71">
        <v>746</v>
      </c>
    </row>
    <row r="1477" spans="1:4" ht="31.5" x14ac:dyDescent="0.2">
      <c r="A1477" s="62">
        <v>8530</v>
      </c>
      <c r="B1477" s="56" t="s">
        <v>6026</v>
      </c>
      <c r="C1477" s="64" t="s">
        <v>4112</v>
      </c>
      <c r="D1477" s="71">
        <v>1024</v>
      </c>
    </row>
    <row r="1478" spans="1:4" ht="31.5" x14ac:dyDescent="0.2">
      <c r="A1478" s="62">
        <v>8531</v>
      </c>
      <c r="B1478" s="56" t="s">
        <v>6027</v>
      </c>
      <c r="C1478" s="64" t="s">
        <v>4112</v>
      </c>
      <c r="D1478" s="71">
        <v>998</v>
      </c>
    </row>
    <row r="1479" spans="1:4" ht="31.5" x14ac:dyDescent="0.2">
      <c r="A1479" s="62">
        <v>8532</v>
      </c>
      <c r="B1479" s="56" t="s">
        <v>6028</v>
      </c>
      <c r="C1479" s="64" t="s">
        <v>4112</v>
      </c>
      <c r="D1479" s="71">
        <v>945</v>
      </c>
    </row>
    <row r="1480" spans="1:4" ht="31.5" x14ac:dyDescent="0.2">
      <c r="A1480" s="62">
        <v>8533</v>
      </c>
      <c r="B1480" s="56" t="s">
        <v>6029</v>
      </c>
      <c r="C1480" s="64" t="s">
        <v>4112</v>
      </c>
      <c r="D1480" s="71">
        <v>1213</v>
      </c>
    </row>
    <row r="1481" spans="1:4" ht="31.5" x14ac:dyDescent="0.2">
      <c r="A1481" s="62">
        <v>8534</v>
      </c>
      <c r="B1481" s="56" t="s">
        <v>6030</v>
      </c>
      <c r="C1481" s="64" t="s">
        <v>4112</v>
      </c>
      <c r="D1481" s="71">
        <v>1187</v>
      </c>
    </row>
    <row r="1482" spans="1:4" ht="31.5" x14ac:dyDescent="0.2">
      <c r="A1482" s="62">
        <v>8535</v>
      </c>
      <c r="B1482" s="56" t="s">
        <v>6031</v>
      </c>
      <c r="C1482" s="64" t="s">
        <v>4112</v>
      </c>
      <c r="D1482" s="71">
        <v>1134</v>
      </c>
    </row>
    <row r="1483" spans="1:4" ht="15.75" x14ac:dyDescent="0.2">
      <c r="A1483" s="62">
        <v>8536</v>
      </c>
      <c r="B1483" s="43" t="s">
        <v>4460</v>
      </c>
      <c r="C1483" s="64" t="s">
        <v>4112</v>
      </c>
      <c r="D1483" s="71">
        <v>788</v>
      </c>
    </row>
    <row r="1484" spans="1:4" ht="15.75" x14ac:dyDescent="0.2">
      <c r="A1484" s="62">
        <v>8537</v>
      </c>
      <c r="B1484" s="43" t="s">
        <v>4461</v>
      </c>
      <c r="C1484" s="64" t="s">
        <v>4112</v>
      </c>
      <c r="D1484" s="71">
        <v>683</v>
      </c>
    </row>
    <row r="1485" spans="1:4" ht="34.5" customHeight="1" x14ac:dyDescent="0.2">
      <c r="A1485" s="72">
        <v>8561</v>
      </c>
      <c r="B1485" s="73" t="s">
        <v>6036</v>
      </c>
      <c r="C1485" s="78" t="s">
        <v>4112</v>
      </c>
      <c r="D1485" s="75">
        <v>570</v>
      </c>
    </row>
    <row r="1486" spans="1:4" ht="15.75" x14ac:dyDescent="0.2">
      <c r="A1486" s="51">
        <v>8589</v>
      </c>
      <c r="B1486" s="47" t="s">
        <v>4316</v>
      </c>
      <c r="C1486" s="51" t="s">
        <v>2437</v>
      </c>
      <c r="D1486" s="71">
        <v>901</v>
      </c>
    </row>
    <row r="1487" spans="1:4" ht="15.75" x14ac:dyDescent="0.2">
      <c r="A1487" s="51">
        <v>8590</v>
      </c>
      <c r="B1487" s="47" t="s">
        <v>4317</v>
      </c>
      <c r="C1487" s="51" t="s">
        <v>4217</v>
      </c>
      <c r="D1487" s="71">
        <v>140</v>
      </c>
    </row>
    <row r="1488" spans="1:4" ht="15.75" x14ac:dyDescent="0.2">
      <c r="A1488" s="51">
        <v>8591</v>
      </c>
      <c r="B1488" s="47" t="s">
        <v>4318</v>
      </c>
      <c r="C1488" s="51" t="s">
        <v>4217</v>
      </c>
      <c r="D1488" s="71">
        <v>140</v>
      </c>
    </row>
    <row r="1489" spans="1:4" ht="15.75" x14ac:dyDescent="0.2">
      <c r="A1489" s="51">
        <v>8592</v>
      </c>
      <c r="B1489" s="47" t="s">
        <v>4319</v>
      </c>
      <c r="C1489" s="51" t="s">
        <v>3748</v>
      </c>
      <c r="D1489" s="71">
        <v>140</v>
      </c>
    </row>
    <row r="1490" spans="1:4" ht="15.75" x14ac:dyDescent="0.2">
      <c r="A1490" s="51">
        <v>8593</v>
      </c>
      <c r="B1490" s="47" t="s">
        <v>4319</v>
      </c>
      <c r="C1490" s="51" t="s">
        <v>3748</v>
      </c>
      <c r="D1490" s="71">
        <v>140</v>
      </c>
    </row>
    <row r="1491" spans="1:4" ht="15.75" x14ac:dyDescent="0.2">
      <c r="A1491" s="51">
        <v>8595</v>
      </c>
      <c r="B1491" s="47" t="s">
        <v>4320</v>
      </c>
      <c r="C1491" s="51" t="s">
        <v>3748</v>
      </c>
      <c r="D1491" s="71">
        <v>140</v>
      </c>
    </row>
    <row r="1492" spans="1:4" ht="15.75" x14ac:dyDescent="0.2">
      <c r="A1492" s="51">
        <v>8596</v>
      </c>
      <c r="B1492" s="47" t="s">
        <v>4829</v>
      </c>
      <c r="C1492" s="51" t="s">
        <v>3748</v>
      </c>
      <c r="D1492" s="71">
        <v>44</v>
      </c>
    </row>
    <row r="1493" spans="1:4" ht="15.75" x14ac:dyDescent="0.2">
      <c r="A1493" s="62">
        <v>8611</v>
      </c>
      <c r="B1493" s="43" t="s">
        <v>3012</v>
      </c>
      <c r="C1493" s="44" t="s">
        <v>3748</v>
      </c>
      <c r="D1493" s="71">
        <v>230</v>
      </c>
    </row>
    <row r="1494" spans="1:4" ht="15.75" x14ac:dyDescent="0.2">
      <c r="A1494" s="62">
        <v>8612</v>
      </c>
      <c r="B1494" s="43" t="s">
        <v>3013</v>
      </c>
      <c r="C1494" s="44" t="s">
        <v>3748</v>
      </c>
      <c r="D1494" s="71">
        <v>145</v>
      </c>
    </row>
    <row r="1495" spans="1:4" ht="15.75" x14ac:dyDescent="0.2">
      <c r="A1495" s="62">
        <v>8613</v>
      </c>
      <c r="B1495" s="43" t="s">
        <v>3014</v>
      </c>
      <c r="C1495" s="44" t="s">
        <v>3748</v>
      </c>
      <c r="D1495" s="71">
        <v>87</v>
      </c>
    </row>
    <row r="1496" spans="1:4" ht="15.75" x14ac:dyDescent="0.2">
      <c r="A1496" s="62">
        <v>8614</v>
      </c>
      <c r="B1496" s="43" t="s">
        <v>3015</v>
      </c>
      <c r="C1496" s="44" t="s">
        <v>3748</v>
      </c>
      <c r="D1496" s="71">
        <v>41</v>
      </c>
    </row>
    <row r="1497" spans="1:4" ht="15.75" x14ac:dyDescent="0.2">
      <c r="A1497" s="62">
        <v>8615</v>
      </c>
      <c r="B1497" s="43" t="s">
        <v>3016</v>
      </c>
      <c r="C1497" s="44" t="s">
        <v>3748</v>
      </c>
      <c r="D1497" s="71">
        <v>12</v>
      </c>
    </row>
    <row r="1498" spans="1:4" ht="15.75" x14ac:dyDescent="0.2">
      <c r="A1498" s="62">
        <v>8616</v>
      </c>
      <c r="B1498" s="43" t="s">
        <v>3017</v>
      </c>
      <c r="C1498" s="44" t="s">
        <v>3748</v>
      </c>
      <c r="D1498" s="71">
        <v>6</v>
      </c>
    </row>
    <row r="1499" spans="1:4" ht="15.75" x14ac:dyDescent="0.2">
      <c r="A1499" s="62">
        <v>8617</v>
      </c>
      <c r="B1499" s="43" t="s">
        <v>3433</v>
      </c>
      <c r="C1499" s="44" t="s">
        <v>3748</v>
      </c>
      <c r="D1499" s="71">
        <v>3</v>
      </c>
    </row>
    <row r="1500" spans="1:4" ht="15.75" x14ac:dyDescent="0.2">
      <c r="A1500" s="62">
        <v>8618</v>
      </c>
      <c r="B1500" s="43" t="s">
        <v>3018</v>
      </c>
      <c r="C1500" s="44" t="s">
        <v>3748</v>
      </c>
      <c r="D1500" s="71">
        <v>12</v>
      </c>
    </row>
    <row r="1501" spans="1:4" ht="15.75" x14ac:dyDescent="0.2">
      <c r="A1501" s="62">
        <v>8619</v>
      </c>
      <c r="B1501" s="43" t="s">
        <v>4903</v>
      </c>
      <c r="C1501" s="44" t="s">
        <v>3748</v>
      </c>
      <c r="D1501" s="71">
        <v>17</v>
      </c>
    </row>
    <row r="1502" spans="1:4" ht="15.75" x14ac:dyDescent="0.2">
      <c r="A1502" s="62">
        <v>8620</v>
      </c>
      <c r="B1502" s="43" t="s">
        <v>3019</v>
      </c>
      <c r="C1502" s="44" t="s">
        <v>4112</v>
      </c>
      <c r="D1502" s="71">
        <v>463</v>
      </c>
    </row>
    <row r="1503" spans="1:4" ht="15.75" x14ac:dyDescent="0.2">
      <c r="A1503" s="62">
        <v>8621</v>
      </c>
      <c r="B1503" s="43" t="s">
        <v>3020</v>
      </c>
      <c r="C1503" s="44" t="s">
        <v>4112</v>
      </c>
      <c r="D1503" s="71">
        <v>566</v>
      </c>
    </row>
    <row r="1504" spans="1:4" ht="15.75" x14ac:dyDescent="0.2">
      <c r="A1504" s="62">
        <v>8622</v>
      </c>
      <c r="B1504" s="43" t="s">
        <v>3021</v>
      </c>
      <c r="C1504" s="44" t="s">
        <v>4112</v>
      </c>
      <c r="D1504" s="71">
        <v>766</v>
      </c>
    </row>
    <row r="1505" spans="1:4" ht="15.75" x14ac:dyDescent="0.2">
      <c r="A1505" s="62">
        <v>8623</v>
      </c>
      <c r="B1505" s="43" t="s">
        <v>3022</v>
      </c>
      <c r="C1505" s="44" t="s">
        <v>4112</v>
      </c>
      <c r="D1505" s="71">
        <v>809</v>
      </c>
    </row>
    <row r="1506" spans="1:4" ht="31.5" x14ac:dyDescent="0.2">
      <c r="A1506" s="62">
        <v>8625</v>
      </c>
      <c r="B1506" s="43" t="s">
        <v>3023</v>
      </c>
      <c r="C1506" s="44" t="s">
        <v>3753</v>
      </c>
      <c r="D1506" s="71">
        <v>52</v>
      </c>
    </row>
    <row r="1507" spans="1:4" ht="31.5" x14ac:dyDescent="0.2">
      <c r="A1507" s="62">
        <v>8626</v>
      </c>
      <c r="B1507" s="43" t="s">
        <v>4909</v>
      </c>
      <c r="C1507" s="44" t="s">
        <v>3753</v>
      </c>
      <c r="D1507" s="71">
        <v>69</v>
      </c>
    </row>
    <row r="1508" spans="1:4" ht="31.5" x14ac:dyDescent="0.2">
      <c r="A1508" s="62">
        <v>8627</v>
      </c>
      <c r="B1508" s="43" t="s">
        <v>4908</v>
      </c>
      <c r="C1508" s="44" t="s">
        <v>3753</v>
      </c>
      <c r="D1508" s="71">
        <v>116</v>
      </c>
    </row>
    <row r="1509" spans="1:4" ht="31.5" x14ac:dyDescent="0.2">
      <c r="A1509" s="62">
        <v>8628</v>
      </c>
      <c r="B1509" s="43" t="s">
        <v>4910</v>
      </c>
      <c r="C1509" s="44" t="s">
        <v>3753</v>
      </c>
      <c r="D1509" s="71">
        <v>185</v>
      </c>
    </row>
    <row r="1510" spans="1:4" ht="31.5" x14ac:dyDescent="0.2">
      <c r="A1510" s="62">
        <v>8629</v>
      </c>
      <c r="B1510" s="43" t="s">
        <v>2371</v>
      </c>
      <c r="C1510" s="44" t="s">
        <v>3753</v>
      </c>
      <c r="D1510" s="71">
        <v>280</v>
      </c>
    </row>
    <row r="1511" spans="1:4" ht="31.5" x14ac:dyDescent="0.2">
      <c r="A1511" s="62">
        <v>8630</v>
      </c>
      <c r="B1511" s="43" t="s">
        <v>2372</v>
      </c>
      <c r="C1511" s="44" t="s">
        <v>3753</v>
      </c>
      <c r="D1511" s="71">
        <v>430</v>
      </c>
    </row>
    <row r="1512" spans="1:4" ht="31.5" x14ac:dyDescent="0.2">
      <c r="A1512" s="62">
        <v>8631</v>
      </c>
      <c r="B1512" s="43" t="s">
        <v>2373</v>
      </c>
      <c r="C1512" s="44" t="s">
        <v>3753</v>
      </c>
      <c r="D1512" s="71">
        <v>650</v>
      </c>
    </row>
    <row r="1513" spans="1:4" ht="31.5" x14ac:dyDescent="0.2">
      <c r="A1513" s="62">
        <v>8632</v>
      </c>
      <c r="B1513" s="43" t="s">
        <v>2374</v>
      </c>
      <c r="C1513" s="44" t="s">
        <v>3753</v>
      </c>
      <c r="D1513" s="71">
        <v>805</v>
      </c>
    </row>
    <row r="1514" spans="1:4" ht="31.5" x14ac:dyDescent="0.2">
      <c r="A1514" s="62">
        <v>8633</v>
      </c>
      <c r="B1514" s="43" t="s">
        <v>2375</v>
      </c>
      <c r="C1514" s="44" t="s">
        <v>3753</v>
      </c>
      <c r="D1514" s="71">
        <v>1285</v>
      </c>
    </row>
    <row r="1515" spans="1:4" ht="31.5" x14ac:dyDescent="0.2">
      <c r="A1515" s="62">
        <v>8634</v>
      </c>
      <c r="B1515" s="43" t="s">
        <v>2376</v>
      </c>
      <c r="C1515" s="44" t="s">
        <v>3753</v>
      </c>
      <c r="D1515" s="71">
        <v>1345</v>
      </c>
    </row>
    <row r="1516" spans="1:4" ht="31.5" x14ac:dyDescent="0.2">
      <c r="A1516" s="62">
        <v>8635</v>
      </c>
      <c r="B1516" s="43" t="s">
        <v>2377</v>
      </c>
      <c r="C1516" s="44" t="s">
        <v>3753</v>
      </c>
      <c r="D1516" s="71">
        <v>2835</v>
      </c>
    </row>
    <row r="1517" spans="1:4" ht="15.75" x14ac:dyDescent="0.2">
      <c r="A1517" s="62">
        <v>8636</v>
      </c>
      <c r="B1517" s="43" t="s">
        <v>2378</v>
      </c>
      <c r="C1517" s="44" t="s">
        <v>3753</v>
      </c>
      <c r="D1517" s="71">
        <v>73</v>
      </c>
    </row>
    <row r="1518" spans="1:4" ht="15.75" x14ac:dyDescent="0.2">
      <c r="A1518" s="62">
        <v>8637</v>
      </c>
      <c r="B1518" s="43" t="s">
        <v>4911</v>
      </c>
      <c r="C1518" s="44" t="s">
        <v>3753</v>
      </c>
      <c r="D1518" s="71">
        <v>91</v>
      </c>
    </row>
    <row r="1519" spans="1:4" ht="15.75" x14ac:dyDescent="0.2">
      <c r="A1519" s="62">
        <v>8638</v>
      </c>
      <c r="B1519" s="43" t="s">
        <v>4912</v>
      </c>
      <c r="C1519" s="44" t="s">
        <v>3753</v>
      </c>
      <c r="D1519" s="71">
        <v>130</v>
      </c>
    </row>
    <row r="1520" spans="1:4" ht="15.75" x14ac:dyDescent="0.2">
      <c r="A1520" s="62">
        <v>8639</v>
      </c>
      <c r="B1520" s="43" t="s">
        <v>4913</v>
      </c>
      <c r="C1520" s="44" t="s">
        <v>3753</v>
      </c>
      <c r="D1520" s="71">
        <v>181</v>
      </c>
    </row>
    <row r="1521" spans="1:4" ht="15.75" x14ac:dyDescent="0.2">
      <c r="A1521" s="62">
        <v>8640</v>
      </c>
      <c r="B1521" s="43" t="s">
        <v>2379</v>
      </c>
      <c r="C1521" s="44" t="s">
        <v>3753</v>
      </c>
      <c r="D1521" s="71">
        <v>285</v>
      </c>
    </row>
    <row r="1522" spans="1:4" ht="15.75" x14ac:dyDescent="0.2">
      <c r="A1522" s="62">
        <v>8641</v>
      </c>
      <c r="B1522" s="43" t="s">
        <v>2380</v>
      </c>
      <c r="C1522" s="44" t="s">
        <v>3753</v>
      </c>
      <c r="D1522" s="71">
        <v>410</v>
      </c>
    </row>
    <row r="1523" spans="1:4" ht="15.75" x14ac:dyDescent="0.2">
      <c r="A1523" s="62">
        <v>8642</v>
      </c>
      <c r="B1523" s="43" t="s">
        <v>2381</v>
      </c>
      <c r="C1523" s="44" t="s">
        <v>3753</v>
      </c>
      <c r="D1523" s="71">
        <v>1140</v>
      </c>
    </row>
    <row r="1524" spans="1:4" ht="15.75" x14ac:dyDescent="0.2">
      <c r="A1524" s="62">
        <v>8643</v>
      </c>
      <c r="B1524" s="43" t="s">
        <v>2382</v>
      </c>
      <c r="C1524" s="44" t="s">
        <v>3753</v>
      </c>
      <c r="D1524" s="71">
        <v>1500</v>
      </c>
    </row>
    <row r="1525" spans="1:4" ht="15.75" x14ac:dyDescent="0.2">
      <c r="A1525" s="62">
        <v>8644</v>
      </c>
      <c r="B1525" s="43" t="s">
        <v>2383</v>
      </c>
      <c r="C1525" s="44" t="s">
        <v>3753</v>
      </c>
      <c r="D1525" s="71">
        <v>2080</v>
      </c>
    </row>
    <row r="1526" spans="1:4" ht="15.75" x14ac:dyDescent="0.2">
      <c r="A1526" s="62">
        <v>8645</v>
      </c>
      <c r="B1526" s="43" t="s">
        <v>2384</v>
      </c>
      <c r="C1526" s="44" t="s">
        <v>3753</v>
      </c>
      <c r="D1526" s="71">
        <v>3625</v>
      </c>
    </row>
    <row r="1527" spans="1:4" ht="15.75" x14ac:dyDescent="0.2">
      <c r="A1527" s="62">
        <v>8646</v>
      </c>
      <c r="B1527" s="43" t="s">
        <v>2385</v>
      </c>
      <c r="C1527" s="44" t="s">
        <v>2386</v>
      </c>
      <c r="D1527" s="71">
        <v>360</v>
      </c>
    </row>
    <row r="1528" spans="1:4" ht="15.75" x14ac:dyDescent="0.2">
      <c r="A1528" s="62">
        <v>8647</v>
      </c>
      <c r="B1528" s="43" t="s">
        <v>4914</v>
      </c>
      <c r="C1528" s="44" t="s">
        <v>3708</v>
      </c>
      <c r="D1528" s="71">
        <v>550</v>
      </c>
    </row>
    <row r="1529" spans="1:4" ht="15.75" x14ac:dyDescent="0.2">
      <c r="A1529" s="62">
        <v>8648</v>
      </c>
      <c r="B1529" s="43" t="s">
        <v>3015</v>
      </c>
      <c r="C1529" s="44" t="s">
        <v>3748</v>
      </c>
      <c r="D1529" s="71">
        <v>3780</v>
      </c>
    </row>
    <row r="1530" spans="1:4" ht="31.5" x14ac:dyDescent="0.2">
      <c r="A1530" s="62">
        <v>8649</v>
      </c>
      <c r="B1530" s="43" t="s">
        <v>4958</v>
      </c>
      <c r="C1530" s="44" t="s">
        <v>3748</v>
      </c>
      <c r="D1530" s="71">
        <v>185</v>
      </c>
    </row>
    <row r="1531" spans="1:4" ht="15.75" x14ac:dyDescent="0.2">
      <c r="A1531" s="62">
        <v>8650</v>
      </c>
      <c r="B1531" s="43" t="s">
        <v>2387</v>
      </c>
      <c r="C1531" s="44" t="s">
        <v>3748</v>
      </c>
      <c r="D1531" s="71">
        <v>205</v>
      </c>
    </row>
    <row r="1532" spans="1:4" ht="31.5" x14ac:dyDescent="0.2">
      <c r="A1532" s="62">
        <v>8651</v>
      </c>
      <c r="B1532" s="43" t="s">
        <v>2388</v>
      </c>
      <c r="C1532" s="44" t="s">
        <v>3748</v>
      </c>
      <c r="D1532" s="71">
        <v>265</v>
      </c>
    </row>
    <row r="1533" spans="1:4" ht="31.5" x14ac:dyDescent="0.2">
      <c r="A1533" s="62">
        <v>8652</v>
      </c>
      <c r="B1533" s="43" t="s">
        <v>2389</v>
      </c>
      <c r="C1533" s="44" t="s">
        <v>3748</v>
      </c>
      <c r="D1533" s="71">
        <v>495</v>
      </c>
    </row>
    <row r="1534" spans="1:4" ht="15.75" x14ac:dyDescent="0.2">
      <c r="A1534" s="62">
        <v>8653</v>
      </c>
      <c r="B1534" s="43" t="s">
        <v>2390</v>
      </c>
      <c r="C1534" s="44" t="s">
        <v>3748</v>
      </c>
      <c r="D1534" s="71">
        <v>910</v>
      </c>
    </row>
    <row r="1535" spans="1:4" ht="15.75" x14ac:dyDescent="0.2">
      <c r="A1535" s="62">
        <v>8654</v>
      </c>
      <c r="B1535" s="43" t="s">
        <v>2391</v>
      </c>
      <c r="C1535" s="44" t="s">
        <v>3753</v>
      </c>
      <c r="D1535" s="71">
        <v>9</v>
      </c>
    </row>
    <row r="1536" spans="1:4" ht="15.75" x14ac:dyDescent="0.2">
      <c r="A1536" s="62">
        <v>8655</v>
      </c>
      <c r="B1536" s="43" t="s">
        <v>4134</v>
      </c>
      <c r="C1536" s="44" t="s">
        <v>3751</v>
      </c>
      <c r="D1536" s="71">
        <v>2550</v>
      </c>
    </row>
    <row r="1537" spans="1:4" ht="15.75" x14ac:dyDescent="0.2">
      <c r="A1537" s="62">
        <v>8656</v>
      </c>
      <c r="B1537" s="43" t="s">
        <v>4135</v>
      </c>
      <c r="C1537" s="44" t="s">
        <v>4112</v>
      </c>
      <c r="D1537" s="71">
        <v>810</v>
      </c>
    </row>
    <row r="1538" spans="1:4" ht="15.75" x14ac:dyDescent="0.2">
      <c r="A1538" s="62">
        <v>8657</v>
      </c>
      <c r="B1538" s="43" t="s">
        <v>4915</v>
      </c>
      <c r="C1538" s="44" t="s">
        <v>4111</v>
      </c>
      <c r="D1538" s="71">
        <v>92</v>
      </c>
    </row>
    <row r="1539" spans="1:4" ht="15.75" x14ac:dyDescent="0.2">
      <c r="A1539" s="62">
        <v>8658</v>
      </c>
      <c r="B1539" s="43" t="s">
        <v>4916</v>
      </c>
      <c r="C1539" s="44" t="s">
        <v>2544</v>
      </c>
      <c r="D1539" s="71">
        <v>5200</v>
      </c>
    </row>
    <row r="1540" spans="1:4" ht="15.75" x14ac:dyDescent="0.2">
      <c r="A1540" s="62">
        <v>8659</v>
      </c>
      <c r="B1540" s="43" t="s">
        <v>4917</v>
      </c>
      <c r="C1540" s="44" t="s">
        <v>2606</v>
      </c>
      <c r="D1540" s="71">
        <v>1650</v>
      </c>
    </row>
    <row r="1541" spans="1:4" ht="15.75" x14ac:dyDescent="0.2">
      <c r="A1541" s="62">
        <v>8660</v>
      </c>
      <c r="B1541" s="43" t="s">
        <v>2392</v>
      </c>
      <c r="C1541" s="44" t="s">
        <v>3748</v>
      </c>
      <c r="D1541" s="71">
        <v>90</v>
      </c>
    </row>
    <row r="1542" spans="1:4" ht="15.75" x14ac:dyDescent="0.2">
      <c r="A1542" s="62">
        <v>8661</v>
      </c>
      <c r="B1542" s="43" t="s">
        <v>2393</v>
      </c>
      <c r="C1542" s="44" t="s">
        <v>3748</v>
      </c>
      <c r="D1542" s="71">
        <v>105</v>
      </c>
    </row>
    <row r="1543" spans="1:4" ht="15.75" x14ac:dyDescent="0.2">
      <c r="A1543" s="62">
        <v>8662</v>
      </c>
      <c r="B1543" s="43" t="s">
        <v>2394</v>
      </c>
      <c r="C1543" s="44" t="s">
        <v>3748</v>
      </c>
      <c r="D1543" s="71">
        <v>115</v>
      </c>
    </row>
    <row r="1544" spans="1:4" ht="15.75" x14ac:dyDescent="0.2">
      <c r="A1544" s="62">
        <v>8663</v>
      </c>
      <c r="B1544" s="43" t="s">
        <v>2395</v>
      </c>
      <c r="C1544" s="44" t="s">
        <v>3748</v>
      </c>
      <c r="D1544" s="71">
        <v>140</v>
      </c>
    </row>
    <row r="1545" spans="1:4" ht="15.75" x14ac:dyDescent="0.2">
      <c r="A1545" s="62">
        <v>8664</v>
      </c>
      <c r="B1545" s="43" t="s">
        <v>2396</v>
      </c>
      <c r="C1545" s="44" t="s">
        <v>3748</v>
      </c>
      <c r="D1545" s="71">
        <v>165</v>
      </c>
    </row>
    <row r="1546" spans="1:4" ht="15.75" x14ac:dyDescent="0.2">
      <c r="A1546" s="62">
        <v>8665</v>
      </c>
      <c r="B1546" s="43" t="s">
        <v>2397</v>
      </c>
      <c r="C1546" s="44" t="s">
        <v>3748</v>
      </c>
      <c r="D1546" s="71">
        <v>195</v>
      </c>
    </row>
    <row r="1547" spans="1:4" ht="15.75" x14ac:dyDescent="0.2">
      <c r="A1547" s="62">
        <v>8666</v>
      </c>
      <c r="B1547" s="43" t="s">
        <v>2398</v>
      </c>
      <c r="C1547" s="44" t="s">
        <v>3708</v>
      </c>
      <c r="D1547" s="71">
        <v>145</v>
      </c>
    </row>
    <row r="1548" spans="1:4" ht="15.75" x14ac:dyDescent="0.2">
      <c r="A1548" s="62">
        <v>8667</v>
      </c>
      <c r="B1548" s="43" t="s">
        <v>2399</v>
      </c>
      <c r="C1548" s="44" t="s">
        <v>4112</v>
      </c>
      <c r="D1548" s="71">
        <v>745</v>
      </c>
    </row>
    <row r="1549" spans="1:4" ht="15.75" x14ac:dyDescent="0.2">
      <c r="A1549" s="62">
        <v>8668</v>
      </c>
      <c r="B1549" s="43" t="s">
        <v>1312</v>
      </c>
      <c r="C1549" s="44" t="s">
        <v>4112</v>
      </c>
      <c r="D1549" s="71">
        <v>1120</v>
      </c>
    </row>
    <row r="1550" spans="1:4" ht="15.75" x14ac:dyDescent="0.2">
      <c r="A1550" s="62">
        <v>8669</v>
      </c>
      <c r="B1550" s="43" t="s">
        <v>4918</v>
      </c>
      <c r="C1550" s="44" t="s">
        <v>3748</v>
      </c>
      <c r="D1550" s="71">
        <v>41</v>
      </c>
    </row>
    <row r="1551" spans="1:4" ht="15.75" x14ac:dyDescent="0.2">
      <c r="A1551" s="62">
        <v>8670</v>
      </c>
      <c r="B1551" s="43" t="s">
        <v>2400</v>
      </c>
      <c r="C1551" s="44" t="s">
        <v>3748</v>
      </c>
      <c r="D1551" s="71">
        <v>23</v>
      </c>
    </row>
    <row r="1552" spans="1:4" ht="15.75" x14ac:dyDescent="0.2">
      <c r="A1552" s="62">
        <v>8671</v>
      </c>
      <c r="B1552" s="43" t="s">
        <v>2401</v>
      </c>
      <c r="C1552" s="44" t="s">
        <v>4112</v>
      </c>
      <c r="D1552" s="71">
        <v>440</v>
      </c>
    </row>
    <row r="1553" spans="1:4" ht="15.75" x14ac:dyDescent="0.2">
      <c r="A1553" s="62">
        <v>8672</v>
      </c>
      <c r="B1553" s="43" t="s">
        <v>2402</v>
      </c>
      <c r="C1553" s="44" t="s">
        <v>3753</v>
      </c>
      <c r="D1553" s="71">
        <v>440</v>
      </c>
    </row>
    <row r="1554" spans="1:4" ht="15.75" x14ac:dyDescent="0.2">
      <c r="A1554" s="62">
        <v>8673</v>
      </c>
      <c r="B1554" s="43" t="s">
        <v>2403</v>
      </c>
      <c r="C1554" s="44" t="s">
        <v>3753</v>
      </c>
      <c r="D1554" s="71">
        <v>440</v>
      </c>
    </row>
    <row r="1555" spans="1:4" ht="15.75" x14ac:dyDescent="0.2">
      <c r="A1555" s="62">
        <v>8674</v>
      </c>
      <c r="B1555" s="43" t="s">
        <v>2404</v>
      </c>
      <c r="C1555" s="44" t="s">
        <v>3753</v>
      </c>
      <c r="D1555" s="71">
        <v>480</v>
      </c>
    </row>
    <row r="1556" spans="1:4" ht="15.75" x14ac:dyDescent="0.2">
      <c r="A1556" s="62">
        <v>8675</v>
      </c>
      <c r="B1556" s="43" t="s">
        <v>2405</v>
      </c>
      <c r="C1556" s="44" t="s">
        <v>3753</v>
      </c>
      <c r="D1556" s="71">
        <v>480</v>
      </c>
    </row>
    <row r="1557" spans="1:4" ht="15.75" x14ac:dyDescent="0.2">
      <c r="A1557" s="62">
        <v>8676</v>
      </c>
      <c r="B1557" s="43" t="s">
        <v>2406</v>
      </c>
      <c r="C1557" s="44" t="s">
        <v>3753</v>
      </c>
      <c r="D1557" s="71">
        <v>440</v>
      </c>
    </row>
    <row r="1558" spans="1:4" ht="15.75" x14ac:dyDescent="0.2">
      <c r="A1558" s="62">
        <v>8677</v>
      </c>
      <c r="B1558" s="43" t="s">
        <v>2407</v>
      </c>
      <c r="C1558" s="44" t="s">
        <v>4112</v>
      </c>
      <c r="D1558" s="71">
        <v>560</v>
      </c>
    </row>
    <row r="1559" spans="1:4" ht="15.75" x14ac:dyDescent="0.2">
      <c r="A1559" s="62">
        <v>8678</v>
      </c>
      <c r="B1559" s="43" t="s">
        <v>3700</v>
      </c>
      <c r="C1559" s="44" t="s">
        <v>3753</v>
      </c>
      <c r="D1559" s="71">
        <v>110</v>
      </c>
    </row>
    <row r="1560" spans="1:4" ht="15.75" x14ac:dyDescent="0.2">
      <c r="A1560" s="62">
        <v>8683</v>
      </c>
      <c r="B1560" s="43" t="s">
        <v>4919</v>
      </c>
      <c r="C1560" s="44" t="s">
        <v>4112</v>
      </c>
      <c r="D1560" s="71">
        <v>460</v>
      </c>
    </row>
    <row r="1561" spans="1:4" ht="15.75" x14ac:dyDescent="0.2">
      <c r="A1561" s="62">
        <v>8684</v>
      </c>
      <c r="B1561" s="43" t="s">
        <v>4170</v>
      </c>
      <c r="C1561" s="44" t="s">
        <v>4112</v>
      </c>
      <c r="D1561" s="71">
        <v>750</v>
      </c>
    </row>
    <row r="1562" spans="1:4" ht="15.75" x14ac:dyDescent="0.2">
      <c r="A1562" s="62">
        <v>8685</v>
      </c>
      <c r="B1562" s="43" t="s">
        <v>2408</v>
      </c>
      <c r="C1562" s="44" t="s">
        <v>3748</v>
      </c>
      <c r="D1562" s="71">
        <v>800</v>
      </c>
    </row>
    <row r="1563" spans="1:4" ht="15.75" x14ac:dyDescent="0.2">
      <c r="A1563" s="62">
        <v>8686</v>
      </c>
      <c r="B1563" s="43" t="s">
        <v>2409</v>
      </c>
      <c r="C1563" s="44" t="s">
        <v>3751</v>
      </c>
      <c r="D1563" s="71">
        <v>4800</v>
      </c>
    </row>
    <row r="1564" spans="1:4" ht="15.75" x14ac:dyDescent="0.2">
      <c r="A1564" s="62">
        <v>8687</v>
      </c>
      <c r="B1564" s="43" t="s">
        <v>2410</v>
      </c>
      <c r="C1564" s="44" t="s">
        <v>4111</v>
      </c>
      <c r="D1564" s="71">
        <v>100</v>
      </c>
    </row>
    <row r="1565" spans="1:4" ht="15.75" x14ac:dyDescent="0.2">
      <c r="A1565" s="62">
        <v>8688</v>
      </c>
      <c r="B1565" s="43" t="s">
        <v>2411</v>
      </c>
      <c r="C1565" s="44" t="s">
        <v>4111</v>
      </c>
      <c r="D1565" s="71">
        <v>120</v>
      </c>
    </row>
    <row r="1566" spans="1:4" ht="15.75" x14ac:dyDescent="0.2">
      <c r="A1566" s="62">
        <v>8689</v>
      </c>
      <c r="B1566" s="43" t="s">
        <v>2412</v>
      </c>
      <c r="C1566" s="44" t="s">
        <v>4112</v>
      </c>
      <c r="D1566" s="71">
        <v>578</v>
      </c>
    </row>
    <row r="1567" spans="1:4" ht="15.75" x14ac:dyDescent="0.2">
      <c r="A1567" s="62">
        <v>8690</v>
      </c>
      <c r="B1567" s="43" t="s">
        <v>2413</v>
      </c>
      <c r="C1567" s="44" t="s">
        <v>4112</v>
      </c>
      <c r="D1567" s="71">
        <v>1950</v>
      </c>
    </row>
    <row r="1568" spans="1:4" ht="31.5" x14ac:dyDescent="0.2">
      <c r="A1568" s="62">
        <v>8691</v>
      </c>
      <c r="B1568" s="43" t="s">
        <v>2414</v>
      </c>
      <c r="C1568" s="44" t="s">
        <v>2415</v>
      </c>
      <c r="D1568" s="71">
        <v>1050</v>
      </c>
    </row>
    <row r="1569" spans="1:4" ht="15.75" x14ac:dyDescent="0.2">
      <c r="A1569" s="62">
        <v>8692</v>
      </c>
      <c r="B1569" s="43" t="s">
        <v>2416</v>
      </c>
      <c r="C1569" s="44" t="s">
        <v>3753</v>
      </c>
      <c r="D1569" s="71">
        <v>20</v>
      </c>
    </row>
    <row r="1570" spans="1:4" ht="15.75" x14ac:dyDescent="0.2">
      <c r="A1570" s="62">
        <v>8693</v>
      </c>
      <c r="B1570" s="43" t="s">
        <v>2417</v>
      </c>
      <c r="C1570" s="44" t="s">
        <v>4116</v>
      </c>
      <c r="D1570" s="71">
        <v>50</v>
      </c>
    </row>
    <row r="1571" spans="1:4" ht="15.75" x14ac:dyDescent="0.2">
      <c r="A1571" s="62">
        <v>8694</v>
      </c>
      <c r="B1571" s="43" t="s">
        <v>2418</v>
      </c>
      <c r="C1571" s="44" t="s">
        <v>3748</v>
      </c>
      <c r="D1571" s="71">
        <v>60</v>
      </c>
    </row>
    <row r="1572" spans="1:4" ht="31.5" x14ac:dyDescent="0.2">
      <c r="A1572" s="62">
        <v>8695</v>
      </c>
      <c r="B1572" s="43" t="s">
        <v>1338</v>
      </c>
      <c r="C1572" s="44" t="s">
        <v>4112</v>
      </c>
      <c r="D1572" s="71">
        <v>210</v>
      </c>
    </row>
    <row r="1573" spans="1:4" ht="31.5" x14ac:dyDescent="0.2">
      <c r="A1573" s="62">
        <v>8696</v>
      </c>
      <c r="B1573" s="43" t="s">
        <v>1340</v>
      </c>
      <c r="C1573" s="44" t="s">
        <v>4112</v>
      </c>
      <c r="D1573" s="71">
        <v>160</v>
      </c>
    </row>
    <row r="1574" spans="1:4" ht="31.5" x14ac:dyDescent="0.2">
      <c r="A1574" s="62">
        <v>8697</v>
      </c>
      <c r="B1574" s="43" t="s">
        <v>1339</v>
      </c>
      <c r="C1574" s="44" t="s">
        <v>4112</v>
      </c>
      <c r="D1574" s="71">
        <v>120</v>
      </c>
    </row>
    <row r="1575" spans="1:4" ht="15.75" x14ac:dyDescent="0.2">
      <c r="A1575" s="62">
        <v>8698</v>
      </c>
      <c r="B1575" s="43" t="s">
        <v>4173</v>
      </c>
      <c r="C1575" s="44" t="s">
        <v>3748</v>
      </c>
      <c r="D1575" s="71">
        <v>280</v>
      </c>
    </row>
    <row r="1576" spans="1:4" ht="15.75" x14ac:dyDescent="0.2">
      <c r="A1576" s="62">
        <v>8699</v>
      </c>
      <c r="B1576" s="43" t="s">
        <v>2419</v>
      </c>
      <c r="C1576" s="44" t="s">
        <v>4112</v>
      </c>
      <c r="D1576" s="71">
        <v>350</v>
      </c>
    </row>
    <row r="1577" spans="1:4" ht="15.75" x14ac:dyDescent="0.2">
      <c r="A1577" s="62">
        <v>8700</v>
      </c>
      <c r="B1577" s="43" t="s">
        <v>3705</v>
      </c>
      <c r="C1577" s="44" t="s">
        <v>4112</v>
      </c>
      <c r="D1577" s="71">
        <v>430</v>
      </c>
    </row>
    <row r="1578" spans="1:4" ht="31.5" x14ac:dyDescent="0.2">
      <c r="A1578" s="62">
        <v>8701</v>
      </c>
      <c r="B1578" s="43" t="s">
        <v>1341</v>
      </c>
      <c r="C1578" s="44" t="s">
        <v>4112</v>
      </c>
      <c r="D1578" s="71">
        <v>110</v>
      </c>
    </row>
    <row r="1579" spans="1:4" ht="15.75" x14ac:dyDescent="0.2">
      <c r="A1579" s="62">
        <v>8703</v>
      </c>
      <c r="B1579" s="43" t="s">
        <v>4229</v>
      </c>
      <c r="C1579" s="44" t="s">
        <v>4230</v>
      </c>
      <c r="D1579" s="71">
        <v>450</v>
      </c>
    </row>
    <row r="1580" spans="1:4" ht="31.5" x14ac:dyDescent="0.2">
      <c r="A1580" s="62">
        <v>8704</v>
      </c>
      <c r="B1580" s="43" t="s">
        <v>3689</v>
      </c>
      <c r="C1580" s="44" t="s">
        <v>3748</v>
      </c>
      <c r="D1580" s="71">
        <v>29</v>
      </c>
    </row>
    <row r="1581" spans="1:4" ht="31.5" x14ac:dyDescent="0.2">
      <c r="A1581" s="62">
        <v>8705</v>
      </c>
      <c r="B1581" s="43" t="s">
        <v>2420</v>
      </c>
      <c r="C1581" s="44" t="s">
        <v>3753</v>
      </c>
      <c r="D1581" s="71">
        <v>210</v>
      </c>
    </row>
    <row r="1582" spans="1:4" ht="15.75" x14ac:dyDescent="0.2">
      <c r="A1582" s="62">
        <v>8706</v>
      </c>
      <c r="B1582" s="43" t="s">
        <v>2421</v>
      </c>
      <c r="C1582" s="44" t="s">
        <v>4112</v>
      </c>
      <c r="D1582" s="71">
        <v>2800</v>
      </c>
    </row>
    <row r="1583" spans="1:4" ht="15.75" x14ac:dyDescent="0.2">
      <c r="A1583" s="62">
        <v>8707</v>
      </c>
      <c r="B1583" s="43" t="s">
        <v>3693</v>
      </c>
      <c r="C1583" s="44" t="s">
        <v>3753</v>
      </c>
      <c r="D1583" s="71">
        <v>450</v>
      </c>
    </row>
    <row r="1584" spans="1:4" ht="31.5" x14ac:dyDescent="0.2">
      <c r="A1584" s="62">
        <v>8708</v>
      </c>
      <c r="B1584" s="43" t="s">
        <v>3694</v>
      </c>
      <c r="C1584" s="44" t="s">
        <v>4112</v>
      </c>
      <c r="D1584" s="71">
        <v>3200</v>
      </c>
    </row>
    <row r="1585" spans="1:4" ht="15.75" x14ac:dyDescent="0.2">
      <c r="A1585" s="62">
        <v>8710</v>
      </c>
      <c r="B1585" s="43" t="s">
        <v>3695</v>
      </c>
      <c r="C1585" s="44" t="s">
        <v>3753</v>
      </c>
      <c r="D1585" s="71">
        <v>600</v>
      </c>
    </row>
    <row r="1586" spans="1:4" ht="15.75" x14ac:dyDescent="0.2">
      <c r="A1586" s="62">
        <v>8711</v>
      </c>
      <c r="B1586" s="43" t="s">
        <v>3696</v>
      </c>
      <c r="C1586" s="44" t="s">
        <v>4112</v>
      </c>
      <c r="D1586" s="71">
        <v>3200</v>
      </c>
    </row>
    <row r="1587" spans="1:4" ht="15.75" x14ac:dyDescent="0.2">
      <c r="A1587" s="62">
        <v>8713</v>
      </c>
      <c r="B1587" s="43" t="s">
        <v>2422</v>
      </c>
      <c r="C1587" s="44" t="s">
        <v>4112</v>
      </c>
      <c r="D1587" s="71">
        <v>4900</v>
      </c>
    </row>
    <row r="1588" spans="1:4" ht="15.75" x14ac:dyDescent="0.2">
      <c r="A1588" s="62">
        <v>8714</v>
      </c>
      <c r="B1588" s="43" t="s">
        <v>4227</v>
      </c>
      <c r="C1588" s="44" t="s">
        <v>3748</v>
      </c>
      <c r="D1588" s="71">
        <v>105</v>
      </c>
    </row>
    <row r="1589" spans="1:4" ht="15.75" x14ac:dyDescent="0.2">
      <c r="A1589" s="62">
        <v>8715</v>
      </c>
      <c r="B1589" s="43" t="s">
        <v>4228</v>
      </c>
      <c r="C1589" s="44" t="s">
        <v>3748</v>
      </c>
      <c r="D1589" s="71">
        <v>90</v>
      </c>
    </row>
    <row r="1590" spans="1:4" ht="31.5" x14ac:dyDescent="0.2">
      <c r="A1590" s="62">
        <v>8716</v>
      </c>
      <c r="B1590" s="43" t="s">
        <v>697</v>
      </c>
      <c r="C1590" s="44" t="s">
        <v>3748</v>
      </c>
      <c r="D1590" s="71">
        <v>2850</v>
      </c>
    </row>
    <row r="1591" spans="1:4" ht="15.75" x14ac:dyDescent="0.2">
      <c r="A1591" s="62">
        <v>8717</v>
      </c>
      <c r="B1591" s="43" t="s">
        <v>3710</v>
      </c>
      <c r="C1591" s="44" t="s">
        <v>4112</v>
      </c>
      <c r="D1591" s="71">
        <v>450</v>
      </c>
    </row>
    <row r="1592" spans="1:4" ht="15.75" x14ac:dyDescent="0.2">
      <c r="A1592" s="62">
        <v>8718</v>
      </c>
      <c r="B1592" s="48" t="s">
        <v>698</v>
      </c>
      <c r="C1592" s="44" t="s">
        <v>3748</v>
      </c>
      <c r="D1592" s="71">
        <v>400</v>
      </c>
    </row>
    <row r="1593" spans="1:4" ht="31.5" x14ac:dyDescent="0.2">
      <c r="A1593" s="62">
        <v>8719</v>
      </c>
      <c r="B1593" s="43" t="s">
        <v>2423</v>
      </c>
      <c r="C1593" s="44" t="s">
        <v>3753</v>
      </c>
      <c r="D1593" s="71">
        <v>50</v>
      </c>
    </row>
    <row r="1594" spans="1:4" ht="31.5" x14ac:dyDescent="0.2">
      <c r="A1594" s="62">
        <v>8720</v>
      </c>
      <c r="B1594" s="43" t="s">
        <v>2424</v>
      </c>
      <c r="C1594" s="44" t="s">
        <v>3753</v>
      </c>
      <c r="D1594" s="71">
        <v>85</v>
      </c>
    </row>
    <row r="1595" spans="1:4" ht="31.5" x14ac:dyDescent="0.2">
      <c r="A1595" s="62">
        <v>8721</v>
      </c>
      <c r="B1595" s="43" t="s">
        <v>2425</v>
      </c>
      <c r="C1595" s="44" t="s">
        <v>3753</v>
      </c>
      <c r="D1595" s="71">
        <v>90</v>
      </c>
    </row>
    <row r="1596" spans="1:4" ht="15.75" x14ac:dyDescent="0.2">
      <c r="A1596" s="62">
        <v>8722</v>
      </c>
      <c r="B1596" s="43" t="s">
        <v>3706</v>
      </c>
      <c r="C1596" s="44" t="s">
        <v>3748</v>
      </c>
      <c r="D1596" s="71">
        <v>3</v>
      </c>
    </row>
    <row r="1597" spans="1:4" ht="15.75" x14ac:dyDescent="0.2">
      <c r="A1597" s="62">
        <v>8723</v>
      </c>
      <c r="B1597" s="43" t="s">
        <v>3707</v>
      </c>
      <c r="C1597" s="44" t="s">
        <v>3708</v>
      </c>
      <c r="D1597" s="71">
        <v>105</v>
      </c>
    </row>
    <row r="1598" spans="1:4" ht="15.75" x14ac:dyDescent="0.2">
      <c r="A1598" s="62">
        <v>8724</v>
      </c>
      <c r="B1598" s="43" t="s">
        <v>3697</v>
      </c>
      <c r="C1598" s="44" t="s">
        <v>4112</v>
      </c>
      <c r="D1598" s="71">
        <v>1500</v>
      </c>
    </row>
    <row r="1599" spans="1:4" ht="15.75" x14ac:dyDescent="0.2">
      <c r="A1599" s="62">
        <v>8725</v>
      </c>
      <c r="B1599" s="43" t="s">
        <v>3698</v>
      </c>
      <c r="C1599" s="44" t="s">
        <v>4112</v>
      </c>
      <c r="D1599" s="71">
        <v>1280</v>
      </c>
    </row>
    <row r="1600" spans="1:4" ht="15.75" x14ac:dyDescent="0.2">
      <c r="A1600" s="62">
        <v>8726</v>
      </c>
      <c r="B1600" s="43" t="s">
        <v>3699</v>
      </c>
      <c r="C1600" s="44" t="s">
        <v>4112</v>
      </c>
      <c r="D1600" s="71">
        <v>800</v>
      </c>
    </row>
    <row r="1601" spans="1:4" ht="15.75" x14ac:dyDescent="0.2">
      <c r="A1601" s="62">
        <v>8727</v>
      </c>
      <c r="B1601" s="43" t="s">
        <v>2426</v>
      </c>
      <c r="C1601" s="44" t="s">
        <v>4112</v>
      </c>
      <c r="D1601" s="71">
        <v>650</v>
      </c>
    </row>
    <row r="1602" spans="1:4" ht="15.75" x14ac:dyDescent="0.2">
      <c r="A1602" s="62">
        <v>8730</v>
      </c>
      <c r="B1602" s="43" t="s">
        <v>5511</v>
      </c>
      <c r="C1602" s="44" t="s">
        <v>4112</v>
      </c>
      <c r="D1602" s="71">
        <v>2700</v>
      </c>
    </row>
    <row r="1603" spans="1:4" ht="15.75" x14ac:dyDescent="0.2">
      <c r="A1603" s="62">
        <v>8731</v>
      </c>
      <c r="B1603" s="43" t="s">
        <v>2427</v>
      </c>
      <c r="C1603" s="44" t="s">
        <v>2428</v>
      </c>
      <c r="D1603" s="71">
        <v>50</v>
      </c>
    </row>
    <row r="1604" spans="1:4" ht="31.5" x14ac:dyDescent="0.2">
      <c r="A1604" s="62">
        <v>8732</v>
      </c>
      <c r="B1604" s="43" t="s">
        <v>1630</v>
      </c>
      <c r="C1604" s="52" t="s">
        <v>4906</v>
      </c>
      <c r="D1604" s="71">
        <v>45</v>
      </c>
    </row>
    <row r="1605" spans="1:4" ht="15.75" x14ac:dyDescent="0.2">
      <c r="A1605" s="62">
        <v>8733</v>
      </c>
      <c r="B1605" s="43" t="s">
        <v>1344</v>
      </c>
      <c r="C1605" s="52" t="s">
        <v>4112</v>
      </c>
      <c r="D1605" s="71">
        <v>205</v>
      </c>
    </row>
    <row r="1606" spans="1:4" ht="15.75" x14ac:dyDescent="0.2">
      <c r="A1606" s="62">
        <v>8734</v>
      </c>
      <c r="B1606" s="43" t="s">
        <v>1345</v>
      </c>
      <c r="C1606" s="52" t="s">
        <v>4112</v>
      </c>
      <c r="D1606" s="71">
        <v>230</v>
      </c>
    </row>
    <row r="1607" spans="1:4" ht="15.75" x14ac:dyDescent="0.2">
      <c r="A1607" s="62">
        <v>8735</v>
      </c>
      <c r="B1607" s="43" t="s">
        <v>1346</v>
      </c>
      <c r="C1607" s="52" t="s">
        <v>4112</v>
      </c>
      <c r="D1607" s="71">
        <v>260</v>
      </c>
    </row>
    <row r="1608" spans="1:4" ht="15.75" x14ac:dyDescent="0.2">
      <c r="A1608" s="62">
        <v>8736</v>
      </c>
      <c r="B1608" s="43" t="s">
        <v>1347</v>
      </c>
      <c r="C1608" s="52" t="s">
        <v>4112</v>
      </c>
      <c r="D1608" s="71">
        <v>235</v>
      </c>
    </row>
    <row r="1609" spans="1:4" ht="15.75" x14ac:dyDescent="0.2">
      <c r="A1609" s="62">
        <v>8737</v>
      </c>
      <c r="B1609" s="43" t="s">
        <v>1351</v>
      </c>
      <c r="C1609" s="52" t="s">
        <v>1333</v>
      </c>
      <c r="D1609" s="71">
        <v>8750</v>
      </c>
    </row>
    <row r="1610" spans="1:4" ht="15.75" x14ac:dyDescent="0.2">
      <c r="A1610" s="62">
        <v>8738</v>
      </c>
      <c r="B1610" s="43" t="s">
        <v>1352</v>
      </c>
      <c r="C1610" s="52" t="s">
        <v>1333</v>
      </c>
      <c r="D1610" s="71">
        <v>8850</v>
      </c>
    </row>
    <row r="1611" spans="1:4" ht="15.75" x14ac:dyDescent="0.2">
      <c r="A1611" s="62">
        <v>8739</v>
      </c>
      <c r="B1611" s="43" t="s">
        <v>1311</v>
      </c>
      <c r="C1611" s="44" t="s">
        <v>4112</v>
      </c>
      <c r="D1611" s="71">
        <v>1350</v>
      </c>
    </row>
    <row r="1612" spans="1:4" ht="15.75" x14ac:dyDescent="0.2">
      <c r="A1612" s="62">
        <v>8740</v>
      </c>
      <c r="B1612" s="53" t="s">
        <v>1314</v>
      </c>
      <c r="C1612" s="44" t="s">
        <v>2437</v>
      </c>
      <c r="D1612" s="71">
        <v>850</v>
      </c>
    </row>
    <row r="1613" spans="1:4" ht="15.75" x14ac:dyDescent="0.2">
      <c r="A1613" s="62">
        <v>8741</v>
      </c>
      <c r="B1613" s="53" t="s">
        <v>1934</v>
      </c>
      <c r="C1613" s="44" t="s">
        <v>2437</v>
      </c>
      <c r="D1613" s="71">
        <v>1150</v>
      </c>
    </row>
    <row r="1614" spans="1:4" ht="15.75" x14ac:dyDescent="0.2">
      <c r="A1614" s="62">
        <v>8742</v>
      </c>
      <c r="B1614" s="53" t="s">
        <v>1571</v>
      </c>
      <c r="C1614" s="44" t="s">
        <v>4217</v>
      </c>
      <c r="D1614" s="71">
        <v>12</v>
      </c>
    </row>
    <row r="1615" spans="1:4" ht="15.75" x14ac:dyDescent="0.2">
      <c r="A1615" s="62">
        <v>8743</v>
      </c>
      <c r="B1615" s="53" t="s">
        <v>1582</v>
      </c>
      <c r="C1615" s="44" t="s">
        <v>4217</v>
      </c>
      <c r="D1615" s="71">
        <v>6930</v>
      </c>
    </row>
    <row r="1616" spans="1:4" ht="15.75" x14ac:dyDescent="0.2">
      <c r="A1616" s="62">
        <v>8744</v>
      </c>
      <c r="B1616" s="53" t="s">
        <v>1583</v>
      </c>
      <c r="C1616" s="44" t="s">
        <v>4217</v>
      </c>
      <c r="D1616" s="71">
        <v>6930</v>
      </c>
    </row>
    <row r="1617" spans="1:4" ht="15.75" x14ac:dyDescent="0.2">
      <c r="A1617" s="62">
        <v>8745</v>
      </c>
      <c r="B1617" s="53" t="s">
        <v>1584</v>
      </c>
      <c r="C1617" s="44" t="s">
        <v>4217</v>
      </c>
      <c r="D1617" s="71">
        <v>14000</v>
      </c>
    </row>
    <row r="1618" spans="1:4" ht="15.75" x14ac:dyDescent="0.2">
      <c r="A1618" s="62">
        <v>8746</v>
      </c>
      <c r="B1618" s="53" t="s">
        <v>1585</v>
      </c>
      <c r="C1618" s="44" t="s">
        <v>4217</v>
      </c>
      <c r="D1618" s="71">
        <v>41600</v>
      </c>
    </row>
    <row r="1619" spans="1:4" ht="15.75" x14ac:dyDescent="0.2">
      <c r="A1619" s="62">
        <v>8747</v>
      </c>
      <c r="B1619" s="53" t="s">
        <v>5512</v>
      </c>
      <c r="C1619" s="44" t="s">
        <v>4217</v>
      </c>
      <c r="D1619" s="71">
        <v>5300</v>
      </c>
    </row>
    <row r="1620" spans="1:4" ht="15.75" x14ac:dyDescent="0.2">
      <c r="A1620" s="62">
        <v>8748</v>
      </c>
      <c r="B1620" s="53" t="s">
        <v>1588</v>
      </c>
      <c r="C1620" s="44" t="s">
        <v>2437</v>
      </c>
      <c r="D1620" s="71">
        <v>650</v>
      </c>
    </row>
    <row r="1621" spans="1:4" ht="15.75" x14ac:dyDescent="0.2">
      <c r="A1621" s="62">
        <v>8749</v>
      </c>
      <c r="B1621" s="65" t="s">
        <v>1592</v>
      </c>
      <c r="C1621" s="44" t="s">
        <v>2437</v>
      </c>
      <c r="D1621" s="71">
        <v>1850</v>
      </c>
    </row>
    <row r="1622" spans="1:4" ht="15.75" x14ac:dyDescent="0.2">
      <c r="A1622" s="62">
        <v>8750</v>
      </c>
      <c r="B1622" s="65" t="s">
        <v>1593</v>
      </c>
      <c r="C1622" s="44" t="s">
        <v>2785</v>
      </c>
      <c r="D1622" s="71">
        <v>700</v>
      </c>
    </row>
    <row r="1623" spans="1:4" ht="15.75" x14ac:dyDescent="0.2">
      <c r="A1623" s="62">
        <v>8751</v>
      </c>
      <c r="B1623" s="65" t="s">
        <v>1594</v>
      </c>
      <c r="C1623" s="44" t="s">
        <v>2785</v>
      </c>
      <c r="D1623" s="71">
        <v>550</v>
      </c>
    </row>
    <row r="1624" spans="1:4" ht="15.75" x14ac:dyDescent="0.2">
      <c r="A1624" s="62">
        <v>8752</v>
      </c>
      <c r="B1624" s="53" t="s">
        <v>5513</v>
      </c>
      <c r="C1624" s="44" t="s">
        <v>2437</v>
      </c>
      <c r="D1624" s="71">
        <v>1100</v>
      </c>
    </row>
    <row r="1625" spans="1:4" ht="15.75" x14ac:dyDescent="0.2">
      <c r="A1625" s="62">
        <v>8753</v>
      </c>
      <c r="B1625" s="65" t="s">
        <v>1604</v>
      </c>
      <c r="C1625" s="44" t="s">
        <v>2785</v>
      </c>
      <c r="D1625" s="71">
        <v>90</v>
      </c>
    </row>
    <row r="1626" spans="1:4" ht="15.75" x14ac:dyDescent="0.2">
      <c r="A1626" s="62">
        <v>8754</v>
      </c>
      <c r="B1626" s="43" t="s">
        <v>1605</v>
      </c>
      <c r="C1626" s="44" t="s">
        <v>2437</v>
      </c>
      <c r="D1626" s="71">
        <v>700</v>
      </c>
    </row>
    <row r="1627" spans="1:4" ht="15.75" x14ac:dyDescent="0.2">
      <c r="A1627" s="62">
        <v>8755</v>
      </c>
      <c r="B1627" s="65" t="s">
        <v>1606</v>
      </c>
      <c r="C1627" s="44" t="s">
        <v>2437</v>
      </c>
      <c r="D1627" s="71">
        <v>850</v>
      </c>
    </row>
    <row r="1628" spans="1:4" ht="15.75" x14ac:dyDescent="0.2">
      <c r="A1628" s="62">
        <v>8756</v>
      </c>
      <c r="B1628" s="65" t="s">
        <v>1607</v>
      </c>
      <c r="C1628" s="44" t="s">
        <v>2437</v>
      </c>
      <c r="D1628" s="71">
        <v>950</v>
      </c>
    </row>
    <row r="1629" spans="1:4" ht="15.75" x14ac:dyDescent="0.2">
      <c r="A1629" s="62">
        <v>8757</v>
      </c>
      <c r="B1629" s="65" t="s">
        <v>1608</v>
      </c>
      <c r="C1629" s="44" t="s">
        <v>2437</v>
      </c>
      <c r="D1629" s="71">
        <v>550</v>
      </c>
    </row>
    <row r="1630" spans="1:4" ht="15.75" x14ac:dyDescent="0.2">
      <c r="A1630" s="62">
        <v>8758</v>
      </c>
      <c r="B1630" s="65" t="s">
        <v>1609</v>
      </c>
      <c r="C1630" s="44" t="s">
        <v>2437</v>
      </c>
      <c r="D1630" s="71">
        <v>1400</v>
      </c>
    </row>
    <row r="1631" spans="1:4" ht="15.75" x14ac:dyDescent="0.2">
      <c r="A1631" s="62">
        <v>8759</v>
      </c>
      <c r="B1631" s="65" t="s">
        <v>1610</v>
      </c>
      <c r="C1631" s="44" t="s">
        <v>2437</v>
      </c>
      <c r="D1631" s="71">
        <v>1500</v>
      </c>
    </row>
    <row r="1632" spans="1:4" ht="15.75" x14ac:dyDescent="0.2">
      <c r="A1632" s="62">
        <v>8760</v>
      </c>
      <c r="B1632" s="65" t="s">
        <v>5514</v>
      </c>
      <c r="C1632" s="44" t="s">
        <v>2785</v>
      </c>
      <c r="D1632" s="71">
        <v>250</v>
      </c>
    </row>
    <row r="1633" spans="1:4" ht="15.75" x14ac:dyDescent="0.2">
      <c r="A1633" s="62">
        <v>8761</v>
      </c>
      <c r="B1633" s="65" t="s">
        <v>1611</v>
      </c>
      <c r="C1633" s="44" t="s">
        <v>4112</v>
      </c>
      <c r="D1633" s="71">
        <v>650</v>
      </c>
    </row>
    <row r="1634" spans="1:4" ht="15.75" x14ac:dyDescent="0.2">
      <c r="A1634" s="62">
        <v>8762</v>
      </c>
      <c r="B1634" s="47" t="s">
        <v>1324</v>
      </c>
      <c r="C1634" s="44" t="s">
        <v>2634</v>
      </c>
      <c r="D1634" s="71">
        <v>650</v>
      </c>
    </row>
    <row r="1635" spans="1:4" ht="15.75" x14ac:dyDescent="0.2">
      <c r="A1635" s="62">
        <v>8763</v>
      </c>
      <c r="B1635" s="47" t="s">
        <v>1674</v>
      </c>
      <c r="C1635" s="44" t="s">
        <v>1586</v>
      </c>
      <c r="D1635" s="71">
        <v>1300</v>
      </c>
    </row>
    <row r="1636" spans="1:4" ht="15.75" x14ac:dyDescent="0.2">
      <c r="A1636" s="62">
        <v>8764</v>
      </c>
      <c r="B1636" s="47" t="s">
        <v>1325</v>
      </c>
      <c r="C1636" s="44" t="s">
        <v>2785</v>
      </c>
      <c r="D1636" s="71">
        <v>60</v>
      </c>
    </row>
    <row r="1637" spans="1:4" ht="15.75" x14ac:dyDescent="0.2">
      <c r="A1637" s="62">
        <v>8765</v>
      </c>
      <c r="B1637" s="47" t="s">
        <v>1326</v>
      </c>
      <c r="C1637" s="44" t="s">
        <v>2785</v>
      </c>
      <c r="D1637" s="71">
        <v>60</v>
      </c>
    </row>
    <row r="1638" spans="1:4" ht="15.75" x14ac:dyDescent="0.2">
      <c r="A1638" s="62">
        <v>8766</v>
      </c>
      <c r="B1638" s="48" t="s">
        <v>5518</v>
      </c>
      <c r="C1638" s="44" t="s">
        <v>2785</v>
      </c>
      <c r="D1638" s="71">
        <v>70</v>
      </c>
    </row>
    <row r="1639" spans="1:4" ht="15.75" x14ac:dyDescent="0.2">
      <c r="A1639" s="62">
        <v>8767</v>
      </c>
      <c r="B1639" s="49" t="s">
        <v>5515</v>
      </c>
      <c r="C1639" s="44" t="s">
        <v>2785</v>
      </c>
      <c r="D1639" s="71">
        <v>85</v>
      </c>
    </row>
    <row r="1640" spans="1:4" ht="15.75" x14ac:dyDescent="0.2">
      <c r="A1640" s="62">
        <v>8768</v>
      </c>
      <c r="B1640" s="49" t="s">
        <v>5516</v>
      </c>
      <c r="C1640" s="44" t="s">
        <v>2785</v>
      </c>
      <c r="D1640" s="71">
        <v>90</v>
      </c>
    </row>
    <row r="1641" spans="1:4" ht="15.75" x14ac:dyDescent="0.2">
      <c r="A1641" s="62">
        <v>8769</v>
      </c>
      <c r="B1641" s="49" t="s">
        <v>5517</v>
      </c>
      <c r="C1641" s="44" t="s">
        <v>2785</v>
      </c>
      <c r="D1641" s="71">
        <v>98</v>
      </c>
    </row>
    <row r="1642" spans="1:4" ht="15.75" x14ac:dyDescent="0.2">
      <c r="A1642" s="62">
        <v>8770</v>
      </c>
      <c r="B1642" s="49" t="s">
        <v>5521</v>
      </c>
      <c r="C1642" s="44" t="s">
        <v>2785</v>
      </c>
      <c r="D1642" s="71">
        <v>87</v>
      </c>
    </row>
    <row r="1643" spans="1:4" ht="15.75" x14ac:dyDescent="0.2">
      <c r="A1643" s="62">
        <v>8771</v>
      </c>
      <c r="B1643" s="49" t="s">
        <v>5522</v>
      </c>
      <c r="C1643" s="44" t="s">
        <v>2785</v>
      </c>
      <c r="D1643" s="71">
        <v>98</v>
      </c>
    </row>
    <row r="1644" spans="1:4" ht="15.75" x14ac:dyDescent="0.2">
      <c r="A1644" s="62">
        <v>8772</v>
      </c>
      <c r="B1644" s="49" t="s">
        <v>5523</v>
      </c>
      <c r="C1644" s="44" t="s">
        <v>2785</v>
      </c>
      <c r="D1644" s="71">
        <v>125</v>
      </c>
    </row>
    <row r="1645" spans="1:4" ht="15.75" x14ac:dyDescent="0.2">
      <c r="A1645" s="62">
        <v>8773</v>
      </c>
      <c r="B1645" s="49" t="s">
        <v>5524</v>
      </c>
      <c r="C1645" s="44" t="s">
        <v>2785</v>
      </c>
      <c r="D1645" s="71">
        <v>160</v>
      </c>
    </row>
    <row r="1646" spans="1:4" ht="15.75" x14ac:dyDescent="0.2">
      <c r="A1646" s="62">
        <v>8774</v>
      </c>
      <c r="B1646" s="49" t="s">
        <v>5525</v>
      </c>
      <c r="C1646" s="44" t="s">
        <v>2785</v>
      </c>
      <c r="D1646" s="71">
        <v>175</v>
      </c>
    </row>
    <row r="1647" spans="1:4" ht="15.75" x14ac:dyDescent="0.2">
      <c r="A1647" s="62">
        <v>8775</v>
      </c>
      <c r="B1647" s="49" t="s">
        <v>5519</v>
      </c>
      <c r="C1647" s="44" t="s">
        <v>2785</v>
      </c>
      <c r="D1647" s="71">
        <v>150</v>
      </c>
    </row>
    <row r="1648" spans="1:4" ht="15.75" x14ac:dyDescent="0.2">
      <c r="A1648" s="62">
        <v>8776</v>
      </c>
      <c r="B1648" s="49" t="s">
        <v>5520</v>
      </c>
      <c r="C1648" s="44" t="s">
        <v>2785</v>
      </c>
      <c r="D1648" s="71">
        <v>200</v>
      </c>
    </row>
    <row r="1649" spans="1:4" ht="15.75" x14ac:dyDescent="0.2">
      <c r="A1649" s="62">
        <v>8777</v>
      </c>
      <c r="B1649" s="65" t="s">
        <v>1726</v>
      </c>
      <c r="C1649" s="44" t="s">
        <v>4112</v>
      </c>
      <c r="D1649" s="71">
        <v>420</v>
      </c>
    </row>
    <row r="1650" spans="1:4" ht="15.75" x14ac:dyDescent="0.2">
      <c r="A1650" s="62">
        <v>8778</v>
      </c>
      <c r="B1650" s="65" t="s">
        <v>1727</v>
      </c>
      <c r="C1650" s="44" t="s">
        <v>4112</v>
      </c>
      <c r="D1650" s="71">
        <v>500</v>
      </c>
    </row>
    <row r="1651" spans="1:4" ht="15.75" x14ac:dyDescent="0.2">
      <c r="A1651" s="62">
        <v>8779</v>
      </c>
      <c r="B1651" s="65" t="s">
        <v>1728</v>
      </c>
      <c r="C1651" s="44" t="s">
        <v>4112</v>
      </c>
      <c r="D1651" s="71">
        <v>560</v>
      </c>
    </row>
    <row r="1652" spans="1:4" ht="15.75" x14ac:dyDescent="0.2">
      <c r="A1652" s="62">
        <v>8780</v>
      </c>
      <c r="B1652" s="47" t="s">
        <v>4157</v>
      </c>
      <c r="C1652" s="44" t="s">
        <v>1586</v>
      </c>
      <c r="D1652" s="71">
        <v>450</v>
      </c>
    </row>
    <row r="1653" spans="1:4" ht="15.75" x14ac:dyDescent="0.2">
      <c r="A1653" s="62">
        <v>8781</v>
      </c>
      <c r="B1653" s="47" t="s">
        <v>4157</v>
      </c>
      <c r="C1653" s="44" t="s">
        <v>1586</v>
      </c>
      <c r="D1653" s="71">
        <v>350</v>
      </c>
    </row>
    <row r="1654" spans="1:4" ht="15.75" x14ac:dyDescent="0.2">
      <c r="A1654" s="62">
        <v>8782</v>
      </c>
      <c r="B1654" s="46" t="s">
        <v>1521</v>
      </c>
      <c r="C1654" s="54" t="s">
        <v>2437</v>
      </c>
      <c r="D1654" s="71">
        <v>555</v>
      </c>
    </row>
    <row r="1655" spans="1:4" ht="15.75" x14ac:dyDescent="0.2">
      <c r="A1655" s="62">
        <v>8783</v>
      </c>
      <c r="B1655" s="46" t="s">
        <v>1522</v>
      </c>
      <c r="C1655" s="54" t="s">
        <v>2785</v>
      </c>
      <c r="D1655" s="71">
        <v>46</v>
      </c>
    </row>
    <row r="1656" spans="1:4" ht="15.75" x14ac:dyDescent="0.2">
      <c r="A1656" s="62">
        <v>8784</v>
      </c>
      <c r="B1656" s="46" t="s">
        <v>1524</v>
      </c>
      <c r="C1656" s="54" t="s">
        <v>2785</v>
      </c>
      <c r="D1656" s="71">
        <v>48</v>
      </c>
    </row>
    <row r="1657" spans="1:4" ht="15.75" x14ac:dyDescent="0.2">
      <c r="A1657" s="62">
        <v>8785</v>
      </c>
      <c r="B1657" s="46" t="s">
        <v>1525</v>
      </c>
      <c r="C1657" s="54" t="s">
        <v>2437</v>
      </c>
      <c r="D1657" s="71">
        <v>785</v>
      </c>
    </row>
    <row r="1658" spans="1:4" ht="15.75" x14ac:dyDescent="0.2">
      <c r="A1658" s="62">
        <v>8786</v>
      </c>
      <c r="B1658" s="46" t="s">
        <v>1526</v>
      </c>
      <c r="C1658" s="54" t="s">
        <v>2785</v>
      </c>
      <c r="D1658" s="71">
        <v>68</v>
      </c>
    </row>
    <row r="1659" spans="1:4" s="40" customFormat="1" ht="15.75" x14ac:dyDescent="0.2">
      <c r="A1659" s="62">
        <v>8800</v>
      </c>
      <c r="B1659" s="46" t="s">
        <v>5526</v>
      </c>
      <c r="C1659" s="54" t="s">
        <v>3208</v>
      </c>
      <c r="D1659" s="71">
        <v>3850</v>
      </c>
    </row>
    <row r="1660" spans="1:4" s="40" customFormat="1" ht="15.75" x14ac:dyDescent="0.2">
      <c r="A1660" s="62">
        <v>8801</v>
      </c>
      <c r="B1660" s="46" t="s">
        <v>4817</v>
      </c>
      <c r="C1660" s="54" t="s">
        <v>2356</v>
      </c>
      <c r="D1660" s="71">
        <v>11</v>
      </c>
    </row>
    <row r="1661" spans="1:4" s="40" customFormat="1" ht="15.75" x14ac:dyDescent="0.2">
      <c r="A1661" s="62">
        <v>8802</v>
      </c>
      <c r="B1661" s="46" t="s">
        <v>5529</v>
      </c>
      <c r="C1661" s="54" t="s">
        <v>4217</v>
      </c>
      <c r="D1661" s="71">
        <v>660</v>
      </c>
    </row>
    <row r="1662" spans="1:4" s="40" customFormat="1" ht="15.75" x14ac:dyDescent="0.2">
      <c r="A1662" s="62">
        <v>8803</v>
      </c>
      <c r="B1662" s="46" t="s">
        <v>4869</v>
      </c>
      <c r="C1662" s="54" t="s">
        <v>3751</v>
      </c>
      <c r="D1662" s="71">
        <v>3080</v>
      </c>
    </row>
    <row r="1663" spans="1:4" s="40" customFormat="1" ht="15.75" x14ac:dyDescent="0.2">
      <c r="A1663" s="62">
        <v>8804</v>
      </c>
      <c r="B1663" s="46" t="s">
        <v>4818</v>
      </c>
      <c r="C1663" s="54" t="s">
        <v>2650</v>
      </c>
      <c r="D1663" s="71">
        <v>15</v>
      </c>
    </row>
    <row r="1664" spans="1:4" s="40" customFormat="1" ht="15.75" x14ac:dyDescent="0.2">
      <c r="A1664" s="62">
        <v>8805</v>
      </c>
      <c r="B1664" s="46" t="s">
        <v>4819</v>
      </c>
      <c r="C1664" s="54" t="s">
        <v>3753</v>
      </c>
      <c r="D1664" s="71">
        <v>330</v>
      </c>
    </row>
    <row r="1665" spans="1:4" s="40" customFormat="1" ht="15.75" x14ac:dyDescent="0.2">
      <c r="A1665" s="62">
        <v>8806</v>
      </c>
      <c r="B1665" s="46" t="s">
        <v>4872</v>
      </c>
      <c r="C1665" s="54" t="s">
        <v>4112</v>
      </c>
      <c r="D1665" s="71">
        <v>745</v>
      </c>
    </row>
    <row r="1666" spans="1:4" s="40" customFormat="1" ht="15.75" x14ac:dyDescent="0.2">
      <c r="A1666" s="62">
        <v>8807</v>
      </c>
      <c r="B1666" s="46" t="s">
        <v>4874</v>
      </c>
      <c r="C1666" s="54" t="s">
        <v>4112</v>
      </c>
      <c r="D1666" s="71">
        <v>1220</v>
      </c>
    </row>
    <row r="1667" spans="1:4" s="40" customFormat="1" ht="15.75" x14ac:dyDescent="0.2">
      <c r="A1667" s="62">
        <v>8808</v>
      </c>
      <c r="B1667" s="46" t="s">
        <v>4873</v>
      </c>
      <c r="C1667" s="54" t="s">
        <v>4112</v>
      </c>
      <c r="D1667" s="71">
        <v>1016</v>
      </c>
    </row>
    <row r="1668" spans="1:4" s="40" customFormat="1" ht="15.75" x14ac:dyDescent="0.2">
      <c r="A1668" s="62">
        <v>8809</v>
      </c>
      <c r="B1668" s="46" t="s">
        <v>4875</v>
      </c>
      <c r="C1668" s="54" t="s">
        <v>4112</v>
      </c>
      <c r="D1668" s="71">
        <v>1422</v>
      </c>
    </row>
    <row r="1669" spans="1:4" s="40" customFormat="1" ht="15.75" x14ac:dyDescent="0.2">
      <c r="A1669" s="62">
        <v>8810</v>
      </c>
      <c r="B1669" s="46" t="s">
        <v>4876</v>
      </c>
      <c r="C1669" s="54" t="s">
        <v>4112</v>
      </c>
      <c r="D1669" s="71">
        <v>813</v>
      </c>
    </row>
    <row r="1670" spans="1:4" s="40" customFormat="1" ht="15.75" x14ac:dyDescent="0.2">
      <c r="A1670" s="62">
        <v>8811</v>
      </c>
      <c r="B1670" s="46" t="s">
        <v>4877</v>
      </c>
      <c r="C1670" s="54" t="s">
        <v>4112</v>
      </c>
      <c r="D1670" s="71">
        <v>1016</v>
      </c>
    </row>
    <row r="1671" spans="1:4" s="40" customFormat="1" ht="15.75" x14ac:dyDescent="0.2">
      <c r="A1671" s="62">
        <v>8812</v>
      </c>
      <c r="B1671" s="46" t="s">
        <v>4878</v>
      </c>
      <c r="C1671" s="54" t="s">
        <v>4112</v>
      </c>
      <c r="D1671" s="71">
        <v>1151</v>
      </c>
    </row>
    <row r="1672" spans="1:4" s="40" customFormat="1" ht="15.75" x14ac:dyDescent="0.2">
      <c r="A1672" s="62">
        <v>8813</v>
      </c>
      <c r="B1672" s="46" t="s">
        <v>4879</v>
      </c>
      <c r="C1672" s="54" t="s">
        <v>4112</v>
      </c>
      <c r="D1672" s="71">
        <v>968</v>
      </c>
    </row>
    <row r="1673" spans="1:4" s="40" customFormat="1" ht="15.75" x14ac:dyDescent="0.2">
      <c r="A1673" s="62">
        <v>8814</v>
      </c>
      <c r="B1673" s="46" t="s">
        <v>4880</v>
      </c>
      <c r="C1673" s="54" t="s">
        <v>4112</v>
      </c>
      <c r="D1673" s="71">
        <v>860</v>
      </c>
    </row>
    <row r="1674" spans="1:4" s="40" customFormat="1" ht="15.75" x14ac:dyDescent="0.2">
      <c r="A1674" s="62">
        <v>8815</v>
      </c>
      <c r="B1674" s="46" t="s">
        <v>4881</v>
      </c>
      <c r="C1674" s="54" t="s">
        <v>2356</v>
      </c>
      <c r="D1674" s="71">
        <v>70</v>
      </c>
    </row>
    <row r="1675" spans="1:4" s="40" customFormat="1" ht="15.75" x14ac:dyDescent="0.2">
      <c r="A1675" s="62">
        <v>8816</v>
      </c>
      <c r="B1675" s="46" t="s">
        <v>5530</v>
      </c>
      <c r="C1675" s="54" t="s">
        <v>3748</v>
      </c>
      <c r="D1675" s="71">
        <v>200</v>
      </c>
    </row>
    <row r="1676" spans="1:4" s="40" customFormat="1" ht="15.75" x14ac:dyDescent="0.2">
      <c r="A1676" s="62">
        <v>8817</v>
      </c>
      <c r="B1676" s="46" t="s">
        <v>4710</v>
      </c>
      <c r="C1676" s="54" t="s">
        <v>4112</v>
      </c>
      <c r="D1676" s="71">
        <v>1100</v>
      </c>
    </row>
    <row r="1677" spans="1:4" s="40" customFormat="1" ht="15.75" x14ac:dyDescent="0.2">
      <c r="A1677" s="62">
        <v>8818</v>
      </c>
      <c r="B1677" s="46" t="s">
        <v>4820</v>
      </c>
      <c r="C1677" s="54" t="s">
        <v>4112</v>
      </c>
      <c r="D1677" s="71">
        <v>1350</v>
      </c>
    </row>
    <row r="1678" spans="1:4" s="40" customFormat="1" ht="15.75" x14ac:dyDescent="0.2">
      <c r="A1678" s="62">
        <v>8819</v>
      </c>
      <c r="B1678" s="46" t="s">
        <v>4821</v>
      </c>
      <c r="C1678" s="54" t="s">
        <v>2356</v>
      </c>
      <c r="D1678" s="71">
        <v>300</v>
      </c>
    </row>
    <row r="1679" spans="1:4" s="40" customFormat="1" ht="15.75" x14ac:dyDescent="0.2">
      <c r="A1679" s="62">
        <v>8820</v>
      </c>
      <c r="B1679" s="46" t="s">
        <v>4822</v>
      </c>
      <c r="C1679" s="54" t="s">
        <v>4217</v>
      </c>
      <c r="D1679" s="71">
        <v>100</v>
      </c>
    </row>
    <row r="1680" spans="1:4" s="40" customFormat="1" ht="15.75" x14ac:dyDescent="0.2">
      <c r="A1680" s="62">
        <v>8821</v>
      </c>
      <c r="B1680" s="46" t="s">
        <v>4823</v>
      </c>
      <c r="C1680" s="54" t="s">
        <v>2650</v>
      </c>
      <c r="D1680" s="71">
        <v>275</v>
      </c>
    </row>
    <row r="1681" spans="1:4" s="40" customFormat="1" ht="15.75" x14ac:dyDescent="0.2">
      <c r="A1681" s="72" t="s">
        <v>6009</v>
      </c>
      <c r="B1681" s="79" t="s">
        <v>5643</v>
      </c>
      <c r="C1681" s="80" t="s">
        <v>2634</v>
      </c>
      <c r="D1681" s="75">
        <v>200</v>
      </c>
    </row>
    <row r="1682" spans="1:4" s="40" customFormat="1" ht="15.75" x14ac:dyDescent="0.2">
      <c r="A1682" s="62">
        <v>8822</v>
      </c>
      <c r="B1682" s="46" t="s">
        <v>4824</v>
      </c>
      <c r="C1682" s="54" t="s">
        <v>2650</v>
      </c>
      <c r="D1682" s="71">
        <v>130</v>
      </c>
    </row>
    <row r="1683" spans="1:4" s="40" customFormat="1" ht="31.5" x14ac:dyDescent="0.2">
      <c r="A1683" s="62">
        <v>8823</v>
      </c>
      <c r="B1683" s="46" t="s">
        <v>5531</v>
      </c>
      <c r="C1683" s="54" t="s">
        <v>2437</v>
      </c>
      <c r="D1683" s="71">
        <v>825</v>
      </c>
    </row>
    <row r="1684" spans="1:4" s="40" customFormat="1" ht="15.75" x14ac:dyDescent="0.2">
      <c r="A1684" s="62">
        <v>8824</v>
      </c>
      <c r="B1684" s="46" t="s">
        <v>5532</v>
      </c>
      <c r="C1684" s="54" t="s">
        <v>4217</v>
      </c>
      <c r="D1684" s="71">
        <v>205</v>
      </c>
    </row>
    <row r="1685" spans="1:4" s="40" customFormat="1" ht="15.75" x14ac:dyDescent="0.2">
      <c r="A1685" s="62">
        <v>8825</v>
      </c>
      <c r="B1685" s="46" t="s">
        <v>5533</v>
      </c>
      <c r="C1685" s="54" t="s">
        <v>4217</v>
      </c>
      <c r="D1685" s="71">
        <v>130</v>
      </c>
    </row>
    <row r="1686" spans="1:4" s="40" customFormat="1" ht="31.5" x14ac:dyDescent="0.2">
      <c r="A1686" s="62">
        <v>8826</v>
      </c>
      <c r="B1686" s="46" t="s">
        <v>5534</v>
      </c>
      <c r="C1686" s="54" t="s">
        <v>4217</v>
      </c>
      <c r="D1686" s="71">
        <v>80</v>
      </c>
    </row>
    <row r="1687" spans="1:4" s="40" customFormat="1" ht="31.5" x14ac:dyDescent="0.2">
      <c r="A1687" s="62">
        <v>8827</v>
      </c>
      <c r="B1687" s="46" t="s">
        <v>5535</v>
      </c>
      <c r="C1687" s="54" t="s">
        <v>4217</v>
      </c>
      <c r="D1687" s="71">
        <v>37</v>
      </c>
    </row>
    <row r="1688" spans="1:4" s="40" customFormat="1" ht="15.75" x14ac:dyDescent="0.2">
      <c r="A1688" s="62">
        <v>8828</v>
      </c>
      <c r="B1688" s="46" t="s">
        <v>4825</v>
      </c>
      <c r="C1688" s="54" t="s">
        <v>4217</v>
      </c>
      <c r="D1688" s="71">
        <v>8</v>
      </c>
    </row>
    <row r="1689" spans="1:4" s="40" customFormat="1" ht="15.75" x14ac:dyDescent="0.2">
      <c r="A1689" s="62">
        <v>8829</v>
      </c>
      <c r="B1689" s="46" t="s">
        <v>4826</v>
      </c>
      <c r="C1689" s="54" t="s">
        <v>4217</v>
      </c>
      <c r="D1689" s="71">
        <v>7</v>
      </c>
    </row>
    <row r="1690" spans="1:4" s="40" customFormat="1" ht="15.75" x14ac:dyDescent="0.2">
      <c r="A1690" s="62">
        <v>8830</v>
      </c>
      <c r="B1690" s="46" t="s">
        <v>4827</v>
      </c>
      <c r="C1690" s="54" t="s">
        <v>4217</v>
      </c>
      <c r="D1690" s="71">
        <v>3</v>
      </c>
    </row>
    <row r="1691" spans="1:4" s="40" customFormat="1" ht="15.75" x14ac:dyDescent="0.2">
      <c r="A1691" s="62">
        <v>8831</v>
      </c>
      <c r="B1691" s="46" t="s">
        <v>4828</v>
      </c>
      <c r="C1691" s="54" t="s">
        <v>4217</v>
      </c>
      <c r="D1691" s="71">
        <v>42</v>
      </c>
    </row>
    <row r="1692" spans="1:4" s="40" customFormat="1" ht="31.5" x14ac:dyDescent="0.2">
      <c r="A1692" s="62">
        <v>8832</v>
      </c>
      <c r="B1692" s="46" t="s">
        <v>4882</v>
      </c>
      <c r="C1692" s="54" t="s">
        <v>4112</v>
      </c>
      <c r="D1692" s="71">
        <v>935</v>
      </c>
    </row>
    <row r="1693" spans="1:4" s="40" customFormat="1" ht="15.75" x14ac:dyDescent="0.2">
      <c r="A1693" s="62">
        <v>8833</v>
      </c>
      <c r="B1693" s="46" t="s">
        <v>4883</v>
      </c>
      <c r="C1693" s="54" t="s">
        <v>2437</v>
      </c>
      <c r="D1693" s="71">
        <v>945</v>
      </c>
    </row>
    <row r="1694" spans="1:4" s="40" customFormat="1" ht="15.75" x14ac:dyDescent="0.2">
      <c r="A1694" s="62">
        <v>8834</v>
      </c>
      <c r="B1694" s="46" t="s">
        <v>5536</v>
      </c>
      <c r="C1694" s="54" t="s">
        <v>4217</v>
      </c>
      <c r="D1694" s="71">
        <v>195</v>
      </c>
    </row>
    <row r="1695" spans="1:4" s="40" customFormat="1" ht="15.75" x14ac:dyDescent="0.2">
      <c r="A1695" s="62">
        <v>8835</v>
      </c>
      <c r="B1695" s="46" t="s">
        <v>5537</v>
      </c>
      <c r="C1695" s="54" t="s">
        <v>4217</v>
      </c>
      <c r="D1695" s="71">
        <v>81</v>
      </c>
    </row>
    <row r="1696" spans="1:4" s="40" customFormat="1" ht="15.75" x14ac:dyDescent="0.2">
      <c r="A1696" s="62">
        <v>8836</v>
      </c>
      <c r="B1696" s="46" t="s">
        <v>5538</v>
      </c>
      <c r="C1696" s="54" t="s">
        <v>4217</v>
      </c>
      <c r="D1696" s="71">
        <v>41</v>
      </c>
    </row>
    <row r="1697" spans="1:4" s="40" customFormat="1" ht="15.75" x14ac:dyDescent="0.2">
      <c r="A1697" s="62">
        <v>8837</v>
      </c>
      <c r="B1697" s="46" t="s">
        <v>4884</v>
      </c>
      <c r="C1697" s="54" t="s">
        <v>2437</v>
      </c>
      <c r="D1697" s="71">
        <v>865</v>
      </c>
    </row>
    <row r="1698" spans="1:4" s="40" customFormat="1" ht="15.75" x14ac:dyDescent="0.2">
      <c r="A1698" s="62">
        <v>8838</v>
      </c>
      <c r="B1698" s="46" t="s">
        <v>4830</v>
      </c>
      <c r="C1698" s="54" t="s">
        <v>3208</v>
      </c>
      <c r="D1698" s="71">
        <v>140</v>
      </c>
    </row>
    <row r="1699" spans="1:4" s="40" customFormat="1" ht="15.75" x14ac:dyDescent="0.2">
      <c r="A1699" s="62">
        <v>8839</v>
      </c>
      <c r="B1699" s="46" t="s">
        <v>4831</v>
      </c>
      <c r="C1699" s="54" t="s">
        <v>4111</v>
      </c>
      <c r="D1699" s="71">
        <v>15</v>
      </c>
    </row>
    <row r="1700" spans="1:4" s="40" customFormat="1" ht="15.75" x14ac:dyDescent="0.2">
      <c r="A1700" s="62">
        <v>8840</v>
      </c>
      <c r="B1700" s="46" t="s">
        <v>4832</v>
      </c>
      <c r="C1700" s="54" t="s">
        <v>3208</v>
      </c>
      <c r="D1700" s="71">
        <v>250</v>
      </c>
    </row>
    <row r="1701" spans="1:4" s="40" customFormat="1" ht="15.75" x14ac:dyDescent="0.2">
      <c r="A1701" s="62">
        <v>8841</v>
      </c>
      <c r="B1701" s="46" t="s">
        <v>4833</v>
      </c>
      <c r="C1701" s="54" t="s">
        <v>3208</v>
      </c>
      <c r="D1701" s="71">
        <v>255</v>
      </c>
    </row>
    <row r="1702" spans="1:4" s="40" customFormat="1" ht="15.75" x14ac:dyDescent="0.2">
      <c r="A1702" s="62">
        <v>8842</v>
      </c>
      <c r="B1702" s="46" t="s">
        <v>4834</v>
      </c>
      <c r="C1702" s="54" t="s">
        <v>2634</v>
      </c>
      <c r="D1702" s="71">
        <v>270</v>
      </c>
    </row>
    <row r="1703" spans="1:4" s="40" customFormat="1" ht="15.75" x14ac:dyDescent="0.2">
      <c r="A1703" s="62">
        <v>8843</v>
      </c>
      <c r="B1703" s="46" t="s">
        <v>4835</v>
      </c>
      <c r="C1703" s="54" t="s">
        <v>3208</v>
      </c>
      <c r="D1703" s="71">
        <v>500</v>
      </c>
    </row>
    <row r="1704" spans="1:4" s="40" customFormat="1" ht="15.75" x14ac:dyDescent="0.2">
      <c r="A1704" s="62">
        <v>8844</v>
      </c>
      <c r="B1704" s="46" t="s">
        <v>4837</v>
      </c>
      <c r="C1704" s="54" t="s">
        <v>3208</v>
      </c>
      <c r="D1704" s="71">
        <v>150</v>
      </c>
    </row>
    <row r="1705" spans="1:4" s="40" customFormat="1" ht="15.75" x14ac:dyDescent="0.2">
      <c r="A1705" s="62">
        <v>8845</v>
      </c>
      <c r="B1705" s="46" t="s">
        <v>1674</v>
      </c>
      <c r="C1705" s="54" t="s">
        <v>3208</v>
      </c>
      <c r="D1705" s="71">
        <v>270</v>
      </c>
    </row>
    <row r="1706" spans="1:4" s="40" customFormat="1" ht="15.75" x14ac:dyDescent="0.2">
      <c r="A1706" s="62">
        <v>8846</v>
      </c>
      <c r="B1706" s="46" t="s">
        <v>4838</v>
      </c>
      <c r="C1706" s="54" t="s">
        <v>4111</v>
      </c>
      <c r="D1706" s="71">
        <v>190</v>
      </c>
    </row>
    <row r="1707" spans="1:4" s="40" customFormat="1" ht="15.75" x14ac:dyDescent="0.2">
      <c r="A1707" s="62">
        <v>8847</v>
      </c>
      <c r="B1707" s="46" t="s">
        <v>4839</v>
      </c>
      <c r="C1707" s="54" t="s">
        <v>3208</v>
      </c>
      <c r="D1707" s="71">
        <v>160</v>
      </c>
    </row>
    <row r="1708" spans="1:4" s="40" customFormat="1" ht="15.75" x14ac:dyDescent="0.2">
      <c r="A1708" s="62">
        <v>8848</v>
      </c>
      <c r="B1708" s="46" t="s">
        <v>4840</v>
      </c>
      <c r="C1708" s="54" t="s">
        <v>3208</v>
      </c>
      <c r="D1708" s="71">
        <v>500</v>
      </c>
    </row>
    <row r="1709" spans="1:4" s="40" customFormat="1" ht="15.75" x14ac:dyDescent="0.2">
      <c r="A1709" s="62">
        <v>8849</v>
      </c>
      <c r="B1709" s="46" t="s">
        <v>4841</v>
      </c>
      <c r="C1709" s="54" t="s">
        <v>3735</v>
      </c>
      <c r="D1709" s="71">
        <v>500</v>
      </c>
    </row>
    <row r="1710" spans="1:4" s="40" customFormat="1" ht="15.75" x14ac:dyDescent="0.2">
      <c r="A1710" s="62">
        <v>8850</v>
      </c>
      <c r="B1710" s="46" t="s">
        <v>4842</v>
      </c>
      <c r="C1710" s="54" t="s">
        <v>3032</v>
      </c>
      <c r="D1710" s="71">
        <v>15000</v>
      </c>
    </row>
    <row r="1711" spans="1:4" s="40" customFormat="1" ht="15.75" x14ac:dyDescent="0.2">
      <c r="A1711" s="62">
        <v>8851</v>
      </c>
      <c r="B1711" s="46" t="s">
        <v>5539</v>
      </c>
      <c r="C1711" s="54" t="s">
        <v>4843</v>
      </c>
      <c r="D1711" s="71">
        <v>400</v>
      </c>
    </row>
    <row r="1712" spans="1:4" s="40" customFormat="1" ht="15.75" x14ac:dyDescent="0.2">
      <c r="A1712" s="62">
        <v>8852</v>
      </c>
      <c r="B1712" s="46" t="s">
        <v>5540</v>
      </c>
      <c r="C1712" s="54" t="s">
        <v>4843</v>
      </c>
      <c r="D1712" s="71">
        <v>480</v>
      </c>
    </row>
    <row r="1713" spans="1:4" s="40" customFormat="1" ht="15.75" x14ac:dyDescent="0.2">
      <c r="A1713" s="62">
        <v>8853</v>
      </c>
      <c r="B1713" s="46" t="s">
        <v>5541</v>
      </c>
      <c r="C1713" s="54" t="s">
        <v>5547</v>
      </c>
      <c r="D1713" s="71">
        <v>32</v>
      </c>
    </row>
    <row r="1714" spans="1:4" s="40" customFormat="1" ht="15.75" x14ac:dyDescent="0.2">
      <c r="A1714" s="62">
        <v>8854</v>
      </c>
      <c r="B1714" s="46" t="s">
        <v>5542</v>
      </c>
      <c r="C1714" s="54" t="s">
        <v>4843</v>
      </c>
      <c r="D1714" s="71">
        <v>600</v>
      </c>
    </row>
    <row r="1715" spans="1:4" s="40" customFormat="1" ht="31.5" x14ac:dyDescent="0.2">
      <c r="A1715" s="62">
        <v>8855</v>
      </c>
      <c r="B1715" s="46" t="s">
        <v>5543</v>
      </c>
      <c r="C1715" s="54" t="s">
        <v>4843</v>
      </c>
      <c r="D1715" s="71">
        <v>700</v>
      </c>
    </row>
    <row r="1716" spans="1:4" s="40" customFormat="1" ht="15.75" x14ac:dyDescent="0.2">
      <c r="A1716" s="62">
        <v>8856</v>
      </c>
      <c r="B1716" s="46" t="s">
        <v>5544</v>
      </c>
      <c r="C1716" s="54" t="s">
        <v>4843</v>
      </c>
      <c r="D1716" s="71">
        <v>300</v>
      </c>
    </row>
    <row r="1717" spans="1:4" s="40" customFormat="1" ht="31.5" x14ac:dyDescent="0.2">
      <c r="A1717" s="62">
        <v>8858</v>
      </c>
      <c r="B1717" s="46" t="s">
        <v>5545</v>
      </c>
      <c r="C1717" s="54" t="s">
        <v>4843</v>
      </c>
      <c r="D1717" s="71">
        <v>350</v>
      </c>
    </row>
    <row r="1718" spans="1:4" s="40" customFormat="1" ht="31.5" x14ac:dyDescent="0.2">
      <c r="A1718" s="62">
        <v>8859</v>
      </c>
      <c r="B1718" s="46" t="s">
        <v>5546</v>
      </c>
      <c r="C1718" s="54" t="s">
        <v>4843</v>
      </c>
      <c r="D1718" s="71">
        <v>350</v>
      </c>
    </row>
    <row r="1719" spans="1:4" s="40" customFormat="1" ht="78.75" x14ac:dyDescent="0.2">
      <c r="A1719" s="62">
        <v>8860</v>
      </c>
      <c r="B1719" s="46" t="s">
        <v>5552</v>
      </c>
      <c r="C1719" s="54" t="s">
        <v>4843</v>
      </c>
      <c r="D1719" s="71">
        <v>1200</v>
      </c>
    </row>
    <row r="1720" spans="1:4" s="40" customFormat="1" ht="78.75" x14ac:dyDescent="0.2">
      <c r="A1720" s="62">
        <v>8861</v>
      </c>
      <c r="B1720" s="46" t="s">
        <v>5551</v>
      </c>
      <c r="C1720" s="54" t="s">
        <v>4843</v>
      </c>
      <c r="D1720" s="71">
        <v>700</v>
      </c>
    </row>
    <row r="1721" spans="1:4" s="40" customFormat="1" ht="15.75" x14ac:dyDescent="0.2">
      <c r="A1721" s="62">
        <v>8862</v>
      </c>
      <c r="B1721" s="46" t="s">
        <v>4844</v>
      </c>
      <c r="C1721" s="54" t="s">
        <v>4845</v>
      </c>
      <c r="D1721" s="71">
        <v>270</v>
      </c>
    </row>
    <row r="1722" spans="1:4" s="40" customFormat="1" ht="15.75" x14ac:dyDescent="0.2">
      <c r="A1722" s="62">
        <v>8863</v>
      </c>
      <c r="B1722" s="46" t="s">
        <v>4846</v>
      </c>
      <c r="C1722" s="54" t="s">
        <v>2453</v>
      </c>
      <c r="D1722" s="71">
        <v>450</v>
      </c>
    </row>
    <row r="1723" spans="1:4" s="40" customFormat="1" ht="15.75" x14ac:dyDescent="0.2">
      <c r="A1723" s="62">
        <v>8864</v>
      </c>
      <c r="B1723" s="46" t="s">
        <v>4847</v>
      </c>
      <c r="C1723" s="54" t="s">
        <v>2437</v>
      </c>
      <c r="D1723" s="71">
        <v>1800</v>
      </c>
    </row>
    <row r="1724" spans="1:4" s="40" customFormat="1" ht="15.75" x14ac:dyDescent="0.2">
      <c r="A1724" s="62">
        <v>8865</v>
      </c>
      <c r="B1724" s="46" t="s">
        <v>4848</v>
      </c>
      <c r="C1724" s="54" t="s">
        <v>3736</v>
      </c>
      <c r="D1724" s="71">
        <v>1.25</v>
      </c>
    </row>
    <row r="1725" spans="1:4" s="40" customFormat="1" ht="15.75" x14ac:dyDescent="0.2">
      <c r="A1725" s="62">
        <v>8866</v>
      </c>
      <c r="B1725" s="46" t="s">
        <v>5548</v>
      </c>
      <c r="C1725" s="54" t="s">
        <v>2453</v>
      </c>
      <c r="D1725" s="71">
        <v>710</v>
      </c>
    </row>
    <row r="1726" spans="1:4" s="40" customFormat="1" ht="15.75" x14ac:dyDescent="0.2">
      <c r="A1726" s="62">
        <v>8867</v>
      </c>
      <c r="B1726" s="46" t="s">
        <v>5549</v>
      </c>
      <c r="C1726" s="54" t="s">
        <v>2453</v>
      </c>
      <c r="D1726" s="71">
        <v>380</v>
      </c>
    </row>
    <row r="1727" spans="1:4" s="40" customFormat="1" ht="31.5" x14ac:dyDescent="0.2">
      <c r="A1727" s="62">
        <v>8868</v>
      </c>
      <c r="B1727" s="46" t="s">
        <v>4886</v>
      </c>
      <c r="C1727" s="54" t="s">
        <v>2437</v>
      </c>
      <c r="D1727" s="71">
        <v>715</v>
      </c>
    </row>
    <row r="1728" spans="1:4" s="40" customFormat="1" ht="31.5" x14ac:dyDescent="0.2">
      <c r="A1728" s="62">
        <v>8869</v>
      </c>
      <c r="B1728" s="46" t="s">
        <v>4885</v>
      </c>
      <c r="C1728" s="54" t="s">
        <v>2437</v>
      </c>
      <c r="D1728" s="71">
        <v>1050</v>
      </c>
    </row>
    <row r="1729" spans="1:4" s="40" customFormat="1" ht="15.75" x14ac:dyDescent="0.2">
      <c r="A1729" s="62">
        <v>8870</v>
      </c>
      <c r="B1729" s="46" t="s">
        <v>4891</v>
      </c>
      <c r="C1729" s="54" t="s">
        <v>3208</v>
      </c>
      <c r="D1729" s="71">
        <v>900</v>
      </c>
    </row>
    <row r="1730" spans="1:4" s="40" customFormat="1" ht="15.75" x14ac:dyDescent="0.2">
      <c r="A1730" s="62">
        <v>8871</v>
      </c>
      <c r="B1730" s="46" t="s">
        <v>4887</v>
      </c>
      <c r="C1730" s="54" t="s">
        <v>1153</v>
      </c>
      <c r="D1730" s="71">
        <v>20</v>
      </c>
    </row>
    <row r="1731" spans="1:4" s="40" customFormat="1" ht="15.75" x14ac:dyDescent="0.2">
      <c r="A1731" s="62">
        <v>8872</v>
      </c>
      <c r="B1731" s="46" t="s">
        <v>4890</v>
      </c>
      <c r="C1731" s="54" t="s">
        <v>2453</v>
      </c>
      <c r="D1731" s="71">
        <v>350</v>
      </c>
    </row>
    <row r="1732" spans="1:4" s="40" customFormat="1" ht="15.75" x14ac:dyDescent="0.2">
      <c r="A1732" s="62">
        <v>8873</v>
      </c>
      <c r="B1732" s="46" t="s">
        <v>4888</v>
      </c>
      <c r="C1732" s="54" t="s">
        <v>4112</v>
      </c>
      <c r="D1732" s="71">
        <v>1400</v>
      </c>
    </row>
    <row r="1733" spans="1:4" s="40" customFormat="1" ht="15.75" x14ac:dyDescent="0.2">
      <c r="A1733" s="62">
        <v>8874</v>
      </c>
      <c r="B1733" s="46" t="s">
        <v>4889</v>
      </c>
      <c r="C1733" s="54" t="s">
        <v>4112</v>
      </c>
      <c r="D1733" s="71">
        <v>700</v>
      </c>
    </row>
    <row r="1734" spans="1:4" s="40" customFormat="1" ht="15.75" x14ac:dyDescent="0.2">
      <c r="A1734" s="62">
        <v>8875</v>
      </c>
      <c r="B1734" s="46" t="s">
        <v>4892</v>
      </c>
      <c r="C1734" s="54" t="s">
        <v>4112</v>
      </c>
      <c r="D1734" s="71">
        <v>350</v>
      </c>
    </row>
    <row r="1735" spans="1:4" s="40" customFormat="1" ht="15.75" x14ac:dyDescent="0.2">
      <c r="A1735" s="62">
        <v>8876</v>
      </c>
      <c r="B1735" s="46" t="s">
        <v>4853</v>
      </c>
      <c r="C1735" s="54" t="s">
        <v>4852</v>
      </c>
      <c r="D1735" s="71">
        <v>1.25</v>
      </c>
    </row>
    <row r="1736" spans="1:4" s="40" customFormat="1" ht="15.75" x14ac:dyDescent="0.2">
      <c r="A1736" s="62">
        <v>8877</v>
      </c>
      <c r="B1736" s="46" t="s">
        <v>4854</v>
      </c>
      <c r="C1736" s="54" t="s">
        <v>4217</v>
      </c>
      <c r="D1736" s="71">
        <v>83</v>
      </c>
    </row>
    <row r="1737" spans="1:4" s="40" customFormat="1" ht="15.75" x14ac:dyDescent="0.2">
      <c r="A1737" s="62">
        <v>8878</v>
      </c>
      <c r="B1737" s="46" t="s">
        <v>4893</v>
      </c>
      <c r="C1737" s="54" t="s">
        <v>4851</v>
      </c>
      <c r="D1737" s="71">
        <v>350</v>
      </c>
    </row>
    <row r="1738" spans="1:4" s="40" customFormat="1" ht="15.75" x14ac:dyDescent="0.2">
      <c r="A1738" s="62">
        <v>8879</v>
      </c>
      <c r="B1738" s="46" t="s">
        <v>4894</v>
      </c>
      <c r="C1738" s="54" t="s">
        <v>4851</v>
      </c>
      <c r="D1738" s="71">
        <v>40</v>
      </c>
    </row>
    <row r="1739" spans="1:4" s="40" customFormat="1" ht="31.5" x14ac:dyDescent="0.2">
      <c r="A1739" s="62">
        <v>8880</v>
      </c>
      <c r="B1739" s="46" t="s">
        <v>4961</v>
      </c>
      <c r="C1739" s="54" t="s">
        <v>4217</v>
      </c>
      <c r="D1739" s="71">
        <v>2050</v>
      </c>
    </row>
    <row r="1740" spans="1:4" s="40" customFormat="1" ht="31.5" x14ac:dyDescent="0.2">
      <c r="A1740" s="62">
        <v>8881</v>
      </c>
      <c r="B1740" s="46" t="s">
        <v>4962</v>
      </c>
      <c r="C1740" s="54" t="s">
        <v>4217</v>
      </c>
      <c r="D1740" s="71">
        <v>4990</v>
      </c>
    </row>
    <row r="1741" spans="1:4" s="40" customFormat="1" ht="15.75" x14ac:dyDescent="0.2">
      <c r="A1741" s="62">
        <v>8882</v>
      </c>
      <c r="B1741" s="46" t="s">
        <v>4963</v>
      </c>
      <c r="C1741" s="54" t="s">
        <v>4217</v>
      </c>
      <c r="D1741" s="71">
        <v>11850</v>
      </c>
    </row>
    <row r="1742" spans="1:4" s="40" customFormat="1" ht="31.5" x14ac:dyDescent="0.2">
      <c r="A1742" s="62">
        <v>8883</v>
      </c>
      <c r="B1742" s="46" t="s">
        <v>4964</v>
      </c>
      <c r="C1742" s="54" t="s">
        <v>4217</v>
      </c>
      <c r="D1742" s="71">
        <v>16500</v>
      </c>
    </row>
    <row r="1743" spans="1:4" s="40" customFormat="1" ht="15.75" x14ac:dyDescent="0.2">
      <c r="A1743" s="62">
        <v>8884</v>
      </c>
      <c r="B1743" s="46" t="s">
        <v>4965</v>
      </c>
      <c r="C1743" s="54" t="s">
        <v>4217</v>
      </c>
      <c r="D1743" s="71">
        <v>2100</v>
      </c>
    </row>
    <row r="1744" spans="1:4" s="40" customFormat="1" ht="31.5" x14ac:dyDescent="0.2">
      <c r="A1744" s="62">
        <v>8885</v>
      </c>
      <c r="B1744" s="46" t="s">
        <v>4966</v>
      </c>
      <c r="C1744" s="54" t="s">
        <v>4217</v>
      </c>
      <c r="D1744" s="71">
        <v>7800</v>
      </c>
    </row>
    <row r="1745" spans="1:4" s="40" customFormat="1" ht="15.75" x14ac:dyDescent="0.2">
      <c r="A1745" s="62">
        <v>8886</v>
      </c>
      <c r="B1745" s="46" t="s">
        <v>4967</v>
      </c>
      <c r="C1745" s="54" t="s">
        <v>4217</v>
      </c>
      <c r="D1745" s="71">
        <v>2350</v>
      </c>
    </row>
    <row r="1746" spans="1:4" s="40" customFormat="1" ht="15.75" x14ac:dyDescent="0.2">
      <c r="A1746" s="62">
        <v>8887</v>
      </c>
      <c r="B1746" s="46" t="s">
        <v>4968</v>
      </c>
      <c r="C1746" s="54" t="s">
        <v>4217</v>
      </c>
      <c r="D1746" s="71">
        <v>1750</v>
      </c>
    </row>
    <row r="1747" spans="1:4" s="40" customFormat="1" ht="15.75" x14ac:dyDescent="0.2">
      <c r="A1747" s="62">
        <v>8888</v>
      </c>
      <c r="B1747" s="46" t="s">
        <v>4969</v>
      </c>
      <c r="C1747" s="54" t="s">
        <v>4217</v>
      </c>
      <c r="D1747" s="71">
        <v>100</v>
      </c>
    </row>
    <row r="1748" spans="1:4" s="40" customFormat="1" ht="31.5" x14ac:dyDescent="0.2">
      <c r="A1748" s="62">
        <v>8889</v>
      </c>
      <c r="B1748" s="46" t="s">
        <v>4970</v>
      </c>
      <c r="C1748" s="54" t="s">
        <v>4217</v>
      </c>
      <c r="D1748" s="71">
        <v>3040</v>
      </c>
    </row>
    <row r="1749" spans="1:4" s="40" customFormat="1" ht="31.5" x14ac:dyDescent="0.2">
      <c r="A1749" s="62">
        <v>8890</v>
      </c>
      <c r="B1749" s="46" t="s">
        <v>4971</v>
      </c>
      <c r="C1749" s="54" t="s">
        <v>4217</v>
      </c>
      <c r="D1749" s="71">
        <v>830</v>
      </c>
    </row>
    <row r="1750" spans="1:4" s="40" customFormat="1" ht="31.5" x14ac:dyDescent="0.2">
      <c r="A1750" s="62">
        <v>8891</v>
      </c>
      <c r="B1750" s="46" t="s">
        <v>4972</v>
      </c>
      <c r="C1750" s="54" t="s">
        <v>4217</v>
      </c>
      <c r="D1750" s="71">
        <v>1890</v>
      </c>
    </row>
    <row r="1751" spans="1:4" s="40" customFormat="1" ht="15.75" x14ac:dyDescent="0.2">
      <c r="A1751" s="62">
        <v>8892</v>
      </c>
      <c r="B1751" s="46" t="s">
        <v>4895</v>
      </c>
      <c r="C1751" s="54" t="s">
        <v>4855</v>
      </c>
      <c r="D1751" s="71">
        <v>78</v>
      </c>
    </row>
    <row r="1752" spans="1:4" s="40" customFormat="1" ht="15.75" x14ac:dyDescent="0.2">
      <c r="A1752" s="62">
        <v>8893</v>
      </c>
      <c r="B1752" s="46" t="s">
        <v>4856</v>
      </c>
      <c r="C1752" s="54" t="s">
        <v>4857</v>
      </c>
      <c r="D1752" s="71">
        <v>120</v>
      </c>
    </row>
    <row r="1753" spans="1:4" s="40" customFormat="1" ht="15.75" x14ac:dyDescent="0.2">
      <c r="A1753" s="62">
        <v>8894</v>
      </c>
      <c r="B1753" s="46" t="s">
        <v>4858</v>
      </c>
      <c r="C1753" s="54" t="s">
        <v>4857</v>
      </c>
      <c r="D1753" s="71">
        <v>40</v>
      </c>
    </row>
    <row r="1754" spans="1:4" s="40" customFormat="1" ht="15.75" x14ac:dyDescent="0.2">
      <c r="A1754" s="62">
        <v>8895</v>
      </c>
      <c r="B1754" s="46" t="s">
        <v>4896</v>
      </c>
      <c r="C1754" s="54" t="s">
        <v>3748</v>
      </c>
      <c r="D1754" s="71">
        <v>3850</v>
      </c>
    </row>
    <row r="1755" spans="1:4" s="40" customFormat="1" ht="15.75" x14ac:dyDescent="0.2">
      <c r="A1755" s="62">
        <v>8896</v>
      </c>
      <c r="B1755" s="46" t="s">
        <v>4897</v>
      </c>
      <c r="C1755" s="54" t="s">
        <v>3748</v>
      </c>
      <c r="D1755" s="71">
        <v>1400</v>
      </c>
    </row>
    <row r="1756" spans="1:4" s="40" customFormat="1" ht="15.75" x14ac:dyDescent="0.2">
      <c r="A1756" s="62">
        <v>8897</v>
      </c>
      <c r="B1756" s="46" t="s">
        <v>4859</v>
      </c>
      <c r="C1756" s="54" t="s">
        <v>3748</v>
      </c>
      <c r="D1756" s="71">
        <v>6500</v>
      </c>
    </row>
    <row r="1757" spans="1:4" s="40" customFormat="1" ht="15.75" x14ac:dyDescent="0.2">
      <c r="A1757" s="62">
        <v>8898</v>
      </c>
      <c r="B1757" s="46" t="s">
        <v>4898</v>
      </c>
      <c r="C1757" s="54" t="s">
        <v>3748</v>
      </c>
      <c r="D1757" s="71">
        <v>80</v>
      </c>
    </row>
    <row r="1758" spans="1:4" s="40" customFormat="1" ht="15.75" x14ac:dyDescent="0.2">
      <c r="A1758" s="62">
        <v>8899</v>
      </c>
      <c r="B1758" s="46" t="s">
        <v>4899</v>
      </c>
      <c r="C1758" s="54" t="s">
        <v>3748</v>
      </c>
      <c r="D1758" s="71">
        <v>1350</v>
      </c>
    </row>
    <row r="1759" spans="1:4" s="40" customFormat="1" ht="15.75" x14ac:dyDescent="0.2">
      <c r="A1759" s="62">
        <v>8900</v>
      </c>
      <c r="B1759" s="46" t="s">
        <v>4860</v>
      </c>
      <c r="C1759" s="54" t="s">
        <v>4217</v>
      </c>
      <c r="D1759" s="71">
        <v>1275</v>
      </c>
    </row>
    <row r="1760" spans="1:4" s="40" customFormat="1" ht="15.75" x14ac:dyDescent="0.2">
      <c r="A1760" s="62">
        <v>8901</v>
      </c>
      <c r="B1760" s="46" t="s">
        <v>4861</v>
      </c>
      <c r="C1760" s="54" t="s">
        <v>4217</v>
      </c>
      <c r="D1760" s="71">
        <v>1775</v>
      </c>
    </row>
    <row r="1761" spans="1:4" s="40" customFormat="1" ht="15.75" x14ac:dyDescent="0.2">
      <c r="A1761" s="62">
        <v>8902</v>
      </c>
      <c r="B1761" s="67" t="s">
        <v>4862</v>
      </c>
      <c r="C1761" s="51" t="s">
        <v>4217</v>
      </c>
      <c r="D1761" s="71">
        <v>4000</v>
      </c>
    </row>
    <row r="1762" spans="1:4" s="40" customFormat="1" ht="15.75" x14ac:dyDescent="0.2">
      <c r="A1762" s="62">
        <v>8903</v>
      </c>
      <c r="B1762" s="46" t="s">
        <v>4863</v>
      </c>
      <c r="C1762" s="51" t="s">
        <v>4217</v>
      </c>
      <c r="D1762" s="71">
        <v>1210</v>
      </c>
    </row>
    <row r="1763" spans="1:4" s="40" customFormat="1" ht="15.75" x14ac:dyDescent="0.2">
      <c r="A1763" s="62">
        <v>8904</v>
      </c>
      <c r="B1763" s="46" t="s">
        <v>4864</v>
      </c>
      <c r="C1763" s="51" t="s">
        <v>4217</v>
      </c>
      <c r="D1763" s="71">
        <v>2100</v>
      </c>
    </row>
    <row r="1764" spans="1:4" s="40" customFormat="1" ht="15.75" x14ac:dyDescent="0.2">
      <c r="A1764" s="62">
        <v>8905</v>
      </c>
      <c r="B1764" s="46" t="s">
        <v>4900</v>
      </c>
      <c r="C1764" s="51" t="s">
        <v>4217</v>
      </c>
      <c r="D1764" s="71">
        <v>170</v>
      </c>
    </row>
    <row r="1765" spans="1:4" s="40" customFormat="1" ht="15.75" x14ac:dyDescent="0.2">
      <c r="A1765" s="62">
        <v>8906</v>
      </c>
      <c r="B1765" s="46" t="s">
        <v>4901</v>
      </c>
      <c r="C1765" s="51" t="s">
        <v>4217</v>
      </c>
      <c r="D1765" s="71">
        <v>180</v>
      </c>
    </row>
    <row r="1766" spans="1:4" s="40" customFormat="1" ht="15.75" x14ac:dyDescent="0.2">
      <c r="A1766" s="62">
        <v>8907</v>
      </c>
      <c r="B1766" s="46" t="s">
        <v>4902</v>
      </c>
      <c r="C1766" s="51" t="s">
        <v>4217</v>
      </c>
      <c r="D1766" s="71">
        <v>225</v>
      </c>
    </row>
    <row r="1767" spans="1:4" s="40" customFormat="1" ht="15.75" x14ac:dyDescent="0.2">
      <c r="A1767" s="62">
        <v>8908</v>
      </c>
      <c r="B1767" s="46" t="s">
        <v>4865</v>
      </c>
      <c r="C1767" s="51" t="s">
        <v>4217</v>
      </c>
      <c r="D1767" s="71">
        <v>195</v>
      </c>
    </row>
    <row r="1768" spans="1:4" s="40" customFormat="1" ht="15.75" x14ac:dyDescent="0.2">
      <c r="A1768" s="62">
        <v>8909</v>
      </c>
      <c r="B1768" s="46" t="s">
        <v>4866</v>
      </c>
      <c r="C1768" s="51" t="s">
        <v>4217</v>
      </c>
      <c r="D1768" s="71">
        <v>4950</v>
      </c>
    </row>
    <row r="1769" spans="1:4" s="40" customFormat="1" ht="15.75" x14ac:dyDescent="0.2">
      <c r="A1769" s="62">
        <v>8910</v>
      </c>
      <c r="B1769" s="46" t="s">
        <v>4867</v>
      </c>
      <c r="C1769" s="51" t="s">
        <v>1528</v>
      </c>
      <c r="D1769" s="71">
        <v>850</v>
      </c>
    </row>
    <row r="1770" spans="1:4" ht="15.75" x14ac:dyDescent="0.2">
      <c r="A1770" s="62">
        <v>9000</v>
      </c>
      <c r="B1770" s="43" t="s">
        <v>9</v>
      </c>
      <c r="C1770" s="44" t="s">
        <v>3326</v>
      </c>
      <c r="D1770" s="71">
        <v>4500</v>
      </c>
    </row>
    <row r="1771" spans="1:4" s="38" customFormat="1" ht="31.5" x14ac:dyDescent="0.2">
      <c r="A1771" s="62">
        <v>9001</v>
      </c>
      <c r="B1771" s="56" t="s">
        <v>1527</v>
      </c>
      <c r="C1771" s="51" t="s">
        <v>1528</v>
      </c>
      <c r="D1771" s="71">
        <v>420</v>
      </c>
    </row>
    <row r="1772" spans="1:4" s="38" customFormat="1" ht="31.5" hidden="1" x14ac:dyDescent="0.2">
      <c r="A1772" s="62">
        <v>9002</v>
      </c>
      <c r="B1772" s="56" t="s">
        <v>1529</v>
      </c>
      <c r="C1772" s="51" t="s">
        <v>1528</v>
      </c>
      <c r="D1772" s="71" t="str">
        <f t="shared" ref="D1772:D1800" si="0">B1772</f>
        <v>uPVC Outward Open Sash 78x60mm with EPDM &amp; 1.2mm thk G.I Reinforcement (SF78CDA)</v>
      </c>
    </row>
    <row r="1773" spans="1:4" s="38" customFormat="1" ht="31.5" hidden="1" x14ac:dyDescent="0.2">
      <c r="A1773" s="62">
        <v>9003</v>
      </c>
      <c r="B1773" s="56" t="s">
        <v>1530</v>
      </c>
      <c r="C1773" s="51" t="s">
        <v>1528</v>
      </c>
      <c r="D1773" s="71" t="str">
        <f t="shared" si="0"/>
        <v>uPVC Inward Open Sash 73x60mm with EPDM &amp; 1.2mm thk G.I Reinforcement (FR73NDA)</v>
      </c>
    </row>
    <row r="1774" spans="1:4" s="38" customFormat="1" ht="31.5" x14ac:dyDescent="0.2">
      <c r="A1774" s="62">
        <v>9004</v>
      </c>
      <c r="B1774" s="56" t="s">
        <v>1531</v>
      </c>
      <c r="C1774" s="51" t="s">
        <v>1528</v>
      </c>
      <c r="D1774" s="71">
        <v>499</v>
      </c>
    </row>
    <row r="1775" spans="1:4" s="38" customFormat="1" ht="15.75" x14ac:dyDescent="0.2">
      <c r="A1775" s="62">
        <v>9005</v>
      </c>
      <c r="B1775" s="56" t="s">
        <v>1532</v>
      </c>
      <c r="C1775" s="51" t="s">
        <v>1528</v>
      </c>
      <c r="D1775" s="71">
        <v>63</v>
      </c>
    </row>
    <row r="1776" spans="1:4" s="38" customFormat="1" ht="31.5" hidden="1" x14ac:dyDescent="0.2">
      <c r="A1776" s="62">
        <v>9006</v>
      </c>
      <c r="B1776" s="56" t="s">
        <v>1533</v>
      </c>
      <c r="C1776" s="51" t="s">
        <v>1528</v>
      </c>
      <c r="D1776" s="71" t="str">
        <f t="shared" si="0"/>
        <v>uPVC Three Track 80x52mm Sliding Window Frame (2+1 mesh shutter track) with 1.2mm thick steel reinforcement (HF80DA)</v>
      </c>
    </row>
    <row r="1777" spans="1:4" s="38" customFormat="1" ht="31.5" hidden="1" x14ac:dyDescent="0.2">
      <c r="A1777" s="62">
        <v>9007</v>
      </c>
      <c r="B1777" s="56" t="s">
        <v>1534</v>
      </c>
      <c r="C1777" s="51" t="s">
        <v>1528</v>
      </c>
      <c r="D1777" s="71" t="str">
        <f t="shared" si="0"/>
        <v>uPVC Three Track 80x52mm Sliding Window Frame (2+1 mesh shutter track) with aluminium rail &amp; 1.2mm thick steel reinforcement (HF80DA)</v>
      </c>
    </row>
    <row r="1778" spans="1:4" s="38" customFormat="1" ht="31.5" hidden="1" x14ac:dyDescent="0.2">
      <c r="A1778" s="62">
        <v>9008</v>
      </c>
      <c r="B1778" s="56" t="s">
        <v>1535</v>
      </c>
      <c r="C1778" s="51" t="s">
        <v>1528</v>
      </c>
      <c r="D1778" s="71" t="str">
        <f t="shared" si="0"/>
        <v>uPVC Sliding Window Sash 54x38mm with EPDM, wool pie &amp; 1.2mm thick steel reinforcement (SF54DA)</v>
      </c>
    </row>
    <row r="1779" spans="1:4" s="38" customFormat="1" ht="31.5" hidden="1" x14ac:dyDescent="0.2">
      <c r="A1779" s="62">
        <v>9009</v>
      </c>
      <c r="B1779" s="56" t="s">
        <v>1536</v>
      </c>
      <c r="C1779" s="51" t="s">
        <v>1528</v>
      </c>
      <c r="D1779" s="71" t="str">
        <f t="shared" si="0"/>
        <v>uPVC Sliding Window Mash shutter Sash 52x21.5mm with 1.2mm thick steel reinforcement (MF52DA)</v>
      </c>
    </row>
    <row r="1780" spans="1:4" s="38" customFormat="1" ht="15.75" hidden="1" x14ac:dyDescent="0.2">
      <c r="A1780" s="62">
        <v>9010</v>
      </c>
      <c r="B1780" s="56" t="s">
        <v>1537</v>
      </c>
      <c r="C1780" s="51" t="s">
        <v>1528</v>
      </c>
      <c r="D1780" s="71" t="str">
        <f t="shared" si="0"/>
        <v>uPVC Single Glazing Bead 20.5x16 with EPDM (GB21DA)</v>
      </c>
    </row>
    <row r="1781" spans="1:4" s="38" customFormat="1" ht="31.5" hidden="1" x14ac:dyDescent="0.2">
      <c r="A1781" s="62">
        <v>9011</v>
      </c>
      <c r="B1781" s="56" t="s">
        <v>1538</v>
      </c>
      <c r="C1781" s="51" t="s">
        <v>1528</v>
      </c>
      <c r="D1781" s="71" t="str">
        <f t="shared" si="0"/>
        <v>uPVC Fix Window Frame 60x48mm with EPDM &amp; 1.2mm thk G.I Reinforcement (BR48DA)</v>
      </c>
    </row>
    <row r="1782" spans="1:4" s="38" customFormat="1" ht="31.5" hidden="1" x14ac:dyDescent="0.2">
      <c r="A1782" s="62">
        <v>9012</v>
      </c>
      <c r="B1782" s="56" t="s">
        <v>1539</v>
      </c>
      <c r="C1782" s="51" t="s">
        <v>1528</v>
      </c>
      <c r="D1782" s="71" t="str">
        <f t="shared" si="0"/>
        <v>uPVC Openable Door Frame 70x60mm with EPDM &amp; 1.2mm thk G.I Reinforcement (MK60DA)</v>
      </c>
    </row>
    <row r="1783" spans="1:4" s="38" customFormat="1" ht="31.5" hidden="1" x14ac:dyDescent="0.2">
      <c r="A1783" s="62">
        <v>9013</v>
      </c>
      <c r="B1783" s="56" t="s">
        <v>1540</v>
      </c>
      <c r="C1783" s="51" t="s">
        <v>1528</v>
      </c>
      <c r="D1783" s="71" t="str">
        <f t="shared" si="0"/>
        <v>uPVC Door Sash 106x60mm with EPDM &amp; 1.2mm thk G.I Reinforcement (SF106DA)</v>
      </c>
    </row>
    <row r="1784" spans="1:4" s="38" customFormat="1" ht="31.5" hidden="1" x14ac:dyDescent="0.2">
      <c r="A1784" s="62">
        <v>9014</v>
      </c>
      <c r="B1784" s="56" t="s">
        <v>1541</v>
      </c>
      <c r="C1784" s="51" t="s">
        <v>1528</v>
      </c>
      <c r="D1784" s="71" t="str">
        <f t="shared" si="0"/>
        <v>uPVC Two Track 62x60mm Sliding Door Frame with 1.2mm thick steel reinforcement (HF62DA)</v>
      </c>
    </row>
    <row r="1785" spans="1:4" s="38" customFormat="1" ht="31.5" hidden="1" x14ac:dyDescent="0.2">
      <c r="A1785" s="62">
        <v>9015</v>
      </c>
      <c r="B1785" s="56" t="s">
        <v>1542</v>
      </c>
      <c r="C1785" s="51" t="s">
        <v>1528</v>
      </c>
      <c r="D1785" s="71" t="str">
        <f t="shared" si="0"/>
        <v>uPVC Two Track 62x60mm Sliding Door Frame with aluminium rail &amp; 1.2mm thick steel reinforcement (HF62DA)</v>
      </c>
    </row>
    <row r="1786" spans="1:4" s="38" customFormat="1" ht="31.5" hidden="1" x14ac:dyDescent="0.2">
      <c r="A1786" s="62">
        <v>9016</v>
      </c>
      <c r="B1786" s="56" t="s">
        <v>1543</v>
      </c>
      <c r="C1786" s="51" t="s">
        <v>1528</v>
      </c>
      <c r="D1786" s="71" t="str">
        <f t="shared" si="0"/>
        <v>uPVC Sliding Door Sash 66x42mm with EPDM, wool pie &amp; 1.2mm thick steel reinforcement (SF66DA)</v>
      </c>
    </row>
    <row r="1787" spans="1:4" s="38" customFormat="1" ht="31.5" hidden="1" x14ac:dyDescent="0.2">
      <c r="A1787" s="62">
        <v>9017</v>
      </c>
      <c r="B1787" s="56" t="s">
        <v>1544</v>
      </c>
      <c r="C1787" s="51" t="s">
        <v>1528</v>
      </c>
      <c r="D1787" s="71" t="str">
        <f t="shared" si="0"/>
        <v>uPVC Sliding Door Mash shutter Sash 50x26.5mm with 1.2mm thick steel reinforcement (MF50DA)</v>
      </c>
    </row>
    <row r="1788" spans="1:4" s="38" customFormat="1" ht="15.75" hidden="1" x14ac:dyDescent="0.2">
      <c r="A1788" s="62">
        <v>9018</v>
      </c>
      <c r="B1788" s="56" t="s">
        <v>1545</v>
      </c>
      <c r="C1788" s="51" t="s">
        <v>1528</v>
      </c>
      <c r="D1788" s="71" t="str">
        <f t="shared" si="0"/>
        <v>uPVC Single Glazing Bead 24.5x16 with EPDM (GB25DA)</v>
      </c>
    </row>
    <row r="1789" spans="1:4" s="38" customFormat="1" ht="31.5" hidden="1" x14ac:dyDescent="0.2">
      <c r="A1789" s="62">
        <v>9019</v>
      </c>
      <c r="B1789" s="56" t="s">
        <v>1546</v>
      </c>
      <c r="C1789" s="51" t="s">
        <v>1528</v>
      </c>
      <c r="D1789" s="71" t="str">
        <f t="shared" si="0"/>
        <v>uPVC Three Track Sliding Door Frame 95.5x60mm with 1.2mm thick steel reinforcement (HF95NDA)</v>
      </c>
    </row>
    <row r="1790" spans="1:4" s="38" customFormat="1" ht="31.5" hidden="1" x14ac:dyDescent="0.2">
      <c r="A1790" s="62">
        <v>9020</v>
      </c>
      <c r="B1790" s="56" t="s">
        <v>1547</v>
      </c>
      <c r="C1790" s="51" t="s">
        <v>1528</v>
      </c>
      <c r="D1790" s="71" t="str">
        <f t="shared" si="0"/>
        <v>uPVC Three Track Sliding Door Frame 95.5x60mm with aluminium rail &amp; 1.2mm thick steel reinforcement (HF95NDA)</v>
      </c>
    </row>
    <row r="1791" spans="1:4" s="38" customFormat="1" ht="15.75" hidden="1" x14ac:dyDescent="0.2">
      <c r="A1791" s="62">
        <v>9021</v>
      </c>
      <c r="B1791" s="56" t="s">
        <v>1548</v>
      </c>
      <c r="C1791" s="51" t="s">
        <v>1549</v>
      </c>
      <c r="D1791" s="71" t="str">
        <f t="shared" si="0"/>
        <v>12" Friction Hinge 2.5mm thick SS301 Grade (Set of 2 Pcs.)</v>
      </c>
    </row>
    <row r="1792" spans="1:4" s="38" customFormat="1" ht="31.5" x14ac:dyDescent="0.2">
      <c r="A1792" s="62">
        <v>9022</v>
      </c>
      <c r="B1792" s="56" t="s">
        <v>1550</v>
      </c>
      <c r="C1792" s="51" t="s">
        <v>1551</v>
      </c>
      <c r="D1792" s="71">
        <v>635</v>
      </c>
    </row>
    <row r="1793" spans="1:4" s="38" customFormat="1" ht="15.75" x14ac:dyDescent="0.2">
      <c r="A1793" s="62">
        <v>9023</v>
      </c>
      <c r="B1793" s="56" t="s">
        <v>1552</v>
      </c>
      <c r="C1793" s="51" t="s">
        <v>1553</v>
      </c>
      <c r="D1793" s="71">
        <v>509</v>
      </c>
    </row>
    <row r="1794" spans="1:4" s="38" customFormat="1" ht="15.75" hidden="1" x14ac:dyDescent="0.2">
      <c r="A1794" s="62">
        <v>9024</v>
      </c>
      <c r="B1794" s="56" t="s">
        <v>1554</v>
      </c>
      <c r="C1794" s="51" t="s">
        <v>1555</v>
      </c>
      <c r="D1794" s="71" t="str">
        <f t="shared" si="0"/>
        <v>Single Wheel Pully (Sliding Roller)</v>
      </c>
    </row>
    <row r="1795" spans="1:4" s="38" customFormat="1" ht="15.75" hidden="1" x14ac:dyDescent="0.2">
      <c r="A1795" s="62">
        <v>9025</v>
      </c>
      <c r="B1795" s="56" t="s">
        <v>1556</v>
      </c>
      <c r="C1795" s="51" t="s">
        <v>1555</v>
      </c>
      <c r="D1795" s="71" t="str">
        <f t="shared" si="0"/>
        <v>Touch Lock System with Keep for Sliding Window</v>
      </c>
    </row>
    <row r="1796" spans="1:4" s="38" customFormat="1" ht="15.75" hidden="1" x14ac:dyDescent="0.2">
      <c r="A1796" s="62">
        <v>9026</v>
      </c>
      <c r="B1796" s="56" t="s">
        <v>1557</v>
      </c>
      <c r="C1796" s="51" t="s">
        <v>1553</v>
      </c>
      <c r="D1796" s="71" t="str">
        <f t="shared" si="0"/>
        <v>Fiber/Nylon Mesh for M.Mesh Shutter</v>
      </c>
    </row>
    <row r="1797" spans="1:4" s="38" customFormat="1" ht="15.75" hidden="1" x14ac:dyDescent="0.2">
      <c r="A1797" s="62">
        <v>9027</v>
      </c>
      <c r="B1797" s="56" t="s">
        <v>1558</v>
      </c>
      <c r="C1797" s="51" t="s">
        <v>1555</v>
      </c>
      <c r="D1797" s="71" t="str">
        <f t="shared" si="0"/>
        <v>Door Butt Hinge (Load Bearing white powder coated)</v>
      </c>
    </row>
    <row r="1798" spans="1:4" s="38" customFormat="1" ht="31.5" hidden="1" x14ac:dyDescent="0.2">
      <c r="A1798" s="62">
        <v>9028</v>
      </c>
      <c r="B1798" s="56" t="s">
        <v>1559</v>
      </c>
      <c r="C1798" s="51" t="s">
        <v>1555</v>
      </c>
      <c r="D1798" s="71" t="str">
        <f t="shared" si="0"/>
        <v>Multipoint Door Transmission Gear (ESPAG) with white finish powder coated lockable handle</v>
      </c>
    </row>
    <row r="1799" spans="1:4" s="38" customFormat="1" ht="15.75" hidden="1" x14ac:dyDescent="0.2">
      <c r="A1799" s="62">
        <v>9029</v>
      </c>
      <c r="B1799" s="56" t="s">
        <v>1560</v>
      </c>
      <c r="C1799" s="51" t="s">
        <v>1555</v>
      </c>
      <c r="D1799" s="71" t="str">
        <f t="shared" si="0"/>
        <v>Double Wheel Pully (Sliding Door Roller)</v>
      </c>
    </row>
    <row r="1800" spans="1:4" s="38" customFormat="1" ht="31.5" hidden="1" x14ac:dyDescent="0.2">
      <c r="A1800" s="62">
        <v>9030</v>
      </c>
      <c r="B1800" s="56" t="s">
        <v>1561</v>
      </c>
      <c r="C1800" s="51" t="s">
        <v>1555</v>
      </c>
      <c r="D1800" s="71" t="str">
        <f t="shared" si="0"/>
        <v>Multipoint Sliding Door Transmission Gear (ESPAG) with white finish powder coated POP-UP handle</v>
      </c>
    </row>
    <row r="1801" spans="1:4" s="38" customFormat="1" ht="31.5" x14ac:dyDescent="0.2">
      <c r="A1801" s="62">
        <v>9050</v>
      </c>
      <c r="B1801" s="47" t="s">
        <v>1562</v>
      </c>
      <c r="C1801" s="51" t="s">
        <v>1553</v>
      </c>
      <c r="D1801" s="71">
        <v>572</v>
      </c>
    </row>
    <row r="1802" spans="1:4" s="38" customFormat="1" ht="31.5" x14ac:dyDescent="0.2">
      <c r="A1802" s="62">
        <v>9051</v>
      </c>
      <c r="B1802" s="47" t="s">
        <v>1563</v>
      </c>
      <c r="C1802" s="51" t="s">
        <v>1553</v>
      </c>
      <c r="D1802" s="71">
        <v>347</v>
      </c>
    </row>
    <row r="1803" spans="1:4" s="38" customFormat="1" ht="15.75" x14ac:dyDescent="0.2">
      <c r="A1803" s="62">
        <v>9052</v>
      </c>
      <c r="B1803" s="65" t="s">
        <v>419</v>
      </c>
      <c r="C1803" s="51" t="s">
        <v>421</v>
      </c>
      <c r="D1803" s="71">
        <v>1549</v>
      </c>
    </row>
    <row r="1804" spans="1:4" s="38" customFormat="1" ht="15.75" x14ac:dyDescent="0.2">
      <c r="A1804" s="62">
        <v>9053</v>
      </c>
      <c r="B1804" s="65" t="s">
        <v>420</v>
      </c>
      <c r="C1804" s="51" t="s">
        <v>4217</v>
      </c>
      <c r="D1804" s="71">
        <v>7980</v>
      </c>
    </row>
    <row r="1805" spans="1:4" s="38" customFormat="1" ht="15.75" x14ac:dyDescent="0.2">
      <c r="A1805" s="62">
        <v>9054</v>
      </c>
      <c r="B1805" s="43" t="s">
        <v>4280</v>
      </c>
      <c r="C1805" s="44" t="s">
        <v>4112</v>
      </c>
      <c r="D1805" s="71">
        <v>300</v>
      </c>
    </row>
    <row r="1806" spans="1:4" s="38" customFormat="1" ht="15.75" x14ac:dyDescent="0.2">
      <c r="A1806" s="62">
        <v>9055</v>
      </c>
      <c r="B1806" s="43" t="s">
        <v>4281</v>
      </c>
      <c r="C1806" s="44" t="s">
        <v>4112</v>
      </c>
      <c r="D1806" s="71">
        <v>450</v>
      </c>
    </row>
    <row r="1807" spans="1:4" s="38" customFormat="1" ht="15.75" x14ac:dyDescent="0.2">
      <c r="A1807" s="62">
        <v>9056</v>
      </c>
      <c r="B1807" s="43" t="s">
        <v>4282</v>
      </c>
      <c r="C1807" s="44" t="s">
        <v>4112</v>
      </c>
      <c r="D1807" s="71">
        <v>575</v>
      </c>
    </row>
    <row r="1808" spans="1:4" s="38" customFormat="1" ht="15.75" x14ac:dyDescent="0.2">
      <c r="A1808" s="62">
        <v>9100</v>
      </c>
      <c r="B1808" s="43" t="s">
        <v>4525</v>
      </c>
      <c r="C1808" s="44" t="s">
        <v>3748</v>
      </c>
      <c r="D1808" s="71">
        <v>1750</v>
      </c>
    </row>
    <row r="1809" spans="1:4" s="38" customFormat="1" ht="15.75" x14ac:dyDescent="0.2">
      <c r="A1809" s="62">
        <v>9101</v>
      </c>
      <c r="B1809" s="43" t="s">
        <v>4526</v>
      </c>
      <c r="C1809" s="44" t="s">
        <v>3748</v>
      </c>
      <c r="D1809" s="71">
        <v>3600</v>
      </c>
    </row>
    <row r="1810" spans="1:4" s="38" customFormat="1" ht="15.75" x14ac:dyDescent="0.2">
      <c r="A1810" s="62">
        <v>9102</v>
      </c>
      <c r="B1810" s="43" t="s">
        <v>4527</v>
      </c>
      <c r="C1810" s="44" t="s">
        <v>3748</v>
      </c>
      <c r="D1810" s="71">
        <v>870</v>
      </c>
    </row>
    <row r="1811" spans="1:4" s="38" customFormat="1" ht="29.25" customHeight="1" x14ac:dyDescent="0.2">
      <c r="A1811" s="62">
        <v>9103</v>
      </c>
      <c r="B1811" s="43" t="s">
        <v>4528</v>
      </c>
      <c r="C1811" s="44" t="s">
        <v>3748</v>
      </c>
      <c r="D1811" s="71">
        <v>997</v>
      </c>
    </row>
    <row r="1812" spans="1:4" s="38" customFormat="1" ht="15.75" x14ac:dyDescent="0.2">
      <c r="A1812" s="62">
        <v>9104</v>
      </c>
      <c r="B1812" s="43" t="s">
        <v>4529</v>
      </c>
      <c r="C1812" s="44" t="s">
        <v>3748</v>
      </c>
      <c r="D1812" s="71">
        <v>1200</v>
      </c>
    </row>
    <row r="1813" spans="1:4" s="38" customFormat="1" ht="15.75" x14ac:dyDescent="0.2">
      <c r="A1813" s="62">
        <v>9105</v>
      </c>
      <c r="B1813" s="43" t="s">
        <v>4530</v>
      </c>
      <c r="C1813" s="44" t="s">
        <v>3748</v>
      </c>
      <c r="D1813" s="71">
        <v>1926</v>
      </c>
    </row>
    <row r="1814" spans="1:4" s="38" customFormat="1" ht="15.75" x14ac:dyDescent="0.2">
      <c r="A1814" s="62">
        <v>9106</v>
      </c>
      <c r="B1814" s="43" t="s">
        <v>4531</v>
      </c>
      <c r="C1814" s="44" t="s">
        <v>3748</v>
      </c>
      <c r="D1814" s="71">
        <v>901</v>
      </c>
    </row>
    <row r="1815" spans="1:4" s="38" customFormat="1" ht="15.75" x14ac:dyDescent="0.2">
      <c r="A1815" s="62">
        <v>9107</v>
      </c>
      <c r="B1815" s="43" t="s">
        <v>4532</v>
      </c>
      <c r="C1815" s="44" t="s">
        <v>3748</v>
      </c>
      <c r="D1815" s="71">
        <v>1588</v>
      </c>
    </row>
    <row r="1816" spans="1:4" s="38" customFormat="1" ht="15.75" x14ac:dyDescent="0.2">
      <c r="A1816" s="62">
        <v>9108</v>
      </c>
      <c r="B1816" s="43" t="s">
        <v>4533</v>
      </c>
      <c r="C1816" s="44" t="s">
        <v>3748</v>
      </c>
      <c r="D1816" s="71">
        <v>1588</v>
      </c>
    </row>
    <row r="1817" spans="1:4" s="38" customFormat="1" ht="15.75" x14ac:dyDescent="0.2">
      <c r="A1817" s="62">
        <v>9109</v>
      </c>
      <c r="B1817" s="43" t="s">
        <v>4534</v>
      </c>
      <c r="C1817" s="44" t="s">
        <v>3748</v>
      </c>
      <c r="D1817" s="71">
        <v>1690</v>
      </c>
    </row>
    <row r="1818" spans="1:4" s="38" customFormat="1" ht="15.75" x14ac:dyDescent="0.2">
      <c r="A1818" s="62">
        <v>9110</v>
      </c>
      <c r="B1818" s="43" t="s">
        <v>4535</v>
      </c>
      <c r="C1818" s="44" t="s">
        <v>3748</v>
      </c>
      <c r="D1818" s="71">
        <v>370</v>
      </c>
    </row>
    <row r="1819" spans="1:4" s="38" customFormat="1" ht="15.75" x14ac:dyDescent="0.2">
      <c r="A1819" s="62">
        <v>9111</v>
      </c>
      <c r="B1819" s="43" t="s">
        <v>4536</v>
      </c>
      <c r="C1819" s="44" t="s">
        <v>3748</v>
      </c>
      <c r="D1819" s="71">
        <v>420</v>
      </c>
    </row>
    <row r="1820" spans="1:4" s="38" customFormat="1" ht="15.75" x14ac:dyDescent="0.2">
      <c r="A1820" s="62">
        <v>9112</v>
      </c>
      <c r="B1820" s="43" t="s">
        <v>4549</v>
      </c>
      <c r="C1820" s="44" t="s">
        <v>3748</v>
      </c>
      <c r="D1820" s="71">
        <v>750</v>
      </c>
    </row>
    <row r="1821" spans="1:4" s="38" customFormat="1" ht="15.75" x14ac:dyDescent="0.2">
      <c r="A1821" s="62">
        <v>9113</v>
      </c>
      <c r="B1821" s="43" t="s">
        <v>4550</v>
      </c>
      <c r="C1821" s="44" t="s">
        <v>3748</v>
      </c>
      <c r="D1821" s="71">
        <v>860</v>
      </c>
    </row>
    <row r="1822" spans="1:4" s="38" customFormat="1" ht="15.75" x14ac:dyDescent="0.2">
      <c r="A1822" s="62">
        <v>9114</v>
      </c>
      <c r="B1822" s="43" t="s">
        <v>4551</v>
      </c>
      <c r="C1822" s="44" t="s">
        <v>3748</v>
      </c>
      <c r="D1822" s="71">
        <v>500</v>
      </c>
    </row>
    <row r="1823" spans="1:4" s="38" customFormat="1" ht="15.75" x14ac:dyDescent="0.2">
      <c r="A1823" s="62">
        <v>9115</v>
      </c>
      <c r="B1823" s="43" t="s">
        <v>4552</v>
      </c>
      <c r="C1823" s="44" t="s">
        <v>3748</v>
      </c>
      <c r="D1823" s="71">
        <v>600</v>
      </c>
    </row>
    <row r="1824" spans="1:4" s="38" customFormat="1" ht="15.75" x14ac:dyDescent="0.2">
      <c r="A1824" s="62">
        <v>9116</v>
      </c>
      <c r="B1824" s="43" t="s">
        <v>4553</v>
      </c>
      <c r="C1824" s="44" t="s">
        <v>3748</v>
      </c>
      <c r="D1824" s="71">
        <v>260</v>
      </c>
    </row>
    <row r="1825" spans="1:4" s="38" customFormat="1" ht="15.75" x14ac:dyDescent="0.2">
      <c r="A1825" s="62">
        <v>9117</v>
      </c>
      <c r="B1825" s="43" t="s">
        <v>4659</v>
      </c>
      <c r="C1825" s="44" t="s">
        <v>3748</v>
      </c>
      <c r="D1825" s="71">
        <v>70</v>
      </c>
    </row>
    <row r="1826" spans="1:4" s="38" customFormat="1" ht="15.75" x14ac:dyDescent="0.2">
      <c r="A1826" s="62">
        <v>9118</v>
      </c>
      <c r="B1826" s="43" t="s">
        <v>4660</v>
      </c>
      <c r="C1826" s="44" t="s">
        <v>3748</v>
      </c>
      <c r="D1826" s="71">
        <v>90</v>
      </c>
    </row>
    <row r="1827" spans="1:4" s="38" customFormat="1" ht="31.5" x14ac:dyDescent="0.2">
      <c r="A1827" s="62">
        <v>9119</v>
      </c>
      <c r="B1827" s="43" t="s">
        <v>4661</v>
      </c>
      <c r="C1827" s="44" t="s">
        <v>3748</v>
      </c>
      <c r="D1827" s="71">
        <v>110</v>
      </c>
    </row>
    <row r="1828" spans="1:4" s="38" customFormat="1" ht="31.5" x14ac:dyDescent="0.2">
      <c r="A1828" s="62">
        <v>9120</v>
      </c>
      <c r="B1828" s="43" t="s">
        <v>4662</v>
      </c>
      <c r="C1828" s="44" t="s">
        <v>3748</v>
      </c>
      <c r="D1828" s="71">
        <v>120</v>
      </c>
    </row>
    <row r="1829" spans="1:4" s="38" customFormat="1" ht="15.75" x14ac:dyDescent="0.2">
      <c r="A1829" s="62">
        <v>9121</v>
      </c>
      <c r="B1829" s="43" t="s">
        <v>4663</v>
      </c>
      <c r="C1829" s="44" t="s">
        <v>3748</v>
      </c>
      <c r="D1829" s="71">
        <v>400</v>
      </c>
    </row>
    <row r="1830" spans="1:4" s="38" customFormat="1" ht="15.75" x14ac:dyDescent="0.2">
      <c r="A1830" s="62">
        <v>9122</v>
      </c>
      <c r="B1830" s="43" t="s">
        <v>4664</v>
      </c>
      <c r="C1830" s="44" t="s">
        <v>3748</v>
      </c>
      <c r="D1830" s="71">
        <v>300</v>
      </c>
    </row>
    <row r="1831" spans="1:4" s="38" customFormat="1" ht="15.75" x14ac:dyDescent="0.2">
      <c r="A1831" s="62">
        <v>9123</v>
      </c>
      <c r="B1831" s="43" t="s">
        <v>4665</v>
      </c>
      <c r="C1831" s="44" t="s">
        <v>3748</v>
      </c>
      <c r="D1831" s="71">
        <v>90</v>
      </c>
    </row>
    <row r="1832" spans="1:4" s="38" customFormat="1" ht="15.75" x14ac:dyDescent="0.2">
      <c r="A1832" s="62">
        <v>9124</v>
      </c>
      <c r="B1832" s="43" t="s">
        <v>4976</v>
      </c>
      <c r="C1832" s="44" t="s">
        <v>3748</v>
      </c>
      <c r="D1832" s="71">
        <v>200</v>
      </c>
    </row>
    <row r="1833" spans="1:4" s="38" customFormat="1" ht="15.75" x14ac:dyDescent="0.2">
      <c r="A1833" s="62">
        <v>9125</v>
      </c>
      <c r="B1833" s="43" t="s">
        <v>4666</v>
      </c>
      <c r="C1833" s="44" t="s">
        <v>3748</v>
      </c>
      <c r="D1833" s="71">
        <v>550</v>
      </c>
    </row>
    <row r="1834" spans="1:4" s="38" customFormat="1" ht="15.75" x14ac:dyDescent="0.2">
      <c r="A1834" s="62">
        <v>9126</v>
      </c>
      <c r="B1834" s="43" t="s">
        <v>4667</v>
      </c>
      <c r="C1834" s="44" t="s">
        <v>3748</v>
      </c>
      <c r="D1834" s="71">
        <v>350</v>
      </c>
    </row>
    <row r="1835" spans="1:4" s="38" customFormat="1" ht="15.75" x14ac:dyDescent="0.2">
      <c r="A1835" s="62">
        <v>9127</v>
      </c>
      <c r="B1835" s="43" t="s">
        <v>4668</v>
      </c>
      <c r="C1835" s="44" t="s">
        <v>3748</v>
      </c>
      <c r="D1835" s="71">
        <v>350</v>
      </c>
    </row>
    <row r="1836" spans="1:4" s="38" customFormat="1" ht="15.75" x14ac:dyDescent="0.2">
      <c r="A1836" s="62">
        <v>9128</v>
      </c>
      <c r="B1836" s="43" t="s">
        <v>4669</v>
      </c>
      <c r="C1836" s="44" t="s">
        <v>3748</v>
      </c>
      <c r="D1836" s="71">
        <v>500</v>
      </c>
    </row>
    <row r="1837" spans="1:4" s="38" customFormat="1" ht="15.75" x14ac:dyDescent="0.2">
      <c r="A1837" s="62">
        <v>9129</v>
      </c>
      <c r="B1837" s="43" t="s">
        <v>4670</v>
      </c>
      <c r="C1837" s="44" t="s">
        <v>3748</v>
      </c>
      <c r="D1837" s="71">
        <v>400</v>
      </c>
    </row>
    <row r="1838" spans="1:4" s="38" customFormat="1" ht="15.75" x14ac:dyDescent="0.2">
      <c r="A1838" s="62">
        <v>9130</v>
      </c>
      <c r="B1838" s="43" t="s">
        <v>4671</v>
      </c>
      <c r="C1838" s="44" t="s">
        <v>3748</v>
      </c>
      <c r="D1838" s="71">
        <v>400</v>
      </c>
    </row>
    <row r="1839" spans="1:4" s="38" customFormat="1" ht="15.75" x14ac:dyDescent="0.2">
      <c r="A1839" s="62">
        <v>9131</v>
      </c>
      <c r="B1839" s="43" t="s">
        <v>4672</v>
      </c>
      <c r="C1839" s="44" t="s">
        <v>3748</v>
      </c>
      <c r="D1839" s="71">
        <v>850</v>
      </c>
    </row>
    <row r="1840" spans="1:4" s="38" customFormat="1" ht="31.5" x14ac:dyDescent="0.2">
      <c r="A1840" s="62">
        <v>9132</v>
      </c>
      <c r="B1840" s="43" t="s">
        <v>4673</v>
      </c>
      <c r="C1840" s="44" t="s">
        <v>3748</v>
      </c>
      <c r="D1840" s="71">
        <v>250</v>
      </c>
    </row>
    <row r="1841" spans="1:4" s="38" customFormat="1" ht="31.5" x14ac:dyDescent="0.2">
      <c r="A1841" s="62">
        <v>9133</v>
      </c>
      <c r="B1841" s="43" t="s">
        <v>4674</v>
      </c>
      <c r="C1841" s="44" t="s">
        <v>3748</v>
      </c>
      <c r="D1841" s="71">
        <v>220</v>
      </c>
    </row>
    <row r="1842" spans="1:4" s="38" customFormat="1" ht="15.75" x14ac:dyDescent="0.2">
      <c r="A1842" s="62">
        <v>9134</v>
      </c>
      <c r="B1842" s="43" t="s">
        <v>4675</v>
      </c>
      <c r="C1842" s="44" t="s">
        <v>3748</v>
      </c>
      <c r="D1842" s="71">
        <v>315</v>
      </c>
    </row>
    <row r="1843" spans="1:4" s="38" customFormat="1" ht="15.75" x14ac:dyDescent="0.2">
      <c r="A1843" s="62">
        <v>9135</v>
      </c>
      <c r="B1843" s="43" t="s">
        <v>4676</v>
      </c>
      <c r="C1843" s="44" t="s">
        <v>3748</v>
      </c>
      <c r="D1843" s="71">
        <v>205</v>
      </c>
    </row>
    <row r="1844" spans="1:4" s="38" customFormat="1" ht="31.5" x14ac:dyDescent="0.2">
      <c r="A1844" s="62">
        <v>9136</v>
      </c>
      <c r="B1844" s="43" t="s">
        <v>4677</v>
      </c>
      <c r="C1844" s="44" t="s">
        <v>3748</v>
      </c>
      <c r="D1844" s="71">
        <v>230</v>
      </c>
    </row>
    <row r="1845" spans="1:4" s="38" customFormat="1" ht="31.5" x14ac:dyDescent="0.2">
      <c r="A1845" s="62">
        <v>9137</v>
      </c>
      <c r="B1845" s="43" t="s">
        <v>4678</v>
      </c>
      <c r="C1845" s="44" t="s">
        <v>3748</v>
      </c>
      <c r="D1845" s="71">
        <v>450</v>
      </c>
    </row>
    <row r="1846" spans="1:4" s="38" customFormat="1" ht="15.75" x14ac:dyDescent="0.2">
      <c r="A1846" s="62">
        <v>9138</v>
      </c>
      <c r="B1846" s="43" t="s">
        <v>4679</v>
      </c>
      <c r="C1846" s="44" t="s">
        <v>3748</v>
      </c>
      <c r="D1846" s="71">
        <v>390</v>
      </c>
    </row>
    <row r="1847" spans="1:4" s="38" customFormat="1" ht="15.75" x14ac:dyDescent="0.2">
      <c r="A1847" s="62">
        <v>9139</v>
      </c>
      <c r="B1847" s="43" t="s">
        <v>4680</v>
      </c>
      <c r="C1847" s="44" t="s">
        <v>3748</v>
      </c>
      <c r="D1847" s="71">
        <v>450</v>
      </c>
    </row>
    <row r="1848" spans="1:4" s="38" customFormat="1" ht="15.75" x14ac:dyDescent="0.2">
      <c r="A1848" s="62">
        <v>9140</v>
      </c>
      <c r="B1848" s="43" t="s">
        <v>4681</v>
      </c>
      <c r="C1848" s="44" t="s">
        <v>3748</v>
      </c>
      <c r="D1848" s="71">
        <v>89</v>
      </c>
    </row>
    <row r="1849" spans="1:4" s="38" customFormat="1" ht="15.75" x14ac:dyDescent="0.2">
      <c r="A1849" s="62">
        <v>9141</v>
      </c>
      <c r="B1849" s="43" t="s">
        <v>4682</v>
      </c>
      <c r="C1849" s="44" t="s">
        <v>3748</v>
      </c>
      <c r="D1849" s="71">
        <v>190</v>
      </c>
    </row>
    <row r="1850" spans="1:4" s="38" customFormat="1" ht="15.75" x14ac:dyDescent="0.2">
      <c r="A1850" s="62">
        <v>9142</v>
      </c>
      <c r="B1850" s="43" t="s">
        <v>4683</v>
      </c>
      <c r="C1850" s="44" t="s">
        <v>3748</v>
      </c>
      <c r="D1850" s="71">
        <v>90</v>
      </c>
    </row>
    <row r="1851" spans="1:4" s="38" customFormat="1" ht="31.5" x14ac:dyDescent="0.2">
      <c r="A1851" s="62">
        <v>9151</v>
      </c>
      <c r="B1851" s="43" t="s">
        <v>4684</v>
      </c>
      <c r="C1851" s="44" t="s">
        <v>3748</v>
      </c>
      <c r="D1851" s="71">
        <v>230</v>
      </c>
    </row>
    <row r="1852" spans="1:4" s="38" customFormat="1" ht="31.5" x14ac:dyDescent="0.2">
      <c r="A1852" s="62">
        <v>9152</v>
      </c>
      <c r="B1852" s="43" t="s">
        <v>4685</v>
      </c>
      <c r="C1852" s="44" t="s">
        <v>3748</v>
      </c>
      <c r="D1852" s="71">
        <v>430</v>
      </c>
    </row>
    <row r="1853" spans="1:4" s="38" customFormat="1" ht="31.5" x14ac:dyDescent="0.2">
      <c r="A1853" s="62">
        <v>9153</v>
      </c>
      <c r="B1853" s="43" t="s">
        <v>4686</v>
      </c>
      <c r="C1853" s="44" t="s">
        <v>3748</v>
      </c>
      <c r="D1853" s="71">
        <v>375</v>
      </c>
    </row>
    <row r="1854" spans="1:4" s="38" customFormat="1" ht="31.5" x14ac:dyDescent="0.2">
      <c r="A1854" s="62">
        <v>9154</v>
      </c>
      <c r="B1854" s="43" t="s">
        <v>4687</v>
      </c>
      <c r="C1854" s="44" t="s">
        <v>3748</v>
      </c>
      <c r="D1854" s="71">
        <v>470</v>
      </c>
    </row>
    <row r="1855" spans="1:4" s="38" customFormat="1" ht="15.75" x14ac:dyDescent="0.2">
      <c r="A1855" s="62">
        <v>9155</v>
      </c>
      <c r="B1855" s="43" t="s">
        <v>4688</v>
      </c>
      <c r="C1855" s="44" t="s">
        <v>3748</v>
      </c>
      <c r="D1855" s="71">
        <v>163</v>
      </c>
    </row>
    <row r="1856" spans="1:4" s="38" customFormat="1" ht="15.75" x14ac:dyDescent="0.2">
      <c r="A1856" s="62">
        <v>9156</v>
      </c>
      <c r="B1856" s="43" t="s">
        <v>4689</v>
      </c>
      <c r="C1856" s="44" t="s">
        <v>3748</v>
      </c>
      <c r="D1856" s="71">
        <v>450</v>
      </c>
    </row>
    <row r="1857" spans="1:4" s="38" customFormat="1" ht="31.5" x14ac:dyDescent="0.2">
      <c r="A1857" s="62">
        <v>9157</v>
      </c>
      <c r="B1857" s="43" t="s">
        <v>4690</v>
      </c>
      <c r="C1857" s="44" t="s">
        <v>3748</v>
      </c>
      <c r="D1857" s="71">
        <v>520</v>
      </c>
    </row>
    <row r="1858" spans="1:4" s="38" customFormat="1" ht="31.5" x14ac:dyDescent="0.2">
      <c r="A1858" s="62">
        <v>9158</v>
      </c>
      <c r="B1858" s="43" t="s">
        <v>4691</v>
      </c>
      <c r="C1858" s="44" t="s">
        <v>3748</v>
      </c>
      <c r="D1858" s="71">
        <v>125</v>
      </c>
    </row>
    <row r="1859" spans="1:4" s="38" customFormat="1" ht="31.5" x14ac:dyDescent="0.2">
      <c r="A1859" s="62">
        <v>9159</v>
      </c>
      <c r="B1859" s="43" t="s">
        <v>4692</v>
      </c>
      <c r="C1859" s="44" t="s">
        <v>3748</v>
      </c>
      <c r="D1859" s="71">
        <v>140</v>
      </c>
    </row>
    <row r="1860" spans="1:4" s="38" customFormat="1" ht="31.5" x14ac:dyDescent="0.2">
      <c r="A1860" s="62">
        <v>9160</v>
      </c>
      <c r="B1860" s="43" t="s">
        <v>4693</v>
      </c>
      <c r="C1860" s="44" t="s">
        <v>3748</v>
      </c>
      <c r="D1860" s="71">
        <v>230</v>
      </c>
    </row>
    <row r="1861" spans="1:4" s="38" customFormat="1" ht="31.5" x14ac:dyDescent="0.2">
      <c r="A1861" s="62">
        <v>9161</v>
      </c>
      <c r="B1861" s="43" t="s">
        <v>4694</v>
      </c>
      <c r="C1861" s="44" t="s">
        <v>3748</v>
      </c>
      <c r="D1861" s="71">
        <v>2200</v>
      </c>
    </row>
    <row r="1862" spans="1:4" s="38" customFormat="1" ht="15.75" x14ac:dyDescent="0.2">
      <c r="A1862" s="62">
        <v>9162</v>
      </c>
      <c r="B1862" s="43" t="s">
        <v>4695</v>
      </c>
      <c r="C1862" s="44" t="s">
        <v>3748</v>
      </c>
      <c r="D1862" s="71">
        <v>670</v>
      </c>
    </row>
    <row r="1863" spans="1:4" s="38" customFormat="1" ht="15.75" x14ac:dyDescent="0.2">
      <c r="A1863" s="62">
        <v>9163</v>
      </c>
      <c r="B1863" s="43" t="s">
        <v>4696</v>
      </c>
      <c r="C1863" s="44" t="s">
        <v>3748</v>
      </c>
      <c r="D1863" s="71">
        <v>30</v>
      </c>
    </row>
    <row r="1864" spans="1:4" s="38" customFormat="1" ht="15.75" x14ac:dyDescent="0.2">
      <c r="A1864" s="62">
        <v>9164</v>
      </c>
      <c r="B1864" s="43" t="s">
        <v>4697</v>
      </c>
      <c r="C1864" s="44" t="s">
        <v>3748</v>
      </c>
      <c r="D1864" s="71">
        <v>900</v>
      </c>
    </row>
    <row r="1865" spans="1:4" s="38" customFormat="1" ht="15.75" x14ac:dyDescent="0.2">
      <c r="A1865" s="62">
        <v>9165</v>
      </c>
      <c r="B1865" s="43" t="s">
        <v>4698</v>
      </c>
      <c r="C1865" s="44" t="s">
        <v>3748</v>
      </c>
      <c r="D1865" s="71">
        <v>930</v>
      </c>
    </row>
    <row r="1866" spans="1:4" s="38" customFormat="1" ht="15.75" x14ac:dyDescent="0.2">
      <c r="A1866" s="62">
        <v>9166</v>
      </c>
      <c r="B1866" s="43" t="s">
        <v>4699</v>
      </c>
      <c r="C1866" s="44" t="s">
        <v>1564</v>
      </c>
      <c r="D1866" s="71">
        <v>450</v>
      </c>
    </row>
    <row r="1867" spans="1:4" s="38" customFormat="1" ht="15.75" x14ac:dyDescent="0.2">
      <c r="A1867" s="62">
        <v>9996</v>
      </c>
      <c r="B1867" s="43" t="s">
        <v>4581</v>
      </c>
      <c r="C1867" s="44" t="s">
        <v>3736</v>
      </c>
      <c r="D1867" s="71">
        <v>1.25</v>
      </c>
    </row>
    <row r="1868" spans="1:4" ht="15.75" x14ac:dyDescent="0.2">
      <c r="A1868" s="62">
        <v>9997</v>
      </c>
      <c r="B1868" s="43" t="s">
        <v>2430</v>
      </c>
      <c r="C1868" s="44"/>
      <c r="D1868" s="81">
        <v>0.01</v>
      </c>
    </row>
    <row r="1869" spans="1:4" ht="15.75" x14ac:dyDescent="0.2">
      <c r="A1869" s="62">
        <v>9998</v>
      </c>
      <c r="B1869" s="43" t="s">
        <v>2429</v>
      </c>
      <c r="C1869" s="44"/>
      <c r="D1869" s="81">
        <v>0.1</v>
      </c>
    </row>
    <row r="1870" spans="1:4" ht="15.75" x14ac:dyDescent="0.2">
      <c r="A1870" s="62">
        <v>9999</v>
      </c>
      <c r="B1870" s="43" t="s">
        <v>3738</v>
      </c>
      <c r="C1870" s="44" t="s">
        <v>3736</v>
      </c>
      <c r="D1870" s="71">
        <v>1.25</v>
      </c>
    </row>
  </sheetData>
  <mergeCells count="2">
    <mergeCell ref="A1:D1"/>
    <mergeCell ref="A2:D2"/>
  </mergeCells>
  <printOptions horizontalCentered="1"/>
  <pageMargins left="0.75" right="0.75" top="0.75" bottom="0.75" header="0.5" footer="0.5"/>
  <pageSetup paperSize="9" scale="72" orientation="portrait" r:id="rId1"/>
  <headerFooter>
    <oddHeader>&amp;R&amp;"Arial,Regular"&amp;8(Integrated Building BSR 2022 Rajasthan)</oddHeader>
    <oddFooter>&amp;L&amp;"Arial,Regular"&amp;A&amp;R&amp;"Arial,Regular"[&amp;P]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0B0F0"/>
  </sheetPr>
  <dimension ref="A1:N30"/>
  <sheetViews>
    <sheetView view="pageBreakPreview" topLeftCell="A7" zoomScale="80" zoomScaleNormal="100" zoomScaleSheetLayoutView="80" workbookViewId="0">
      <selection activeCell="A12" sqref="A12"/>
    </sheetView>
  </sheetViews>
  <sheetFormatPr defaultRowHeight="12.75" x14ac:dyDescent="0.2"/>
  <cols>
    <col min="1" max="1" width="10.5703125" style="39" customWidth="1"/>
    <col min="2" max="2" width="32" style="39" customWidth="1"/>
    <col min="3" max="3" width="9.85546875" style="39" bestFit="1" customWidth="1"/>
    <col min="4" max="4" width="8.28515625" style="39" customWidth="1"/>
    <col min="5" max="6" width="11.140625" style="39" customWidth="1"/>
    <col min="7" max="7" width="9.140625" style="39" customWidth="1"/>
    <col min="8" max="8" width="14.28515625" style="39" customWidth="1"/>
    <col min="9" max="9" width="9.42578125" style="39" customWidth="1"/>
    <col min="10" max="10" width="14" style="39" customWidth="1"/>
    <col min="11" max="11" width="9.140625" style="39"/>
    <col min="12" max="12" width="13.5703125" style="39" customWidth="1"/>
    <col min="13" max="13" width="9.85546875" style="39" customWidth="1"/>
    <col min="14" max="14" width="14" style="39" customWidth="1"/>
    <col min="15" max="16384" width="9.140625" style="24"/>
  </cols>
  <sheetData>
    <row r="1" spans="1:14" ht="36.75" customHeight="1" x14ac:dyDescent="0.2">
      <c r="A1" s="247" t="s">
        <v>6037</v>
      </c>
      <c r="B1" s="247"/>
      <c r="C1" s="247"/>
      <c r="D1" s="247"/>
      <c r="E1" s="247"/>
      <c r="F1" s="247"/>
      <c r="G1" s="247"/>
      <c r="H1" s="247"/>
      <c r="I1" s="247"/>
      <c r="J1" s="247"/>
      <c r="K1" s="247"/>
      <c r="L1" s="247"/>
      <c r="M1" s="247"/>
      <c r="N1" s="247"/>
    </row>
    <row r="2" spans="1:14" ht="15.75" x14ac:dyDescent="0.25">
      <c r="A2" s="82" t="s">
        <v>641</v>
      </c>
      <c r="B2" s="83"/>
      <c r="C2" s="83"/>
      <c r="D2" s="83"/>
      <c r="E2" s="83"/>
      <c r="F2" s="83"/>
      <c r="G2" s="83"/>
      <c r="H2" s="83"/>
      <c r="I2" s="83"/>
      <c r="K2" s="83"/>
      <c r="L2" s="83"/>
      <c r="M2" s="83"/>
      <c r="N2" s="83"/>
    </row>
    <row r="3" spans="1:14" ht="15.75" x14ac:dyDescent="0.25">
      <c r="A3" s="84">
        <v>1</v>
      </c>
      <c r="B3" s="83" t="s">
        <v>642</v>
      </c>
      <c r="C3" s="83"/>
      <c r="D3" s="83"/>
      <c r="E3" s="83"/>
      <c r="F3" s="83"/>
      <c r="G3" s="83"/>
      <c r="H3" s="83"/>
      <c r="I3" s="83"/>
      <c r="J3" s="83"/>
      <c r="K3" s="83"/>
      <c r="L3" s="83"/>
      <c r="M3" s="83"/>
      <c r="N3" s="83"/>
    </row>
    <row r="4" spans="1:14" ht="15.75" x14ac:dyDescent="0.25">
      <c r="A4" s="84">
        <v>2</v>
      </c>
      <c r="B4" s="83" t="s">
        <v>643</v>
      </c>
      <c r="C4" s="83"/>
      <c r="D4" s="83"/>
      <c r="E4" s="83"/>
      <c r="F4" s="83"/>
      <c r="G4" s="83"/>
      <c r="H4" s="83"/>
      <c r="I4" s="83"/>
      <c r="J4" s="83"/>
      <c r="K4" s="83"/>
      <c r="L4" s="83"/>
      <c r="M4" s="83"/>
      <c r="N4" s="83"/>
    </row>
    <row r="5" spans="1:14" ht="15.75" x14ac:dyDescent="0.25">
      <c r="A5" s="84"/>
      <c r="B5" s="83" t="s">
        <v>644</v>
      </c>
      <c r="C5" s="83"/>
      <c r="D5" s="83"/>
      <c r="E5" s="83"/>
      <c r="F5" s="83"/>
      <c r="G5" s="83"/>
      <c r="H5" s="83"/>
      <c r="I5" s="83"/>
      <c r="J5" s="83"/>
      <c r="K5" s="83"/>
      <c r="L5" s="83"/>
      <c r="M5" s="83"/>
      <c r="N5" s="83"/>
    </row>
    <row r="6" spans="1:14" ht="15.75" x14ac:dyDescent="0.25">
      <c r="A6" s="84">
        <v>3</v>
      </c>
      <c r="B6" s="83" t="s">
        <v>645</v>
      </c>
      <c r="C6" s="83"/>
      <c r="D6" s="83"/>
      <c r="E6" s="83"/>
      <c r="F6" s="83"/>
      <c r="G6" s="83"/>
      <c r="H6" s="83"/>
      <c r="I6" s="83"/>
      <c r="J6" s="83"/>
      <c r="K6" s="83"/>
      <c r="L6" s="83"/>
      <c r="M6" s="83"/>
      <c r="N6" s="83"/>
    </row>
    <row r="7" spans="1:14" ht="15.75" x14ac:dyDescent="0.25">
      <c r="A7" s="84">
        <v>4</v>
      </c>
      <c r="B7" s="83" t="s">
        <v>6486</v>
      </c>
      <c r="C7" s="83"/>
      <c r="D7" s="83"/>
      <c r="E7" s="83"/>
      <c r="F7" s="83"/>
      <c r="G7" s="83"/>
      <c r="H7" s="83"/>
      <c r="I7" s="83"/>
      <c r="J7" s="83"/>
      <c r="K7" s="83"/>
      <c r="L7" s="83"/>
      <c r="M7" s="83"/>
      <c r="N7" s="83"/>
    </row>
    <row r="8" spans="1:14" ht="15.75" x14ac:dyDescent="0.25">
      <c r="A8" s="82"/>
      <c r="B8" s="83"/>
      <c r="C8" s="83"/>
      <c r="D8" s="83"/>
      <c r="E8" s="83"/>
      <c r="F8" s="83"/>
      <c r="G8" s="83"/>
      <c r="H8" s="83"/>
      <c r="I8" s="83"/>
      <c r="J8" s="83"/>
      <c r="K8" s="83"/>
      <c r="L8" s="83"/>
      <c r="M8" s="83"/>
      <c r="N8" s="83"/>
    </row>
    <row r="9" spans="1:14" ht="18.75" x14ac:dyDescent="0.2">
      <c r="A9" s="248" t="s">
        <v>646</v>
      </c>
      <c r="B9" s="248" t="s">
        <v>647</v>
      </c>
      <c r="C9" s="248" t="s">
        <v>2435</v>
      </c>
      <c r="D9" s="250" t="s">
        <v>648</v>
      </c>
      <c r="E9" s="251"/>
      <c r="F9" s="251"/>
      <c r="G9" s="251"/>
      <c r="H9" s="251"/>
      <c r="I9" s="251"/>
      <c r="J9" s="251"/>
      <c r="K9" s="251"/>
      <c r="L9" s="251"/>
      <c r="M9" s="251"/>
      <c r="N9" s="252"/>
    </row>
    <row r="10" spans="1:14" ht="112.5" x14ac:dyDescent="0.2">
      <c r="A10" s="249"/>
      <c r="B10" s="249"/>
      <c r="C10" s="249"/>
      <c r="D10" s="89" t="s">
        <v>649</v>
      </c>
      <c r="E10" s="89" t="s">
        <v>650</v>
      </c>
      <c r="F10" s="89" t="s">
        <v>651</v>
      </c>
      <c r="G10" s="89" t="s">
        <v>652</v>
      </c>
      <c r="H10" s="89" t="s">
        <v>653</v>
      </c>
      <c r="I10" s="89" t="s">
        <v>654</v>
      </c>
      <c r="J10" s="89" t="s">
        <v>655</v>
      </c>
      <c r="K10" s="89" t="s">
        <v>656</v>
      </c>
      <c r="L10" s="89" t="s">
        <v>657</v>
      </c>
      <c r="M10" s="89" t="s">
        <v>658</v>
      </c>
      <c r="N10" s="89" t="s">
        <v>659</v>
      </c>
    </row>
    <row r="11" spans="1:14" ht="15.75" x14ac:dyDescent="0.25">
      <c r="A11" s="90" t="s">
        <v>4231</v>
      </c>
      <c r="B11" s="90" t="s">
        <v>3737</v>
      </c>
      <c r="C11" s="90" t="s">
        <v>3749</v>
      </c>
      <c r="D11" s="90" t="s">
        <v>3745</v>
      </c>
      <c r="E11" s="90" t="s">
        <v>4115</v>
      </c>
      <c r="F11" s="90" t="s">
        <v>3739</v>
      </c>
      <c r="G11" s="90" t="s">
        <v>3750</v>
      </c>
      <c r="H11" s="90" t="s">
        <v>4129</v>
      </c>
      <c r="I11" s="90" t="s">
        <v>660</v>
      </c>
      <c r="J11" s="90" t="s">
        <v>4232</v>
      </c>
      <c r="K11" s="90" t="s">
        <v>4165</v>
      </c>
      <c r="L11" s="90" t="s">
        <v>4195</v>
      </c>
      <c r="M11" s="90" t="s">
        <v>4113</v>
      </c>
      <c r="N11" s="90" t="s">
        <v>4099</v>
      </c>
    </row>
    <row r="12" spans="1:14" ht="31.5" x14ac:dyDescent="0.2">
      <c r="A12" s="50">
        <v>4.0999999999999996</v>
      </c>
      <c r="B12" s="85" t="s">
        <v>661</v>
      </c>
      <c r="C12" s="50" t="s">
        <v>2439</v>
      </c>
      <c r="D12" s="86">
        <v>23</v>
      </c>
      <c r="E12" s="86">
        <v>4</v>
      </c>
      <c r="F12" s="86">
        <f>ROUND(D12+E12*9,0)</f>
        <v>59</v>
      </c>
      <c r="G12" s="86">
        <f>64*1.25</f>
        <v>80</v>
      </c>
      <c r="H12" s="86">
        <v>9</v>
      </c>
      <c r="I12" s="86">
        <f>G12+(H12*5)</f>
        <v>125</v>
      </c>
      <c r="J12" s="86">
        <v>8</v>
      </c>
      <c r="K12" s="86">
        <f>I12+(J12*5)</f>
        <v>165</v>
      </c>
      <c r="L12" s="86">
        <v>8</v>
      </c>
      <c r="M12" s="86">
        <v>240</v>
      </c>
      <c r="N12" s="86">
        <v>7</v>
      </c>
    </row>
    <row r="13" spans="1:14" ht="31.5" x14ac:dyDescent="0.2">
      <c r="A13" s="50">
        <v>4.2</v>
      </c>
      <c r="B13" s="87" t="s">
        <v>662</v>
      </c>
      <c r="C13" s="50" t="s">
        <v>2439</v>
      </c>
      <c r="D13" s="86">
        <v>30</v>
      </c>
      <c r="E13" s="86">
        <v>5</v>
      </c>
      <c r="F13" s="86">
        <v>72</v>
      </c>
      <c r="G13" s="86">
        <f>64*1.25</f>
        <v>80</v>
      </c>
      <c r="H13" s="86">
        <v>9</v>
      </c>
      <c r="I13" s="86">
        <f>G13+(H13*5)</f>
        <v>125</v>
      </c>
      <c r="J13" s="86">
        <v>8</v>
      </c>
      <c r="K13" s="86">
        <f>I13+(J13*5)</f>
        <v>165</v>
      </c>
      <c r="L13" s="86">
        <v>8</v>
      </c>
      <c r="M13" s="86">
        <v>240</v>
      </c>
      <c r="N13" s="86">
        <v>7</v>
      </c>
    </row>
    <row r="14" spans="1:14" ht="15.75" x14ac:dyDescent="0.2">
      <c r="A14" s="50">
        <v>4.3</v>
      </c>
      <c r="B14" s="85" t="s">
        <v>663</v>
      </c>
      <c r="C14" s="50" t="s">
        <v>2439</v>
      </c>
      <c r="D14" s="86">
        <v>44</v>
      </c>
      <c r="E14" s="86">
        <v>5</v>
      </c>
      <c r="F14" s="86">
        <v>90</v>
      </c>
      <c r="G14" s="86">
        <v>105</v>
      </c>
      <c r="H14" s="86">
        <v>7</v>
      </c>
      <c r="I14" s="86">
        <v>132</v>
      </c>
      <c r="J14" s="86">
        <v>7</v>
      </c>
      <c r="K14" s="86">
        <v>164</v>
      </c>
      <c r="L14" s="86">
        <v>6</v>
      </c>
      <c r="M14" s="86">
        <v>221</v>
      </c>
      <c r="N14" s="86">
        <v>5</v>
      </c>
    </row>
    <row r="15" spans="1:14" ht="15.75" x14ac:dyDescent="0.2">
      <c r="A15" s="50">
        <v>4.4000000000000004</v>
      </c>
      <c r="B15" s="85" t="s">
        <v>664</v>
      </c>
      <c r="C15" s="50" t="s">
        <v>2439</v>
      </c>
      <c r="D15" s="86">
        <v>44</v>
      </c>
      <c r="E15" s="86">
        <v>5</v>
      </c>
      <c r="F15" s="86">
        <v>90</v>
      </c>
      <c r="G15" s="86">
        <v>105</v>
      </c>
      <c r="H15" s="86">
        <v>7</v>
      </c>
      <c r="I15" s="86">
        <v>132</v>
      </c>
      <c r="J15" s="86">
        <v>7</v>
      </c>
      <c r="K15" s="86">
        <v>164</v>
      </c>
      <c r="L15" s="86">
        <v>6</v>
      </c>
      <c r="M15" s="86">
        <v>221</v>
      </c>
      <c r="N15" s="86">
        <v>5</v>
      </c>
    </row>
    <row r="16" spans="1:14" ht="15.75" x14ac:dyDescent="0.2">
      <c r="A16" s="50">
        <v>4.5</v>
      </c>
      <c r="B16" s="85" t="s">
        <v>665</v>
      </c>
      <c r="C16" s="50" t="s">
        <v>2111</v>
      </c>
      <c r="D16" s="86">
        <v>89</v>
      </c>
      <c r="E16" s="86">
        <v>12</v>
      </c>
      <c r="F16" s="86">
        <v>193</v>
      </c>
      <c r="G16" s="86">
        <v>227</v>
      </c>
      <c r="H16" s="86">
        <v>14</v>
      </c>
      <c r="I16" s="86">
        <v>282</v>
      </c>
      <c r="J16" s="86">
        <v>13</v>
      </c>
      <c r="K16" s="86">
        <v>345</v>
      </c>
      <c r="L16" s="86">
        <v>12</v>
      </c>
      <c r="M16" s="86">
        <v>460</v>
      </c>
      <c r="N16" s="86">
        <v>8</v>
      </c>
    </row>
    <row r="17" spans="1:14" ht="15.75" x14ac:dyDescent="0.2">
      <c r="A17" s="50">
        <v>4.5999999999999996</v>
      </c>
      <c r="B17" s="85" t="s">
        <v>666</v>
      </c>
      <c r="C17" s="50" t="s">
        <v>2111</v>
      </c>
      <c r="D17" s="86">
        <v>36</v>
      </c>
      <c r="E17" s="86">
        <v>7</v>
      </c>
      <c r="F17" s="86">
        <v>98</v>
      </c>
      <c r="G17" s="86">
        <v>115</v>
      </c>
      <c r="H17" s="86">
        <v>13</v>
      </c>
      <c r="I17" s="86">
        <v>167</v>
      </c>
      <c r="J17" s="86">
        <v>13</v>
      </c>
      <c r="K17" s="86">
        <v>230</v>
      </c>
      <c r="L17" s="86">
        <v>12</v>
      </c>
      <c r="M17" s="86">
        <v>345</v>
      </c>
      <c r="N17" s="86">
        <v>7</v>
      </c>
    </row>
    <row r="18" spans="1:14" ht="31.5" x14ac:dyDescent="0.2">
      <c r="A18" s="50">
        <v>4.7</v>
      </c>
      <c r="B18" s="85" t="s">
        <v>667</v>
      </c>
      <c r="C18" s="50" t="s">
        <v>668</v>
      </c>
      <c r="D18" s="86">
        <v>25</v>
      </c>
      <c r="E18" s="86">
        <v>4</v>
      </c>
      <c r="F18" s="86">
        <v>56</v>
      </c>
      <c r="G18" s="86">
        <v>66</v>
      </c>
      <c r="H18" s="86">
        <v>8</v>
      </c>
      <c r="I18" s="86">
        <v>98</v>
      </c>
      <c r="J18" s="86">
        <v>8</v>
      </c>
      <c r="K18" s="86">
        <v>138</v>
      </c>
      <c r="L18" s="86">
        <v>7</v>
      </c>
      <c r="M18" s="86">
        <v>207</v>
      </c>
      <c r="N18" s="86">
        <v>4</v>
      </c>
    </row>
    <row r="19" spans="1:14" ht="31.5" x14ac:dyDescent="0.2">
      <c r="A19" s="50">
        <v>4.8</v>
      </c>
      <c r="B19" s="85" t="s">
        <v>669</v>
      </c>
      <c r="C19" s="50" t="s">
        <v>668</v>
      </c>
      <c r="D19" s="86">
        <v>23</v>
      </c>
      <c r="E19" s="86">
        <v>3</v>
      </c>
      <c r="F19" s="86">
        <v>50</v>
      </c>
      <c r="G19" s="86">
        <v>59</v>
      </c>
      <c r="H19" s="86">
        <v>13</v>
      </c>
      <c r="I19" s="86">
        <v>110</v>
      </c>
      <c r="J19" s="86">
        <v>13</v>
      </c>
      <c r="K19" s="86">
        <v>173</v>
      </c>
      <c r="L19" s="86">
        <v>12</v>
      </c>
      <c r="M19" s="86">
        <v>288</v>
      </c>
      <c r="N19" s="86">
        <v>5</v>
      </c>
    </row>
    <row r="20" spans="1:14" ht="15.75" x14ac:dyDescent="0.2">
      <c r="A20" s="50">
        <v>4.9000000000000004</v>
      </c>
      <c r="B20" s="85" t="s">
        <v>670</v>
      </c>
      <c r="C20" s="50" t="s">
        <v>4204</v>
      </c>
      <c r="D20" s="86">
        <v>38</v>
      </c>
      <c r="E20" s="86">
        <v>3</v>
      </c>
      <c r="F20" s="86">
        <v>65</v>
      </c>
      <c r="G20" s="86">
        <v>77</v>
      </c>
      <c r="H20" s="86">
        <v>5</v>
      </c>
      <c r="I20" s="86">
        <v>95</v>
      </c>
      <c r="J20" s="86">
        <v>4</v>
      </c>
      <c r="K20" s="86">
        <v>115</v>
      </c>
      <c r="L20" s="86">
        <v>4</v>
      </c>
      <c r="M20" s="86">
        <v>150</v>
      </c>
      <c r="N20" s="86">
        <v>2</v>
      </c>
    </row>
    <row r="21" spans="1:14" ht="18.75" x14ac:dyDescent="0.2">
      <c r="A21" s="91" t="s">
        <v>671</v>
      </c>
      <c r="B21" s="243" t="s">
        <v>672</v>
      </c>
      <c r="C21" s="244"/>
      <c r="D21" s="244"/>
      <c r="E21" s="244"/>
      <c r="F21" s="244"/>
      <c r="G21" s="244"/>
      <c r="H21" s="244"/>
      <c r="I21" s="244"/>
      <c r="J21" s="244"/>
      <c r="K21" s="244"/>
      <c r="L21" s="244"/>
      <c r="M21" s="244"/>
      <c r="N21" s="245"/>
    </row>
    <row r="22" spans="1:14" ht="15.75" x14ac:dyDescent="0.2">
      <c r="A22" s="50" t="s">
        <v>2643</v>
      </c>
      <c r="B22" s="85" t="s">
        <v>673</v>
      </c>
      <c r="C22" s="50" t="s">
        <v>4217</v>
      </c>
      <c r="D22" s="88" t="s">
        <v>674</v>
      </c>
      <c r="E22" s="88" t="s">
        <v>674</v>
      </c>
      <c r="F22" s="88">
        <v>3.95</v>
      </c>
      <c r="G22" s="88">
        <v>4.5999999999999996</v>
      </c>
      <c r="H22" s="88">
        <v>0.4</v>
      </c>
      <c r="I22" s="88">
        <v>6</v>
      </c>
      <c r="J22" s="88">
        <v>0.4</v>
      </c>
      <c r="K22" s="88">
        <v>8</v>
      </c>
      <c r="L22" s="88">
        <v>0.35</v>
      </c>
      <c r="M22" s="88">
        <v>11</v>
      </c>
      <c r="N22" s="88">
        <v>0.35</v>
      </c>
    </row>
    <row r="23" spans="1:14" ht="15.75" x14ac:dyDescent="0.2">
      <c r="A23" s="50" t="s">
        <v>2644</v>
      </c>
      <c r="B23" s="85" t="s">
        <v>675</v>
      </c>
      <c r="C23" s="50" t="s">
        <v>4217</v>
      </c>
      <c r="D23" s="88" t="s">
        <v>674</v>
      </c>
      <c r="E23" s="88" t="s">
        <v>674</v>
      </c>
      <c r="F23" s="88">
        <v>6.6</v>
      </c>
      <c r="G23" s="88">
        <v>7.6</v>
      </c>
      <c r="H23" s="88">
        <v>0.4</v>
      </c>
      <c r="I23" s="88">
        <v>9</v>
      </c>
      <c r="J23" s="88">
        <v>0.45</v>
      </c>
      <c r="K23" s="88">
        <v>11</v>
      </c>
      <c r="L23" s="88">
        <v>0.35</v>
      </c>
      <c r="M23" s="88">
        <v>15</v>
      </c>
      <c r="N23" s="88">
        <v>0.35</v>
      </c>
    </row>
    <row r="24" spans="1:14" ht="15.75" x14ac:dyDescent="0.2">
      <c r="A24" s="50" t="s">
        <v>2226</v>
      </c>
      <c r="B24" s="85" t="s">
        <v>676</v>
      </c>
      <c r="C24" s="50" t="s">
        <v>4217</v>
      </c>
      <c r="D24" s="88" t="s">
        <v>674</v>
      </c>
      <c r="E24" s="88" t="s">
        <v>674</v>
      </c>
      <c r="F24" s="88">
        <v>8</v>
      </c>
      <c r="G24" s="88">
        <v>9</v>
      </c>
      <c r="H24" s="88">
        <v>0.5</v>
      </c>
      <c r="I24" s="88">
        <v>11</v>
      </c>
      <c r="J24" s="88">
        <v>0.5</v>
      </c>
      <c r="K24" s="88">
        <v>14</v>
      </c>
      <c r="L24" s="88">
        <v>0.35</v>
      </c>
      <c r="M24" s="88">
        <v>17</v>
      </c>
      <c r="N24" s="88">
        <v>0.35</v>
      </c>
    </row>
    <row r="25" spans="1:14" ht="18.75" x14ac:dyDescent="0.2">
      <c r="A25" s="91">
        <v>4.1100000000000003</v>
      </c>
      <c r="B25" s="243" t="s">
        <v>677</v>
      </c>
      <c r="C25" s="244"/>
      <c r="D25" s="244"/>
      <c r="E25" s="244"/>
      <c r="F25" s="244"/>
      <c r="G25" s="244"/>
      <c r="H25" s="244"/>
      <c r="I25" s="244"/>
      <c r="J25" s="244"/>
      <c r="K25" s="244"/>
      <c r="L25" s="244"/>
      <c r="M25" s="244"/>
      <c r="N25" s="245"/>
    </row>
    <row r="26" spans="1:14" ht="15.75" x14ac:dyDescent="0.2">
      <c r="A26" s="50" t="s">
        <v>678</v>
      </c>
      <c r="B26" s="85" t="s">
        <v>679</v>
      </c>
      <c r="C26" s="50" t="s">
        <v>2453</v>
      </c>
      <c r="D26" s="88" t="s">
        <v>674</v>
      </c>
      <c r="E26" s="88" t="s">
        <v>674</v>
      </c>
      <c r="F26" s="88">
        <v>24</v>
      </c>
      <c r="G26" s="88">
        <v>28</v>
      </c>
      <c r="H26" s="88">
        <v>0.7</v>
      </c>
      <c r="I26" s="88">
        <v>31</v>
      </c>
      <c r="J26" s="88">
        <v>0.6</v>
      </c>
      <c r="K26" s="88">
        <v>33</v>
      </c>
      <c r="L26" s="88">
        <v>0.35</v>
      </c>
      <c r="M26" s="88">
        <v>37</v>
      </c>
      <c r="N26" s="88">
        <v>0.35</v>
      </c>
    </row>
    <row r="27" spans="1:14" ht="15.75" x14ac:dyDescent="0.2">
      <c r="A27" s="50" t="s">
        <v>680</v>
      </c>
      <c r="B27" s="85" t="s">
        <v>681</v>
      </c>
      <c r="C27" s="50" t="s">
        <v>2453</v>
      </c>
      <c r="D27" s="88" t="s">
        <v>674</v>
      </c>
      <c r="E27" s="88" t="s">
        <v>674</v>
      </c>
      <c r="F27" s="88">
        <v>61</v>
      </c>
      <c r="G27" s="88">
        <v>72</v>
      </c>
      <c r="H27" s="88">
        <v>2</v>
      </c>
      <c r="I27" s="88">
        <v>80</v>
      </c>
      <c r="J27" s="88">
        <v>1.8</v>
      </c>
      <c r="K27" s="88">
        <v>88</v>
      </c>
      <c r="L27" s="88">
        <v>1.4</v>
      </c>
      <c r="M27" s="88">
        <v>102</v>
      </c>
      <c r="N27" s="88">
        <v>0.95</v>
      </c>
    </row>
    <row r="28" spans="1:14" ht="15.75" x14ac:dyDescent="0.2">
      <c r="A28" s="50" t="s">
        <v>682</v>
      </c>
      <c r="B28" s="85" t="s">
        <v>683</v>
      </c>
      <c r="C28" s="50" t="s">
        <v>2453</v>
      </c>
      <c r="D28" s="88" t="s">
        <v>674</v>
      </c>
      <c r="E28" s="88" t="s">
        <v>674</v>
      </c>
      <c r="F28" s="88">
        <v>127</v>
      </c>
      <c r="G28" s="88">
        <v>154</v>
      </c>
      <c r="H28" s="88">
        <v>550</v>
      </c>
      <c r="I28" s="88">
        <v>176</v>
      </c>
      <c r="J28" s="88">
        <v>4.8</v>
      </c>
      <c r="K28" s="88">
        <v>198</v>
      </c>
      <c r="L28" s="88">
        <v>3.5</v>
      </c>
      <c r="M28" s="88">
        <v>231</v>
      </c>
      <c r="N28" s="88">
        <v>3</v>
      </c>
    </row>
    <row r="29" spans="1:14" ht="15.75" x14ac:dyDescent="0.2">
      <c r="A29" s="50" t="s">
        <v>684</v>
      </c>
      <c r="B29" s="85" t="s">
        <v>685</v>
      </c>
      <c r="C29" s="50" t="s">
        <v>2453</v>
      </c>
      <c r="D29" s="88" t="s">
        <v>674</v>
      </c>
      <c r="E29" s="88" t="s">
        <v>674</v>
      </c>
      <c r="F29" s="88">
        <v>193</v>
      </c>
      <c r="G29" s="88">
        <v>231</v>
      </c>
      <c r="H29" s="88">
        <v>550</v>
      </c>
      <c r="I29" s="88">
        <v>253</v>
      </c>
      <c r="J29" s="88">
        <v>4.8</v>
      </c>
      <c r="K29" s="88">
        <v>275</v>
      </c>
      <c r="L29" s="88">
        <v>3.5</v>
      </c>
      <c r="M29" s="88">
        <v>308</v>
      </c>
      <c r="N29" s="88">
        <v>3</v>
      </c>
    </row>
    <row r="30" spans="1:14" ht="15.75" x14ac:dyDescent="0.25">
      <c r="A30" s="246"/>
      <c r="B30" s="246"/>
      <c r="C30" s="246"/>
      <c r="D30" s="246"/>
      <c r="E30" s="246"/>
      <c r="F30" s="246"/>
      <c r="G30" s="246"/>
      <c r="H30" s="246"/>
      <c r="I30" s="246"/>
      <c r="J30" s="246"/>
      <c r="K30" s="246"/>
      <c r="L30" s="246"/>
      <c r="M30" s="246"/>
      <c r="N30" s="246"/>
    </row>
  </sheetData>
  <mergeCells count="8">
    <mergeCell ref="B21:N21"/>
    <mergeCell ref="B25:N25"/>
    <mergeCell ref="A30:N30"/>
    <mergeCell ref="A1:N1"/>
    <mergeCell ref="A9:A10"/>
    <mergeCell ref="B9:B10"/>
    <mergeCell ref="C9:C10"/>
    <mergeCell ref="D9:N9"/>
  </mergeCells>
  <pageMargins left="0.74803149606299202" right="0.15748031496063" top="0.74803149606299202" bottom="0.74803149606299202" header="0.511811023622047" footer="0.23622047244094499"/>
  <pageSetup paperSize="9" scale="75" orientation="landscape" r:id="rId1"/>
  <headerFooter>
    <oddHeader>&amp;R&amp;"Arial,Regular"&amp;8(Integrated Building BSR 2022 Rajasthan)</oddHeader>
    <oddFooter>&amp;L&amp;"Arial,Regular"&amp;A&amp;R&amp;"Arial,Regular"[&amp;P]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B0F0"/>
  </sheetPr>
  <dimension ref="A1:E18"/>
  <sheetViews>
    <sheetView view="pageBreakPreview" topLeftCell="A7" zoomScale="115" zoomScaleNormal="100" zoomScaleSheetLayoutView="115" workbookViewId="0">
      <selection activeCell="F2" sqref="F2"/>
    </sheetView>
  </sheetViews>
  <sheetFormatPr defaultRowHeight="15" x14ac:dyDescent="0.2"/>
  <cols>
    <col min="1" max="1" width="10" style="35" customWidth="1"/>
    <col min="2" max="2" width="55.7109375" style="28" customWidth="1"/>
    <col min="3" max="3" width="9.7109375" style="28" customWidth="1"/>
    <col min="4" max="4" width="11.7109375" style="28" customWidth="1"/>
    <col min="5" max="16384" width="9.140625" style="28"/>
  </cols>
  <sheetData>
    <row r="1" spans="1:4" ht="22.5" x14ac:dyDescent="0.2">
      <c r="A1" s="253" t="s">
        <v>6487</v>
      </c>
      <c r="B1" s="253"/>
      <c r="C1" s="253"/>
      <c r="D1" s="253"/>
    </row>
    <row r="2" spans="1:4" ht="27" x14ac:dyDescent="0.2">
      <c r="A2" s="254" t="s">
        <v>6488</v>
      </c>
      <c r="B2" s="254"/>
      <c r="C2" s="254"/>
      <c r="D2" s="254"/>
    </row>
    <row r="3" spans="1:4" ht="15.75" x14ac:dyDescent="0.25">
      <c r="A3" s="233"/>
      <c r="B3" s="233"/>
      <c r="C3" s="233"/>
      <c r="D3" s="19"/>
    </row>
    <row r="4" spans="1:4" ht="31.5" x14ac:dyDescent="0.2">
      <c r="A4" s="55" t="s">
        <v>6402</v>
      </c>
      <c r="B4" s="55" t="s">
        <v>2434</v>
      </c>
      <c r="C4" s="55" t="s">
        <v>2435</v>
      </c>
      <c r="D4" s="172" t="s">
        <v>18</v>
      </c>
    </row>
    <row r="5" spans="1:4" ht="15.75" x14ac:dyDescent="0.2">
      <c r="A5" s="55">
        <v>1</v>
      </c>
      <c r="B5" s="55">
        <v>2</v>
      </c>
      <c r="C5" s="55">
        <v>3</v>
      </c>
      <c r="D5" s="45">
        <v>4</v>
      </c>
    </row>
    <row r="6" spans="1:4" ht="15.75" x14ac:dyDescent="0.25">
      <c r="A6" s="233"/>
      <c r="B6" s="233"/>
      <c r="C6" s="233"/>
      <c r="D6" s="19"/>
    </row>
    <row r="7" spans="1:4" ht="94.5" x14ac:dyDescent="0.2">
      <c r="A7" s="3">
        <v>4.12</v>
      </c>
      <c r="B7" s="4" t="s">
        <v>686</v>
      </c>
      <c r="C7" s="3" t="s">
        <v>3091</v>
      </c>
      <c r="D7" s="101">
        <v>35</v>
      </c>
    </row>
    <row r="8" spans="1:4" ht="15.75" x14ac:dyDescent="0.2">
      <c r="A8" s="92"/>
      <c r="B8" s="92"/>
      <c r="C8" s="92"/>
      <c r="D8" s="96"/>
    </row>
    <row r="9" spans="1:4" ht="31.5" x14ac:dyDescent="0.2">
      <c r="A9" s="92">
        <v>4.13</v>
      </c>
      <c r="B9" s="93" t="s">
        <v>687</v>
      </c>
      <c r="C9" s="92"/>
      <c r="D9" s="96"/>
    </row>
    <row r="10" spans="1:4" ht="15.75" x14ac:dyDescent="0.2">
      <c r="A10" s="92" t="s">
        <v>2241</v>
      </c>
      <c r="B10" s="97" t="s">
        <v>3711</v>
      </c>
      <c r="C10" s="92" t="s">
        <v>688</v>
      </c>
      <c r="D10" s="95">
        <v>44</v>
      </c>
    </row>
    <row r="11" spans="1:4" ht="31.5" x14ac:dyDescent="0.2">
      <c r="A11" s="92" t="s">
        <v>2242</v>
      </c>
      <c r="B11" s="93" t="s">
        <v>689</v>
      </c>
      <c r="C11" s="92" t="s">
        <v>688</v>
      </c>
      <c r="D11" s="95">
        <v>35</v>
      </c>
    </row>
    <row r="12" spans="1:4" ht="15.75" x14ac:dyDescent="0.2">
      <c r="A12" s="92" t="s">
        <v>2243</v>
      </c>
      <c r="B12" s="93" t="s">
        <v>690</v>
      </c>
      <c r="C12" s="92" t="s">
        <v>4217</v>
      </c>
      <c r="D12" s="95">
        <v>12</v>
      </c>
    </row>
    <row r="13" spans="1:4" ht="47.25" x14ac:dyDescent="0.2">
      <c r="A13" s="92" t="s">
        <v>691</v>
      </c>
      <c r="B13" s="93" t="s">
        <v>692</v>
      </c>
      <c r="C13" s="92" t="s">
        <v>688</v>
      </c>
      <c r="D13" s="95">
        <v>45</v>
      </c>
    </row>
    <row r="14" spans="1:4" ht="15.75" x14ac:dyDescent="0.2">
      <c r="A14" s="92"/>
      <c r="B14" s="98"/>
      <c r="C14" s="92"/>
      <c r="D14" s="96"/>
    </row>
    <row r="15" spans="1:4" ht="47.25" x14ac:dyDescent="0.2">
      <c r="A15" s="99" t="s">
        <v>2882</v>
      </c>
      <c r="B15" s="93" t="s">
        <v>693</v>
      </c>
      <c r="C15" s="92"/>
      <c r="D15" s="96"/>
    </row>
    <row r="16" spans="1:4" ht="31.5" x14ac:dyDescent="0.2">
      <c r="A16" s="99"/>
      <c r="B16" s="93" t="s">
        <v>694</v>
      </c>
      <c r="C16" s="92"/>
      <c r="D16" s="96"/>
    </row>
    <row r="17" spans="1:5" ht="15.75" x14ac:dyDescent="0.2">
      <c r="A17" s="92"/>
      <c r="B17" s="98"/>
      <c r="C17" s="92"/>
      <c r="D17" s="96"/>
    </row>
    <row r="18" spans="1:5" ht="47.25" x14ac:dyDescent="0.2">
      <c r="A18" s="92">
        <v>4.1399999999999997</v>
      </c>
      <c r="B18" s="93" t="s">
        <v>144</v>
      </c>
      <c r="C18" s="92" t="s">
        <v>688</v>
      </c>
      <c r="D18" s="95">
        <v>24</v>
      </c>
      <c r="E18" s="27"/>
    </row>
  </sheetData>
  <mergeCells count="2">
    <mergeCell ref="A1:D1"/>
    <mergeCell ref="A2:D2"/>
  </mergeCells>
  <phoneticPr fontId="15" type="noConversion"/>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00B0F0"/>
  </sheetPr>
  <dimension ref="A1:G904"/>
  <sheetViews>
    <sheetView view="pageBreakPreview" topLeftCell="A61" zoomScale="90" zoomScaleNormal="100" zoomScaleSheetLayoutView="90" workbookViewId="0">
      <selection activeCell="F94" sqref="F94"/>
    </sheetView>
  </sheetViews>
  <sheetFormatPr defaultRowHeight="15.75" x14ac:dyDescent="0.25"/>
  <cols>
    <col min="1" max="1" width="11.7109375" style="5" customWidth="1"/>
    <col min="2" max="2" width="43.5703125" style="32" customWidth="1"/>
    <col min="3" max="3" width="6.5703125" style="8" bestFit="1" customWidth="1"/>
    <col min="4" max="5" width="9.85546875" style="6" bestFit="1" customWidth="1"/>
    <col min="6" max="6" width="18.42578125" style="6" customWidth="1"/>
    <col min="7" max="16384" width="9.140625" style="9"/>
  </cols>
  <sheetData>
    <row r="1" spans="1:6" ht="22.5" x14ac:dyDescent="0.2">
      <c r="A1" s="258" t="s">
        <v>6490</v>
      </c>
      <c r="B1" s="258"/>
      <c r="C1" s="258"/>
      <c r="D1" s="258"/>
      <c r="E1" s="258"/>
      <c r="F1" s="258"/>
    </row>
    <row r="2" spans="1:6" ht="23.25" x14ac:dyDescent="0.2">
      <c r="A2" s="259" t="s">
        <v>6491</v>
      </c>
      <c r="B2" s="259"/>
      <c r="C2" s="259"/>
      <c r="D2" s="259"/>
      <c r="E2" s="259"/>
      <c r="F2" s="259"/>
    </row>
    <row r="4" spans="1:6" ht="75" x14ac:dyDescent="0.25">
      <c r="A4" s="1" t="s">
        <v>3215</v>
      </c>
      <c r="B4" s="139" t="s">
        <v>145</v>
      </c>
    </row>
    <row r="5" spans="1:6" ht="18.75" x14ac:dyDescent="0.25">
      <c r="A5" s="1"/>
      <c r="B5" s="139"/>
    </row>
    <row r="6" spans="1:6" ht="18.75" x14ac:dyDescent="0.2">
      <c r="A6" s="255" t="s">
        <v>6402</v>
      </c>
      <c r="B6" s="255" t="s">
        <v>2434</v>
      </c>
      <c r="C6" s="255" t="s">
        <v>2435</v>
      </c>
      <c r="D6" s="261" t="s">
        <v>18</v>
      </c>
      <c r="E6" s="262"/>
      <c r="F6" s="263"/>
    </row>
    <row r="7" spans="1:6" s="26" customFormat="1" ht="18.75" x14ac:dyDescent="0.2">
      <c r="A7" s="256"/>
      <c r="B7" s="256"/>
      <c r="C7" s="256"/>
      <c r="D7" s="260" t="s">
        <v>146</v>
      </c>
      <c r="E7" s="260" t="s">
        <v>18</v>
      </c>
      <c r="F7" s="260"/>
    </row>
    <row r="8" spans="1:6" s="26" customFormat="1" ht="37.5" x14ac:dyDescent="0.2">
      <c r="A8" s="257"/>
      <c r="B8" s="257"/>
      <c r="C8" s="257"/>
      <c r="D8" s="260"/>
      <c r="E8" s="110" t="s">
        <v>147</v>
      </c>
      <c r="F8" s="110" t="s">
        <v>6489</v>
      </c>
    </row>
    <row r="9" spans="1:6" ht="18.75" x14ac:dyDescent="0.2">
      <c r="A9" s="105">
        <v>1</v>
      </c>
      <c r="B9" s="105">
        <v>2</v>
      </c>
      <c r="C9" s="105">
        <v>3</v>
      </c>
      <c r="D9" s="106">
        <v>4</v>
      </c>
      <c r="E9" s="105">
        <v>5</v>
      </c>
      <c r="F9" s="105">
        <v>6</v>
      </c>
    </row>
    <row r="10" spans="1:6" ht="18.75" x14ac:dyDescent="0.2">
      <c r="A10" s="234"/>
      <c r="B10" s="234"/>
      <c r="C10" s="234"/>
      <c r="D10" s="235"/>
      <c r="E10" s="234"/>
      <c r="F10" s="234"/>
    </row>
    <row r="11" spans="1:6" ht="18.75" x14ac:dyDescent="0.2">
      <c r="A11" s="5">
        <v>5.0999999999999996</v>
      </c>
      <c r="B11" s="107" t="s">
        <v>148</v>
      </c>
      <c r="D11" s="101"/>
      <c r="E11" s="8"/>
      <c r="F11" s="8"/>
    </row>
    <row r="12" spans="1:6" x14ac:dyDescent="0.2">
      <c r="A12" s="5" t="s">
        <v>2786</v>
      </c>
      <c r="B12" s="32" t="s">
        <v>149</v>
      </c>
      <c r="C12" s="5" t="s">
        <v>622</v>
      </c>
      <c r="D12" s="101">
        <v>500</v>
      </c>
      <c r="E12" s="101">
        <v>9</v>
      </c>
      <c r="F12" s="101">
        <v>2</v>
      </c>
    </row>
    <row r="13" spans="1:6" x14ac:dyDescent="0.2">
      <c r="C13" s="5"/>
      <c r="D13" s="101"/>
      <c r="E13" s="101"/>
      <c r="F13" s="101"/>
    </row>
    <row r="14" spans="1:6" x14ac:dyDescent="0.2">
      <c r="B14" s="32" t="s">
        <v>150</v>
      </c>
      <c r="C14" s="5" t="s">
        <v>622</v>
      </c>
      <c r="D14" s="101" t="s">
        <v>4569</v>
      </c>
      <c r="E14" s="101"/>
      <c r="F14" s="101"/>
    </row>
    <row r="15" spans="1:6" s="25" customFormat="1" x14ac:dyDescent="0.2">
      <c r="A15" s="5" t="s">
        <v>2788</v>
      </c>
      <c r="B15" s="32" t="s">
        <v>151</v>
      </c>
      <c r="C15" s="5" t="s">
        <v>622</v>
      </c>
      <c r="D15" s="101">
        <v>1200</v>
      </c>
      <c r="E15" s="101">
        <v>30</v>
      </c>
      <c r="F15" s="101">
        <v>10</v>
      </c>
    </row>
    <row r="16" spans="1:6" x14ac:dyDescent="0.2">
      <c r="A16" s="3"/>
      <c r="C16" s="4"/>
      <c r="D16" s="101"/>
      <c r="E16" s="8"/>
      <c r="F16" s="8"/>
    </row>
    <row r="17" spans="1:6" ht="18.75" x14ac:dyDescent="0.2">
      <c r="A17" s="3">
        <v>5.2</v>
      </c>
      <c r="B17" s="108" t="s">
        <v>152</v>
      </c>
      <c r="C17" s="7"/>
      <c r="D17" s="7"/>
      <c r="E17" s="2"/>
      <c r="F17" s="8"/>
    </row>
    <row r="18" spans="1:6" x14ac:dyDescent="0.2">
      <c r="A18" s="5" t="s">
        <v>2819</v>
      </c>
      <c r="B18" s="4" t="s">
        <v>153</v>
      </c>
      <c r="C18" s="5" t="s">
        <v>622</v>
      </c>
      <c r="D18" s="101">
        <v>800</v>
      </c>
      <c r="E18" s="153">
        <v>25</v>
      </c>
      <c r="F18" s="153">
        <v>7</v>
      </c>
    </row>
    <row r="19" spans="1:6" x14ac:dyDescent="0.2">
      <c r="A19" s="3" t="s">
        <v>2820</v>
      </c>
      <c r="B19" s="4" t="s">
        <v>6038</v>
      </c>
      <c r="C19" s="5" t="s">
        <v>622</v>
      </c>
      <c r="D19" s="101">
        <v>750</v>
      </c>
      <c r="E19" s="153">
        <v>30</v>
      </c>
      <c r="F19" s="153">
        <v>10</v>
      </c>
    </row>
    <row r="20" spans="1:6" x14ac:dyDescent="0.2">
      <c r="A20" s="3" t="s">
        <v>2821</v>
      </c>
      <c r="B20" s="4" t="s">
        <v>154</v>
      </c>
      <c r="C20" s="5" t="s">
        <v>622</v>
      </c>
      <c r="D20" s="101">
        <v>1800</v>
      </c>
      <c r="E20" s="153">
        <v>50</v>
      </c>
      <c r="F20" s="153">
        <v>15</v>
      </c>
    </row>
    <row r="21" spans="1:6" x14ac:dyDescent="0.2">
      <c r="A21" s="3" t="s">
        <v>2822</v>
      </c>
      <c r="B21" s="4" t="s">
        <v>6331</v>
      </c>
      <c r="C21" s="5" t="s">
        <v>622</v>
      </c>
      <c r="D21" s="101">
        <v>2250</v>
      </c>
      <c r="E21" s="153">
        <v>150</v>
      </c>
      <c r="F21" s="153">
        <v>50</v>
      </c>
    </row>
    <row r="22" spans="1:6" x14ac:dyDescent="0.2">
      <c r="A22" s="3" t="s">
        <v>6330</v>
      </c>
      <c r="B22" s="4" t="s">
        <v>155</v>
      </c>
      <c r="C22" s="5" t="s">
        <v>622</v>
      </c>
      <c r="D22" s="101">
        <v>800</v>
      </c>
      <c r="E22" s="153">
        <v>15</v>
      </c>
      <c r="F22" s="153">
        <v>5</v>
      </c>
    </row>
    <row r="23" spans="1:6" x14ac:dyDescent="0.2">
      <c r="A23" s="3"/>
      <c r="B23" s="4"/>
      <c r="C23" s="101"/>
      <c r="D23" s="101"/>
      <c r="E23" s="8"/>
      <c r="F23" s="8"/>
    </row>
    <row r="24" spans="1:6" ht="18.75" x14ac:dyDescent="0.2">
      <c r="A24" s="5">
        <v>5.3</v>
      </c>
      <c r="B24" s="108" t="s">
        <v>156</v>
      </c>
      <c r="C24" s="7"/>
      <c r="D24" s="7"/>
      <c r="E24" s="8"/>
      <c r="F24" s="8"/>
    </row>
    <row r="25" spans="1:6" x14ac:dyDescent="0.2">
      <c r="A25" s="103" t="s">
        <v>2793</v>
      </c>
      <c r="B25" s="4" t="s">
        <v>157</v>
      </c>
      <c r="C25" s="5" t="s">
        <v>2606</v>
      </c>
      <c r="D25" s="101">
        <v>18</v>
      </c>
      <c r="E25" s="153">
        <v>2</v>
      </c>
      <c r="F25" s="153">
        <v>0.6</v>
      </c>
    </row>
    <row r="26" spans="1:6" x14ac:dyDescent="0.2">
      <c r="A26" s="3" t="s">
        <v>2797</v>
      </c>
      <c r="B26" s="4" t="s">
        <v>158</v>
      </c>
      <c r="C26" s="5" t="s">
        <v>2606</v>
      </c>
      <c r="D26" s="101">
        <v>30</v>
      </c>
      <c r="E26" s="153">
        <v>3</v>
      </c>
      <c r="F26" s="153">
        <v>1</v>
      </c>
    </row>
    <row r="27" spans="1:6" x14ac:dyDescent="0.2">
      <c r="A27" s="3" t="s">
        <v>5277</v>
      </c>
      <c r="B27" s="4" t="s">
        <v>160</v>
      </c>
      <c r="C27" s="5" t="s">
        <v>2606</v>
      </c>
      <c r="D27" s="101">
        <v>160</v>
      </c>
      <c r="E27" s="153">
        <v>25</v>
      </c>
      <c r="F27" s="153">
        <v>15</v>
      </c>
    </row>
    <row r="28" spans="1:6" x14ac:dyDescent="0.2">
      <c r="A28" s="3" t="s">
        <v>5278</v>
      </c>
      <c r="B28" s="4" t="s">
        <v>162</v>
      </c>
      <c r="C28" s="5" t="s">
        <v>2606</v>
      </c>
      <c r="D28" s="101">
        <v>160</v>
      </c>
      <c r="E28" s="153">
        <v>20</v>
      </c>
      <c r="F28" s="153">
        <v>5</v>
      </c>
    </row>
    <row r="29" spans="1:6" x14ac:dyDescent="0.2">
      <c r="A29" s="7" t="s">
        <v>6044</v>
      </c>
      <c r="B29" s="4" t="s">
        <v>4582</v>
      </c>
      <c r="C29" s="5" t="s">
        <v>2606</v>
      </c>
      <c r="D29" s="101">
        <v>600</v>
      </c>
      <c r="E29" s="153">
        <v>35</v>
      </c>
      <c r="F29" s="153">
        <v>12</v>
      </c>
    </row>
    <row r="30" spans="1:6" x14ac:dyDescent="0.2">
      <c r="A30" s="7" t="s">
        <v>6045</v>
      </c>
      <c r="B30" s="4" t="s">
        <v>4583</v>
      </c>
      <c r="C30" s="5" t="s">
        <v>2606</v>
      </c>
      <c r="D30" s="101">
        <v>600</v>
      </c>
      <c r="E30" s="153">
        <v>24</v>
      </c>
      <c r="F30" s="153">
        <v>8</v>
      </c>
    </row>
    <row r="31" spans="1:6" x14ac:dyDescent="0.2">
      <c r="A31" s="3"/>
      <c r="B31" s="4"/>
      <c r="C31" s="7"/>
      <c r="D31" s="101"/>
      <c r="E31" s="101"/>
      <c r="F31" s="101"/>
    </row>
    <row r="32" spans="1:6" x14ac:dyDescent="0.2">
      <c r="A32" s="3">
        <v>5.4</v>
      </c>
      <c r="B32" s="4" t="s">
        <v>163</v>
      </c>
      <c r="C32" s="5" t="s">
        <v>2606</v>
      </c>
      <c r="D32" s="101">
        <v>40</v>
      </c>
      <c r="E32" s="153">
        <v>20</v>
      </c>
      <c r="F32" s="153">
        <v>2</v>
      </c>
    </row>
    <row r="33" spans="1:6" x14ac:dyDescent="0.2">
      <c r="A33" s="3"/>
      <c r="B33" s="4"/>
      <c r="D33" s="101"/>
      <c r="E33" s="101"/>
      <c r="F33" s="101"/>
    </row>
    <row r="34" spans="1:6" ht="31.5" x14ac:dyDescent="0.2">
      <c r="A34" s="3">
        <v>5.5</v>
      </c>
      <c r="B34" s="4" t="s">
        <v>6039</v>
      </c>
      <c r="C34" s="7" t="s">
        <v>2437</v>
      </c>
      <c r="D34" s="101"/>
      <c r="E34" s="153">
        <v>30</v>
      </c>
      <c r="F34" s="153">
        <v>10</v>
      </c>
    </row>
    <row r="35" spans="1:6" x14ac:dyDescent="0.2">
      <c r="A35" s="3"/>
      <c r="B35" s="102"/>
      <c r="C35" s="7"/>
      <c r="D35" s="101"/>
      <c r="E35" s="101"/>
      <c r="F35" s="101"/>
    </row>
    <row r="36" spans="1:6" ht="78.75" x14ac:dyDescent="0.2">
      <c r="A36" s="3">
        <v>5.6</v>
      </c>
      <c r="B36" s="4" t="s">
        <v>4584</v>
      </c>
      <c r="C36" s="5" t="s">
        <v>2437</v>
      </c>
      <c r="D36" s="101"/>
      <c r="E36" s="153">
        <v>25</v>
      </c>
      <c r="F36" s="153">
        <v>7</v>
      </c>
    </row>
    <row r="37" spans="1:6" x14ac:dyDescent="0.2">
      <c r="A37" s="3"/>
      <c r="B37" s="4"/>
      <c r="C37" s="7"/>
      <c r="D37" s="101"/>
      <c r="E37" s="101"/>
      <c r="F37" s="101"/>
    </row>
    <row r="38" spans="1:6" x14ac:dyDescent="0.2">
      <c r="A38" s="3">
        <v>5.7</v>
      </c>
      <c r="B38" s="4" t="s">
        <v>6040</v>
      </c>
      <c r="C38" s="5" t="s">
        <v>622</v>
      </c>
      <c r="D38" s="101">
        <v>850</v>
      </c>
      <c r="E38" s="153">
        <v>40</v>
      </c>
      <c r="F38" s="153">
        <v>15</v>
      </c>
    </row>
    <row r="39" spans="1:6" x14ac:dyDescent="0.25">
      <c r="A39" s="3"/>
      <c r="B39" s="4"/>
      <c r="C39" s="101"/>
      <c r="D39" s="101"/>
    </row>
    <row r="40" spans="1:6" x14ac:dyDescent="0.2">
      <c r="A40" s="3">
        <v>5.8</v>
      </c>
      <c r="B40" s="4" t="s">
        <v>6041</v>
      </c>
      <c r="C40" s="5" t="s">
        <v>622</v>
      </c>
      <c r="D40" s="101">
        <v>850</v>
      </c>
      <c r="E40" s="153">
        <v>50</v>
      </c>
      <c r="F40" s="153">
        <v>10</v>
      </c>
    </row>
    <row r="41" spans="1:6" x14ac:dyDescent="0.2">
      <c r="A41" s="3"/>
      <c r="B41" s="4"/>
      <c r="C41" s="101"/>
      <c r="D41" s="101"/>
      <c r="E41" s="101"/>
      <c r="F41" s="101"/>
    </row>
    <row r="42" spans="1:6" x14ac:dyDescent="0.2">
      <c r="A42" s="3"/>
      <c r="B42" s="4"/>
      <c r="C42" s="101"/>
      <c r="D42" s="101"/>
      <c r="E42" s="101"/>
      <c r="F42" s="101"/>
    </row>
    <row r="43" spans="1:6" ht="31.5" x14ac:dyDescent="0.2">
      <c r="A43" s="3">
        <v>5.9</v>
      </c>
      <c r="B43" s="4" t="s">
        <v>164</v>
      </c>
      <c r="C43" s="5" t="s">
        <v>622</v>
      </c>
      <c r="D43" s="101"/>
      <c r="E43" s="153">
        <v>72</v>
      </c>
      <c r="F43" s="153">
        <v>33</v>
      </c>
    </row>
    <row r="44" spans="1:6" x14ac:dyDescent="0.2">
      <c r="A44" s="3"/>
      <c r="B44" s="4"/>
      <c r="C44" s="7"/>
      <c r="D44" s="101"/>
      <c r="E44" s="101"/>
      <c r="F44" s="101"/>
    </row>
    <row r="45" spans="1:6" x14ac:dyDescent="0.2">
      <c r="A45" s="7">
        <v>5.0999999999999996</v>
      </c>
      <c r="B45" s="4" t="s">
        <v>165</v>
      </c>
      <c r="C45" s="5" t="s">
        <v>2606</v>
      </c>
      <c r="D45" s="101"/>
      <c r="E45" s="153">
        <v>10</v>
      </c>
      <c r="F45" s="153">
        <v>4</v>
      </c>
    </row>
    <row r="46" spans="1:6" x14ac:dyDescent="0.2">
      <c r="A46" s="3"/>
      <c r="C46" s="101"/>
      <c r="D46" s="101"/>
      <c r="E46" s="101"/>
      <c r="F46" s="101"/>
    </row>
    <row r="47" spans="1:6" x14ac:dyDescent="0.2">
      <c r="A47" s="3">
        <v>5.1100000000000003</v>
      </c>
      <c r="B47" s="4" t="s">
        <v>166</v>
      </c>
      <c r="C47" s="5" t="s">
        <v>2606</v>
      </c>
      <c r="D47" s="101"/>
      <c r="E47" s="153">
        <v>48</v>
      </c>
      <c r="F47" s="153">
        <v>12</v>
      </c>
    </row>
    <row r="48" spans="1:6" x14ac:dyDescent="0.2">
      <c r="C48" s="101"/>
      <c r="D48" s="101"/>
      <c r="E48" s="101"/>
      <c r="F48" s="101"/>
    </row>
    <row r="49" spans="1:7" ht="63" x14ac:dyDescent="0.2">
      <c r="A49" s="3">
        <v>5.12</v>
      </c>
      <c r="B49" s="4" t="s">
        <v>4907</v>
      </c>
      <c r="C49" s="5" t="s">
        <v>2606</v>
      </c>
      <c r="D49" s="101"/>
      <c r="E49" s="153">
        <v>150</v>
      </c>
      <c r="F49" s="153">
        <v>50</v>
      </c>
    </row>
    <row r="50" spans="1:7" x14ac:dyDescent="0.2">
      <c r="C50" s="101"/>
      <c r="D50" s="101"/>
      <c r="E50" s="101"/>
      <c r="F50" s="101"/>
    </row>
    <row r="51" spans="1:7" x14ac:dyDescent="0.2">
      <c r="A51" s="7">
        <v>5.13</v>
      </c>
      <c r="B51" s="4" t="s">
        <v>167</v>
      </c>
      <c r="C51" s="5" t="s">
        <v>4217</v>
      </c>
      <c r="D51" s="101"/>
      <c r="E51" s="153">
        <v>24</v>
      </c>
      <c r="F51" s="153">
        <v>10</v>
      </c>
    </row>
    <row r="52" spans="1:7" x14ac:dyDescent="0.2">
      <c r="C52" s="101"/>
      <c r="D52" s="101"/>
      <c r="E52" s="101"/>
      <c r="F52" s="101"/>
    </row>
    <row r="53" spans="1:7" x14ac:dyDescent="0.2">
      <c r="A53" s="7">
        <v>5.14</v>
      </c>
      <c r="B53" s="4" t="s">
        <v>168</v>
      </c>
      <c r="C53" s="5" t="s">
        <v>622</v>
      </c>
      <c r="D53" s="101"/>
      <c r="E53" s="153">
        <v>40</v>
      </c>
      <c r="F53" s="153">
        <v>12</v>
      </c>
    </row>
    <row r="54" spans="1:7" x14ac:dyDescent="0.2">
      <c r="C54" s="101"/>
      <c r="D54" s="101"/>
      <c r="E54" s="101"/>
      <c r="F54" s="101"/>
    </row>
    <row r="55" spans="1:7" x14ac:dyDescent="0.2">
      <c r="A55" s="7">
        <v>5.15</v>
      </c>
      <c r="B55" s="4" t="s">
        <v>169</v>
      </c>
      <c r="C55" s="5" t="s">
        <v>622</v>
      </c>
      <c r="D55" s="101"/>
      <c r="E55" s="153">
        <v>14</v>
      </c>
      <c r="F55" s="153">
        <v>5</v>
      </c>
    </row>
    <row r="56" spans="1:7" x14ac:dyDescent="0.2">
      <c r="C56" s="101"/>
      <c r="D56" s="101"/>
      <c r="E56" s="101"/>
      <c r="F56" s="101"/>
    </row>
    <row r="57" spans="1:7" x14ac:dyDescent="0.2">
      <c r="A57" s="7">
        <v>5.16</v>
      </c>
      <c r="B57" s="4" t="s">
        <v>170</v>
      </c>
      <c r="C57" s="5" t="s">
        <v>622</v>
      </c>
      <c r="D57" s="101">
        <v>2850</v>
      </c>
      <c r="E57" s="153">
        <v>150</v>
      </c>
      <c r="F57" s="153">
        <v>60</v>
      </c>
    </row>
    <row r="58" spans="1:7" x14ac:dyDescent="0.25">
      <c r="A58" s="6"/>
      <c r="B58" s="34"/>
      <c r="C58" s="101"/>
      <c r="D58" s="101"/>
      <c r="E58" s="101"/>
      <c r="F58" s="101"/>
    </row>
    <row r="59" spans="1:7" ht="31.5" x14ac:dyDescent="0.2">
      <c r="A59" s="7">
        <v>5.17</v>
      </c>
      <c r="B59" s="4" t="s">
        <v>171</v>
      </c>
      <c r="C59" s="5" t="s">
        <v>622</v>
      </c>
      <c r="D59" s="101"/>
      <c r="E59" s="154">
        <v>10</v>
      </c>
      <c r="F59" s="153">
        <v>4</v>
      </c>
    </row>
    <row r="60" spans="1:7" x14ac:dyDescent="0.2">
      <c r="B60" s="4"/>
      <c r="C60" s="5"/>
      <c r="D60" s="101"/>
      <c r="E60" s="104"/>
      <c r="F60" s="101"/>
    </row>
    <row r="61" spans="1:7" ht="18.75" x14ac:dyDescent="0.25">
      <c r="A61" s="6"/>
      <c r="B61" s="107" t="s">
        <v>4922</v>
      </c>
      <c r="C61" s="101"/>
      <c r="D61" s="101"/>
      <c r="E61" s="101"/>
      <c r="F61" s="101"/>
    </row>
    <row r="62" spans="1:7" ht="173.25" x14ac:dyDescent="0.25">
      <c r="A62" s="101">
        <v>5.18</v>
      </c>
      <c r="B62" s="32" t="s">
        <v>6280</v>
      </c>
      <c r="C62" s="101" t="s">
        <v>4166</v>
      </c>
      <c r="D62" s="101"/>
      <c r="E62" s="154">
        <v>33</v>
      </c>
      <c r="G62" s="22"/>
    </row>
    <row r="63" spans="1:7" x14ac:dyDescent="0.25">
      <c r="C63" s="101"/>
      <c r="D63" s="101"/>
      <c r="E63" s="101"/>
      <c r="G63" s="22"/>
    </row>
    <row r="64" spans="1:7" ht="173.25" x14ac:dyDescent="0.25">
      <c r="A64" s="5">
        <v>5.19</v>
      </c>
      <c r="B64" s="32" t="s">
        <v>6281</v>
      </c>
      <c r="C64" s="5" t="s">
        <v>2356</v>
      </c>
      <c r="D64" s="8"/>
      <c r="E64" s="104">
        <v>28</v>
      </c>
      <c r="G64" s="22"/>
    </row>
    <row r="65" spans="1:7" x14ac:dyDescent="0.2">
      <c r="C65" s="101"/>
      <c r="D65" s="101"/>
      <c r="E65" s="101"/>
      <c r="F65" s="101"/>
      <c r="G65" s="22"/>
    </row>
    <row r="66" spans="1:7" ht="47.25" x14ac:dyDescent="0.2">
      <c r="A66" s="101">
        <v>5.2</v>
      </c>
      <c r="B66" s="32" t="s">
        <v>6046</v>
      </c>
      <c r="C66" s="101" t="s">
        <v>4166</v>
      </c>
      <c r="D66" s="101"/>
      <c r="E66" s="104"/>
      <c r="F66" s="101">
        <v>3</v>
      </c>
      <c r="G66" s="22"/>
    </row>
    <row r="67" spans="1:7" x14ac:dyDescent="0.2">
      <c r="C67" s="101"/>
      <c r="D67" s="101"/>
      <c r="E67" s="101"/>
      <c r="F67" s="101"/>
    </row>
    <row r="68" spans="1:7" ht="63" x14ac:dyDescent="0.2">
      <c r="A68" s="5">
        <v>5.21</v>
      </c>
      <c r="B68" s="32" t="s">
        <v>396</v>
      </c>
      <c r="C68" s="101" t="s">
        <v>4217</v>
      </c>
      <c r="D68" s="101"/>
      <c r="E68" s="104">
        <v>185</v>
      </c>
      <c r="F68" s="101" t="s">
        <v>5213</v>
      </c>
      <c r="G68" s="22"/>
    </row>
    <row r="69" spans="1:7" x14ac:dyDescent="0.2">
      <c r="C69" s="101"/>
      <c r="D69" s="101"/>
      <c r="E69" s="101"/>
      <c r="F69" s="101"/>
    </row>
    <row r="70" spans="1:7" ht="31.5" x14ac:dyDescent="0.2">
      <c r="A70" s="5">
        <v>5.22</v>
      </c>
      <c r="B70" s="32" t="s">
        <v>397</v>
      </c>
      <c r="C70" s="101" t="s">
        <v>4217</v>
      </c>
      <c r="D70" s="101"/>
      <c r="E70" s="153">
        <v>240</v>
      </c>
      <c r="F70" s="153">
        <v>80</v>
      </c>
    </row>
    <row r="71" spans="1:7" x14ac:dyDescent="0.2">
      <c r="C71" s="101"/>
      <c r="D71" s="101"/>
      <c r="E71" s="101"/>
      <c r="F71" s="101"/>
    </row>
    <row r="72" spans="1:7" x14ac:dyDescent="0.2">
      <c r="A72" s="5">
        <v>5.23</v>
      </c>
      <c r="B72" s="32" t="s">
        <v>6042</v>
      </c>
      <c r="C72" s="101" t="s">
        <v>4217</v>
      </c>
      <c r="D72" s="101"/>
      <c r="E72" s="153">
        <v>100</v>
      </c>
      <c r="F72" s="153">
        <v>40</v>
      </c>
    </row>
    <row r="73" spans="1:7" x14ac:dyDescent="0.2">
      <c r="C73" s="101"/>
      <c r="D73" s="101"/>
      <c r="E73" s="101"/>
      <c r="F73" s="101"/>
    </row>
    <row r="74" spans="1:7" ht="47.25" x14ac:dyDescent="0.2">
      <c r="A74" s="101">
        <v>5.24</v>
      </c>
      <c r="B74" s="32" t="s">
        <v>6492</v>
      </c>
      <c r="C74" s="101" t="s">
        <v>2437</v>
      </c>
      <c r="D74" s="101"/>
      <c r="E74" s="153">
        <v>30</v>
      </c>
      <c r="F74" s="153">
        <v>6</v>
      </c>
    </row>
    <row r="75" spans="1:7" x14ac:dyDescent="0.2">
      <c r="C75" s="101"/>
      <c r="D75" s="101"/>
      <c r="E75" s="101"/>
      <c r="F75" s="101"/>
    </row>
    <row r="76" spans="1:7" ht="31.5" x14ac:dyDescent="0.2">
      <c r="A76" s="101">
        <v>5.25</v>
      </c>
      <c r="B76" s="32" t="s">
        <v>6043</v>
      </c>
      <c r="C76" s="101" t="s">
        <v>2437</v>
      </c>
      <c r="D76" s="101"/>
      <c r="E76" s="154">
        <v>90</v>
      </c>
      <c r="F76" s="153">
        <v>25</v>
      </c>
    </row>
    <row r="77" spans="1:7" x14ac:dyDescent="0.25">
      <c r="C77" s="101"/>
    </row>
    <row r="78" spans="1:7" ht="31.5" x14ac:dyDescent="0.25">
      <c r="A78" s="3">
        <v>5.26</v>
      </c>
      <c r="B78" s="32" t="s">
        <v>4570</v>
      </c>
    </row>
    <row r="79" spans="1:7" ht="31.5" x14ac:dyDescent="0.25">
      <c r="A79" s="3" t="s">
        <v>6047</v>
      </c>
      <c r="B79" s="32" t="s">
        <v>4571</v>
      </c>
      <c r="C79" s="101" t="s">
        <v>2437</v>
      </c>
      <c r="E79" s="154">
        <v>175</v>
      </c>
      <c r="F79" s="153">
        <v>40</v>
      </c>
    </row>
    <row r="80" spans="1:7" ht="31.5" x14ac:dyDescent="0.25">
      <c r="A80" s="3" t="s">
        <v>6048</v>
      </c>
      <c r="B80" s="32" t="s">
        <v>4572</v>
      </c>
      <c r="C80" s="101" t="s">
        <v>2437</v>
      </c>
      <c r="E80" s="154">
        <v>250</v>
      </c>
      <c r="F80" s="153">
        <v>55</v>
      </c>
    </row>
    <row r="81" spans="1:6" x14ac:dyDescent="0.25">
      <c r="A81" s="19"/>
      <c r="B81" s="34"/>
      <c r="C81" s="20"/>
      <c r="D81" s="100"/>
      <c r="E81" s="104"/>
      <c r="F81" s="101"/>
    </row>
    <row r="82" spans="1:6" x14ac:dyDescent="0.25">
      <c r="A82" s="5">
        <v>5.27</v>
      </c>
      <c r="B82" s="32" t="s">
        <v>5262</v>
      </c>
      <c r="C82" s="101"/>
      <c r="E82" s="104"/>
      <c r="F82" s="101"/>
    </row>
    <row r="83" spans="1:6" x14ac:dyDescent="0.25">
      <c r="A83" s="5" t="s">
        <v>6049</v>
      </c>
      <c r="B83" s="32" t="s">
        <v>4573</v>
      </c>
      <c r="C83" s="101" t="s">
        <v>4217</v>
      </c>
      <c r="E83" s="154">
        <v>700</v>
      </c>
      <c r="F83" s="153">
        <v>200</v>
      </c>
    </row>
    <row r="84" spans="1:6" x14ac:dyDescent="0.25">
      <c r="A84" s="5" t="s">
        <v>6050</v>
      </c>
      <c r="B84" s="32" t="s">
        <v>4574</v>
      </c>
      <c r="C84" s="101" t="s">
        <v>4217</v>
      </c>
      <c r="E84" s="154">
        <v>500</v>
      </c>
      <c r="F84" s="153">
        <v>150</v>
      </c>
    </row>
    <row r="85" spans="1:6" x14ac:dyDescent="0.25">
      <c r="A85" s="5" t="s">
        <v>6051</v>
      </c>
      <c r="B85" s="32" t="s">
        <v>4575</v>
      </c>
      <c r="C85" s="101" t="s">
        <v>4217</v>
      </c>
      <c r="E85" s="154">
        <v>300</v>
      </c>
      <c r="F85" s="153">
        <v>100</v>
      </c>
    </row>
    <row r="86" spans="1:6" x14ac:dyDescent="0.25">
      <c r="C86" s="101"/>
      <c r="E86" s="104"/>
      <c r="F86" s="101"/>
    </row>
    <row r="87" spans="1:6" ht="47.25" x14ac:dyDescent="0.25">
      <c r="A87" s="5">
        <v>5.28</v>
      </c>
      <c r="B87" s="32" t="s">
        <v>4576</v>
      </c>
      <c r="C87" s="101" t="s">
        <v>4217</v>
      </c>
      <c r="E87" s="154">
        <v>6000</v>
      </c>
      <c r="F87" s="153">
        <v>1200</v>
      </c>
    </row>
    <row r="88" spans="1:6" x14ac:dyDescent="0.25">
      <c r="C88" s="101"/>
      <c r="E88" s="104"/>
      <c r="F88" s="101"/>
    </row>
    <row r="89" spans="1:6" ht="31.5" x14ac:dyDescent="0.25">
      <c r="A89" s="5">
        <v>5.29</v>
      </c>
      <c r="B89" s="32" t="s">
        <v>4577</v>
      </c>
      <c r="C89" s="101"/>
      <c r="E89" s="104"/>
      <c r="F89" s="101"/>
    </row>
    <row r="90" spans="1:6" x14ac:dyDescent="0.25">
      <c r="A90" s="5" t="s">
        <v>6052</v>
      </c>
      <c r="B90" s="32" t="s">
        <v>4578</v>
      </c>
      <c r="C90" s="101" t="s">
        <v>2437</v>
      </c>
      <c r="E90" s="154">
        <v>225</v>
      </c>
      <c r="F90" s="153">
        <v>45</v>
      </c>
    </row>
    <row r="91" spans="1:6" x14ac:dyDescent="0.25">
      <c r="A91" s="5" t="s">
        <v>6053</v>
      </c>
      <c r="B91" s="32" t="s">
        <v>4579</v>
      </c>
      <c r="C91" s="101" t="s">
        <v>2437</v>
      </c>
      <c r="E91" s="154">
        <v>250</v>
      </c>
      <c r="F91" s="153">
        <v>50</v>
      </c>
    </row>
    <row r="92" spans="1:6" x14ac:dyDescent="0.25">
      <c r="A92" s="5" t="s">
        <v>6054</v>
      </c>
      <c r="B92" s="32" t="s">
        <v>4626</v>
      </c>
      <c r="C92" s="101" t="s">
        <v>2437</v>
      </c>
      <c r="E92" s="154">
        <v>260</v>
      </c>
      <c r="F92" s="153">
        <v>52</v>
      </c>
    </row>
    <row r="93" spans="1:6" x14ac:dyDescent="0.25">
      <c r="C93" s="101"/>
      <c r="E93" s="104"/>
      <c r="F93" s="101"/>
    </row>
    <row r="94" spans="1:6" ht="47.25" x14ac:dyDescent="0.25">
      <c r="A94" s="101">
        <v>5.3</v>
      </c>
      <c r="B94" s="32" t="s">
        <v>5715</v>
      </c>
      <c r="C94" s="101" t="s">
        <v>2437</v>
      </c>
      <c r="E94" s="104">
        <v>400</v>
      </c>
      <c r="F94" s="101">
        <v>80</v>
      </c>
    </row>
    <row r="131" spans="2:2" x14ac:dyDescent="0.25">
      <c r="B131" s="34"/>
    </row>
    <row r="137" spans="2:2" x14ac:dyDescent="0.25">
      <c r="B137" s="34"/>
    </row>
    <row r="149" spans="1:2" x14ac:dyDescent="0.25">
      <c r="A149" s="19"/>
      <c r="B149" s="34"/>
    </row>
    <row r="165" spans="1:2" x14ac:dyDescent="0.25">
      <c r="A165" s="19"/>
      <c r="B165" s="34"/>
    </row>
    <row r="183" spans="1:2" x14ac:dyDescent="0.25">
      <c r="A183" s="19"/>
      <c r="B183" s="34"/>
    </row>
    <row r="186" spans="1:2" x14ac:dyDescent="0.25">
      <c r="B186" s="34"/>
    </row>
    <row r="203" spans="1:2" x14ac:dyDescent="0.25">
      <c r="A203" s="19"/>
      <c r="B203" s="34"/>
    </row>
    <row r="208" spans="1:2" x14ac:dyDescent="0.25">
      <c r="A208" s="19"/>
      <c r="B208" s="34"/>
    </row>
    <row r="221" spans="1:2" x14ac:dyDescent="0.25">
      <c r="A221" s="19"/>
      <c r="B221" s="34"/>
    </row>
    <row r="224" spans="1:2" x14ac:dyDescent="0.25">
      <c r="A224" s="19"/>
      <c r="B224" s="34"/>
    </row>
    <row r="231" spans="1:2" x14ac:dyDescent="0.25">
      <c r="A231" s="19"/>
      <c r="B231" s="34"/>
    </row>
    <row r="257" spans="1:2" x14ac:dyDescent="0.25">
      <c r="A257" s="19"/>
      <c r="B257" s="34"/>
    </row>
    <row r="265" spans="1:2" x14ac:dyDescent="0.25">
      <c r="A265" s="19"/>
      <c r="B265" s="34"/>
    </row>
    <row r="283" spans="2:2" x14ac:dyDescent="0.25">
      <c r="B283" s="34"/>
    </row>
    <row r="334" spans="2:2" x14ac:dyDescent="0.25">
      <c r="B334" s="34"/>
    </row>
    <row r="342" spans="2:2" x14ac:dyDescent="0.25">
      <c r="B342" s="34"/>
    </row>
    <row r="358" spans="1:2" x14ac:dyDescent="0.25">
      <c r="A358" s="101"/>
      <c r="B358" s="34"/>
    </row>
    <row r="363" spans="1:2" x14ac:dyDescent="0.25">
      <c r="A363" s="19"/>
      <c r="B363" s="34"/>
    </row>
    <row r="364" spans="1:2" x14ac:dyDescent="0.25">
      <c r="A364" s="101"/>
      <c r="B364" s="34"/>
    </row>
    <row r="372" spans="2:2" x14ac:dyDescent="0.25">
      <c r="B372" s="34"/>
    </row>
    <row r="388" spans="2:2" x14ac:dyDescent="0.25">
      <c r="B388" s="34"/>
    </row>
    <row r="398" spans="2:2" x14ac:dyDescent="0.25">
      <c r="B398" s="34"/>
    </row>
    <row r="428" spans="2:2" x14ac:dyDescent="0.25">
      <c r="B428" s="34"/>
    </row>
    <row r="437" spans="1:1" x14ac:dyDescent="0.25">
      <c r="A437" s="101"/>
    </row>
    <row r="468" spans="1:2" x14ac:dyDescent="0.25">
      <c r="A468" s="19"/>
      <c r="B468" s="34"/>
    </row>
    <row r="488" spans="1:2" x14ac:dyDescent="0.25">
      <c r="A488" s="19"/>
      <c r="B488" s="34"/>
    </row>
    <row r="497" spans="1:2" x14ac:dyDescent="0.25">
      <c r="A497" s="19"/>
      <c r="B497" s="34"/>
    </row>
    <row r="510" spans="1:2" x14ac:dyDescent="0.25">
      <c r="A510" s="19"/>
      <c r="B510" s="34"/>
    </row>
    <row r="536" spans="1:2" x14ac:dyDescent="0.25">
      <c r="A536" s="19"/>
      <c r="B536" s="34"/>
    </row>
    <row r="588" spans="1:2" x14ac:dyDescent="0.25">
      <c r="A588" s="19"/>
      <c r="B588" s="34"/>
    </row>
    <row r="616" spans="1:2" x14ac:dyDescent="0.25">
      <c r="A616" s="19"/>
      <c r="B616" s="34"/>
    </row>
    <row r="618" spans="1:2" x14ac:dyDescent="0.25">
      <c r="B618" s="34"/>
    </row>
    <row r="627" spans="1:2" x14ac:dyDescent="0.25">
      <c r="A627" s="19"/>
    </row>
    <row r="629" spans="1:2" x14ac:dyDescent="0.25">
      <c r="B629" s="34"/>
    </row>
    <row r="639" spans="1:2" x14ac:dyDescent="0.25">
      <c r="A639" s="101"/>
      <c r="B639" s="34"/>
    </row>
    <row r="647" spans="1:2" x14ac:dyDescent="0.25">
      <c r="B647" s="34"/>
    </row>
    <row r="650" spans="1:2" x14ac:dyDescent="0.25">
      <c r="A650" s="19"/>
      <c r="B650" s="34"/>
    </row>
    <row r="653" spans="1:2" x14ac:dyDescent="0.25">
      <c r="B653" s="34"/>
    </row>
    <row r="660" spans="2:2" x14ac:dyDescent="0.25">
      <c r="B660" s="34"/>
    </row>
    <row r="661" spans="2:2" x14ac:dyDescent="0.25">
      <c r="B661" s="34"/>
    </row>
    <row r="670" spans="2:2" x14ac:dyDescent="0.25">
      <c r="B670" s="34"/>
    </row>
    <row r="671" spans="2:2" x14ac:dyDescent="0.25">
      <c r="B671" s="34"/>
    </row>
    <row r="680" spans="2:2" x14ac:dyDescent="0.25">
      <c r="B680" s="34"/>
    </row>
    <row r="696" spans="2:2" x14ac:dyDescent="0.25">
      <c r="B696" s="34"/>
    </row>
    <row r="708" spans="2:2" x14ac:dyDescent="0.25">
      <c r="B708" s="34"/>
    </row>
    <row r="728" spans="1:2" x14ac:dyDescent="0.25">
      <c r="A728" s="101"/>
      <c r="B728" s="34"/>
    </row>
    <row r="744" spans="2:2" x14ac:dyDescent="0.25">
      <c r="B744" s="34"/>
    </row>
    <row r="768" spans="2:2" x14ac:dyDescent="0.25">
      <c r="B768" s="34"/>
    </row>
    <row r="770" spans="1:2" x14ac:dyDescent="0.25">
      <c r="A770" s="19"/>
      <c r="B770" s="34"/>
    </row>
    <row r="778" spans="1:2" x14ac:dyDescent="0.25">
      <c r="A778" s="19"/>
      <c r="B778" s="34"/>
    </row>
    <row r="786" spans="2:2" x14ac:dyDescent="0.25">
      <c r="B786" s="34"/>
    </row>
    <row r="788" spans="2:2" x14ac:dyDescent="0.25">
      <c r="B788" s="34"/>
    </row>
    <row r="802" spans="2:2" x14ac:dyDescent="0.25">
      <c r="B802" s="34"/>
    </row>
    <row r="814" spans="2:2" x14ac:dyDescent="0.25">
      <c r="B814" s="34"/>
    </row>
    <row r="816" spans="2:2" x14ac:dyDescent="0.25">
      <c r="B816" s="34"/>
    </row>
    <row r="838" spans="2:2" x14ac:dyDescent="0.25">
      <c r="B838" s="34"/>
    </row>
    <row r="872" spans="2:2" x14ac:dyDescent="0.25">
      <c r="B872" s="34"/>
    </row>
    <row r="873" spans="2:2" x14ac:dyDescent="0.25">
      <c r="B873" s="34"/>
    </row>
    <row r="875" spans="2:2" x14ac:dyDescent="0.25">
      <c r="B875" s="34"/>
    </row>
    <row r="888" spans="2:2" x14ac:dyDescent="0.25">
      <c r="B888" s="34"/>
    </row>
    <row r="890" spans="2:2" x14ac:dyDescent="0.25">
      <c r="B890" s="34"/>
    </row>
    <row r="904" spans="1:1" x14ac:dyDescent="0.25">
      <c r="A904" s="101"/>
    </row>
  </sheetData>
  <mergeCells count="8">
    <mergeCell ref="C6:C8"/>
    <mergeCell ref="A1:F1"/>
    <mergeCell ref="A2:F2"/>
    <mergeCell ref="E7:F7"/>
    <mergeCell ref="D7:D8"/>
    <mergeCell ref="D6:F6"/>
    <mergeCell ref="A6:A8"/>
    <mergeCell ref="B6:B8"/>
  </mergeCells>
  <phoneticPr fontId="15" type="noConversion"/>
  <printOptions horizontalCentered="1"/>
  <pageMargins left="0.75" right="0.75" top="0.75" bottom="0.75" header="0.5" footer="0.5"/>
  <pageSetup paperSize="9" scale="88" orientation="portrait" r:id="rId1"/>
  <headerFooter>
    <oddHeader>&amp;R&amp;"Arial,Regular"&amp;8(Integrated Building BSR 2022 Rajasthan)</oddHeader>
    <oddFooter>&amp;L&amp;"Arial,Regular"&amp;A&amp;R&amp;"Arial,Regular"[&amp;P]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tabColor rgb="FFFFFF00"/>
  </sheetPr>
  <dimension ref="A1:E780"/>
  <sheetViews>
    <sheetView view="pageBreakPreview" topLeftCell="A136" zoomScale="115" zoomScaleNormal="100" zoomScaleSheetLayoutView="115" workbookViewId="0">
      <selection activeCell="B155" sqref="B155"/>
    </sheetView>
  </sheetViews>
  <sheetFormatPr defaultRowHeight="15.75" x14ac:dyDescent="0.25"/>
  <cols>
    <col min="1" max="1" width="10" style="5" customWidth="1"/>
    <col min="2" max="2" width="55.7109375" style="13" customWidth="1"/>
    <col min="3" max="3" width="9.7109375" style="8" customWidth="1"/>
    <col min="4" max="4" width="11.7109375" style="6" customWidth="1"/>
    <col min="5" max="5" width="10.42578125" style="6" bestFit="1" customWidth="1"/>
    <col min="6" max="16384" width="9.140625" style="6"/>
  </cols>
  <sheetData>
    <row r="1" spans="1:5" ht="22.5" x14ac:dyDescent="0.25">
      <c r="A1" s="253" t="s">
        <v>3209</v>
      </c>
      <c r="B1" s="253"/>
      <c r="C1" s="253"/>
      <c r="D1" s="253"/>
    </row>
    <row r="2" spans="1:5" ht="27" x14ac:dyDescent="0.25">
      <c r="A2" s="254" t="s">
        <v>2431</v>
      </c>
      <c r="B2" s="254"/>
      <c r="C2" s="254"/>
      <c r="D2" s="254"/>
    </row>
    <row r="3" spans="1:5" x14ac:dyDescent="0.25">
      <c r="A3" s="8"/>
      <c r="B3" s="190"/>
    </row>
    <row r="4" spans="1:5" ht="31.5" x14ac:dyDescent="0.25">
      <c r="A4" s="19" t="s">
        <v>2432</v>
      </c>
      <c r="B4" s="13" t="s">
        <v>2433</v>
      </c>
      <c r="C4" s="2"/>
    </row>
    <row r="5" spans="1:5" x14ac:dyDescent="0.25">
      <c r="A5" s="19"/>
      <c r="C5" s="2"/>
    </row>
    <row r="6" spans="1:5" s="112" customFormat="1" ht="31.5" x14ac:dyDescent="0.2">
      <c r="A6" s="55" t="s">
        <v>6402</v>
      </c>
      <c r="B6" s="55" t="s">
        <v>2434</v>
      </c>
      <c r="C6" s="55" t="s">
        <v>2435</v>
      </c>
      <c r="D6" s="172" t="s">
        <v>18</v>
      </c>
    </row>
    <row r="7" spans="1:5" s="121" customFormat="1" x14ac:dyDescent="0.2">
      <c r="A7" s="55">
        <v>1</v>
      </c>
      <c r="B7" s="55">
        <v>2</v>
      </c>
      <c r="C7" s="55">
        <v>3</v>
      </c>
      <c r="D7" s="45">
        <v>4</v>
      </c>
    </row>
    <row r="8" spans="1:5" s="121" customFormat="1" x14ac:dyDescent="0.2">
      <c r="A8" s="117"/>
      <c r="B8" s="125"/>
      <c r="C8" s="117"/>
    </row>
    <row r="9" spans="1:5" ht="92.25" customHeight="1" x14ac:dyDescent="0.25">
      <c r="A9" s="3">
        <v>1.1000000000000001</v>
      </c>
      <c r="B9" s="13" t="s">
        <v>6056</v>
      </c>
      <c r="C9" s="7" t="s">
        <v>2437</v>
      </c>
      <c r="D9" s="101">
        <v>35</v>
      </c>
      <c r="E9" s="10"/>
    </row>
    <row r="10" spans="1:5" x14ac:dyDescent="0.25">
      <c r="A10" s="3"/>
      <c r="C10" s="7"/>
      <c r="D10" s="101"/>
      <c r="E10" s="8"/>
    </row>
    <row r="11" spans="1:5" ht="167.25" customHeight="1" x14ac:dyDescent="0.25">
      <c r="A11" s="3">
        <v>1.2</v>
      </c>
      <c r="B11" s="13" t="s">
        <v>6404</v>
      </c>
      <c r="C11" s="7" t="s">
        <v>2438</v>
      </c>
      <c r="D11" s="101">
        <v>272</v>
      </c>
      <c r="E11" s="10"/>
    </row>
    <row r="12" spans="1:5" x14ac:dyDescent="0.25">
      <c r="A12" s="3"/>
      <c r="C12" s="7"/>
      <c r="D12" s="5"/>
      <c r="E12" s="8"/>
    </row>
    <row r="13" spans="1:5" ht="138.75" customHeight="1" x14ac:dyDescent="0.25">
      <c r="A13" s="3">
        <v>1.3</v>
      </c>
      <c r="B13" s="13" t="s">
        <v>6403</v>
      </c>
      <c r="C13" s="7" t="s">
        <v>2439</v>
      </c>
      <c r="D13" s="101">
        <v>171</v>
      </c>
      <c r="E13" s="8"/>
    </row>
    <row r="14" spans="1:5" x14ac:dyDescent="0.25">
      <c r="A14" s="3"/>
      <c r="C14" s="7"/>
      <c r="D14" s="5"/>
      <c r="E14" s="8"/>
    </row>
    <row r="15" spans="1:5" ht="58.5" customHeight="1" x14ac:dyDescent="0.25">
      <c r="A15" s="3">
        <v>1.4</v>
      </c>
      <c r="B15" s="13" t="s">
        <v>6057</v>
      </c>
      <c r="C15" s="7" t="s">
        <v>2439</v>
      </c>
      <c r="D15" s="101">
        <v>3</v>
      </c>
      <c r="E15" s="8"/>
    </row>
    <row r="16" spans="1:5" x14ac:dyDescent="0.25">
      <c r="A16" s="3"/>
      <c r="C16" s="101"/>
      <c r="D16" s="5"/>
      <c r="E16" s="8"/>
    </row>
    <row r="17" spans="1:5" ht="31.5" x14ac:dyDescent="0.25">
      <c r="A17" s="3">
        <v>1.5</v>
      </c>
      <c r="B17" s="13" t="s">
        <v>3166</v>
      </c>
      <c r="C17" s="7" t="s">
        <v>2439</v>
      </c>
      <c r="D17" s="101">
        <v>12</v>
      </c>
      <c r="E17" s="8"/>
    </row>
    <row r="18" spans="1:5" x14ac:dyDescent="0.25">
      <c r="A18" s="3"/>
      <c r="C18" s="101"/>
      <c r="D18" s="5"/>
      <c r="E18" s="8"/>
    </row>
    <row r="19" spans="1:5" x14ac:dyDescent="0.25">
      <c r="A19" s="3"/>
      <c r="C19" s="101"/>
      <c r="D19" s="5"/>
      <c r="E19" s="8"/>
    </row>
    <row r="20" spans="1:5" ht="94.5" x14ac:dyDescent="0.25">
      <c r="A20" s="3">
        <v>1.6</v>
      </c>
      <c r="B20" s="191" t="s">
        <v>6058</v>
      </c>
      <c r="C20" s="7" t="s">
        <v>2439</v>
      </c>
      <c r="D20" s="101">
        <v>175</v>
      </c>
      <c r="E20" s="8"/>
    </row>
    <row r="21" spans="1:5" x14ac:dyDescent="0.25">
      <c r="A21" s="3"/>
      <c r="C21" s="7"/>
      <c r="D21" s="5"/>
      <c r="E21" s="8"/>
    </row>
    <row r="22" spans="1:5" ht="95.25" customHeight="1" x14ac:dyDescent="0.25">
      <c r="A22" s="3">
        <v>1.7</v>
      </c>
      <c r="B22" s="191" t="s">
        <v>6405</v>
      </c>
      <c r="C22" s="7"/>
      <c r="D22" s="5"/>
      <c r="E22" s="8"/>
    </row>
    <row r="23" spans="1:5" x14ac:dyDescent="0.25">
      <c r="A23" s="3" t="s">
        <v>2440</v>
      </c>
      <c r="B23" s="125" t="s">
        <v>2441</v>
      </c>
      <c r="C23" s="7" t="s">
        <v>2439</v>
      </c>
      <c r="D23" s="101">
        <v>251</v>
      </c>
      <c r="E23" s="8"/>
    </row>
    <row r="24" spans="1:5" x14ac:dyDescent="0.25">
      <c r="A24" s="3"/>
      <c r="B24" s="125"/>
      <c r="C24" s="7"/>
      <c r="D24" s="101"/>
      <c r="E24" s="8"/>
    </row>
    <row r="25" spans="1:5" x14ac:dyDescent="0.25">
      <c r="A25" s="3" t="s">
        <v>2442</v>
      </c>
      <c r="B25" s="125" t="s">
        <v>2443</v>
      </c>
      <c r="C25" s="7" t="s">
        <v>2439</v>
      </c>
      <c r="D25" s="101">
        <v>410</v>
      </c>
      <c r="E25" s="8"/>
    </row>
    <row r="26" spans="1:5" x14ac:dyDescent="0.25">
      <c r="A26" s="3"/>
      <c r="B26" s="125"/>
      <c r="C26" s="7"/>
      <c r="D26" s="101"/>
      <c r="E26" s="8"/>
    </row>
    <row r="27" spans="1:5" x14ac:dyDescent="0.25">
      <c r="A27" s="3" t="s">
        <v>2444</v>
      </c>
      <c r="B27" s="125" t="s">
        <v>2445</v>
      </c>
      <c r="C27" s="7" t="s">
        <v>2439</v>
      </c>
      <c r="D27" s="101">
        <v>540</v>
      </c>
      <c r="E27" s="8"/>
    </row>
    <row r="28" spans="1:5" x14ac:dyDescent="0.25">
      <c r="A28" s="3"/>
      <c r="C28" s="7"/>
      <c r="D28" s="5"/>
      <c r="E28" s="8"/>
    </row>
    <row r="29" spans="1:5" ht="145.5" customHeight="1" x14ac:dyDescent="0.25">
      <c r="A29" s="3">
        <v>1.8</v>
      </c>
      <c r="B29" s="191" t="s">
        <v>6059</v>
      </c>
      <c r="C29" s="7" t="s">
        <v>2439</v>
      </c>
      <c r="D29" s="101">
        <v>178</v>
      </c>
      <c r="E29" s="8"/>
    </row>
    <row r="30" spans="1:5" x14ac:dyDescent="0.25">
      <c r="A30" s="3"/>
      <c r="D30" s="5"/>
      <c r="E30" s="8"/>
    </row>
    <row r="31" spans="1:5" ht="131.25" customHeight="1" x14ac:dyDescent="0.25">
      <c r="A31" s="3">
        <v>1.9</v>
      </c>
      <c r="B31" s="191" t="s">
        <v>6055</v>
      </c>
      <c r="C31" s="7"/>
      <c r="D31" s="5"/>
      <c r="E31" s="8"/>
    </row>
    <row r="32" spans="1:5" x14ac:dyDescent="0.25">
      <c r="A32" s="3" t="s">
        <v>2446</v>
      </c>
      <c r="B32" s="125" t="s">
        <v>2441</v>
      </c>
      <c r="C32" s="7" t="s">
        <v>2439</v>
      </c>
      <c r="D32" s="101">
        <v>268</v>
      </c>
      <c r="E32" s="8"/>
    </row>
    <row r="33" spans="1:5" x14ac:dyDescent="0.25">
      <c r="A33" s="3"/>
      <c r="B33" s="125"/>
      <c r="C33" s="7"/>
      <c r="D33" s="101"/>
      <c r="E33" s="8"/>
    </row>
    <row r="34" spans="1:5" x14ac:dyDescent="0.25">
      <c r="A34" s="3" t="s">
        <v>2447</v>
      </c>
      <c r="B34" s="125" t="s">
        <v>2443</v>
      </c>
      <c r="C34" s="7" t="s">
        <v>2439</v>
      </c>
      <c r="D34" s="101">
        <v>444</v>
      </c>
      <c r="E34" s="8"/>
    </row>
    <row r="35" spans="1:5" x14ac:dyDescent="0.25">
      <c r="A35" s="3"/>
      <c r="B35" s="125"/>
      <c r="C35" s="7"/>
      <c r="D35" s="101"/>
      <c r="E35" s="8"/>
    </row>
    <row r="36" spans="1:5" x14ac:dyDescent="0.25">
      <c r="A36" s="3" t="s">
        <v>2448</v>
      </c>
      <c r="B36" s="125" t="s">
        <v>2445</v>
      </c>
      <c r="C36" s="7" t="s">
        <v>2439</v>
      </c>
      <c r="D36" s="101">
        <v>551</v>
      </c>
      <c r="E36" s="8"/>
    </row>
    <row r="37" spans="1:5" x14ac:dyDescent="0.25">
      <c r="A37" s="3"/>
      <c r="C37" s="7"/>
      <c r="D37" s="5"/>
      <c r="E37" s="8"/>
    </row>
    <row r="38" spans="1:5" x14ac:dyDescent="0.25">
      <c r="A38" s="3"/>
      <c r="C38" s="7"/>
      <c r="D38" s="5"/>
      <c r="E38" s="8"/>
    </row>
    <row r="39" spans="1:5" ht="126" x14ac:dyDescent="0.25">
      <c r="A39" s="7">
        <v>1.1000000000000001</v>
      </c>
      <c r="B39" s="13" t="s">
        <v>6060</v>
      </c>
      <c r="C39" s="7"/>
      <c r="D39" s="5"/>
      <c r="E39" s="8"/>
    </row>
    <row r="40" spans="1:5" x14ac:dyDescent="0.25">
      <c r="A40" s="7" t="s">
        <v>2449</v>
      </c>
      <c r="B40" s="125" t="s">
        <v>2452</v>
      </c>
      <c r="C40" s="7" t="s">
        <v>2453</v>
      </c>
      <c r="D40" s="101">
        <v>116</v>
      </c>
      <c r="E40" s="8"/>
    </row>
    <row r="41" spans="1:5" ht="31.5" x14ac:dyDescent="0.25">
      <c r="A41" s="7" t="s">
        <v>2450</v>
      </c>
      <c r="B41" s="125" t="s">
        <v>2455</v>
      </c>
      <c r="C41" s="7" t="s">
        <v>2453</v>
      </c>
      <c r="D41" s="101">
        <v>187</v>
      </c>
      <c r="E41" s="8"/>
    </row>
    <row r="42" spans="1:5" ht="31.5" x14ac:dyDescent="0.25">
      <c r="A42" s="7" t="s">
        <v>3167</v>
      </c>
      <c r="B42" s="125" t="s">
        <v>2457</v>
      </c>
      <c r="C42" s="7" t="s">
        <v>2453</v>
      </c>
      <c r="D42" s="101">
        <v>294</v>
      </c>
      <c r="E42" s="8"/>
    </row>
    <row r="43" spans="1:5" x14ac:dyDescent="0.25">
      <c r="A43" s="3"/>
      <c r="C43" s="7"/>
      <c r="D43" s="5"/>
      <c r="E43" s="8"/>
    </row>
    <row r="44" spans="1:5" ht="47.25" x14ac:dyDescent="0.25">
      <c r="A44" s="7">
        <v>1.1100000000000001</v>
      </c>
      <c r="B44" s="13" t="s">
        <v>3168</v>
      </c>
      <c r="C44" s="7" t="s">
        <v>2453</v>
      </c>
      <c r="D44" s="161">
        <v>1.41E-2</v>
      </c>
      <c r="E44" s="8"/>
    </row>
    <row r="45" spans="1:5" x14ac:dyDescent="0.25">
      <c r="A45" s="3"/>
      <c r="C45" s="7"/>
      <c r="D45" s="5"/>
      <c r="E45" s="8"/>
    </row>
    <row r="46" spans="1:5" ht="47.25" x14ac:dyDescent="0.25">
      <c r="A46" s="7">
        <v>1.1200000000000001</v>
      </c>
      <c r="B46" s="13" t="s">
        <v>3169</v>
      </c>
      <c r="C46" s="7" t="s">
        <v>2453</v>
      </c>
      <c r="D46" s="161">
        <v>3.61E-2</v>
      </c>
      <c r="E46" s="8"/>
    </row>
    <row r="47" spans="1:5" x14ac:dyDescent="0.25">
      <c r="A47" s="3"/>
      <c r="C47" s="101"/>
      <c r="D47" s="5"/>
      <c r="E47" s="8"/>
    </row>
    <row r="48" spans="1:5" ht="126" x14ac:dyDescent="0.25">
      <c r="A48" s="3">
        <v>1.1299999999999999</v>
      </c>
      <c r="B48" s="13" t="s">
        <v>2458</v>
      </c>
      <c r="C48" s="7"/>
      <c r="D48" s="5"/>
      <c r="E48" s="8"/>
    </row>
    <row r="49" spans="1:5" x14ac:dyDescent="0.25">
      <c r="A49" s="3" t="s">
        <v>3895</v>
      </c>
      <c r="B49" s="125" t="s">
        <v>6061</v>
      </c>
      <c r="C49" s="7"/>
      <c r="D49" s="5"/>
      <c r="E49" s="8"/>
    </row>
    <row r="50" spans="1:5" x14ac:dyDescent="0.25">
      <c r="A50" s="3" t="s">
        <v>2451</v>
      </c>
      <c r="B50" s="13" t="s">
        <v>2452</v>
      </c>
      <c r="C50" s="7" t="s">
        <v>2453</v>
      </c>
      <c r="D50" s="101">
        <v>162</v>
      </c>
      <c r="E50" s="8"/>
    </row>
    <row r="51" spans="1:5" ht="31.5" x14ac:dyDescent="0.25">
      <c r="A51" s="3" t="s">
        <v>2454</v>
      </c>
      <c r="B51" s="13" t="s">
        <v>2455</v>
      </c>
      <c r="C51" s="7" t="s">
        <v>2453</v>
      </c>
      <c r="D51" s="101">
        <v>399</v>
      </c>
      <c r="E51" s="8"/>
    </row>
    <row r="52" spans="1:5" ht="31.5" x14ac:dyDescent="0.25">
      <c r="A52" s="3" t="s">
        <v>2456</v>
      </c>
      <c r="B52" s="13" t="s">
        <v>2457</v>
      </c>
      <c r="C52" s="7" t="s">
        <v>2453</v>
      </c>
      <c r="D52" s="101">
        <v>458</v>
      </c>
      <c r="E52" s="8"/>
    </row>
    <row r="53" spans="1:5" x14ac:dyDescent="0.25">
      <c r="A53" s="3"/>
      <c r="C53" s="7"/>
      <c r="D53" s="5"/>
      <c r="E53" s="8"/>
    </row>
    <row r="54" spans="1:5" ht="31.5" x14ac:dyDescent="0.25">
      <c r="A54" s="3" t="s">
        <v>3896</v>
      </c>
      <c r="B54" s="125" t="s">
        <v>3143</v>
      </c>
      <c r="C54" s="7"/>
      <c r="D54" s="5"/>
      <c r="E54" s="8"/>
    </row>
    <row r="55" spans="1:5" x14ac:dyDescent="0.25">
      <c r="A55" s="3" t="s">
        <v>3898</v>
      </c>
      <c r="B55" s="13" t="s">
        <v>2452</v>
      </c>
      <c r="C55" s="7" t="s">
        <v>2453</v>
      </c>
      <c r="D55" s="101">
        <v>243</v>
      </c>
      <c r="E55" s="8"/>
    </row>
    <row r="56" spans="1:5" ht="31.5" x14ac:dyDescent="0.25">
      <c r="A56" s="3" t="s">
        <v>3899</v>
      </c>
      <c r="B56" s="13" t="s">
        <v>2455</v>
      </c>
      <c r="C56" s="7" t="s">
        <v>2453</v>
      </c>
      <c r="D56" s="101">
        <v>604</v>
      </c>
      <c r="E56" s="8"/>
    </row>
    <row r="57" spans="1:5" ht="31.5" x14ac:dyDescent="0.25">
      <c r="A57" s="3" t="s">
        <v>3900</v>
      </c>
      <c r="B57" s="13" t="s">
        <v>2457</v>
      </c>
      <c r="C57" s="7" t="s">
        <v>2453</v>
      </c>
      <c r="D57" s="101">
        <v>696</v>
      </c>
      <c r="E57" s="8"/>
    </row>
    <row r="58" spans="1:5" x14ac:dyDescent="0.25">
      <c r="A58" s="3"/>
      <c r="C58" s="7"/>
      <c r="D58" s="5"/>
      <c r="E58" s="8"/>
    </row>
    <row r="59" spans="1:5" x14ac:dyDescent="0.25">
      <c r="A59" s="3"/>
      <c r="C59" s="7"/>
      <c r="D59" s="5"/>
      <c r="E59" s="8"/>
    </row>
    <row r="60" spans="1:5" ht="47.25" x14ac:dyDescent="0.25">
      <c r="A60" s="3" t="s">
        <v>3897</v>
      </c>
      <c r="B60" s="125" t="s">
        <v>3145</v>
      </c>
      <c r="C60" s="7"/>
      <c r="D60" s="5"/>
      <c r="E60" s="8"/>
    </row>
    <row r="61" spans="1:5" x14ac:dyDescent="0.25">
      <c r="A61" s="3" t="s">
        <v>3901</v>
      </c>
      <c r="B61" s="13" t="s">
        <v>2452</v>
      </c>
      <c r="C61" s="7" t="s">
        <v>2453</v>
      </c>
      <c r="D61" s="101">
        <v>295</v>
      </c>
      <c r="E61" s="8"/>
    </row>
    <row r="62" spans="1:5" ht="31.5" x14ac:dyDescent="0.25">
      <c r="A62" s="3" t="s">
        <v>3902</v>
      </c>
      <c r="B62" s="13" t="s">
        <v>2455</v>
      </c>
      <c r="C62" s="7" t="s">
        <v>2453</v>
      </c>
      <c r="D62" s="101">
        <v>730</v>
      </c>
      <c r="E62" s="8"/>
    </row>
    <row r="63" spans="1:5" ht="31.5" x14ac:dyDescent="0.25">
      <c r="A63" s="3" t="s">
        <v>3903</v>
      </c>
      <c r="B63" s="13" t="s">
        <v>2457</v>
      </c>
      <c r="C63" s="7" t="s">
        <v>2453</v>
      </c>
      <c r="D63" s="101">
        <v>843</v>
      </c>
      <c r="E63" s="8"/>
    </row>
    <row r="64" spans="1:5" x14ac:dyDescent="0.25">
      <c r="A64" s="3"/>
      <c r="C64" s="7"/>
      <c r="D64" s="5"/>
      <c r="E64" s="8"/>
    </row>
    <row r="65" spans="1:5" ht="63" x14ac:dyDescent="0.25">
      <c r="A65" s="3">
        <v>1.1399999999999999</v>
      </c>
      <c r="B65" s="191" t="s">
        <v>3904</v>
      </c>
      <c r="C65" s="7" t="s">
        <v>2453</v>
      </c>
      <c r="D65" s="162">
        <v>1.04</v>
      </c>
      <c r="E65" s="8"/>
    </row>
    <row r="66" spans="1:5" x14ac:dyDescent="0.25">
      <c r="A66" s="3"/>
      <c r="C66" s="101"/>
      <c r="D66" s="5"/>
      <c r="E66" s="8"/>
    </row>
    <row r="67" spans="1:5" ht="63" x14ac:dyDescent="0.25">
      <c r="A67" s="3">
        <v>1.1499999999999999</v>
      </c>
      <c r="B67" s="191" t="s">
        <v>3905</v>
      </c>
      <c r="C67" s="7" t="s">
        <v>2453</v>
      </c>
      <c r="D67" s="161">
        <v>1.3</v>
      </c>
      <c r="E67" s="8"/>
    </row>
    <row r="68" spans="1:5" x14ac:dyDescent="0.25">
      <c r="A68" s="3"/>
      <c r="C68" s="101"/>
      <c r="D68" s="5"/>
      <c r="E68" s="8"/>
    </row>
    <row r="69" spans="1:5" ht="47.25" x14ac:dyDescent="0.25">
      <c r="A69" s="3">
        <v>1.1599999999999999</v>
      </c>
      <c r="B69" s="13" t="s">
        <v>3146</v>
      </c>
      <c r="C69" s="7"/>
      <c r="D69" s="5"/>
      <c r="E69" s="8"/>
    </row>
    <row r="70" spans="1:5" x14ac:dyDescent="0.25">
      <c r="A70" s="3" t="s">
        <v>2459</v>
      </c>
      <c r="B70" s="125" t="s">
        <v>3148</v>
      </c>
      <c r="C70" s="7" t="s">
        <v>2437</v>
      </c>
      <c r="D70" s="101">
        <v>95</v>
      </c>
      <c r="E70" s="8"/>
    </row>
    <row r="71" spans="1:5" x14ac:dyDescent="0.25">
      <c r="A71" s="3" t="s">
        <v>2460</v>
      </c>
      <c r="B71" s="125" t="s">
        <v>3149</v>
      </c>
      <c r="C71" s="7" t="s">
        <v>2437</v>
      </c>
      <c r="D71" s="101">
        <v>99</v>
      </c>
      <c r="E71" s="8"/>
    </row>
    <row r="72" spans="1:5" x14ac:dyDescent="0.25">
      <c r="A72" s="3" t="s">
        <v>3144</v>
      </c>
      <c r="B72" s="125" t="s">
        <v>3150</v>
      </c>
      <c r="C72" s="7" t="s">
        <v>2437</v>
      </c>
      <c r="D72" s="101">
        <v>109</v>
      </c>
      <c r="E72" s="8"/>
    </row>
    <row r="73" spans="1:5" x14ac:dyDescent="0.25">
      <c r="A73" s="3"/>
      <c r="C73" s="101"/>
      <c r="D73" s="5"/>
      <c r="E73" s="8"/>
    </row>
    <row r="74" spans="1:5" ht="63" x14ac:dyDescent="0.25">
      <c r="A74" s="7">
        <v>1.17</v>
      </c>
      <c r="B74" s="13" t="s">
        <v>3151</v>
      </c>
      <c r="C74" s="7"/>
      <c r="D74" s="5"/>
      <c r="E74" s="8"/>
    </row>
    <row r="75" spans="1:5" x14ac:dyDescent="0.25">
      <c r="A75" s="3" t="s">
        <v>3906</v>
      </c>
      <c r="B75" s="125" t="s">
        <v>3148</v>
      </c>
      <c r="C75" s="7" t="s">
        <v>2437</v>
      </c>
      <c r="D75" s="101">
        <v>99</v>
      </c>
      <c r="E75" s="8"/>
    </row>
    <row r="76" spans="1:5" x14ac:dyDescent="0.25">
      <c r="A76" s="3" t="s">
        <v>3907</v>
      </c>
      <c r="B76" s="125" t="s">
        <v>3149</v>
      </c>
      <c r="C76" s="7" t="s">
        <v>2437</v>
      </c>
      <c r="D76" s="101">
        <v>107</v>
      </c>
      <c r="E76" s="8"/>
    </row>
    <row r="77" spans="1:5" x14ac:dyDescent="0.25">
      <c r="A77" s="3" t="s">
        <v>3908</v>
      </c>
      <c r="B77" s="125" t="s">
        <v>3150</v>
      </c>
      <c r="C77" s="7" t="s">
        <v>2437</v>
      </c>
      <c r="D77" s="101">
        <v>118</v>
      </c>
      <c r="E77" s="8"/>
    </row>
    <row r="78" spans="1:5" x14ac:dyDescent="0.25">
      <c r="A78" s="3"/>
      <c r="C78" s="101"/>
      <c r="D78" s="5"/>
      <c r="E78" s="8"/>
    </row>
    <row r="79" spans="1:5" ht="47.25" x14ac:dyDescent="0.25">
      <c r="A79" s="7">
        <v>1.18</v>
      </c>
      <c r="B79" s="13" t="s">
        <v>3173</v>
      </c>
      <c r="C79" s="7"/>
      <c r="D79" s="5"/>
      <c r="E79" s="8"/>
    </row>
    <row r="80" spans="1:5" x14ac:dyDescent="0.25">
      <c r="A80" s="3" t="s">
        <v>3170</v>
      </c>
      <c r="B80" s="125" t="s">
        <v>3148</v>
      </c>
      <c r="C80" s="7" t="s">
        <v>2437</v>
      </c>
      <c r="D80" s="101">
        <v>84</v>
      </c>
      <c r="E80" s="8"/>
    </row>
    <row r="81" spans="1:5" x14ac:dyDescent="0.25">
      <c r="A81" s="3" t="s">
        <v>3171</v>
      </c>
      <c r="B81" s="125" t="s">
        <v>3149</v>
      </c>
      <c r="C81" s="7" t="s">
        <v>2437</v>
      </c>
      <c r="D81" s="101">
        <v>89</v>
      </c>
      <c r="E81" s="8"/>
    </row>
    <row r="82" spans="1:5" x14ac:dyDescent="0.25">
      <c r="A82" s="3" t="s">
        <v>3172</v>
      </c>
      <c r="B82" s="125" t="s">
        <v>3150</v>
      </c>
      <c r="C82" s="7" t="s">
        <v>2437</v>
      </c>
      <c r="D82" s="101">
        <v>96</v>
      </c>
      <c r="E82" s="8"/>
    </row>
    <row r="83" spans="1:5" x14ac:dyDescent="0.25">
      <c r="A83" s="3"/>
      <c r="C83" s="101"/>
      <c r="D83" s="5"/>
      <c r="E83" s="8"/>
    </row>
    <row r="84" spans="1:5" ht="63" x14ac:dyDescent="0.25">
      <c r="A84" s="3">
        <v>1.19</v>
      </c>
      <c r="B84" s="13" t="s">
        <v>3174</v>
      </c>
      <c r="C84" s="7" t="s">
        <v>2437</v>
      </c>
      <c r="D84" s="101">
        <v>1254</v>
      </c>
      <c r="E84" s="8"/>
    </row>
    <row r="85" spans="1:5" x14ac:dyDescent="0.25">
      <c r="A85" s="3"/>
      <c r="C85" s="101"/>
      <c r="D85" s="5"/>
      <c r="E85" s="8"/>
    </row>
    <row r="86" spans="1:5" ht="47.25" x14ac:dyDescent="0.25">
      <c r="A86" s="7">
        <v>1.2</v>
      </c>
      <c r="B86" s="13" t="s">
        <v>3158</v>
      </c>
      <c r="C86" s="7"/>
      <c r="D86" s="5"/>
      <c r="E86" s="8"/>
    </row>
    <row r="87" spans="1:5" x14ac:dyDescent="0.25">
      <c r="A87" s="3" t="s">
        <v>3152</v>
      </c>
      <c r="B87" s="125" t="s">
        <v>3148</v>
      </c>
      <c r="C87" s="7" t="s">
        <v>2437</v>
      </c>
      <c r="D87" s="101">
        <v>47</v>
      </c>
      <c r="E87" s="8"/>
    </row>
    <row r="88" spans="1:5" x14ac:dyDescent="0.25">
      <c r="A88" s="3" t="s">
        <v>3153</v>
      </c>
      <c r="B88" s="125" t="s">
        <v>3149</v>
      </c>
      <c r="C88" s="7" t="s">
        <v>2437</v>
      </c>
      <c r="D88" s="101">
        <v>50</v>
      </c>
      <c r="E88" s="8"/>
    </row>
    <row r="89" spans="1:5" x14ac:dyDescent="0.25">
      <c r="A89" s="3" t="s">
        <v>3154</v>
      </c>
      <c r="B89" s="125" t="s">
        <v>3150</v>
      </c>
      <c r="C89" s="7" t="s">
        <v>2437</v>
      </c>
      <c r="D89" s="101">
        <v>54</v>
      </c>
      <c r="E89" s="8"/>
    </row>
    <row r="90" spans="1:5" x14ac:dyDescent="0.25">
      <c r="A90" s="3"/>
      <c r="C90" s="7"/>
      <c r="D90" s="5"/>
      <c r="E90" s="8"/>
    </row>
    <row r="91" spans="1:5" ht="47.25" x14ac:dyDescent="0.25">
      <c r="A91" s="3">
        <v>1.21</v>
      </c>
      <c r="B91" s="13" t="s">
        <v>3159</v>
      </c>
      <c r="C91" s="7"/>
      <c r="D91" s="5"/>
      <c r="E91" s="8"/>
    </row>
    <row r="92" spans="1:5" x14ac:dyDescent="0.25">
      <c r="A92" s="3" t="s">
        <v>3155</v>
      </c>
      <c r="B92" s="125" t="s">
        <v>3148</v>
      </c>
      <c r="C92" s="7" t="s">
        <v>2437</v>
      </c>
      <c r="D92" s="101">
        <v>41</v>
      </c>
      <c r="E92" s="8"/>
    </row>
    <row r="93" spans="1:5" x14ac:dyDescent="0.25">
      <c r="A93" s="3" t="s">
        <v>3156</v>
      </c>
      <c r="B93" s="125" t="s">
        <v>3149</v>
      </c>
      <c r="C93" s="7" t="s">
        <v>2437</v>
      </c>
      <c r="D93" s="101">
        <v>46</v>
      </c>
      <c r="E93" s="8"/>
    </row>
    <row r="94" spans="1:5" x14ac:dyDescent="0.25">
      <c r="A94" s="3" t="s">
        <v>3157</v>
      </c>
      <c r="B94" s="125" t="s">
        <v>3150</v>
      </c>
      <c r="C94" s="7" t="s">
        <v>2437</v>
      </c>
      <c r="D94" s="101">
        <v>53</v>
      </c>
      <c r="E94" s="8"/>
    </row>
    <row r="95" spans="1:5" x14ac:dyDescent="0.25">
      <c r="A95" s="3"/>
      <c r="C95" s="101"/>
      <c r="D95" s="5"/>
      <c r="E95" s="8"/>
    </row>
    <row r="96" spans="1:5" ht="47.25" x14ac:dyDescent="0.25">
      <c r="A96" s="3">
        <v>1.22</v>
      </c>
      <c r="B96" s="13" t="s">
        <v>3162</v>
      </c>
      <c r="C96" s="7"/>
      <c r="D96" s="5"/>
      <c r="E96" s="8"/>
    </row>
    <row r="97" spans="1:5" x14ac:dyDescent="0.25">
      <c r="A97" s="3" t="s">
        <v>3175</v>
      </c>
      <c r="B97" s="125" t="s">
        <v>3148</v>
      </c>
      <c r="C97" s="7" t="s">
        <v>2437</v>
      </c>
      <c r="D97" s="101">
        <v>30</v>
      </c>
      <c r="E97" s="8"/>
    </row>
    <row r="98" spans="1:5" x14ac:dyDescent="0.25">
      <c r="A98" s="3" t="s">
        <v>3176</v>
      </c>
      <c r="B98" s="125" t="s">
        <v>3149</v>
      </c>
      <c r="C98" s="7" t="s">
        <v>2437</v>
      </c>
      <c r="D98" s="101">
        <v>32</v>
      </c>
      <c r="E98" s="8"/>
    </row>
    <row r="99" spans="1:5" x14ac:dyDescent="0.25">
      <c r="A99" s="3" t="s">
        <v>3177</v>
      </c>
      <c r="B99" s="125" t="s">
        <v>3150</v>
      </c>
      <c r="C99" s="7" t="s">
        <v>2437</v>
      </c>
      <c r="D99" s="101">
        <v>39</v>
      </c>
      <c r="E99" s="8"/>
    </row>
    <row r="100" spans="1:5" x14ac:dyDescent="0.25">
      <c r="A100" s="3"/>
      <c r="C100" s="101"/>
      <c r="D100" s="5"/>
      <c r="E100" s="8"/>
    </row>
    <row r="101" spans="1:5" ht="47.25" x14ac:dyDescent="0.25">
      <c r="A101" s="3">
        <v>1.23</v>
      </c>
      <c r="B101" s="13" t="s">
        <v>3178</v>
      </c>
      <c r="C101" s="7" t="s">
        <v>2437</v>
      </c>
      <c r="D101" s="101">
        <v>629</v>
      </c>
      <c r="E101" s="8"/>
    </row>
    <row r="102" spans="1:5" x14ac:dyDescent="0.25">
      <c r="A102" s="3"/>
      <c r="C102" s="101"/>
      <c r="D102" s="5"/>
      <c r="E102" s="8"/>
    </row>
    <row r="103" spans="1:5" x14ac:dyDescent="0.25">
      <c r="A103" s="3">
        <v>1.24</v>
      </c>
      <c r="B103" s="13" t="s">
        <v>3180</v>
      </c>
      <c r="C103" s="7"/>
      <c r="D103" s="5"/>
      <c r="E103" s="8"/>
    </row>
    <row r="104" spans="1:5" ht="31.5" x14ac:dyDescent="0.25">
      <c r="A104" s="3" t="s">
        <v>3160</v>
      </c>
      <c r="B104" s="13" t="s">
        <v>3181</v>
      </c>
      <c r="C104" s="7" t="s">
        <v>3179</v>
      </c>
      <c r="D104" s="162">
        <v>0.2</v>
      </c>
      <c r="E104" s="8"/>
    </row>
    <row r="105" spans="1:5" ht="31.5" x14ac:dyDescent="0.25">
      <c r="A105" s="3" t="s">
        <v>3161</v>
      </c>
      <c r="B105" s="13" t="s">
        <v>3182</v>
      </c>
      <c r="C105" s="7" t="s">
        <v>3179</v>
      </c>
      <c r="D105" s="162">
        <v>0.25</v>
      </c>
      <c r="E105" s="8"/>
    </row>
    <row r="106" spans="1:5" ht="126" x14ac:dyDescent="0.25">
      <c r="A106" s="11" t="s">
        <v>2882</v>
      </c>
      <c r="B106" s="13" t="s">
        <v>4925</v>
      </c>
      <c r="C106" s="7"/>
      <c r="D106" s="5"/>
      <c r="E106" s="8"/>
    </row>
    <row r="107" spans="1:5" x14ac:dyDescent="0.25">
      <c r="A107" s="3"/>
      <c r="C107" s="7"/>
      <c r="D107" s="5"/>
      <c r="E107" s="8"/>
    </row>
    <row r="108" spans="1:5" ht="63" x14ac:dyDescent="0.25">
      <c r="A108" s="7">
        <v>1.25</v>
      </c>
      <c r="B108" s="13" t="s">
        <v>5631</v>
      </c>
      <c r="C108" s="7" t="s">
        <v>2439</v>
      </c>
      <c r="D108" s="101">
        <v>64</v>
      </c>
      <c r="E108" s="8"/>
    </row>
    <row r="109" spans="1:5" x14ac:dyDescent="0.25">
      <c r="A109" s="3"/>
      <c r="C109" s="101"/>
      <c r="D109" s="5"/>
      <c r="E109" s="8"/>
    </row>
    <row r="110" spans="1:5" x14ac:dyDescent="0.25">
      <c r="A110" s="3"/>
      <c r="C110" s="101"/>
      <c r="D110" s="5"/>
      <c r="E110" s="8"/>
    </row>
    <row r="111" spans="1:5" ht="31.5" x14ac:dyDescent="0.25">
      <c r="A111" s="3">
        <v>1.26</v>
      </c>
      <c r="B111" s="13" t="s">
        <v>3183</v>
      </c>
      <c r="C111" s="7"/>
      <c r="D111" s="5"/>
      <c r="E111" s="8"/>
    </row>
    <row r="112" spans="1:5" x14ac:dyDescent="0.25">
      <c r="A112" s="3" t="s">
        <v>3184</v>
      </c>
      <c r="B112" s="125" t="s">
        <v>2436</v>
      </c>
      <c r="C112" s="7" t="s">
        <v>2439</v>
      </c>
      <c r="D112" s="101">
        <v>34</v>
      </c>
      <c r="E112" s="8"/>
    </row>
    <row r="113" spans="1:5" x14ac:dyDescent="0.25">
      <c r="A113" s="3" t="s">
        <v>3185</v>
      </c>
      <c r="B113" s="125" t="s">
        <v>3163</v>
      </c>
      <c r="C113" s="7" t="s">
        <v>2439</v>
      </c>
      <c r="D113" s="101">
        <v>61</v>
      </c>
      <c r="E113" s="8"/>
    </row>
    <row r="114" spans="1:5" x14ac:dyDescent="0.25">
      <c r="A114" s="3"/>
      <c r="C114" s="7"/>
      <c r="D114" s="5"/>
      <c r="E114" s="8"/>
    </row>
    <row r="115" spans="1:5" ht="47.25" x14ac:dyDescent="0.25">
      <c r="A115" s="3" t="s">
        <v>6282</v>
      </c>
      <c r="B115" s="191" t="s">
        <v>3186</v>
      </c>
      <c r="C115" s="7" t="s">
        <v>2439</v>
      </c>
      <c r="D115" s="101">
        <v>1024</v>
      </c>
      <c r="E115" s="8"/>
    </row>
    <row r="116" spans="1:5" x14ac:dyDescent="0.25">
      <c r="A116" s="3"/>
      <c r="C116" s="7"/>
      <c r="D116" s="5"/>
      <c r="E116" s="8"/>
    </row>
    <row r="117" spans="1:5" s="176" customFormat="1" ht="53.25" customHeight="1" x14ac:dyDescent="0.25">
      <c r="A117" s="3" t="s">
        <v>5664</v>
      </c>
      <c r="B117" s="191" t="s">
        <v>5665</v>
      </c>
      <c r="C117" s="7" t="s">
        <v>2439</v>
      </c>
      <c r="D117" s="101">
        <v>450</v>
      </c>
      <c r="E117" s="175"/>
    </row>
    <row r="118" spans="1:5" x14ac:dyDescent="0.25">
      <c r="A118" s="3"/>
      <c r="C118" s="7"/>
      <c r="D118" s="5"/>
      <c r="E118" s="8"/>
    </row>
    <row r="119" spans="1:5" ht="71.25" customHeight="1" x14ac:dyDescent="0.25">
      <c r="A119" s="3">
        <v>1.28</v>
      </c>
      <c r="B119" s="13" t="s">
        <v>6063</v>
      </c>
      <c r="C119" s="7" t="s">
        <v>586</v>
      </c>
      <c r="D119" s="101">
        <v>9</v>
      </c>
      <c r="E119" s="8"/>
    </row>
    <row r="120" spans="1:5" x14ac:dyDescent="0.25">
      <c r="A120" s="3"/>
      <c r="C120" s="7"/>
      <c r="D120" s="5"/>
      <c r="E120" s="8"/>
    </row>
    <row r="121" spans="1:5" ht="31.5" x14ac:dyDescent="0.25">
      <c r="A121" s="3">
        <v>1.29</v>
      </c>
      <c r="B121" s="13" t="s">
        <v>6062</v>
      </c>
      <c r="C121" s="7" t="s">
        <v>586</v>
      </c>
      <c r="D121" s="101">
        <v>9</v>
      </c>
      <c r="E121" s="8"/>
    </row>
    <row r="122" spans="1:5" x14ac:dyDescent="0.25">
      <c r="A122" s="3"/>
      <c r="C122" s="7"/>
      <c r="D122" s="5"/>
      <c r="E122" s="8"/>
    </row>
    <row r="123" spans="1:5" ht="111" customHeight="1" x14ac:dyDescent="0.25">
      <c r="A123" s="7">
        <v>1.3</v>
      </c>
      <c r="B123" s="191" t="s">
        <v>3187</v>
      </c>
      <c r="C123" s="7"/>
      <c r="D123" s="5"/>
      <c r="E123" s="8"/>
    </row>
    <row r="124" spans="1:5" x14ac:dyDescent="0.25">
      <c r="A124" s="7" t="s">
        <v>3188</v>
      </c>
      <c r="B124" s="125" t="s">
        <v>2436</v>
      </c>
      <c r="C124" s="7" t="s">
        <v>2439</v>
      </c>
      <c r="D124" s="101">
        <v>94</v>
      </c>
      <c r="E124" s="8"/>
    </row>
    <row r="125" spans="1:5" x14ac:dyDescent="0.25">
      <c r="A125" s="7" t="s">
        <v>3189</v>
      </c>
      <c r="B125" s="125" t="s">
        <v>2441</v>
      </c>
      <c r="C125" s="7" t="s">
        <v>2439</v>
      </c>
      <c r="D125" s="101">
        <v>135</v>
      </c>
      <c r="E125" s="8"/>
    </row>
    <row r="126" spans="1:5" x14ac:dyDescent="0.25">
      <c r="A126" s="7" t="s">
        <v>3190</v>
      </c>
      <c r="B126" s="125" t="s">
        <v>2443</v>
      </c>
      <c r="C126" s="7" t="s">
        <v>2439</v>
      </c>
      <c r="D126" s="101">
        <v>243</v>
      </c>
      <c r="E126" s="8"/>
    </row>
    <row r="127" spans="1:5" x14ac:dyDescent="0.25">
      <c r="A127" s="7" t="s">
        <v>3191</v>
      </c>
      <c r="B127" s="125" t="s">
        <v>2445</v>
      </c>
      <c r="C127" s="7" t="s">
        <v>2439</v>
      </c>
      <c r="D127" s="101">
        <v>296</v>
      </c>
      <c r="E127" s="8"/>
    </row>
    <row r="128" spans="1:5" x14ac:dyDescent="0.25">
      <c r="A128" s="3"/>
      <c r="C128" s="7"/>
      <c r="D128" s="5"/>
      <c r="E128" s="8"/>
    </row>
    <row r="129" spans="1:5" ht="93" customHeight="1" x14ac:dyDescent="0.25">
      <c r="A129" s="3">
        <v>1.31</v>
      </c>
      <c r="B129" s="191" t="s">
        <v>3192</v>
      </c>
      <c r="C129" s="7" t="s">
        <v>586</v>
      </c>
      <c r="D129" s="101">
        <v>5</v>
      </c>
      <c r="E129" s="8"/>
    </row>
    <row r="130" spans="1:5" x14ac:dyDescent="0.25">
      <c r="A130" s="3"/>
      <c r="C130" s="7"/>
      <c r="D130" s="5"/>
      <c r="E130" s="8"/>
    </row>
    <row r="131" spans="1:5" ht="31.5" x14ac:dyDescent="0.25">
      <c r="A131" s="7">
        <v>1.32</v>
      </c>
      <c r="B131" s="191" t="s">
        <v>3193</v>
      </c>
      <c r="C131" s="7" t="s">
        <v>2437</v>
      </c>
      <c r="D131" s="101">
        <v>2</v>
      </c>
      <c r="E131" s="8"/>
    </row>
    <row r="132" spans="1:5" x14ac:dyDescent="0.25">
      <c r="A132" s="3"/>
      <c r="C132" s="7"/>
      <c r="D132" s="5"/>
      <c r="E132" s="8"/>
    </row>
    <row r="133" spans="1:5" x14ac:dyDescent="0.25">
      <c r="A133" s="3"/>
      <c r="C133" s="7"/>
      <c r="D133" s="5"/>
      <c r="E133" s="8"/>
    </row>
    <row r="134" spans="1:5" ht="63" x14ac:dyDescent="0.25">
      <c r="A134" s="7">
        <v>1.33</v>
      </c>
      <c r="B134" s="191" t="s">
        <v>3196</v>
      </c>
      <c r="C134" s="7"/>
      <c r="D134" s="5"/>
      <c r="E134" s="8"/>
    </row>
    <row r="135" spans="1:5" x14ac:dyDescent="0.25">
      <c r="A135" s="7" t="s">
        <v>3194</v>
      </c>
      <c r="B135" s="190" t="s">
        <v>3195</v>
      </c>
      <c r="C135" s="7" t="s">
        <v>4217</v>
      </c>
      <c r="D135" s="101">
        <v>140</v>
      </c>
      <c r="E135" s="8"/>
    </row>
    <row r="136" spans="1:5" x14ac:dyDescent="0.25">
      <c r="A136" s="7"/>
      <c r="B136" s="190"/>
      <c r="C136" s="7"/>
      <c r="D136" s="101"/>
      <c r="E136" s="8"/>
    </row>
    <row r="137" spans="1:5" x14ac:dyDescent="0.25">
      <c r="A137" s="7" t="s">
        <v>3198</v>
      </c>
      <c r="B137" s="190" t="s">
        <v>3197</v>
      </c>
      <c r="C137" s="7" t="s">
        <v>4217</v>
      </c>
      <c r="D137" s="101">
        <v>620</v>
      </c>
      <c r="E137" s="8"/>
    </row>
    <row r="138" spans="1:5" x14ac:dyDescent="0.25">
      <c r="A138" s="7"/>
      <c r="B138" s="190"/>
      <c r="C138" s="7"/>
      <c r="D138" s="101"/>
      <c r="E138" s="8"/>
    </row>
    <row r="139" spans="1:5" x14ac:dyDescent="0.25">
      <c r="A139" s="7" t="s">
        <v>3200</v>
      </c>
      <c r="B139" s="190" t="s">
        <v>3199</v>
      </c>
      <c r="C139" s="7" t="s">
        <v>4217</v>
      </c>
      <c r="D139" s="101">
        <v>2875</v>
      </c>
      <c r="E139" s="8"/>
    </row>
    <row r="140" spans="1:5" x14ac:dyDescent="0.25">
      <c r="A140" s="7"/>
      <c r="B140" s="190"/>
      <c r="C140" s="7"/>
      <c r="D140" s="101"/>
      <c r="E140" s="8"/>
    </row>
    <row r="141" spans="1:5" x14ac:dyDescent="0.25">
      <c r="A141" s="7" t="s">
        <v>3202</v>
      </c>
      <c r="B141" s="190" t="s">
        <v>3201</v>
      </c>
      <c r="C141" s="7" t="s">
        <v>4217</v>
      </c>
      <c r="D141" s="101">
        <v>5768</v>
      </c>
      <c r="E141" s="8"/>
    </row>
    <row r="142" spans="1:5" x14ac:dyDescent="0.25">
      <c r="A142" s="3"/>
      <c r="C142" s="7"/>
      <c r="D142" s="5"/>
      <c r="E142" s="8"/>
    </row>
    <row r="143" spans="1:5" ht="47.25" x14ac:dyDescent="0.25">
      <c r="A143" s="3">
        <v>1.34</v>
      </c>
      <c r="B143" s="13" t="s">
        <v>6406</v>
      </c>
      <c r="C143" s="7" t="s">
        <v>3740</v>
      </c>
      <c r="D143" s="101">
        <v>243</v>
      </c>
      <c r="E143" s="8"/>
    </row>
    <row r="144" spans="1:5" x14ac:dyDescent="0.25">
      <c r="A144" s="3"/>
      <c r="D144" s="5"/>
      <c r="E144" s="8"/>
    </row>
    <row r="145" spans="1:5" ht="90" x14ac:dyDescent="0.25">
      <c r="A145" s="3">
        <v>1.35</v>
      </c>
      <c r="B145" s="202" t="s">
        <v>4926</v>
      </c>
      <c r="C145" s="7"/>
      <c r="D145" s="5"/>
      <c r="E145" s="8"/>
    </row>
    <row r="146" spans="1:5" ht="111" customHeight="1" x14ac:dyDescent="0.25">
      <c r="A146" s="3" t="s">
        <v>3203</v>
      </c>
      <c r="B146" s="13" t="s">
        <v>6409</v>
      </c>
      <c r="C146" s="7" t="s">
        <v>3753</v>
      </c>
      <c r="D146" s="101">
        <v>12</v>
      </c>
      <c r="E146" s="8"/>
    </row>
    <row r="147" spans="1:5" x14ac:dyDescent="0.25">
      <c r="D147" s="5"/>
      <c r="E147" s="8"/>
    </row>
    <row r="148" spans="1:5" ht="81" customHeight="1" x14ac:dyDescent="0.25">
      <c r="A148" s="3" t="s">
        <v>3204</v>
      </c>
      <c r="B148" s="13" t="s">
        <v>6408</v>
      </c>
      <c r="C148" s="7" t="s">
        <v>3753</v>
      </c>
      <c r="D148" s="101">
        <v>17</v>
      </c>
      <c r="E148" s="8"/>
    </row>
    <row r="149" spans="1:5" x14ac:dyDescent="0.25">
      <c r="D149" s="5"/>
      <c r="E149" s="8"/>
    </row>
    <row r="150" spans="1:5" ht="110.25" customHeight="1" x14ac:dyDescent="0.25">
      <c r="A150" s="3" t="s">
        <v>3205</v>
      </c>
      <c r="B150" s="13" t="s">
        <v>6407</v>
      </c>
      <c r="C150" s="7" t="s">
        <v>4112</v>
      </c>
      <c r="D150" s="101">
        <v>87</v>
      </c>
      <c r="E150" s="8"/>
    </row>
    <row r="151" spans="1:5" x14ac:dyDescent="0.25">
      <c r="D151" s="5"/>
      <c r="E151" s="8"/>
    </row>
    <row r="152" spans="1:5" x14ac:dyDescent="0.25">
      <c r="D152" s="5"/>
      <c r="E152" s="8"/>
    </row>
    <row r="153" spans="1:5" ht="110.25" x14ac:dyDescent="0.25">
      <c r="A153" s="3" t="s">
        <v>3206</v>
      </c>
      <c r="B153" s="13" t="s">
        <v>6064</v>
      </c>
      <c r="C153" s="7" t="s">
        <v>3753</v>
      </c>
      <c r="D153" s="101">
        <v>13</v>
      </c>
      <c r="E153" s="8"/>
    </row>
    <row r="154" spans="1:5" x14ac:dyDescent="0.25">
      <c r="D154" s="5"/>
      <c r="E154" s="8"/>
    </row>
    <row r="155" spans="1:5" ht="94.5" x14ac:dyDescent="0.25">
      <c r="A155" s="3" t="s">
        <v>3207</v>
      </c>
      <c r="B155" s="13" t="s">
        <v>6410</v>
      </c>
      <c r="C155" s="7" t="s">
        <v>3753</v>
      </c>
      <c r="D155" s="101">
        <v>124</v>
      </c>
      <c r="E155" s="8"/>
    </row>
    <row r="156" spans="1:5" x14ac:dyDescent="0.25">
      <c r="A156" s="3"/>
      <c r="C156" s="7"/>
      <c r="D156" s="5"/>
      <c r="E156" s="8"/>
    </row>
    <row r="157" spans="1:5" ht="165" x14ac:dyDescent="0.25">
      <c r="A157" s="3">
        <v>1.36</v>
      </c>
      <c r="B157" s="202" t="s">
        <v>6065</v>
      </c>
      <c r="C157" s="7" t="s">
        <v>4112</v>
      </c>
      <c r="D157" s="101">
        <v>47</v>
      </c>
      <c r="E157" s="8"/>
    </row>
    <row r="158" spans="1:5" x14ac:dyDescent="0.25">
      <c r="C158" s="101"/>
      <c r="D158" s="5"/>
      <c r="E158" s="8"/>
    </row>
    <row r="159" spans="1:5" ht="135" x14ac:dyDescent="0.25">
      <c r="A159" s="3">
        <v>1.37</v>
      </c>
      <c r="B159" s="203" t="s">
        <v>4363</v>
      </c>
      <c r="C159" s="7"/>
      <c r="D159" s="5"/>
      <c r="E159" s="8"/>
    </row>
    <row r="160" spans="1:5" x14ac:dyDescent="0.25">
      <c r="A160" s="18" t="s">
        <v>1662</v>
      </c>
      <c r="B160" s="13" t="s">
        <v>4355</v>
      </c>
      <c r="C160" s="101"/>
      <c r="D160" s="5"/>
      <c r="E160" s="8"/>
    </row>
    <row r="161" spans="1:5" x14ac:dyDescent="0.25">
      <c r="A161" s="18" t="s">
        <v>1664</v>
      </c>
      <c r="B161" s="13" t="s">
        <v>4362</v>
      </c>
      <c r="C161" s="101"/>
      <c r="D161" s="5"/>
      <c r="E161" s="8"/>
    </row>
    <row r="162" spans="1:5" x14ac:dyDescent="0.25">
      <c r="A162" s="18" t="s">
        <v>1670</v>
      </c>
      <c r="B162" s="13" t="s">
        <v>4358</v>
      </c>
      <c r="C162" s="101"/>
      <c r="D162" s="5"/>
      <c r="E162" s="8"/>
    </row>
    <row r="163" spans="1:5" x14ac:dyDescent="0.25">
      <c r="A163" s="18" t="s">
        <v>400</v>
      </c>
      <c r="B163" s="13" t="s">
        <v>4359</v>
      </c>
      <c r="C163" s="101"/>
      <c r="D163" s="5"/>
      <c r="E163" s="8"/>
    </row>
    <row r="164" spans="1:5" x14ac:dyDescent="0.25">
      <c r="A164" s="18" t="s">
        <v>401</v>
      </c>
      <c r="B164" s="13" t="s">
        <v>4360</v>
      </c>
      <c r="C164" s="101"/>
      <c r="D164" s="5"/>
      <c r="E164" s="8"/>
    </row>
    <row r="165" spans="1:5" ht="31.5" x14ac:dyDescent="0.25">
      <c r="A165" s="18" t="s">
        <v>402</v>
      </c>
      <c r="B165" s="13" t="s">
        <v>4361</v>
      </c>
      <c r="C165" s="101"/>
      <c r="D165" s="5"/>
      <c r="E165" s="8"/>
    </row>
    <row r="166" spans="1:5" x14ac:dyDescent="0.25">
      <c r="A166" s="18" t="s">
        <v>1660</v>
      </c>
      <c r="B166" s="191" t="s">
        <v>4356</v>
      </c>
      <c r="C166" s="7" t="s">
        <v>4217</v>
      </c>
      <c r="D166" s="101">
        <v>8635</v>
      </c>
      <c r="E166" s="8"/>
    </row>
    <row r="167" spans="1:5" x14ac:dyDescent="0.25">
      <c r="A167" s="31" t="s">
        <v>1666</v>
      </c>
      <c r="B167" s="13" t="s">
        <v>4357</v>
      </c>
      <c r="C167" s="7" t="s">
        <v>4217</v>
      </c>
      <c r="D167" s="101">
        <v>11550</v>
      </c>
      <c r="E167" s="8"/>
    </row>
    <row r="168" spans="1:5" x14ac:dyDescent="0.25">
      <c r="A168" s="8"/>
      <c r="C168" s="101"/>
      <c r="D168" s="5"/>
      <c r="E168" s="8"/>
    </row>
    <row r="169" spans="1:5" ht="157.5" x14ac:dyDescent="0.25">
      <c r="A169" s="3">
        <v>1.38</v>
      </c>
      <c r="B169" s="13" t="s">
        <v>5527</v>
      </c>
      <c r="C169" s="101" t="s">
        <v>2437</v>
      </c>
      <c r="D169" s="101">
        <v>90</v>
      </c>
      <c r="E169" s="8"/>
    </row>
    <row r="170" spans="1:5" x14ac:dyDescent="0.25">
      <c r="A170" s="3"/>
      <c r="C170" s="101"/>
      <c r="D170" s="5"/>
      <c r="E170" s="8"/>
    </row>
    <row r="171" spans="1:5" ht="269.25" customHeight="1" x14ac:dyDescent="0.25">
      <c r="A171" s="3">
        <v>1.39</v>
      </c>
      <c r="B171" s="13" t="s">
        <v>5528</v>
      </c>
      <c r="C171" s="101" t="s">
        <v>2437</v>
      </c>
      <c r="D171" s="101">
        <v>216</v>
      </c>
      <c r="E171" s="8"/>
    </row>
    <row r="172" spans="1:5" x14ac:dyDescent="0.25">
      <c r="A172" s="8"/>
      <c r="C172" s="101"/>
      <c r="D172" s="173">
        <f>SUM(D9:D171)</f>
        <v>44373.840199999999</v>
      </c>
      <c r="E172" s="8"/>
    </row>
    <row r="173" spans="1:5" x14ac:dyDescent="0.25">
      <c r="C173" s="101"/>
      <c r="E173" s="8"/>
    </row>
    <row r="174" spans="1:5" x14ac:dyDescent="0.25">
      <c r="C174" s="101"/>
      <c r="D174" s="111"/>
      <c r="E174" s="8"/>
    </row>
    <row r="175" spans="1:5" x14ac:dyDescent="0.25">
      <c r="A175" s="8"/>
      <c r="B175" s="157"/>
      <c r="C175" s="4"/>
      <c r="E175" s="8"/>
    </row>
    <row r="176" spans="1:5" x14ac:dyDescent="0.25">
      <c r="A176" s="8"/>
      <c r="B176" s="157"/>
      <c r="C176" s="4"/>
      <c r="E176" s="8"/>
    </row>
    <row r="177" spans="1:5" x14ac:dyDescent="0.25">
      <c r="A177" s="3"/>
      <c r="C177" s="7"/>
      <c r="E177" s="8"/>
    </row>
    <row r="178" spans="1:5" x14ac:dyDescent="0.25">
      <c r="A178" s="3"/>
      <c r="C178" s="7"/>
      <c r="E178" s="8"/>
    </row>
    <row r="179" spans="1:5" x14ac:dyDescent="0.25">
      <c r="A179" s="103"/>
      <c r="C179" s="7"/>
      <c r="E179" s="8"/>
    </row>
    <row r="180" spans="1:5" x14ac:dyDescent="0.25">
      <c r="A180" s="3"/>
      <c r="C180" s="7"/>
      <c r="E180" s="8"/>
    </row>
    <row r="181" spans="1:5" x14ac:dyDescent="0.25">
      <c r="A181" s="3"/>
      <c r="C181" s="7"/>
      <c r="E181" s="8"/>
    </row>
    <row r="182" spans="1:5" x14ac:dyDescent="0.25">
      <c r="A182" s="3"/>
      <c r="C182" s="7"/>
      <c r="E182" s="8"/>
    </row>
    <row r="183" spans="1:5" x14ac:dyDescent="0.25">
      <c r="A183" s="3"/>
      <c r="C183" s="7"/>
      <c r="E183" s="8"/>
    </row>
    <row r="184" spans="1:5" x14ac:dyDescent="0.25">
      <c r="A184" s="3"/>
      <c r="C184" s="7"/>
      <c r="E184" s="8"/>
    </row>
    <row r="185" spans="1:5" x14ac:dyDescent="0.25">
      <c r="A185" s="3"/>
      <c r="C185" s="7"/>
      <c r="E185" s="8"/>
    </row>
    <row r="186" spans="1:5" x14ac:dyDescent="0.25">
      <c r="A186" s="3"/>
      <c r="C186" s="7"/>
      <c r="E186" s="8"/>
    </row>
    <row r="187" spans="1:5" x14ac:dyDescent="0.25">
      <c r="A187" s="3"/>
      <c r="C187" s="7"/>
      <c r="E187" s="8"/>
    </row>
    <row r="188" spans="1:5" x14ac:dyDescent="0.25">
      <c r="A188" s="3"/>
      <c r="C188" s="7"/>
      <c r="E188" s="8"/>
    </row>
    <row r="189" spans="1:5" x14ac:dyDescent="0.25">
      <c r="A189" s="3"/>
      <c r="C189" s="7"/>
      <c r="E189" s="8"/>
    </row>
    <row r="190" spans="1:5" x14ac:dyDescent="0.25">
      <c r="A190" s="3"/>
      <c r="C190" s="7"/>
      <c r="E190" s="8"/>
    </row>
    <row r="191" spans="1:5" x14ac:dyDescent="0.25">
      <c r="A191" s="8"/>
      <c r="B191" s="157"/>
      <c r="C191" s="7"/>
      <c r="E191" s="8"/>
    </row>
    <row r="192" spans="1:5" x14ac:dyDescent="0.25">
      <c r="A192" s="8"/>
      <c r="B192" s="157"/>
      <c r="C192" s="7"/>
      <c r="E192" s="8"/>
    </row>
    <row r="193" spans="1:5" x14ac:dyDescent="0.25">
      <c r="A193" s="3"/>
      <c r="C193" s="7"/>
      <c r="E193" s="8"/>
    </row>
    <row r="194" spans="1:5" x14ac:dyDescent="0.25">
      <c r="A194" s="3"/>
      <c r="C194" s="7"/>
      <c r="E194" s="8"/>
    </row>
    <row r="195" spans="1:5" x14ac:dyDescent="0.25">
      <c r="A195" s="103"/>
      <c r="C195" s="7"/>
      <c r="E195" s="8"/>
    </row>
    <row r="196" spans="1:5" x14ac:dyDescent="0.25">
      <c r="A196" s="3"/>
      <c r="C196" s="7"/>
      <c r="E196" s="8"/>
    </row>
    <row r="197" spans="1:5" x14ac:dyDescent="0.25">
      <c r="A197" s="7"/>
      <c r="C197" s="7"/>
      <c r="E197" s="8"/>
    </row>
    <row r="198" spans="1:5" x14ac:dyDescent="0.25">
      <c r="A198" s="3"/>
      <c r="C198" s="7"/>
      <c r="E198" s="8"/>
    </row>
    <row r="199" spans="1:5" x14ac:dyDescent="0.25">
      <c r="A199" s="7"/>
      <c r="C199" s="7"/>
      <c r="E199" s="8"/>
    </row>
    <row r="200" spans="1:5" x14ac:dyDescent="0.25">
      <c r="A200" s="7"/>
      <c r="C200" s="7"/>
      <c r="E200" s="8"/>
    </row>
    <row r="201" spans="1:5" x14ac:dyDescent="0.25">
      <c r="A201" s="7"/>
      <c r="C201" s="7"/>
      <c r="E201" s="8"/>
    </row>
    <row r="202" spans="1:5" x14ac:dyDescent="0.25">
      <c r="A202" s="3"/>
      <c r="C202" s="7"/>
      <c r="E202" s="8"/>
    </row>
    <row r="203" spans="1:5" x14ac:dyDescent="0.25">
      <c r="B203" s="157"/>
      <c r="C203" s="7"/>
      <c r="E203" s="8"/>
    </row>
    <row r="204" spans="1:5" x14ac:dyDescent="0.25">
      <c r="B204" s="157"/>
      <c r="C204" s="7"/>
      <c r="E204" s="8"/>
    </row>
    <row r="205" spans="1:5" x14ac:dyDescent="0.25">
      <c r="A205" s="3"/>
      <c r="C205" s="7"/>
      <c r="E205" s="8"/>
    </row>
    <row r="206" spans="1:5" x14ac:dyDescent="0.25">
      <c r="A206" s="3"/>
      <c r="C206" s="7"/>
      <c r="E206" s="8"/>
    </row>
    <row r="207" spans="1:5" x14ac:dyDescent="0.25">
      <c r="B207" s="157"/>
      <c r="C207" s="7"/>
      <c r="E207" s="8"/>
    </row>
    <row r="208" spans="1:5" x14ac:dyDescent="0.25">
      <c r="B208" s="157"/>
      <c r="C208" s="7"/>
      <c r="E208" s="8"/>
    </row>
    <row r="209" spans="1:5" x14ac:dyDescent="0.25">
      <c r="A209" s="3"/>
      <c r="C209" s="7"/>
      <c r="E209" s="8"/>
    </row>
    <row r="210" spans="1:5" x14ac:dyDescent="0.25">
      <c r="B210" s="157"/>
      <c r="C210" s="7"/>
      <c r="E210" s="8"/>
    </row>
    <row r="211" spans="1:5" x14ac:dyDescent="0.25">
      <c r="A211" s="3"/>
      <c r="C211" s="7"/>
      <c r="E211" s="8"/>
    </row>
    <row r="212" spans="1:5" x14ac:dyDescent="0.25">
      <c r="A212" s="4"/>
      <c r="C212" s="7"/>
      <c r="E212" s="8"/>
    </row>
    <row r="213" spans="1:5" x14ac:dyDescent="0.25">
      <c r="A213" s="7"/>
      <c r="C213" s="7"/>
      <c r="E213" s="8"/>
    </row>
    <row r="214" spans="1:5" x14ac:dyDescent="0.25">
      <c r="A214" s="4"/>
      <c r="C214" s="4"/>
      <c r="E214" s="8"/>
    </row>
    <row r="215" spans="1:5" x14ac:dyDescent="0.25">
      <c r="E215" s="8"/>
    </row>
    <row r="216" spans="1:5" x14ac:dyDescent="0.25">
      <c r="B216" s="190"/>
      <c r="E216" s="8"/>
    </row>
    <row r="217" spans="1:5" x14ac:dyDescent="0.25">
      <c r="B217" s="190"/>
      <c r="E217" s="8"/>
    </row>
    <row r="218" spans="1:5" x14ac:dyDescent="0.25">
      <c r="A218" s="21"/>
      <c r="E218" s="8"/>
    </row>
    <row r="219" spans="1:5" x14ac:dyDescent="0.25">
      <c r="A219" s="3"/>
      <c r="E219" s="8"/>
    </row>
    <row r="220" spans="1:5" x14ac:dyDescent="0.25">
      <c r="A220" s="3"/>
      <c r="E220" s="8"/>
    </row>
    <row r="221" spans="1:5" x14ac:dyDescent="0.25">
      <c r="A221" s="3"/>
      <c r="E221" s="8"/>
    </row>
    <row r="222" spans="1:5" x14ac:dyDescent="0.25">
      <c r="A222" s="3"/>
      <c r="E222" s="8"/>
    </row>
    <row r="223" spans="1:5" x14ac:dyDescent="0.25">
      <c r="E223" s="8"/>
    </row>
    <row r="224" spans="1:5" s="112" customFormat="1" x14ac:dyDescent="0.2">
      <c r="A224" s="11"/>
      <c r="B224" s="125"/>
      <c r="C224" s="11"/>
      <c r="E224" s="8"/>
    </row>
    <row r="225" spans="1:5" x14ac:dyDescent="0.25">
      <c r="E225" s="8"/>
    </row>
    <row r="226" spans="1:5" x14ac:dyDescent="0.25">
      <c r="A226" s="8"/>
      <c r="B226" s="157"/>
      <c r="C226" s="5"/>
      <c r="E226" s="8"/>
    </row>
    <row r="227" spans="1:5" x14ac:dyDescent="0.25">
      <c r="A227" s="8"/>
      <c r="B227" s="157"/>
      <c r="C227" s="5"/>
      <c r="E227" s="8"/>
    </row>
    <row r="228" spans="1:5" x14ac:dyDescent="0.25">
      <c r="A228" s="3"/>
      <c r="C228" s="3"/>
      <c r="E228" s="8"/>
    </row>
    <row r="229" spans="1:5" x14ac:dyDescent="0.25">
      <c r="A229" s="3"/>
      <c r="C229" s="3"/>
      <c r="E229" s="8"/>
    </row>
    <row r="230" spans="1:5" x14ac:dyDescent="0.25">
      <c r="A230" s="7"/>
      <c r="C230" s="3"/>
      <c r="E230" s="8"/>
    </row>
    <row r="231" spans="1:5" x14ac:dyDescent="0.25">
      <c r="A231" s="3"/>
      <c r="C231" s="3"/>
      <c r="E231" s="8"/>
    </row>
    <row r="232" spans="1:5" x14ac:dyDescent="0.25">
      <c r="A232" s="7"/>
      <c r="C232" s="3"/>
      <c r="E232" s="8"/>
    </row>
    <row r="233" spans="1:5" x14ac:dyDescent="0.25">
      <c r="A233" s="3"/>
      <c r="C233" s="3"/>
      <c r="E233" s="8"/>
    </row>
    <row r="234" spans="1:5" x14ac:dyDescent="0.25">
      <c r="A234" s="7"/>
      <c r="C234" s="3"/>
      <c r="E234" s="8"/>
    </row>
    <row r="235" spans="1:5" x14ac:dyDescent="0.25">
      <c r="A235" s="7"/>
      <c r="C235" s="3"/>
      <c r="E235" s="8"/>
    </row>
    <row r="236" spans="1:5" x14ac:dyDescent="0.25">
      <c r="A236" s="7"/>
      <c r="C236" s="3"/>
      <c r="E236" s="8"/>
    </row>
    <row r="237" spans="1:5" x14ac:dyDescent="0.25">
      <c r="A237" s="3"/>
      <c r="C237" s="3"/>
      <c r="E237" s="8"/>
    </row>
    <row r="238" spans="1:5" x14ac:dyDescent="0.25">
      <c r="A238" s="7"/>
      <c r="C238" s="3"/>
      <c r="E238" s="8"/>
    </row>
    <row r="239" spans="1:5" x14ac:dyDescent="0.25">
      <c r="A239" s="3"/>
      <c r="C239" s="3"/>
      <c r="E239" s="8"/>
    </row>
    <row r="240" spans="1:5" x14ac:dyDescent="0.25">
      <c r="A240" s="7"/>
      <c r="C240" s="3"/>
      <c r="E240" s="8"/>
    </row>
    <row r="241" spans="1:5" x14ac:dyDescent="0.25">
      <c r="A241" s="3"/>
      <c r="C241" s="7"/>
      <c r="E241" s="8"/>
    </row>
    <row r="242" spans="1:5" x14ac:dyDescent="0.25">
      <c r="A242" s="7"/>
      <c r="C242" s="3"/>
      <c r="E242" s="8"/>
    </row>
    <row r="243" spans="1:5" x14ac:dyDescent="0.25">
      <c r="A243" s="3"/>
      <c r="C243" s="7"/>
      <c r="E243" s="8"/>
    </row>
    <row r="244" spans="1:5" x14ac:dyDescent="0.25">
      <c r="A244" s="3"/>
      <c r="C244" s="7"/>
      <c r="E244" s="8"/>
    </row>
    <row r="245" spans="1:5" x14ac:dyDescent="0.25">
      <c r="A245" s="3"/>
      <c r="C245" s="3"/>
      <c r="E245" s="8"/>
    </row>
    <row r="246" spans="1:5" x14ac:dyDescent="0.25">
      <c r="A246" s="3"/>
      <c r="C246" s="3"/>
      <c r="E246" s="8"/>
    </row>
    <row r="247" spans="1:5" x14ac:dyDescent="0.25">
      <c r="A247" s="7"/>
      <c r="C247" s="3"/>
      <c r="E247" s="8"/>
    </row>
    <row r="248" spans="1:5" x14ac:dyDescent="0.25">
      <c r="A248" s="3"/>
      <c r="C248" s="3"/>
      <c r="E248" s="8"/>
    </row>
    <row r="249" spans="1:5" x14ac:dyDescent="0.25">
      <c r="A249" s="7"/>
      <c r="C249" s="3"/>
      <c r="E249" s="8"/>
    </row>
    <row r="250" spans="1:5" x14ac:dyDescent="0.25">
      <c r="A250" s="3"/>
      <c r="C250" s="3"/>
      <c r="E250" s="8"/>
    </row>
    <row r="251" spans="1:5" x14ac:dyDescent="0.25">
      <c r="A251" s="7"/>
      <c r="C251" s="3"/>
      <c r="E251" s="8"/>
    </row>
    <row r="252" spans="1:5" x14ac:dyDescent="0.25">
      <c r="A252" s="7"/>
      <c r="C252" s="3"/>
      <c r="E252" s="8"/>
    </row>
    <row r="253" spans="1:5" x14ac:dyDescent="0.25">
      <c r="A253" s="7"/>
      <c r="C253" s="3"/>
      <c r="E253" s="8"/>
    </row>
    <row r="254" spans="1:5" x14ac:dyDescent="0.25">
      <c r="A254" s="3"/>
      <c r="C254" s="3"/>
      <c r="E254" s="8"/>
    </row>
    <row r="255" spans="1:5" x14ac:dyDescent="0.25">
      <c r="A255" s="7"/>
      <c r="C255" s="3"/>
      <c r="E255" s="8"/>
    </row>
    <row r="256" spans="1:5" x14ac:dyDescent="0.25">
      <c r="A256" s="7"/>
      <c r="C256" s="3"/>
      <c r="E256" s="8"/>
    </row>
    <row r="257" spans="1:5" x14ac:dyDescent="0.25">
      <c r="A257" s="7"/>
      <c r="B257" s="157"/>
      <c r="C257" s="3"/>
      <c r="E257" s="8"/>
    </row>
    <row r="258" spans="1:5" x14ac:dyDescent="0.25">
      <c r="A258" s="3"/>
      <c r="C258" s="7"/>
      <c r="E258" s="8"/>
    </row>
    <row r="259" spans="1:5" x14ac:dyDescent="0.25">
      <c r="A259" s="3"/>
      <c r="C259" s="3"/>
      <c r="E259" s="8"/>
    </row>
    <row r="260" spans="1:5" x14ac:dyDescent="0.25">
      <c r="A260" s="3"/>
      <c r="C260" s="5"/>
      <c r="E260" s="8"/>
    </row>
    <row r="261" spans="1:5" x14ac:dyDescent="0.25">
      <c r="A261" s="3"/>
      <c r="C261" s="3"/>
      <c r="E261" s="8"/>
    </row>
    <row r="262" spans="1:5" x14ac:dyDescent="0.25">
      <c r="A262" s="3"/>
      <c r="C262" s="7"/>
      <c r="E262" s="8"/>
    </row>
    <row r="263" spans="1:5" x14ac:dyDescent="0.25">
      <c r="A263" s="3"/>
      <c r="C263" s="3"/>
      <c r="E263" s="8"/>
    </row>
    <row r="264" spans="1:5" x14ac:dyDescent="0.25">
      <c r="A264" s="3"/>
      <c r="C264" s="7"/>
      <c r="E264" s="8"/>
    </row>
    <row r="265" spans="1:5" x14ac:dyDescent="0.25">
      <c r="A265" s="3"/>
      <c r="B265" s="157"/>
      <c r="C265" s="7"/>
      <c r="E265" s="8"/>
    </row>
    <row r="266" spans="1:5" x14ac:dyDescent="0.25">
      <c r="A266" s="3"/>
      <c r="B266" s="157"/>
      <c r="C266" s="7"/>
      <c r="E266" s="8"/>
    </row>
    <row r="267" spans="1:5" x14ac:dyDescent="0.25">
      <c r="A267" s="3"/>
      <c r="C267" s="7"/>
      <c r="E267" s="8"/>
    </row>
    <row r="268" spans="1:5" x14ac:dyDescent="0.25">
      <c r="A268" s="3"/>
      <c r="B268" s="157"/>
      <c r="C268" s="7"/>
      <c r="E268" s="8"/>
    </row>
    <row r="269" spans="1:5" x14ac:dyDescent="0.25">
      <c r="A269" s="3"/>
      <c r="C269" s="7"/>
      <c r="E269" s="8"/>
    </row>
    <row r="270" spans="1:5" x14ac:dyDescent="0.25">
      <c r="A270" s="3"/>
      <c r="B270" s="157"/>
      <c r="C270" s="7"/>
      <c r="E270" s="8"/>
    </row>
    <row r="271" spans="1:5" x14ac:dyDescent="0.25">
      <c r="A271" s="3"/>
      <c r="C271" s="3"/>
      <c r="E271" s="8"/>
    </row>
    <row r="272" spans="1:5" x14ac:dyDescent="0.25">
      <c r="A272" s="3"/>
      <c r="B272" s="157"/>
      <c r="C272" s="7"/>
      <c r="E272" s="8"/>
    </row>
    <row r="273" spans="1:5" x14ac:dyDescent="0.25">
      <c r="A273" s="3"/>
      <c r="C273" s="3"/>
      <c r="E273" s="8"/>
    </row>
    <row r="274" spans="1:5" x14ac:dyDescent="0.25">
      <c r="A274" s="3"/>
      <c r="B274" s="157"/>
      <c r="C274" s="7"/>
      <c r="E274" s="8"/>
    </row>
    <row r="275" spans="1:5" x14ac:dyDescent="0.25">
      <c r="A275" s="103"/>
      <c r="C275" s="3"/>
      <c r="E275" s="8"/>
    </row>
    <row r="276" spans="1:5" x14ac:dyDescent="0.25">
      <c r="A276" s="3"/>
      <c r="C276" s="3"/>
      <c r="E276" s="8"/>
    </row>
    <row r="277" spans="1:5" x14ac:dyDescent="0.25">
      <c r="A277" s="3"/>
      <c r="C277" s="3"/>
      <c r="E277" s="8"/>
    </row>
    <row r="278" spans="1:5" x14ac:dyDescent="0.25">
      <c r="A278" s="113"/>
      <c r="C278" s="3"/>
      <c r="E278" s="8"/>
    </row>
    <row r="279" spans="1:5" x14ac:dyDescent="0.25">
      <c r="A279" s="3"/>
      <c r="C279" s="3"/>
      <c r="E279" s="8"/>
    </row>
    <row r="280" spans="1:5" x14ac:dyDescent="0.25">
      <c r="A280" s="7"/>
      <c r="C280" s="3"/>
      <c r="E280" s="8"/>
    </row>
    <row r="281" spans="1:5" x14ac:dyDescent="0.25">
      <c r="A281" s="3"/>
      <c r="C281" s="5"/>
      <c r="E281" s="8"/>
    </row>
    <row r="282" spans="1:5" x14ac:dyDescent="0.25">
      <c r="E282" s="8"/>
    </row>
    <row r="283" spans="1:5" x14ac:dyDescent="0.25">
      <c r="B283" s="190"/>
      <c r="E283" s="8"/>
    </row>
    <row r="284" spans="1:5" x14ac:dyDescent="0.25">
      <c r="B284" s="190"/>
      <c r="E284" s="8"/>
    </row>
    <row r="285" spans="1:5" x14ac:dyDescent="0.25">
      <c r="E285" s="8"/>
    </row>
    <row r="286" spans="1:5" x14ac:dyDescent="0.25">
      <c r="A286" s="34"/>
      <c r="C286" s="5"/>
      <c r="E286" s="8"/>
    </row>
    <row r="287" spans="1:5" x14ac:dyDescent="0.25">
      <c r="C287" s="5"/>
      <c r="E287" s="8"/>
    </row>
    <row r="288" spans="1:5" x14ac:dyDescent="0.25">
      <c r="C288" s="5"/>
      <c r="E288" s="8"/>
    </row>
    <row r="289" spans="3:5" x14ac:dyDescent="0.25">
      <c r="C289" s="5"/>
      <c r="E289" s="8"/>
    </row>
    <row r="290" spans="3:5" x14ac:dyDescent="0.25">
      <c r="C290" s="5"/>
      <c r="E290" s="8"/>
    </row>
    <row r="291" spans="3:5" x14ac:dyDescent="0.25">
      <c r="C291" s="5"/>
      <c r="E291" s="8"/>
    </row>
    <row r="292" spans="3:5" x14ac:dyDescent="0.25">
      <c r="C292" s="5"/>
      <c r="E292" s="8"/>
    </row>
    <row r="293" spans="3:5" x14ac:dyDescent="0.25">
      <c r="C293" s="5"/>
      <c r="E293" s="8"/>
    </row>
    <row r="294" spans="3:5" x14ac:dyDescent="0.25">
      <c r="C294" s="5"/>
      <c r="E294" s="8"/>
    </row>
    <row r="295" spans="3:5" x14ac:dyDescent="0.25">
      <c r="C295" s="5"/>
      <c r="E295" s="8"/>
    </row>
    <row r="296" spans="3:5" x14ac:dyDescent="0.25">
      <c r="C296" s="5"/>
      <c r="E296" s="8"/>
    </row>
    <row r="297" spans="3:5" x14ac:dyDescent="0.25">
      <c r="C297" s="5"/>
      <c r="E297" s="8"/>
    </row>
    <row r="298" spans="3:5" x14ac:dyDescent="0.25">
      <c r="C298" s="5"/>
      <c r="E298" s="8"/>
    </row>
    <row r="299" spans="3:5" x14ac:dyDescent="0.25">
      <c r="C299" s="5"/>
      <c r="E299" s="8"/>
    </row>
    <row r="300" spans="3:5" x14ac:dyDescent="0.25">
      <c r="C300" s="5"/>
      <c r="E300" s="8"/>
    </row>
    <row r="301" spans="3:5" x14ac:dyDescent="0.25">
      <c r="C301" s="5"/>
    </row>
    <row r="302" spans="3:5" x14ac:dyDescent="0.25">
      <c r="C302" s="5"/>
    </row>
    <row r="303" spans="3:5" x14ac:dyDescent="0.25">
      <c r="C303" s="5"/>
    </row>
    <row r="304" spans="3:5" x14ac:dyDescent="0.25">
      <c r="C304" s="5"/>
    </row>
    <row r="305" spans="1:3" s="112" customFormat="1" x14ac:dyDescent="0.2">
      <c r="A305" s="11"/>
      <c r="B305" s="125"/>
      <c r="C305" s="11"/>
    </row>
    <row r="306" spans="1:3" x14ac:dyDescent="0.25">
      <c r="A306" s="11"/>
      <c r="B306" s="125"/>
      <c r="C306" s="11"/>
    </row>
    <row r="307" spans="1:3" x14ac:dyDescent="0.25">
      <c r="A307" s="8"/>
      <c r="B307" s="157"/>
      <c r="C307" s="21"/>
    </row>
    <row r="308" spans="1:3" x14ac:dyDescent="0.25">
      <c r="A308" s="8"/>
      <c r="B308" s="157"/>
      <c r="C308" s="21"/>
    </row>
    <row r="309" spans="1:3" x14ac:dyDescent="0.25">
      <c r="A309" s="3"/>
      <c r="C309" s="3"/>
    </row>
    <row r="310" spans="1:3" x14ac:dyDescent="0.25">
      <c r="A310" s="3"/>
      <c r="C310" s="3"/>
    </row>
    <row r="311" spans="1:3" x14ac:dyDescent="0.25">
      <c r="A311" s="3"/>
      <c r="C311" s="3"/>
    </row>
    <row r="312" spans="1:3" x14ac:dyDescent="0.25">
      <c r="A312" s="3"/>
      <c r="C312" s="3"/>
    </row>
    <row r="313" spans="1:3" x14ac:dyDescent="0.25">
      <c r="A313" s="3"/>
      <c r="C313" s="3"/>
    </row>
    <row r="314" spans="1:3" x14ac:dyDescent="0.25">
      <c r="A314" s="3"/>
      <c r="C314" s="3"/>
    </row>
    <row r="315" spans="1:3" x14ac:dyDescent="0.25">
      <c r="A315" s="3"/>
      <c r="C315" s="3"/>
    </row>
    <row r="316" spans="1:3" x14ac:dyDescent="0.25">
      <c r="A316" s="3"/>
      <c r="C316" s="3"/>
    </row>
    <row r="317" spans="1:3" x14ac:dyDescent="0.25">
      <c r="A317" s="3"/>
      <c r="C317" s="3"/>
    </row>
    <row r="318" spans="1:3" x14ac:dyDescent="0.25">
      <c r="A318" s="3"/>
      <c r="C318" s="3"/>
    </row>
    <row r="319" spans="1:3" x14ac:dyDescent="0.25">
      <c r="A319" s="3"/>
      <c r="C319" s="3"/>
    </row>
    <row r="320" spans="1:3" x14ac:dyDescent="0.25">
      <c r="A320" s="3"/>
      <c r="C320" s="3"/>
    </row>
    <row r="321" spans="1:3" x14ac:dyDescent="0.25">
      <c r="A321" s="3"/>
      <c r="C321" s="3"/>
    </row>
    <row r="322" spans="1:3" x14ac:dyDescent="0.25">
      <c r="A322" s="3"/>
      <c r="C322" s="3"/>
    </row>
    <row r="323" spans="1:3" x14ac:dyDescent="0.25">
      <c r="A323" s="3"/>
      <c r="C323" s="3"/>
    </row>
    <row r="324" spans="1:3" x14ac:dyDescent="0.25">
      <c r="A324" s="3"/>
      <c r="C324" s="3"/>
    </row>
    <row r="325" spans="1:3" x14ac:dyDescent="0.25">
      <c r="A325" s="3"/>
      <c r="C325" s="3"/>
    </row>
    <row r="326" spans="1:3" x14ac:dyDescent="0.25">
      <c r="A326" s="3"/>
      <c r="C326" s="3"/>
    </row>
    <row r="327" spans="1:3" x14ac:dyDescent="0.25">
      <c r="A327" s="3"/>
      <c r="C327" s="3"/>
    </row>
    <row r="328" spans="1:3" x14ac:dyDescent="0.25">
      <c r="A328" s="3"/>
      <c r="C328" s="3"/>
    </row>
    <row r="329" spans="1:3" x14ac:dyDescent="0.25">
      <c r="B329" s="157"/>
      <c r="C329" s="3"/>
    </row>
    <row r="330" spans="1:3" x14ac:dyDescent="0.25">
      <c r="B330" s="157"/>
      <c r="C330" s="3"/>
    </row>
    <row r="331" spans="1:3" x14ac:dyDescent="0.25">
      <c r="A331" s="103"/>
      <c r="C331" s="3"/>
    </row>
    <row r="332" spans="1:3" x14ac:dyDescent="0.25">
      <c r="A332" s="3"/>
      <c r="C332" s="3"/>
    </row>
    <row r="333" spans="1:3" x14ac:dyDescent="0.25">
      <c r="A333" s="7"/>
      <c r="C333" s="3"/>
    </row>
    <row r="334" spans="1:3" x14ac:dyDescent="0.25">
      <c r="A334" s="3"/>
      <c r="C334" s="3"/>
    </row>
    <row r="335" spans="1:3" x14ac:dyDescent="0.25">
      <c r="A335" s="3"/>
      <c r="C335" s="3"/>
    </row>
    <row r="336" spans="1:3" x14ac:dyDescent="0.25">
      <c r="A336" s="3"/>
      <c r="C336" s="3"/>
    </row>
    <row r="337" spans="1:3" x14ac:dyDescent="0.25">
      <c r="A337" s="3"/>
      <c r="C337" s="3"/>
    </row>
    <row r="338" spans="1:3" x14ac:dyDescent="0.25">
      <c r="A338" s="3"/>
      <c r="C338" s="3"/>
    </row>
    <row r="339" spans="1:3" x14ac:dyDescent="0.25">
      <c r="A339" s="3"/>
      <c r="C339" s="3"/>
    </row>
    <row r="340" spans="1:3" x14ac:dyDescent="0.25">
      <c r="A340" s="3"/>
      <c r="B340" s="191"/>
      <c r="C340" s="3"/>
    </row>
    <row r="341" spans="1:3" x14ac:dyDescent="0.25">
      <c r="A341" s="3"/>
      <c r="C341" s="3"/>
    </row>
    <row r="342" spans="1:3" x14ac:dyDescent="0.25">
      <c r="A342" s="3"/>
      <c r="C342" s="3"/>
    </row>
    <row r="343" spans="1:3" x14ac:dyDescent="0.25">
      <c r="A343" s="3"/>
      <c r="C343" s="3"/>
    </row>
    <row r="344" spans="1:3" x14ac:dyDescent="0.25">
      <c r="A344" s="3"/>
      <c r="C344" s="3"/>
    </row>
    <row r="345" spans="1:3" x14ac:dyDescent="0.25">
      <c r="A345" s="3"/>
      <c r="C345" s="3"/>
    </row>
    <row r="346" spans="1:3" x14ac:dyDescent="0.25">
      <c r="A346" s="3"/>
      <c r="C346" s="3"/>
    </row>
    <row r="347" spans="1:3" x14ac:dyDescent="0.25">
      <c r="A347" s="3"/>
      <c r="C347" s="3"/>
    </row>
    <row r="348" spans="1:3" x14ac:dyDescent="0.25">
      <c r="A348" s="3"/>
      <c r="C348" s="3"/>
    </row>
    <row r="349" spans="1:3" x14ac:dyDescent="0.25">
      <c r="B349" s="157"/>
      <c r="C349" s="3"/>
    </row>
    <row r="350" spans="1:3" x14ac:dyDescent="0.25">
      <c r="A350" s="126"/>
      <c r="C350" s="3"/>
    </row>
    <row r="351" spans="1:3" x14ac:dyDescent="0.25">
      <c r="A351" s="3"/>
      <c r="C351" s="3"/>
    </row>
    <row r="352" spans="1:3" x14ac:dyDescent="0.25">
      <c r="A352" s="3"/>
      <c r="C352" s="3"/>
    </row>
    <row r="353" spans="1:3" x14ac:dyDescent="0.25">
      <c r="A353" s="3"/>
      <c r="C353" s="3"/>
    </row>
    <row r="354" spans="1:3" x14ac:dyDescent="0.25">
      <c r="A354" s="3"/>
      <c r="C354" s="3"/>
    </row>
    <row r="355" spans="1:3" x14ac:dyDescent="0.25">
      <c r="A355" s="3"/>
      <c r="C355" s="3"/>
    </row>
    <row r="356" spans="1:3" x14ac:dyDescent="0.25">
      <c r="A356" s="3"/>
      <c r="C356" s="3"/>
    </row>
    <row r="357" spans="1:3" x14ac:dyDescent="0.25">
      <c r="A357" s="3"/>
      <c r="C357" s="3"/>
    </row>
    <row r="358" spans="1:3" x14ac:dyDescent="0.25">
      <c r="A358" s="3"/>
      <c r="C358" s="3"/>
    </row>
    <row r="359" spans="1:3" x14ac:dyDescent="0.25">
      <c r="A359" s="3"/>
      <c r="C359" s="3"/>
    </row>
    <row r="360" spans="1:3" x14ac:dyDescent="0.25">
      <c r="A360" s="3"/>
      <c r="C360" s="3"/>
    </row>
    <row r="361" spans="1:3" x14ac:dyDescent="0.25">
      <c r="B361" s="192"/>
      <c r="C361" s="3"/>
    </row>
    <row r="362" spans="1:3" x14ac:dyDescent="0.25">
      <c r="A362" s="3"/>
      <c r="C362" s="3"/>
    </row>
    <row r="363" spans="1:3" x14ac:dyDescent="0.25">
      <c r="A363" s="3"/>
      <c r="C363" s="3"/>
    </row>
    <row r="364" spans="1:3" x14ac:dyDescent="0.25">
      <c r="A364" s="3"/>
      <c r="C364" s="3"/>
    </row>
    <row r="365" spans="1:3" x14ac:dyDescent="0.25">
      <c r="A365" s="3"/>
      <c r="C365" s="3"/>
    </row>
    <row r="366" spans="1:3" x14ac:dyDescent="0.25">
      <c r="A366" s="3"/>
      <c r="C366" s="3"/>
    </row>
    <row r="367" spans="1:3" x14ac:dyDescent="0.25">
      <c r="A367" s="3"/>
      <c r="C367" s="3"/>
    </row>
    <row r="368" spans="1:3" x14ac:dyDescent="0.25">
      <c r="A368" s="3"/>
      <c r="C368" s="3"/>
    </row>
    <row r="369" spans="1:3" x14ac:dyDescent="0.25">
      <c r="A369" s="3"/>
      <c r="C369" s="3"/>
    </row>
    <row r="370" spans="1:3" x14ac:dyDescent="0.25">
      <c r="A370" s="3"/>
      <c r="C370" s="3"/>
    </row>
    <row r="371" spans="1:3" x14ac:dyDescent="0.25">
      <c r="A371" s="3"/>
      <c r="C371" s="3"/>
    </row>
    <row r="372" spans="1:3" x14ac:dyDescent="0.25">
      <c r="A372" s="3"/>
      <c r="C372" s="3"/>
    </row>
    <row r="373" spans="1:3" x14ac:dyDescent="0.25">
      <c r="A373" s="3"/>
      <c r="C373" s="3"/>
    </row>
    <row r="374" spans="1:3" x14ac:dyDescent="0.25">
      <c r="A374" s="3"/>
      <c r="C374" s="3"/>
    </row>
    <row r="375" spans="1:3" x14ac:dyDescent="0.25">
      <c r="A375" s="3"/>
      <c r="C375" s="3"/>
    </row>
    <row r="376" spans="1:3" x14ac:dyDescent="0.25">
      <c r="A376" s="3"/>
      <c r="C376" s="3"/>
    </row>
    <row r="377" spans="1:3" x14ac:dyDescent="0.25">
      <c r="A377" s="3"/>
      <c r="C377" s="3"/>
    </row>
    <row r="378" spans="1:3" x14ac:dyDescent="0.25">
      <c r="A378" s="3"/>
      <c r="C378" s="3"/>
    </row>
    <row r="379" spans="1:3" x14ac:dyDescent="0.25">
      <c r="A379" s="8"/>
      <c r="B379" s="157"/>
      <c r="C379" s="3"/>
    </row>
    <row r="380" spans="1:3" x14ac:dyDescent="0.25">
      <c r="A380" s="8"/>
      <c r="B380" s="157"/>
      <c r="C380" s="3"/>
    </row>
    <row r="381" spans="1:3" x14ac:dyDescent="0.25">
      <c r="A381" s="7"/>
      <c r="C381" s="3"/>
    </row>
    <row r="382" spans="1:3" x14ac:dyDescent="0.25">
      <c r="A382" s="3"/>
      <c r="C382" s="3"/>
    </row>
    <row r="383" spans="1:3" x14ac:dyDescent="0.25">
      <c r="A383" s="7"/>
      <c r="C383" s="3"/>
    </row>
    <row r="384" spans="1:3" x14ac:dyDescent="0.25">
      <c r="A384" s="3"/>
      <c r="C384" s="3"/>
    </row>
    <row r="385" spans="1:3" x14ac:dyDescent="0.25">
      <c r="A385" s="3"/>
      <c r="C385" s="3"/>
    </row>
    <row r="386" spans="1:3" x14ac:dyDescent="0.25">
      <c r="A386" s="3"/>
      <c r="C386" s="3"/>
    </row>
    <row r="387" spans="1:3" x14ac:dyDescent="0.25">
      <c r="B387" s="157"/>
      <c r="C387" s="3"/>
    </row>
    <row r="388" spans="1:3" x14ac:dyDescent="0.25">
      <c r="B388" s="157"/>
      <c r="C388" s="3"/>
    </row>
    <row r="389" spans="1:3" x14ac:dyDescent="0.25">
      <c r="A389" s="3"/>
      <c r="C389" s="3"/>
    </row>
    <row r="390" spans="1:3" x14ac:dyDescent="0.25">
      <c r="A390" s="3"/>
      <c r="C390" s="3"/>
    </row>
    <row r="391" spans="1:3" x14ac:dyDescent="0.25">
      <c r="A391" s="3"/>
      <c r="C391" s="3"/>
    </row>
    <row r="392" spans="1:3" x14ac:dyDescent="0.25">
      <c r="A392" s="3"/>
      <c r="C392" s="3"/>
    </row>
    <row r="393" spans="1:3" x14ac:dyDescent="0.25">
      <c r="A393" s="3"/>
      <c r="C393" s="3"/>
    </row>
    <row r="394" spans="1:3" x14ac:dyDescent="0.25">
      <c r="A394" s="3"/>
      <c r="C394" s="3"/>
    </row>
    <row r="395" spans="1:3" x14ac:dyDescent="0.25">
      <c r="A395" s="3"/>
    </row>
    <row r="396" spans="1:3" x14ac:dyDescent="0.25">
      <c r="A396" s="3"/>
      <c r="C396" s="3"/>
    </row>
    <row r="397" spans="1:3" x14ac:dyDescent="0.25">
      <c r="A397" s="3"/>
      <c r="C397" s="3"/>
    </row>
    <row r="398" spans="1:3" x14ac:dyDescent="0.25">
      <c r="A398" s="3"/>
      <c r="C398" s="3"/>
    </row>
    <row r="399" spans="1:3" x14ac:dyDescent="0.25">
      <c r="A399" s="3"/>
      <c r="C399" s="3"/>
    </row>
    <row r="400" spans="1:3" x14ac:dyDescent="0.25">
      <c r="A400" s="3"/>
      <c r="C400" s="3"/>
    </row>
    <row r="401" spans="1:3" x14ac:dyDescent="0.25">
      <c r="A401" s="3"/>
      <c r="B401" s="191"/>
      <c r="C401" s="3"/>
    </row>
    <row r="402" spans="1:3" x14ac:dyDescent="0.25">
      <c r="A402" s="3"/>
      <c r="B402" s="191"/>
      <c r="C402" s="3"/>
    </row>
    <row r="403" spans="1:3" x14ac:dyDescent="0.25">
      <c r="A403" s="3"/>
      <c r="C403" s="3"/>
    </row>
    <row r="404" spans="1:3" x14ac:dyDescent="0.25">
      <c r="A404" s="3"/>
      <c r="C404" s="3"/>
    </row>
    <row r="405" spans="1:3" x14ac:dyDescent="0.25">
      <c r="A405" s="3"/>
      <c r="B405" s="191"/>
      <c r="C405" s="3"/>
    </row>
    <row r="406" spans="1:3" x14ac:dyDescent="0.25">
      <c r="A406" s="3"/>
      <c r="B406" s="191"/>
      <c r="C406" s="3"/>
    </row>
    <row r="407" spans="1:3" x14ac:dyDescent="0.25">
      <c r="A407" s="3"/>
      <c r="C407" s="3"/>
    </row>
    <row r="408" spans="1:3" x14ac:dyDescent="0.25">
      <c r="A408" s="3"/>
      <c r="C408" s="3"/>
    </row>
    <row r="409" spans="1:3" x14ac:dyDescent="0.25">
      <c r="A409" s="3"/>
      <c r="C409" s="3"/>
    </row>
    <row r="410" spans="1:3" x14ac:dyDescent="0.25">
      <c r="A410" s="3"/>
      <c r="C410" s="3"/>
    </row>
    <row r="411" spans="1:3" x14ac:dyDescent="0.25">
      <c r="A411" s="3"/>
      <c r="C411" s="3"/>
    </row>
    <row r="412" spans="1:3" x14ac:dyDescent="0.25">
      <c r="A412" s="3"/>
      <c r="C412" s="3"/>
    </row>
    <row r="413" spans="1:3" x14ac:dyDescent="0.25">
      <c r="A413" s="3"/>
      <c r="C413" s="3"/>
    </row>
    <row r="414" spans="1:3" x14ac:dyDescent="0.25">
      <c r="A414" s="3"/>
      <c r="C414" s="3"/>
    </row>
    <row r="415" spans="1:3" x14ac:dyDescent="0.25">
      <c r="A415" s="3"/>
      <c r="C415" s="3"/>
    </row>
    <row r="416" spans="1:3" x14ac:dyDescent="0.25">
      <c r="A416" s="3"/>
      <c r="C416" s="3"/>
    </row>
    <row r="417" spans="1:3" x14ac:dyDescent="0.25">
      <c r="A417" s="3"/>
      <c r="C417" s="3"/>
    </row>
    <row r="418" spans="1:3" x14ac:dyDescent="0.25">
      <c r="A418" s="3"/>
      <c r="C418" s="3"/>
    </row>
    <row r="419" spans="1:3" x14ac:dyDescent="0.25">
      <c r="A419" s="3"/>
      <c r="C419" s="3"/>
    </row>
    <row r="420" spans="1:3" x14ac:dyDescent="0.25">
      <c r="A420" s="3"/>
      <c r="C420" s="3"/>
    </row>
    <row r="421" spans="1:3" x14ac:dyDescent="0.25">
      <c r="A421" s="3"/>
      <c r="C421" s="3"/>
    </row>
    <row r="422" spans="1:3" x14ac:dyDescent="0.25">
      <c r="A422" s="3"/>
      <c r="C422" s="3"/>
    </row>
    <row r="423" spans="1:3" x14ac:dyDescent="0.25">
      <c r="A423" s="3"/>
      <c r="C423" s="3"/>
    </row>
    <row r="424" spans="1:3" x14ac:dyDescent="0.25">
      <c r="A424" s="3"/>
      <c r="C424" s="3"/>
    </row>
    <row r="425" spans="1:3" x14ac:dyDescent="0.25">
      <c r="A425" s="3"/>
      <c r="C425" s="3"/>
    </row>
    <row r="426" spans="1:3" x14ac:dyDescent="0.25">
      <c r="A426" s="3"/>
      <c r="C426" s="3"/>
    </row>
    <row r="427" spans="1:3" x14ac:dyDescent="0.25">
      <c r="A427" s="3"/>
      <c r="C427" s="3"/>
    </row>
    <row r="428" spans="1:3" x14ac:dyDescent="0.25">
      <c r="A428" s="3"/>
      <c r="C428" s="3"/>
    </row>
    <row r="429" spans="1:3" x14ac:dyDescent="0.25">
      <c r="A429" s="3"/>
      <c r="C429" s="3"/>
    </row>
    <row r="430" spans="1:3" x14ac:dyDescent="0.25">
      <c r="A430" s="3"/>
      <c r="C430" s="3"/>
    </row>
    <row r="431" spans="1:3" x14ac:dyDescent="0.25">
      <c r="A431" s="3"/>
      <c r="C431" s="3"/>
    </row>
    <row r="432" spans="1:3" x14ac:dyDescent="0.25">
      <c r="A432" s="7"/>
      <c r="C432" s="3"/>
    </row>
    <row r="433" spans="1:3" x14ac:dyDescent="0.25">
      <c r="A433" s="3"/>
      <c r="C433" s="3"/>
    </row>
    <row r="434" spans="1:3" x14ac:dyDescent="0.25">
      <c r="A434" s="3"/>
      <c r="C434" s="3"/>
    </row>
    <row r="435" spans="1:3" x14ac:dyDescent="0.25">
      <c r="A435" s="3"/>
      <c r="C435" s="3"/>
    </row>
    <row r="436" spans="1:3" x14ac:dyDescent="0.25">
      <c r="A436" s="3"/>
      <c r="C436" s="3"/>
    </row>
    <row r="437" spans="1:3" x14ac:dyDescent="0.25">
      <c r="A437" s="3"/>
      <c r="C437" s="3"/>
    </row>
    <row r="438" spans="1:3" x14ac:dyDescent="0.25">
      <c r="A438" s="3"/>
      <c r="C438" s="3"/>
    </row>
    <row r="439" spans="1:3" x14ac:dyDescent="0.25">
      <c r="A439" s="3"/>
      <c r="C439" s="3"/>
    </row>
    <row r="440" spans="1:3" x14ac:dyDescent="0.25">
      <c r="A440" s="3"/>
      <c r="C440" s="3"/>
    </row>
    <row r="441" spans="1:3" x14ac:dyDescent="0.25">
      <c r="A441" s="3"/>
      <c r="C441" s="3"/>
    </row>
    <row r="442" spans="1:3" x14ac:dyDescent="0.25">
      <c r="A442" s="3"/>
      <c r="C442" s="3"/>
    </row>
    <row r="443" spans="1:3" x14ac:dyDescent="0.25">
      <c r="A443" s="3"/>
      <c r="C443" s="3"/>
    </row>
    <row r="444" spans="1:3" x14ac:dyDescent="0.25">
      <c r="A444" s="3"/>
      <c r="C444" s="3"/>
    </row>
    <row r="445" spans="1:3" x14ac:dyDescent="0.25">
      <c r="A445" s="3"/>
      <c r="C445" s="3"/>
    </row>
    <row r="446" spans="1:3" x14ac:dyDescent="0.25">
      <c r="A446" s="3"/>
      <c r="C446" s="3"/>
    </row>
    <row r="447" spans="1:3" x14ac:dyDescent="0.25">
      <c r="A447" s="3"/>
      <c r="C447" s="3"/>
    </row>
    <row r="448" spans="1:3" x14ac:dyDescent="0.25">
      <c r="A448" s="3"/>
      <c r="C448" s="3"/>
    </row>
    <row r="449" spans="1:3" x14ac:dyDescent="0.25">
      <c r="A449" s="3"/>
      <c r="C449" s="3"/>
    </row>
    <row r="450" spans="1:3" x14ac:dyDescent="0.25">
      <c r="A450" s="3"/>
      <c r="C450" s="3"/>
    </row>
    <row r="451" spans="1:3" x14ac:dyDescent="0.25">
      <c r="A451" s="3"/>
      <c r="C451" s="7"/>
    </row>
    <row r="452" spans="1:3" x14ac:dyDescent="0.25">
      <c r="A452" s="3"/>
      <c r="C452" s="3"/>
    </row>
    <row r="453" spans="1:3" x14ac:dyDescent="0.25">
      <c r="A453" s="3"/>
      <c r="C453" s="3"/>
    </row>
    <row r="454" spans="1:3" x14ac:dyDescent="0.25">
      <c r="A454" s="3"/>
      <c r="C454" s="3"/>
    </row>
    <row r="455" spans="1:3" x14ac:dyDescent="0.25">
      <c r="A455" s="3"/>
      <c r="C455" s="3"/>
    </row>
    <row r="456" spans="1:3" x14ac:dyDescent="0.25">
      <c r="A456" s="3"/>
      <c r="C456" s="5"/>
    </row>
    <row r="459" spans="1:3" x14ac:dyDescent="0.25">
      <c r="B459" s="190"/>
    </row>
    <row r="460" spans="1:3" x14ac:dyDescent="0.25">
      <c r="B460" s="190"/>
    </row>
    <row r="462" spans="1:3" s="112" customFormat="1" x14ac:dyDescent="0.2">
      <c r="A462" s="11"/>
      <c r="B462" s="125"/>
      <c r="C462" s="11"/>
    </row>
    <row r="464" spans="1:3" x14ac:dyDescent="0.25">
      <c r="C464" s="5"/>
    </row>
    <row r="465" spans="3:3" x14ac:dyDescent="0.25">
      <c r="C465" s="5"/>
    </row>
    <row r="466" spans="3:3" x14ac:dyDescent="0.25">
      <c r="C466" s="5"/>
    </row>
    <row r="467" spans="3:3" x14ac:dyDescent="0.25">
      <c r="C467" s="5"/>
    </row>
    <row r="468" spans="3:3" x14ac:dyDescent="0.25">
      <c r="C468" s="5"/>
    </row>
    <row r="469" spans="3:3" x14ac:dyDescent="0.25">
      <c r="C469" s="5"/>
    </row>
    <row r="470" spans="3:3" x14ac:dyDescent="0.25">
      <c r="C470" s="5"/>
    </row>
    <row r="471" spans="3:3" x14ac:dyDescent="0.25">
      <c r="C471" s="5"/>
    </row>
    <row r="472" spans="3:3" x14ac:dyDescent="0.25">
      <c r="C472" s="5"/>
    </row>
    <row r="473" spans="3:3" x14ac:dyDescent="0.25">
      <c r="C473" s="5"/>
    </row>
    <row r="474" spans="3:3" x14ac:dyDescent="0.25">
      <c r="C474" s="5"/>
    </row>
    <row r="475" spans="3:3" x14ac:dyDescent="0.25">
      <c r="C475" s="5"/>
    </row>
    <row r="476" spans="3:3" x14ac:dyDescent="0.25">
      <c r="C476" s="5"/>
    </row>
    <row r="477" spans="3:3" x14ac:dyDescent="0.25">
      <c r="C477" s="5"/>
    </row>
    <row r="478" spans="3:3" x14ac:dyDescent="0.25">
      <c r="C478" s="5"/>
    </row>
    <row r="479" spans="3:3" x14ac:dyDescent="0.25">
      <c r="C479" s="5"/>
    </row>
    <row r="480" spans="3:3" x14ac:dyDescent="0.25">
      <c r="C480" s="5"/>
    </row>
    <row r="481" spans="1:3" x14ac:dyDescent="0.25">
      <c r="C481" s="5"/>
    </row>
    <row r="482" spans="1:3" x14ac:dyDescent="0.25">
      <c r="C482" s="5"/>
    </row>
    <row r="483" spans="1:3" x14ac:dyDescent="0.25">
      <c r="C483" s="5"/>
    </row>
    <row r="484" spans="1:3" x14ac:dyDescent="0.25">
      <c r="C484" s="5"/>
    </row>
    <row r="485" spans="1:3" x14ac:dyDescent="0.25">
      <c r="C485" s="5"/>
    </row>
    <row r="486" spans="1:3" x14ac:dyDescent="0.25">
      <c r="C486" s="5"/>
    </row>
    <row r="487" spans="1:3" x14ac:dyDescent="0.25">
      <c r="C487" s="5"/>
    </row>
    <row r="488" spans="1:3" x14ac:dyDescent="0.25">
      <c r="C488" s="5"/>
    </row>
    <row r="490" spans="1:3" x14ac:dyDescent="0.25">
      <c r="C490" s="5"/>
    </row>
    <row r="491" spans="1:3" x14ac:dyDescent="0.25">
      <c r="C491" s="5"/>
    </row>
    <row r="492" spans="1:3" x14ac:dyDescent="0.25">
      <c r="C492" s="5"/>
    </row>
    <row r="493" spans="1:3" x14ac:dyDescent="0.25">
      <c r="C493" s="5"/>
    </row>
    <row r="494" spans="1:3" x14ac:dyDescent="0.25">
      <c r="C494" s="5"/>
    </row>
    <row r="495" spans="1:3" x14ac:dyDescent="0.25">
      <c r="C495" s="5"/>
    </row>
    <row r="496" spans="1:3" x14ac:dyDescent="0.25">
      <c r="A496" s="159"/>
      <c r="C496" s="5"/>
    </row>
    <row r="497" spans="1:3" x14ac:dyDescent="0.25">
      <c r="C497" s="5"/>
    </row>
    <row r="498" spans="1:3" x14ac:dyDescent="0.25">
      <c r="C498" s="5"/>
    </row>
    <row r="499" spans="1:3" x14ac:dyDescent="0.25">
      <c r="C499" s="5"/>
    </row>
    <row r="500" spans="1:3" x14ac:dyDescent="0.25">
      <c r="C500" s="5"/>
    </row>
    <row r="501" spans="1:3" x14ac:dyDescent="0.25">
      <c r="C501" s="5"/>
    </row>
    <row r="502" spans="1:3" x14ac:dyDescent="0.25">
      <c r="C502" s="5"/>
    </row>
    <row r="503" spans="1:3" x14ac:dyDescent="0.25">
      <c r="C503" s="5"/>
    </row>
    <row r="504" spans="1:3" x14ac:dyDescent="0.25">
      <c r="C504" s="5"/>
    </row>
    <row r="505" spans="1:3" x14ac:dyDescent="0.25">
      <c r="C505" s="5"/>
    </row>
    <row r="506" spans="1:3" x14ac:dyDescent="0.25">
      <c r="C506" s="5"/>
    </row>
    <row r="507" spans="1:3" x14ac:dyDescent="0.25">
      <c r="C507" s="5"/>
    </row>
    <row r="508" spans="1:3" x14ac:dyDescent="0.25">
      <c r="C508" s="5"/>
    </row>
    <row r="509" spans="1:3" x14ac:dyDescent="0.25">
      <c r="C509" s="5"/>
    </row>
    <row r="510" spans="1:3" x14ac:dyDescent="0.25">
      <c r="C510" s="5"/>
    </row>
    <row r="511" spans="1:3" x14ac:dyDescent="0.25">
      <c r="A511" s="101"/>
      <c r="C511" s="5"/>
    </row>
    <row r="512" spans="1:3" x14ac:dyDescent="0.25">
      <c r="C512" s="5"/>
    </row>
    <row r="513" spans="1:3" x14ac:dyDescent="0.25">
      <c r="C513" s="5"/>
    </row>
    <row r="514" spans="1:3" x14ac:dyDescent="0.25">
      <c r="C514" s="5"/>
    </row>
    <row r="515" spans="1:3" x14ac:dyDescent="0.25">
      <c r="C515" s="5"/>
    </row>
    <row r="516" spans="1:3" x14ac:dyDescent="0.25">
      <c r="C516" s="5"/>
    </row>
    <row r="517" spans="1:3" x14ac:dyDescent="0.25">
      <c r="C517" s="5"/>
    </row>
    <row r="518" spans="1:3" x14ac:dyDescent="0.25">
      <c r="C518" s="5"/>
    </row>
    <row r="519" spans="1:3" x14ac:dyDescent="0.25">
      <c r="C519" s="5"/>
    </row>
    <row r="520" spans="1:3" x14ac:dyDescent="0.25">
      <c r="C520" s="5"/>
    </row>
    <row r="521" spans="1:3" x14ac:dyDescent="0.25">
      <c r="C521" s="5"/>
    </row>
    <row r="522" spans="1:3" x14ac:dyDescent="0.25">
      <c r="C522" s="3"/>
    </row>
    <row r="523" spans="1:3" x14ac:dyDescent="0.25">
      <c r="A523" s="113"/>
      <c r="C523" s="3"/>
    </row>
    <row r="524" spans="1:3" x14ac:dyDescent="0.25">
      <c r="C524" s="5"/>
    </row>
    <row r="525" spans="1:3" x14ac:dyDescent="0.25">
      <c r="C525" s="5"/>
    </row>
    <row r="526" spans="1:3" x14ac:dyDescent="0.25">
      <c r="C526" s="5"/>
    </row>
    <row r="527" spans="1:3" x14ac:dyDescent="0.25">
      <c r="C527" s="5"/>
    </row>
    <row r="528" spans="1:3" x14ac:dyDescent="0.25">
      <c r="C528" s="5"/>
    </row>
    <row r="529" spans="3:3" x14ac:dyDescent="0.25">
      <c r="C529" s="5"/>
    </row>
    <row r="530" spans="3:3" x14ac:dyDescent="0.25">
      <c r="C530" s="5"/>
    </row>
    <row r="531" spans="3:3" x14ac:dyDescent="0.25">
      <c r="C531" s="5"/>
    </row>
    <row r="532" spans="3:3" x14ac:dyDescent="0.25">
      <c r="C532" s="5"/>
    </row>
    <row r="533" spans="3:3" x14ac:dyDescent="0.25">
      <c r="C533" s="5"/>
    </row>
    <row r="534" spans="3:3" x14ac:dyDescent="0.25">
      <c r="C534" s="5"/>
    </row>
    <row r="535" spans="3:3" x14ac:dyDescent="0.25">
      <c r="C535" s="5"/>
    </row>
    <row r="536" spans="3:3" x14ac:dyDescent="0.25">
      <c r="C536" s="5"/>
    </row>
    <row r="537" spans="3:3" x14ac:dyDescent="0.25">
      <c r="C537" s="5"/>
    </row>
    <row r="538" spans="3:3" x14ac:dyDescent="0.25">
      <c r="C538" s="5"/>
    </row>
    <row r="539" spans="3:3" x14ac:dyDescent="0.25">
      <c r="C539" s="5"/>
    </row>
    <row r="540" spans="3:3" x14ac:dyDescent="0.25">
      <c r="C540" s="5"/>
    </row>
    <row r="541" spans="3:3" x14ac:dyDescent="0.25">
      <c r="C541" s="5"/>
    </row>
    <row r="542" spans="3:3" x14ac:dyDescent="0.25">
      <c r="C542" s="5"/>
    </row>
    <row r="543" spans="3:3" x14ac:dyDescent="0.25">
      <c r="C543" s="5"/>
    </row>
    <row r="544" spans="3:3" x14ac:dyDescent="0.25">
      <c r="C544" s="5"/>
    </row>
    <row r="545" spans="1:3" x14ac:dyDescent="0.25">
      <c r="C545" s="5"/>
    </row>
    <row r="546" spans="1:3" x14ac:dyDescent="0.25">
      <c r="B546" s="190"/>
      <c r="C546" s="5"/>
    </row>
    <row r="547" spans="1:3" x14ac:dyDescent="0.25">
      <c r="B547" s="190"/>
      <c r="C547" s="5"/>
    </row>
    <row r="548" spans="1:3" x14ac:dyDescent="0.25">
      <c r="C548" s="5"/>
    </row>
    <row r="549" spans="1:3" x14ac:dyDescent="0.25">
      <c r="C549" s="5"/>
    </row>
    <row r="550" spans="1:3" x14ac:dyDescent="0.25">
      <c r="C550" s="5"/>
    </row>
    <row r="551" spans="1:3" x14ac:dyDescent="0.25">
      <c r="C551" s="5"/>
    </row>
    <row r="552" spans="1:3" x14ac:dyDescent="0.25">
      <c r="C552" s="5"/>
    </row>
    <row r="553" spans="1:3" s="112" customFormat="1" x14ac:dyDescent="0.2">
      <c r="A553" s="11"/>
      <c r="B553" s="125"/>
      <c r="C553" s="11"/>
    </row>
    <row r="554" spans="1:3" x14ac:dyDescent="0.25">
      <c r="A554" s="11"/>
      <c r="B554" s="125"/>
      <c r="C554" s="11"/>
    </row>
    <row r="555" spans="1:3" x14ac:dyDescent="0.25">
      <c r="A555" s="3"/>
      <c r="C555" s="7"/>
    </row>
    <row r="556" spans="1:3" x14ac:dyDescent="0.25">
      <c r="A556" s="3"/>
      <c r="C556" s="7"/>
    </row>
    <row r="557" spans="1:3" x14ac:dyDescent="0.25">
      <c r="A557" s="3"/>
      <c r="C557" s="7"/>
    </row>
    <row r="558" spans="1:3" x14ac:dyDescent="0.25">
      <c r="A558" s="3"/>
      <c r="C558" s="7"/>
    </row>
    <row r="559" spans="1:3" x14ac:dyDescent="0.25">
      <c r="A559" s="3"/>
      <c r="C559" s="7"/>
    </row>
    <row r="560" spans="1:3" x14ac:dyDescent="0.25">
      <c r="A560" s="3"/>
      <c r="C560" s="7"/>
    </row>
    <row r="561" spans="1:3" x14ac:dyDescent="0.25">
      <c r="A561" s="3"/>
      <c r="C561" s="7"/>
    </row>
    <row r="562" spans="1:3" x14ac:dyDescent="0.25">
      <c r="A562" s="3"/>
      <c r="C562" s="7"/>
    </row>
    <row r="563" spans="1:3" x14ac:dyDescent="0.25">
      <c r="A563" s="3"/>
      <c r="C563" s="4"/>
    </row>
    <row r="564" spans="1:3" x14ac:dyDescent="0.25">
      <c r="A564" s="3"/>
      <c r="C564" s="7"/>
    </row>
    <row r="565" spans="1:3" x14ac:dyDescent="0.25">
      <c r="A565" s="3"/>
      <c r="C565" s="7"/>
    </row>
    <row r="566" spans="1:3" x14ac:dyDescent="0.25">
      <c r="A566" s="3"/>
      <c r="C566" s="7"/>
    </row>
    <row r="567" spans="1:3" x14ac:dyDescent="0.25">
      <c r="A567" s="3"/>
      <c r="C567" s="7"/>
    </row>
    <row r="568" spans="1:3" x14ac:dyDescent="0.25">
      <c r="A568" s="3"/>
      <c r="C568" s="7"/>
    </row>
    <row r="569" spans="1:3" x14ac:dyDescent="0.25">
      <c r="A569" s="3"/>
      <c r="C569" s="7"/>
    </row>
    <row r="570" spans="1:3" x14ac:dyDescent="0.25">
      <c r="A570" s="3"/>
      <c r="C570" s="7"/>
    </row>
    <row r="571" spans="1:3" x14ac:dyDescent="0.25">
      <c r="A571" s="3"/>
      <c r="C571" s="7"/>
    </row>
    <row r="572" spans="1:3" x14ac:dyDescent="0.25">
      <c r="A572" s="3"/>
      <c r="C572" s="7"/>
    </row>
    <row r="573" spans="1:3" x14ac:dyDescent="0.25">
      <c r="A573" s="3"/>
      <c r="C573" s="7"/>
    </row>
    <row r="574" spans="1:3" x14ac:dyDescent="0.25">
      <c r="A574" s="3"/>
      <c r="C574" s="7"/>
    </row>
    <row r="575" spans="1:3" x14ac:dyDescent="0.25">
      <c r="A575" s="3"/>
      <c r="C575" s="7"/>
    </row>
    <row r="576" spans="1:3" x14ac:dyDescent="0.25">
      <c r="A576" s="3"/>
      <c r="C576" s="3"/>
    </row>
    <row r="577" spans="1:3" x14ac:dyDescent="0.25">
      <c r="A577" s="3"/>
      <c r="C577" s="3"/>
    </row>
    <row r="578" spans="1:3" x14ac:dyDescent="0.25">
      <c r="A578" s="3"/>
      <c r="C578" s="3"/>
    </row>
    <row r="579" spans="1:3" x14ac:dyDescent="0.25">
      <c r="A579" s="3"/>
      <c r="C579" s="3"/>
    </row>
    <row r="580" spans="1:3" x14ac:dyDescent="0.25">
      <c r="A580" s="3"/>
      <c r="C580" s="3"/>
    </row>
    <row r="581" spans="1:3" x14ac:dyDescent="0.25">
      <c r="A581" s="3"/>
      <c r="C581" s="3"/>
    </row>
    <row r="582" spans="1:3" x14ac:dyDescent="0.25">
      <c r="A582" s="3"/>
      <c r="C582" s="3"/>
    </row>
    <row r="583" spans="1:3" x14ac:dyDescent="0.25">
      <c r="A583" s="3"/>
      <c r="C583" s="3"/>
    </row>
    <row r="584" spans="1:3" x14ac:dyDescent="0.25">
      <c r="A584" s="3"/>
      <c r="C584" s="3"/>
    </row>
    <row r="585" spans="1:3" x14ac:dyDescent="0.25">
      <c r="A585" s="3"/>
      <c r="C585" s="3"/>
    </row>
    <row r="586" spans="1:3" x14ac:dyDescent="0.25">
      <c r="A586" s="3"/>
      <c r="C586" s="3"/>
    </row>
    <row r="587" spans="1:3" x14ac:dyDescent="0.25">
      <c r="A587" s="3"/>
      <c r="C587" s="3"/>
    </row>
    <row r="588" spans="1:3" x14ac:dyDescent="0.25">
      <c r="A588" s="3"/>
      <c r="C588" s="3"/>
    </row>
    <row r="589" spans="1:3" x14ac:dyDescent="0.25">
      <c r="A589" s="3"/>
      <c r="C589" s="3"/>
    </row>
    <row r="590" spans="1:3" x14ac:dyDescent="0.25">
      <c r="A590" s="3"/>
      <c r="C590" s="3"/>
    </row>
    <row r="591" spans="1:3" x14ac:dyDescent="0.25">
      <c r="A591" s="3"/>
      <c r="C591" s="3"/>
    </row>
    <row r="592" spans="1:3" x14ac:dyDescent="0.25">
      <c r="A592" s="3"/>
      <c r="C592" s="3"/>
    </row>
    <row r="593" spans="1:3" x14ac:dyDescent="0.25">
      <c r="A593" s="3"/>
      <c r="C593" s="3"/>
    </row>
    <row r="594" spans="1:3" x14ac:dyDescent="0.25">
      <c r="A594" s="3"/>
      <c r="C594" s="3"/>
    </row>
    <row r="595" spans="1:3" x14ac:dyDescent="0.25">
      <c r="A595" s="3"/>
      <c r="C595" s="3"/>
    </row>
    <row r="596" spans="1:3" x14ac:dyDescent="0.25">
      <c r="A596" s="3"/>
      <c r="B596" s="191"/>
      <c r="C596" s="3"/>
    </row>
    <row r="597" spans="1:3" x14ac:dyDescent="0.25">
      <c r="A597" s="3"/>
      <c r="C597" s="3"/>
    </row>
    <row r="598" spans="1:3" x14ac:dyDescent="0.25">
      <c r="A598" s="3"/>
      <c r="C598" s="3"/>
    </row>
    <row r="599" spans="1:3" x14ac:dyDescent="0.25">
      <c r="A599" s="3"/>
      <c r="C599" s="3"/>
    </row>
    <row r="600" spans="1:3" x14ac:dyDescent="0.25">
      <c r="A600" s="3"/>
      <c r="B600" s="191"/>
      <c r="C600" s="3"/>
    </row>
    <row r="601" spans="1:3" x14ac:dyDescent="0.25">
      <c r="A601" s="3"/>
      <c r="C601" s="3"/>
    </row>
    <row r="602" spans="1:3" x14ac:dyDescent="0.25">
      <c r="A602" s="7"/>
      <c r="C602" s="3"/>
    </row>
    <row r="603" spans="1:3" x14ac:dyDescent="0.25">
      <c r="A603" s="7"/>
      <c r="C603" s="3"/>
    </row>
    <row r="604" spans="1:3" x14ac:dyDescent="0.25">
      <c r="A604" s="3"/>
      <c r="B604" s="191"/>
      <c r="C604" s="3"/>
    </row>
    <row r="605" spans="1:3" x14ac:dyDescent="0.25">
      <c r="A605" s="3"/>
      <c r="C605" s="3"/>
    </row>
    <row r="606" spans="1:3" x14ac:dyDescent="0.25">
      <c r="A606" s="7"/>
      <c r="C606" s="3"/>
    </row>
    <row r="607" spans="1:3" x14ac:dyDescent="0.25">
      <c r="A607" s="3"/>
      <c r="C607" s="3"/>
    </row>
    <row r="608" spans="1:3" x14ac:dyDescent="0.25">
      <c r="A608" s="7"/>
      <c r="C608" s="3"/>
    </row>
    <row r="609" spans="1:3" x14ac:dyDescent="0.25">
      <c r="A609" s="3"/>
      <c r="C609" s="3"/>
    </row>
    <row r="610" spans="1:3" x14ac:dyDescent="0.25">
      <c r="A610" s="7"/>
      <c r="C610" s="3"/>
    </row>
    <row r="611" spans="1:3" x14ac:dyDescent="0.25">
      <c r="A611" s="3"/>
      <c r="C611" s="3"/>
    </row>
    <row r="612" spans="1:3" x14ac:dyDescent="0.25">
      <c r="A612" s="3"/>
      <c r="C612" s="3"/>
    </row>
    <row r="613" spans="1:3" x14ac:dyDescent="0.25">
      <c r="A613" s="3"/>
      <c r="B613" s="191"/>
      <c r="C613" s="3"/>
    </row>
    <row r="614" spans="1:3" x14ac:dyDescent="0.25">
      <c r="A614" s="7"/>
      <c r="C614" s="3"/>
    </row>
    <row r="615" spans="1:3" x14ac:dyDescent="0.25">
      <c r="A615" s="3"/>
      <c r="C615" s="3"/>
    </row>
    <row r="616" spans="1:3" x14ac:dyDescent="0.25">
      <c r="A616" s="7"/>
      <c r="C616" s="3"/>
    </row>
    <row r="617" spans="1:3" x14ac:dyDescent="0.25">
      <c r="A617" s="3"/>
      <c r="C617" s="3"/>
    </row>
    <row r="618" spans="1:3" x14ac:dyDescent="0.25">
      <c r="A618" s="3"/>
      <c r="C618" s="3"/>
    </row>
    <row r="619" spans="1:3" x14ac:dyDescent="0.25">
      <c r="A619" s="3"/>
      <c r="C619" s="3"/>
    </row>
    <row r="620" spans="1:3" x14ac:dyDescent="0.25">
      <c r="A620" s="7"/>
      <c r="C620" s="3"/>
    </row>
    <row r="621" spans="1:3" x14ac:dyDescent="0.25">
      <c r="A621" s="3"/>
      <c r="C621" s="3"/>
    </row>
    <row r="622" spans="1:3" x14ac:dyDescent="0.25">
      <c r="A622" s="3"/>
      <c r="C622" s="3"/>
    </row>
    <row r="623" spans="1:3" x14ac:dyDescent="0.25">
      <c r="A623" s="3"/>
      <c r="C623" s="3"/>
    </row>
    <row r="624" spans="1:3" x14ac:dyDescent="0.25">
      <c r="A624" s="3"/>
      <c r="C624" s="3"/>
    </row>
    <row r="625" spans="1:3" x14ac:dyDescent="0.25">
      <c r="A625" s="7"/>
      <c r="C625" s="3"/>
    </row>
    <row r="626" spans="1:3" x14ac:dyDescent="0.25">
      <c r="A626" s="7"/>
      <c r="C626" s="3"/>
    </row>
    <row r="627" spans="1:3" x14ac:dyDescent="0.25">
      <c r="A627" s="7"/>
      <c r="C627" s="3"/>
    </row>
    <row r="628" spans="1:3" x14ac:dyDescent="0.25">
      <c r="A628" s="21"/>
      <c r="C628" s="3"/>
    </row>
    <row r="629" spans="1:3" x14ac:dyDescent="0.25">
      <c r="A629" s="7"/>
      <c r="C629" s="3"/>
    </row>
    <row r="630" spans="1:3" x14ac:dyDescent="0.25">
      <c r="A630" s="7"/>
      <c r="C630" s="3"/>
    </row>
    <row r="631" spans="1:3" x14ac:dyDescent="0.25">
      <c r="A631" s="7"/>
      <c r="C631" s="3"/>
    </row>
    <row r="632" spans="1:3" x14ac:dyDescent="0.25">
      <c r="A632" s="7"/>
      <c r="C632" s="3"/>
    </row>
    <row r="633" spans="1:3" x14ac:dyDescent="0.25">
      <c r="A633" s="7"/>
      <c r="C633" s="3"/>
    </row>
    <row r="634" spans="1:3" x14ac:dyDescent="0.25">
      <c r="A634" s="7"/>
      <c r="C634" s="3"/>
    </row>
    <row r="635" spans="1:3" x14ac:dyDescent="0.25">
      <c r="A635" s="3"/>
      <c r="C635" s="3"/>
    </row>
    <row r="636" spans="1:3" x14ac:dyDescent="0.25">
      <c r="A636" s="7"/>
      <c r="C636" s="3"/>
    </row>
    <row r="637" spans="1:3" x14ac:dyDescent="0.25">
      <c r="A637" s="3"/>
      <c r="C637" s="3"/>
    </row>
    <row r="638" spans="1:3" x14ac:dyDescent="0.25">
      <c r="A638" s="7"/>
      <c r="C638" s="3"/>
    </row>
    <row r="639" spans="1:3" x14ac:dyDescent="0.25">
      <c r="A639" s="3"/>
      <c r="C639" s="3"/>
    </row>
    <row r="640" spans="1:3" x14ac:dyDescent="0.25">
      <c r="A640" s="7"/>
      <c r="C640" s="3"/>
    </row>
    <row r="641" spans="1:3" x14ac:dyDescent="0.25">
      <c r="A641" s="21"/>
      <c r="C641" s="3"/>
    </row>
    <row r="642" spans="1:3" x14ac:dyDescent="0.25">
      <c r="A642" s="21"/>
      <c r="C642" s="3"/>
    </row>
    <row r="643" spans="1:3" x14ac:dyDescent="0.25">
      <c r="A643" s="21"/>
      <c r="B643" s="192"/>
      <c r="C643" s="17"/>
    </row>
    <row r="644" spans="1:3" x14ac:dyDescent="0.25">
      <c r="A644" s="21"/>
      <c r="B644" s="192"/>
      <c r="C644" s="17"/>
    </row>
    <row r="645" spans="1:3" x14ac:dyDescent="0.25">
      <c r="A645" s="21"/>
      <c r="C645" s="3"/>
    </row>
    <row r="646" spans="1:3" s="112" customFormat="1" x14ac:dyDescent="0.2">
      <c r="A646" s="11"/>
      <c r="B646" s="125"/>
      <c r="C646" s="11"/>
    </row>
    <row r="647" spans="1:3" x14ac:dyDescent="0.25">
      <c r="A647" s="164"/>
      <c r="C647" s="13"/>
    </row>
    <row r="648" spans="1:3" x14ac:dyDescent="0.25">
      <c r="A648" s="165"/>
      <c r="B648" s="193"/>
      <c r="C648" s="166"/>
    </row>
    <row r="649" spans="1:3" x14ac:dyDescent="0.25">
      <c r="A649" s="165"/>
      <c r="C649" s="13"/>
    </row>
    <row r="650" spans="1:3" x14ac:dyDescent="0.25">
      <c r="A650" s="167"/>
      <c r="C650" s="14"/>
    </row>
    <row r="651" spans="1:3" x14ac:dyDescent="0.25">
      <c r="A651" s="164"/>
      <c r="C651" s="131"/>
    </row>
    <row r="652" spans="1:3" x14ac:dyDescent="0.25">
      <c r="A652" s="164"/>
      <c r="C652" s="131"/>
    </row>
    <row r="653" spans="1:3" x14ac:dyDescent="0.25">
      <c r="A653" s="164"/>
      <c r="C653" s="131"/>
    </row>
    <row r="654" spans="1:3" x14ac:dyDescent="0.25">
      <c r="A654" s="164"/>
      <c r="C654" s="131"/>
    </row>
    <row r="655" spans="1:3" x14ac:dyDescent="0.25">
      <c r="A655" s="164"/>
      <c r="C655" s="131"/>
    </row>
    <row r="656" spans="1:3" x14ac:dyDescent="0.25">
      <c r="A656" s="164"/>
      <c r="C656" s="131"/>
    </row>
    <row r="657" spans="1:3" x14ac:dyDescent="0.25">
      <c r="A657" s="164"/>
      <c r="C657" s="131"/>
    </row>
    <row r="658" spans="1:3" x14ac:dyDescent="0.25">
      <c r="A658" s="164"/>
      <c r="C658" s="131"/>
    </row>
    <row r="659" spans="1:3" x14ac:dyDescent="0.25">
      <c r="A659" s="164"/>
      <c r="C659" s="131"/>
    </row>
    <row r="660" spans="1:3" x14ac:dyDescent="0.25">
      <c r="A660" s="164"/>
      <c r="C660" s="131"/>
    </row>
    <row r="661" spans="1:3" x14ac:dyDescent="0.25">
      <c r="A661" s="164"/>
      <c r="C661" s="131"/>
    </row>
    <row r="662" spans="1:3" x14ac:dyDescent="0.25">
      <c r="A662" s="164"/>
      <c r="C662" s="131"/>
    </row>
    <row r="663" spans="1:3" x14ac:dyDescent="0.25">
      <c r="A663" s="164"/>
      <c r="C663" s="131"/>
    </row>
    <row r="664" spans="1:3" x14ac:dyDescent="0.25">
      <c r="A664" s="164"/>
      <c r="C664" s="131"/>
    </row>
    <row r="665" spans="1:3" x14ac:dyDescent="0.25">
      <c r="A665" s="164"/>
      <c r="C665" s="131"/>
    </row>
    <row r="666" spans="1:3" x14ac:dyDescent="0.25">
      <c r="A666" s="164"/>
      <c r="C666" s="131"/>
    </row>
    <row r="667" spans="1:3" x14ac:dyDescent="0.25">
      <c r="A667" s="164"/>
      <c r="C667" s="131"/>
    </row>
    <row r="668" spans="1:3" x14ac:dyDescent="0.25">
      <c r="A668" s="164"/>
      <c r="C668" s="131"/>
    </row>
    <row r="669" spans="1:3" x14ac:dyDescent="0.25">
      <c r="A669" s="164"/>
      <c r="C669" s="131"/>
    </row>
    <row r="670" spans="1:3" x14ac:dyDescent="0.25">
      <c r="A670" s="164"/>
      <c r="C670" s="131"/>
    </row>
    <row r="671" spans="1:3" x14ac:dyDescent="0.25">
      <c r="A671" s="164"/>
      <c r="C671" s="131"/>
    </row>
    <row r="672" spans="1:3" x14ac:dyDescent="0.25">
      <c r="A672" s="164"/>
      <c r="C672" s="131"/>
    </row>
    <row r="673" spans="1:3" x14ac:dyDescent="0.25">
      <c r="A673" s="164"/>
      <c r="C673" s="131"/>
    </row>
    <row r="674" spans="1:3" x14ac:dyDescent="0.25">
      <c r="A674" s="164"/>
      <c r="C674" s="131"/>
    </row>
    <row r="675" spans="1:3" x14ac:dyDescent="0.25">
      <c r="A675" s="164"/>
      <c r="C675" s="131"/>
    </row>
    <row r="676" spans="1:3" x14ac:dyDescent="0.25">
      <c r="A676" s="164"/>
      <c r="C676" s="131"/>
    </row>
    <row r="677" spans="1:3" x14ac:dyDescent="0.25">
      <c r="A677" s="164"/>
      <c r="C677" s="131"/>
    </row>
    <row r="678" spans="1:3" x14ac:dyDescent="0.25">
      <c r="A678" s="164"/>
      <c r="C678" s="131"/>
    </row>
    <row r="679" spans="1:3" x14ac:dyDescent="0.25">
      <c r="A679" s="164"/>
      <c r="C679" s="131"/>
    </row>
    <row r="680" spans="1:3" x14ac:dyDescent="0.25">
      <c r="A680" s="164"/>
      <c r="C680" s="131"/>
    </row>
    <row r="681" spans="1:3" x14ac:dyDescent="0.25">
      <c r="A681" s="164"/>
      <c r="C681" s="131"/>
    </row>
    <row r="682" spans="1:3" x14ac:dyDescent="0.25">
      <c r="A682" s="164"/>
      <c r="C682" s="131"/>
    </row>
    <row r="683" spans="1:3" x14ac:dyDescent="0.25">
      <c r="A683" s="164"/>
      <c r="C683" s="131"/>
    </row>
    <row r="684" spans="1:3" x14ac:dyDescent="0.25">
      <c r="A684" s="164"/>
      <c r="C684" s="131"/>
    </row>
    <row r="685" spans="1:3" x14ac:dyDescent="0.25">
      <c r="A685" s="164"/>
      <c r="C685" s="131"/>
    </row>
    <row r="686" spans="1:3" x14ac:dyDescent="0.25">
      <c r="A686" s="164"/>
      <c r="C686" s="131"/>
    </row>
    <row r="687" spans="1:3" x14ac:dyDescent="0.25">
      <c r="A687" s="164"/>
      <c r="C687" s="131"/>
    </row>
    <row r="688" spans="1:3" x14ac:dyDescent="0.25">
      <c r="A688" s="164"/>
      <c r="C688" s="131"/>
    </row>
    <row r="689" spans="1:3" x14ac:dyDescent="0.25">
      <c r="A689" s="164"/>
      <c r="C689" s="131"/>
    </row>
    <row r="690" spans="1:3" x14ac:dyDescent="0.25">
      <c r="A690" s="164"/>
      <c r="C690" s="131"/>
    </row>
    <row r="691" spans="1:3" x14ac:dyDescent="0.25">
      <c r="A691" s="164"/>
      <c r="C691" s="131"/>
    </row>
    <row r="692" spans="1:3" x14ac:dyDescent="0.25">
      <c r="A692" s="164"/>
      <c r="C692" s="131"/>
    </row>
    <row r="693" spans="1:3" x14ac:dyDescent="0.25">
      <c r="A693" s="164"/>
      <c r="C693" s="131"/>
    </row>
    <row r="694" spans="1:3" x14ac:dyDescent="0.25">
      <c r="A694" s="164"/>
      <c r="C694" s="23"/>
    </row>
    <row r="695" spans="1:3" x14ac:dyDescent="0.25">
      <c r="A695" s="164"/>
      <c r="C695" s="23"/>
    </row>
    <row r="696" spans="1:3" x14ac:dyDescent="0.25">
      <c r="A696" s="164"/>
      <c r="C696" s="23"/>
    </row>
    <row r="697" spans="1:3" x14ac:dyDescent="0.25">
      <c r="A697" s="164"/>
      <c r="C697" s="23"/>
    </row>
    <row r="698" spans="1:3" x14ac:dyDescent="0.25">
      <c r="A698" s="164"/>
      <c r="C698" s="23"/>
    </row>
    <row r="699" spans="1:3" x14ac:dyDescent="0.25">
      <c r="A699" s="164"/>
      <c r="C699" s="23"/>
    </row>
    <row r="700" spans="1:3" x14ac:dyDescent="0.25">
      <c r="A700" s="164"/>
      <c r="C700" s="23"/>
    </row>
    <row r="701" spans="1:3" x14ac:dyDescent="0.25">
      <c r="A701" s="164"/>
      <c r="C701" s="23"/>
    </row>
    <row r="702" spans="1:3" x14ac:dyDescent="0.25">
      <c r="A702" s="164"/>
      <c r="C702" s="23"/>
    </row>
    <row r="703" spans="1:3" x14ac:dyDescent="0.25">
      <c r="A703" s="164"/>
      <c r="C703" s="23"/>
    </row>
    <row r="704" spans="1:3" x14ac:dyDescent="0.25">
      <c r="A704" s="164"/>
      <c r="C704" s="23"/>
    </row>
    <row r="705" spans="1:3" x14ac:dyDescent="0.25">
      <c r="A705" s="165"/>
      <c r="C705" s="23"/>
    </row>
    <row r="706" spans="1:3" x14ac:dyDescent="0.25">
      <c r="A706" s="164"/>
      <c r="C706" s="23"/>
    </row>
    <row r="707" spans="1:3" x14ac:dyDescent="0.25">
      <c r="A707" s="164"/>
      <c r="C707" s="23"/>
    </row>
    <row r="708" spans="1:3" x14ac:dyDescent="0.25">
      <c r="A708" s="164"/>
      <c r="C708" s="23"/>
    </row>
    <row r="709" spans="1:3" x14ac:dyDescent="0.25">
      <c r="A709" s="164"/>
      <c r="C709" s="23"/>
    </row>
    <row r="710" spans="1:3" x14ac:dyDescent="0.25">
      <c r="A710" s="164"/>
      <c r="C710" s="23"/>
    </row>
    <row r="711" spans="1:3" x14ac:dyDescent="0.25">
      <c r="A711" s="164"/>
      <c r="C711" s="23"/>
    </row>
    <row r="712" spans="1:3" x14ac:dyDescent="0.25">
      <c r="A712" s="165"/>
      <c r="C712" s="23"/>
    </row>
    <row r="713" spans="1:3" x14ac:dyDescent="0.25">
      <c r="A713" s="117"/>
      <c r="B713" s="125"/>
      <c r="C713" s="23"/>
    </row>
    <row r="714" spans="1:3" x14ac:dyDescent="0.25">
      <c r="A714" s="164"/>
      <c r="C714" s="23"/>
    </row>
    <row r="715" spans="1:3" x14ac:dyDescent="0.25">
      <c r="A715" s="164"/>
      <c r="C715" s="23"/>
    </row>
    <row r="716" spans="1:3" x14ac:dyDescent="0.25">
      <c r="A716" s="164"/>
      <c r="C716" s="23"/>
    </row>
    <row r="717" spans="1:3" x14ac:dyDescent="0.25">
      <c r="A717" s="164"/>
      <c r="C717" s="23"/>
    </row>
    <row r="718" spans="1:3" x14ac:dyDescent="0.25">
      <c r="A718" s="164"/>
      <c r="C718" s="23"/>
    </row>
    <row r="719" spans="1:3" x14ac:dyDescent="0.25">
      <c r="A719" s="164"/>
      <c r="C719" s="23"/>
    </row>
    <row r="720" spans="1:3" x14ac:dyDescent="0.25">
      <c r="A720" s="164"/>
      <c r="C720" s="23"/>
    </row>
    <row r="721" spans="1:3" x14ac:dyDescent="0.25">
      <c r="A721" s="164"/>
      <c r="C721" s="23"/>
    </row>
    <row r="722" spans="1:3" x14ac:dyDescent="0.25">
      <c r="A722" s="164"/>
      <c r="C722" s="23"/>
    </row>
    <row r="723" spans="1:3" x14ac:dyDescent="0.25">
      <c r="A723" s="164"/>
      <c r="C723" s="23"/>
    </row>
    <row r="724" spans="1:3" x14ac:dyDescent="0.25">
      <c r="A724" s="164"/>
      <c r="C724" s="23"/>
    </row>
    <row r="725" spans="1:3" x14ac:dyDescent="0.25">
      <c r="A725" s="164"/>
      <c r="C725" s="23"/>
    </row>
    <row r="726" spans="1:3" x14ac:dyDescent="0.25">
      <c r="A726" s="164"/>
      <c r="C726" s="23"/>
    </row>
    <row r="727" spans="1:3" x14ac:dyDescent="0.25">
      <c r="A727" s="164"/>
      <c r="C727" s="23"/>
    </row>
    <row r="728" spans="1:3" x14ac:dyDescent="0.25">
      <c r="A728" s="164"/>
      <c r="C728" s="23"/>
    </row>
    <row r="729" spans="1:3" x14ac:dyDescent="0.25">
      <c r="A729" s="164"/>
      <c r="C729" s="23"/>
    </row>
    <row r="730" spans="1:3" x14ac:dyDescent="0.25">
      <c r="A730" s="164"/>
      <c r="C730" s="23"/>
    </row>
    <row r="731" spans="1:3" x14ac:dyDescent="0.25">
      <c r="A731" s="164"/>
      <c r="C731" s="23"/>
    </row>
    <row r="732" spans="1:3" x14ac:dyDescent="0.25">
      <c r="A732" s="164"/>
      <c r="C732" s="23"/>
    </row>
    <row r="733" spans="1:3" x14ac:dyDescent="0.25">
      <c r="A733" s="164"/>
      <c r="C733" s="23"/>
    </row>
    <row r="734" spans="1:3" x14ac:dyDescent="0.25">
      <c r="A734" s="164"/>
      <c r="C734" s="23"/>
    </row>
    <row r="735" spans="1:3" x14ac:dyDescent="0.25">
      <c r="A735" s="164"/>
      <c r="C735" s="23"/>
    </row>
    <row r="736" spans="1:3" x14ac:dyDescent="0.25">
      <c r="A736" s="164"/>
      <c r="C736" s="23"/>
    </row>
    <row r="737" spans="1:3" x14ac:dyDescent="0.25">
      <c r="A737" s="164"/>
      <c r="C737" s="23"/>
    </row>
    <row r="738" spans="1:3" x14ac:dyDescent="0.25">
      <c r="A738" s="164"/>
      <c r="C738" s="133"/>
    </row>
    <row r="739" spans="1:3" x14ac:dyDescent="0.25">
      <c r="A739" s="164"/>
      <c r="C739" s="23"/>
    </row>
    <row r="740" spans="1:3" x14ac:dyDescent="0.25">
      <c r="A740" s="164"/>
      <c r="C740" s="133"/>
    </row>
    <row r="741" spans="1:3" x14ac:dyDescent="0.25">
      <c r="A741" s="164"/>
      <c r="C741" s="133"/>
    </row>
    <row r="742" spans="1:3" x14ac:dyDescent="0.25">
      <c r="A742" s="164"/>
      <c r="C742" s="133"/>
    </row>
    <row r="743" spans="1:3" x14ac:dyDescent="0.25">
      <c r="A743" s="164"/>
      <c r="C743" s="23"/>
    </row>
    <row r="744" spans="1:3" x14ac:dyDescent="0.25">
      <c r="A744" s="164"/>
      <c r="C744" s="133"/>
    </row>
    <row r="745" spans="1:3" x14ac:dyDescent="0.25">
      <c r="A745" s="164"/>
      <c r="C745" s="23"/>
    </row>
    <row r="746" spans="1:3" x14ac:dyDescent="0.25">
      <c r="A746" s="168"/>
      <c r="C746" s="133"/>
    </row>
    <row r="747" spans="1:3" x14ac:dyDescent="0.25">
      <c r="A747" s="164"/>
      <c r="C747" s="23"/>
    </row>
    <row r="748" spans="1:3" x14ac:dyDescent="0.25">
      <c r="A748" s="3"/>
      <c r="C748" s="23"/>
    </row>
    <row r="749" spans="1:3" x14ac:dyDescent="0.25">
      <c r="A749" s="164"/>
      <c r="C749" s="23"/>
    </row>
    <row r="750" spans="1:3" s="31" customFormat="1" x14ac:dyDescent="0.2">
      <c r="A750" s="3"/>
      <c r="B750" s="13"/>
      <c r="C750" s="23"/>
    </row>
    <row r="751" spans="1:3" s="31" customFormat="1" x14ac:dyDescent="0.2">
      <c r="A751" s="3"/>
      <c r="B751" s="13"/>
      <c r="C751" s="23"/>
    </row>
    <row r="752" spans="1:3" s="31" customFormat="1" x14ac:dyDescent="0.2">
      <c r="A752" s="11"/>
      <c r="B752" s="13"/>
      <c r="C752" s="23"/>
    </row>
    <row r="753" spans="1:3" s="31" customFormat="1" x14ac:dyDescent="0.25">
      <c r="A753" s="168"/>
      <c r="B753" s="13"/>
      <c r="C753" s="133"/>
    </row>
    <row r="754" spans="1:3" s="31" customFormat="1" x14ac:dyDescent="0.2">
      <c r="A754" s="164"/>
      <c r="B754" s="13"/>
      <c r="C754" s="23"/>
    </row>
    <row r="755" spans="1:3" s="31" customFormat="1" x14ac:dyDescent="0.25">
      <c r="A755" s="164"/>
      <c r="B755" s="13"/>
      <c r="C755" s="133"/>
    </row>
    <row r="756" spans="1:3" s="31" customFormat="1" x14ac:dyDescent="0.25">
      <c r="A756" s="164"/>
      <c r="B756" s="13"/>
      <c r="C756" s="133"/>
    </row>
    <row r="757" spans="1:3" s="31" customFormat="1" x14ac:dyDescent="0.25">
      <c r="A757" s="164"/>
      <c r="B757" s="13"/>
      <c r="C757" s="133"/>
    </row>
    <row r="758" spans="1:3" s="31" customFormat="1" x14ac:dyDescent="0.2">
      <c r="A758" s="164"/>
      <c r="B758" s="13"/>
      <c r="C758" s="23"/>
    </row>
    <row r="759" spans="1:3" s="31" customFormat="1" x14ac:dyDescent="0.25">
      <c r="A759" s="169"/>
      <c r="B759" s="13"/>
      <c r="C759" s="170"/>
    </row>
    <row r="760" spans="1:3" s="31" customFormat="1" x14ac:dyDescent="0.25">
      <c r="A760" s="169"/>
      <c r="B760" s="13"/>
      <c r="C760" s="170"/>
    </row>
    <row r="761" spans="1:3" s="31" customFormat="1" x14ac:dyDescent="0.25">
      <c r="A761" s="169"/>
      <c r="B761" s="13"/>
      <c r="C761" s="170"/>
    </row>
    <row r="762" spans="1:3" s="31" customFormat="1" x14ac:dyDescent="0.25">
      <c r="A762" s="169"/>
      <c r="B762" s="13"/>
      <c r="C762" s="170"/>
    </row>
    <row r="763" spans="1:3" s="31" customFormat="1" x14ac:dyDescent="0.25">
      <c r="A763" s="169"/>
      <c r="B763" s="13"/>
      <c r="C763" s="170"/>
    </row>
    <row r="764" spans="1:3" s="31" customFormat="1" x14ac:dyDescent="0.25">
      <c r="A764" s="169"/>
      <c r="B764" s="13"/>
      <c r="C764" s="170"/>
    </row>
    <row r="765" spans="1:3" s="31" customFormat="1" x14ac:dyDescent="0.2">
      <c r="A765" s="164"/>
      <c r="B765" s="13"/>
      <c r="C765" s="23"/>
    </row>
    <row r="766" spans="1:3" s="31" customFormat="1" x14ac:dyDescent="0.25">
      <c r="A766" s="164"/>
      <c r="B766" s="13"/>
      <c r="C766" s="170"/>
    </row>
    <row r="767" spans="1:3" s="31" customFormat="1" x14ac:dyDescent="0.2">
      <c r="A767" s="164"/>
      <c r="B767" s="13"/>
      <c r="C767" s="23"/>
    </row>
    <row r="768" spans="1:3" s="31" customFormat="1" x14ac:dyDescent="0.2">
      <c r="A768" s="164"/>
      <c r="B768" s="13"/>
      <c r="C768" s="23"/>
    </row>
    <row r="769" spans="1:3" s="31" customFormat="1" x14ac:dyDescent="0.2">
      <c r="A769" s="165"/>
      <c r="B769" s="13"/>
      <c r="C769" s="23"/>
    </row>
    <row r="770" spans="1:3" s="31" customFormat="1" x14ac:dyDescent="0.2">
      <c r="A770" s="164"/>
      <c r="B770" s="13"/>
      <c r="C770" s="23"/>
    </row>
    <row r="771" spans="1:3" s="31" customFormat="1" x14ac:dyDescent="0.2">
      <c r="A771" s="164"/>
      <c r="B771" s="13"/>
      <c r="C771" s="23"/>
    </row>
    <row r="772" spans="1:3" s="31" customFormat="1" x14ac:dyDescent="0.2">
      <c r="A772" s="164"/>
      <c r="B772" s="13"/>
      <c r="C772" s="23"/>
    </row>
    <row r="773" spans="1:3" s="31" customFormat="1" x14ac:dyDescent="0.2">
      <c r="A773" s="164"/>
      <c r="B773" s="13"/>
      <c r="C773" s="23"/>
    </row>
    <row r="774" spans="1:3" s="31" customFormat="1" x14ac:dyDescent="0.2">
      <c r="A774" s="166"/>
      <c r="B774" s="13"/>
      <c r="C774" s="23"/>
    </row>
    <row r="775" spans="1:3" s="31" customFormat="1" x14ac:dyDescent="0.2">
      <c r="A775" s="171"/>
      <c r="B775" s="13"/>
      <c r="C775" s="23"/>
    </row>
    <row r="776" spans="1:3" s="31" customFormat="1" x14ac:dyDescent="0.2">
      <c r="A776" s="164"/>
      <c r="B776" s="13"/>
      <c r="C776" s="23"/>
    </row>
    <row r="777" spans="1:3" s="31" customFormat="1" x14ac:dyDescent="0.2">
      <c r="A777" s="164"/>
      <c r="B777" s="13"/>
      <c r="C777" s="23"/>
    </row>
    <row r="778" spans="1:3" s="31" customFormat="1" x14ac:dyDescent="0.2">
      <c r="A778" s="164"/>
      <c r="B778" s="13"/>
      <c r="C778" s="23"/>
    </row>
    <row r="779" spans="1:3" s="31" customFormat="1" x14ac:dyDescent="0.2">
      <c r="A779" s="164"/>
      <c r="B779" s="13"/>
      <c r="C779" s="23"/>
    </row>
    <row r="780" spans="1:3" s="31" customFormat="1" x14ac:dyDescent="0.25">
      <c r="A780" s="166"/>
      <c r="B780" s="13"/>
      <c r="C780" s="133"/>
    </row>
  </sheetData>
  <sheetProtection selectLockedCells="1"/>
  <mergeCells count="2">
    <mergeCell ref="A1:D1"/>
    <mergeCell ref="A2:D2"/>
  </mergeCells>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FFFF00"/>
  </sheetPr>
  <dimension ref="A1:D38"/>
  <sheetViews>
    <sheetView view="pageBreakPreview" zoomScale="130" zoomScaleNormal="60" zoomScaleSheetLayoutView="130" workbookViewId="0">
      <selection activeCell="C11" sqref="C11"/>
    </sheetView>
  </sheetViews>
  <sheetFormatPr defaultRowHeight="15.75" x14ac:dyDescent="0.25"/>
  <cols>
    <col min="1" max="1" width="10" style="5" customWidth="1"/>
    <col min="2" max="2" width="55.7109375" style="13" customWidth="1"/>
    <col min="3" max="3" width="9.7109375" style="8" customWidth="1"/>
    <col min="4" max="4" width="11.7109375" style="6" customWidth="1"/>
    <col min="5" max="16384" width="9.140625" style="6"/>
  </cols>
  <sheetData>
    <row r="1" spans="1:4" ht="22.5" x14ac:dyDescent="0.25">
      <c r="A1" s="253" t="s">
        <v>3210</v>
      </c>
      <c r="B1" s="253"/>
      <c r="C1" s="253"/>
      <c r="D1" s="253"/>
    </row>
    <row r="2" spans="1:4" ht="27" x14ac:dyDescent="0.25">
      <c r="A2" s="254" t="s">
        <v>3211</v>
      </c>
      <c r="B2" s="254"/>
      <c r="C2" s="254"/>
      <c r="D2" s="254"/>
    </row>
    <row r="3" spans="1:4" x14ac:dyDescent="0.25">
      <c r="A3" s="21" t="s">
        <v>3215</v>
      </c>
      <c r="C3" s="101"/>
    </row>
    <row r="4" spans="1:4" ht="31.5" x14ac:dyDescent="0.25">
      <c r="A4" s="3">
        <v>1</v>
      </c>
      <c r="B4" s="13" t="s">
        <v>3212</v>
      </c>
      <c r="C4" s="101"/>
    </row>
    <row r="5" spans="1:4" ht="31.5" x14ac:dyDescent="0.25">
      <c r="A5" s="3">
        <v>2</v>
      </c>
      <c r="B5" s="13" t="s">
        <v>3213</v>
      </c>
      <c r="C5" s="101"/>
    </row>
    <row r="6" spans="1:4" x14ac:dyDescent="0.25">
      <c r="A6" s="3">
        <v>3</v>
      </c>
      <c r="B6" s="13" t="s">
        <v>3214</v>
      </c>
      <c r="C6" s="101"/>
    </row>
    <row r="7" spans="1:4" x14ac:dyDescent="0.25">
      <c r="A7" s="8"/>
      <c r="C7" s="101"/>
    </row>
    <row r="8" spans="1:4" s="112" customFormat="1" ht="31.5" x14ac:dyDescent="0.2">
      <c r="A8" s="55" t="s">
        <v>6402</v>
      </c>
      <c r="B8" s="55" t="s">
        <v>2434</v>
      </c>
      <c r="C8" s="55" t="s">
        <v>2435</v>
      </c>
      <c r="D8" s="172" t="s">
        <v>18</v>
      </c>
    </row>
    <row r="9" spans="1:4" x14ac:dyDescent="0.25">
      <c r="A9" s="55">
        <v>1</v>
      </c>
      <c r="B9" s="55">
        <v>2</v>
      </c>
      <c r="C9" s="55">
        <v>3</v>
      </c>
      <c r="D9" s="45">
        <v>4</v>
      </c>
    </row>
    <row r="10" spans="1:4" x14ac:dyDescent="0.25">
      <c r="C10" s="101"/>
    </row>
    <row r="11" spans="1:4" x14ac:dyDescent="0.25">
      <c r="A11" s="8"/>
      <c r="B11" s="157" t="s">
        <v>3216</v>
      </c>
      <c r="C11" s="4"/>
    </row>
    <row r="12" spans="1:4" x14ac:dyDescent="0.25">
      <c r="A12" s="8"/>
      <c r="B12" s="157"/>
      <c r="C12" s="4"/>
    </row>
    <row r="13" spans="1:4" x14ac:dyDescent="0.25">
      <c r="A13" s="3">
        <v>2.1</v>
      </c>
      <c r="B13" s="13" t="s">
        <v>3217</v>
      </c>
      <c r="C13" s="7" t="s">
        <v>2439</v>
      </c>
      <c r="D13" s="101">
        <v>5015</v>
      </c>
    </row>
    <row r="14" spans="1:4" x14ac:dyDescent="0.25">
      <c r="A14" s="103">
        <v>2.2000000000000002</v>
      </c>
      <c r="B14" s="13" t="s">
        <v>3218</v>
      </c>
      <c r="C14" s="7" t="s">
        <v>2439</v>
      </c>
      <c r="D14" s="101">
        <v>4145</v>
      </c>
    </row>
    <row r="15" spans="1:4" x14ac:dyDescent="0.25">
      <c r="A15" s="3">
        <v>2.2999999999999998</v>
      </c>
      <c r="B15" s="13" t="s">
        <v>3219</v>
      </c>
      <c r="C15" s="7" t="s">
        <v>2439</v>
      </c>
      <c r="D15" s="101">
        <v>3401</v>
      </c>
    </row>
    <row r="16" spans="1:4" x14ac:dyDescent="0.25">
      <c r="A16" s="3">
        <v>2.4</v>
      </c>
      <c r="B16" s="13" t="s">
        <v>3220</v>
      </c>
      <c r="C16" s="7" t="s">
        <v>2439</v>
      </c>
      <c r="D16" s="101">
        <v>3001</v>
      </c>
    </row>
    <row r="17" spans="1:4" x14ac:dyDescent="0.25">
      <c r="A17" s="3">
        <v>2.5</v>
      </c>
      <c r="B17" s="13" t="s">
        <v>3221</v>
      </c>
      <c r="C17" s="7" t="s">
        <v>2439</v>
      </c>
      <c r="D17" s="101">
        <v>2658</v>
      </c>
    </row>
    <row r="18" spans="1:4" x14ac:dyDescent="0.25">
      <c r="A18" s="3">
        <v>2.6</v>
      </c>
      <c r="B18" s="13" t="s">
        <v>3222</v>
      </c>
      <c r="C18" s="7" t="s">
        <v>2439</v>
      </c>
      <c r="D18" s="101">
        <v>2200</v>
      </c>
    </row>
    <row r="19" spans="1:4" x14ac:dyDescent="0.25">
      <c r="A19" s="3">
        <v>2.7</v>
      </c>
      <c r="B19" s="13" t="s">
        <v>3223</v>
      </c>
      <c r="C19" s="7" t="s">
        <v>2439</v>
      </c>
      <c r="D19" s="101">
        <v>1953</v>
      </c>
    </row>
    <row r="20" spans="1:4" x14ac:dyDescent="0.25">
      <c r="A20" s="3"/>
      <c r="C20" s="7"/>
      <c r="D20" s="101"/>
    </row>
    <row r="21" spans="1:4" x14ac:dyDescent="0.25">
      <c r="A21" s="8"/>
      <c r="B21" s="157" t="s">
        <v>3224</v>
      </c>
      <c r="C21" s="7"/>
      <c r="D21" s="101"/>
    </row>
    <row r="22" spans="1:4" x14ac:dyDescent="0.25">
      <c r="A22" s="8"/>
      <c r="B22" s="157"/>
      <c r="C22" s="7"/>
      <c r="D22" s="101"/>
    </row>
    <row r="23" spans="1:4" ht="31.5" x14ac:dyDescent="0.25">
      <c r="A23" s="3">
        <v>2.8</v>
      </c>
      <c r="B23" s="13" t="s">
        <v>3225</v>
      </c>
      <c r="C23" s="7" t="s">
        <v>2439</v>
      </c>
      <c r="D23" s="101">
        <v>4936</v>
      </c>
    </row>
    <row r="24" spans="1:4" ht="31.5" x14ac:dyDescent="0.25">
      <c r="A24" s="103">
        <v>2.9</v>
      </c>
      <c r="B24" s="13" t="s">
        <v>3226</v>
      </c>
      <c r="C24" s="7" t="s">
        <v>2439</v>
      </c>
      <c r="D24" s="101">
        <v>2912</v>
      </c>
    </row>
    <row r="25" spans="1:4" ht="31.5" x14ac:dyDescent="0.25">
      <c r="A25" s="7">
        <v>2.1</v>
      </c>
      <c r="B25" s="13" t="s">
        <v>3227</v>
      </c>
      <c r="C25" s="7" t="s">
        <v>2439</v>
      </c>
      <c r="D25" s="101">
        <v>12185</v>
      </c>
    </row>
    <row r="26" spans="1:4" ht="31.5" x14ac:dyDescent="0.25">
      <c r="A26" s="7">
        <v>2.11</v>
      </c>
      <c r="B26" s="13" t="s">
        <v>3228</v>
      </c>
      <c r="C26" s="7" t="s">
        <v>2439</v>
      </c>
      <c r="D26" s="101">
        <v>9471</v>
      </c>
    </row>
    <row r="27" spans="1:4" ht="31.5" x14ac:dyDescent="0.25">
      <c r="A27" s="7">
        <v>2.12</v>
      </c>
      <c r="B27" s="13" t="s">
        <v>3231</v>
      </c>
      <c r="C27" s="7" t="s">
        <v>2439</v>
      </c>
      <c r="D27" s="101">
        <v>6171</v>
      </c>
    </row>
    <row r="28" spans="1:4" x14ac:dyDescent="0.25">
      <c r="A28" s="3"/>
      <c r="C28" s="7"/>
      <c r="D28" s="101"/>
    </row>
    <row r="29" spans="1:4" x14ac:dyDescent="0.25">
      <c r="B29" s="157" t="s">
        <v>3229</v>
      </c>
      <c r="C29" s="7"/>
      <c r="D29" s="101"/>
    </row>
    <row r="30" spans="1:4" x14ac:dyDescent="0.25">
      <c r="B30" s="157"/>
      <c r="C30" s="7"/>
      <c r="D30" s="101"/>
    </row>
    <row r="31" spans="1:4" x14ac:dyDescent="0.25">
      <c r="A31" s="3">
        <v>2.13</v>
      </c>
      <c r="B31" s="13" t="s">
        <v>3230</v>
      </c>
      <c r="C31" s="7" t="s">
        <v>2439</v>
      </c>
      <c r="D31" s="101">
        <v>228</v>
      </c>
    </row>
    <row r="32" spans="1:4" x14ac:dyDescent="0.25">
      <c r="B32" s="156"/>
      <c r="C32" s="7"/>
      <c r="D32" s="173">
        <f>SUM(D13:D31)</f>
        <v>58276</v>
      </c>
    </row>
    <row r="33" spans="1:4" x14ac:dyDescent="0.25">
      <c r="B33" s="157"/>
      <c r="C33" s="7"/>
    </row>
    <row r="34" spans="1:4" x14ac:dyDescent="0.25">
      <c r="A34" s="3"/>
      <c r="C34" s="7"/>
      <c r="D34" s="101"/>
    </row>
    <row r="35" spans="1:4" x14ac:dyDescent="0.25">
      <c r="B35" s="157"/>
      <c r="C35" s="7"/>
    </row>
    <row r="36" spans="1:4" x14ac:dyDescent="0.25">
      <c r="A36" s="3"/>
      <c r="C36" s="7"/>
      <c r="D36" s="101"/>
    </row>
    <row r="37" spans="1:4" x14ac:dyDescent="0.25">
      <c r="A37" s="4"/>
      <c r="C37" s="7"/>
    </row>
    <row r="38" spans="1:4" x14ac:dyDescent="0.25">
      <c r="A38" s="7"/>
      <c r="C38" s="7"/>
      <c r="D38" s="101"/>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FF00"/>
  </sheetPr>
  <dimension ref="A1:E62"/>
  <sheetViews>
    <sheetView view="pageBreakPreview" topLeftCell="A9" zoomScaleNormal="100" zoomScaleSheetLayoutView="100" workbookViewId="0">
      <selection activeCell="A37" sqref="A37"/>
    </sheetView>
  </sheetViews>
  <sheetFormatPr defaultRowHeight="15.75" x14ac:dyDescent="0.25"/>
  <cols>
    <col min="1" max="1" width="10" style="5" customWidth="1"/>
    <col min="2" max="2" width="55.7109375" style="13" customWidth="1"/>
    <col min="3" max="3" width="9.7109375" style="8" customWidth="1"/>
    <col min="4" max="4" width="11.7109375" style="6" customWidth="1"/>
    <col min="5" max="16384" width="9.140625" style="6"/>
  </cols>
  <sheetData>
    <row r="1" spans="1:5" s="14" customFormat="1" ht="22.5" x14ac:dyDescent="0.2">
      <c r="A1" s="253" t="s">
        <v>3232</v>
      </c>
      <c r="B1" s="253"/>
      <c r="C1" s="253"/>
      <c r="D1" s="253"/>
    </row>
    <row r="2" spans="1:5" s="14" customFormat="1" ht="27" x14ac:dyDescent="0.2">
      <c r="A2" s="254" t="s">
        <v>2580</v>
      </c>
      <c r="B2" s="254"/>
      <c r="C2" s="254"/>
      <c r="D2" s="254"/>
    </row>
    <row r="3" spans="1:5" x14ac:dyDescent="0.25">
      <c r="A3" s="21" t="s">
        <v>3215</v>
      </c>
    </row>
    <row r="4" spans="1:5" ht="63" x14ac:dyDescent="0.25">
      <c r="A4" s="3">
        <v>1</v>
      </c>
      <c r="B4" s="13" t="s">
        <v>1489</v>
      </c>
    </row>
    <row r="5" spans="1:5" x14ac:dyDescent="0.25">
      <c r="A5" s="3">
        <v>2</v>
      </c>
      <c r="B5" s="13" t="s">
        <v>2583</v>
      </c>
    </row>
    <row r="6" spans="1:5" ht="31.5" x14ac:dyDescent="0.25">
      <c r="A6" s="3">
        <v>3</v>
      </c>
      <c r="B6" s="13" t="s">
        <v>2584</v>
      </c>
    </row>
    <row r="7" spans="1:5" ht="63" x14ac:dyDescent="0.25">
      <c r="A7" s="3">
        <v>4</v>
      </c>
      <c r="B7" s="13" t="s">
        <v>2585</v>
      </c>
    </row>
    <row r="9" spans="1:5" s="112" customFormat="1" ht="31.5" x14ac:dyDescent="0.2">
      <c r="A9" s="55" t="s">
        <v>6402</v>
      </c>
      <c r="B9" s="55" t="s">
        <v>2434</v>
      </c>
      <c r="C9" s="55" t="s">
        <v>2435</v>
      </c>
      <c r="D9" s="172" t="s">
        <v>18</v>
      </c>
    </row>
    <row r="10" spans="1:5" x14ac:dyDescent="0.25">
      <c r="A10" s="55">
        <v>1</v>
      </c>
      <c r="B10" s="55">
        <v>2</v>
      </c>
      <c r="C10" s="55">
        <v>3</v>
      </c>
      <c r="D10" s="45">
        <v>4</v>
      </c>
      <c r="E10" s="173"/>
    </row>
    <row r="12" spans="1:5" x14ac:dyDescent="0.25">
      <c r="A12" s="8"/>
      <c r="B12" s="157" t="s">
        <v>2586</v>
      </c>
      <c r="C12" s="5"/>
      <c r="E12" s="173"/>
    </row>
    <row r="13" spans="1:5" x14ac:dyDescent="0.25">
      <c r="A13" s="8"/>
      <c r="B13" s="156"/>
      <c r="C13" s="5"/>
    </row>
    <row r="14" spans="1:5" ht="63" x14ac:dyDescent="0.25">
      <c r="A14" s="3">
        <v>3.1</v>
      </c>
      <c r="B14" s="13" t="s">
        <v>6067</v>
      </c>
      <c r="C14" s="3"/>
    </row>
    <row r="15" spans="1:5" x14ac:dyDescent="0.25">
      <c r="A15" s="3"/>
      <c r="C15" s="3"/>
    </row>
    <row r="16" spans="1:5" ht="47.25" x14ac:dyDescent="0.25">
      <c r="A16" s="7" t="s">
        <v>2587</v>
      </c>
      <c r="B16" s="13" t="s">
        <v>2607</v>
      </c>
      <c r="C16" s="3" t="s">
        <v>2439</v>
      </c>
      <c r="D16" s="101">
        <v>4915</v>
      </c>
    </row>
    <row r="17" spans="1:4" ht="47.25" x14ac:dyDescent="0.25">
      <c r="A17" s="7" t="s">
        <v>2588</v>
      </c>
      <c r="B17" s="13" t="s">
        <v>2609</v>
      </c>
      <c r="C17" s="3" t="s">
        <v>2439</v>
      </c>
      <c r="D17" s="101">
        <v>4624</v>
      </c>
    </row>
    <row r="18" spans="1:4" ht="47.25" x14ac:dyDescent="0.25">
      <c r="A18" s="7" t="s">
        <v>2589</v>
      </c>
      <c r="B18" s="13" t="s">
        <v>2608</v>
      </c>
      <c r="C18" s="3" t="s">
        <v>2439</v>
      </c>
      <c r="D18" s="101">
        <v>4544</v>
      </c>
    </row>
    <row r="19" spans="1:4" ht="47.25" x14ac:dyDescent="0.25">
      <c r="A19" s="7" t="s">
        <v>2590</v>
      </c>
      <c r="B19" s="13" t="s">
        <v>2610</v>
      </c>
      <c r="C19" s="3" t="s">
        <v>2439</v>
      </c>
      <c r="D19" s="101">
        <v>3847</v>
      </c>
    </row>
    <row r="20" spans="1:4" ht="47.25" x14ac:dyDescent="0.25">
      <c r="A20" s="7" t="s">
        <v>2591</v>
      </c>
      <c r="B20" s="13" t="s">
        <v>2611</v>
      </c>
      <c r="C20" s="3" t="s">
        <v>2439</v>
      </c>
      <c r="D20" s="101">
        <v>3731</v>
      </c>
    </row>
    <row r="21" spans="1:4" ht="31.5" x14ac:dyDescent="0.25">
      <c r="A21" s="7" t="s">
        <v>2592</v>
      </c>
      <c r="B21" s="13" t="s">
        <v>2593</v>
      </c>
      <c r="C21" s="3" t="s">
        <v>2439</v>
      </c>
      <c r="D21" s="101">
        <v>3302</v>
      </c>
    </row>
    <row r="22" spans="1:4" ht="31.5" x14ac:dyDescent="0.25">
      <c r="A22" s="7" t="s">
        <v>2594</v>
      </c>
      <c r="B22" s="13" t="s">
        <v>2595</v>
      </c>
      <c r="C22" s="3" t="s">
        <v>2439</v>
      </c>
      <c r="D22" s="101">
        <v>2956</v>
      </c>
    </row>
    <row r="23" spans="1:4" x14ac:dyDescent="0.25">
      <c r="A23" s="3"/>
      <c r="C23" s="7"/>
    </row>
    <row r="24" spans="1:4" x14ac:dyDescent="0.25">
      <c r="A24" s="3"/>
      <c r="C24" s="7"/>
    </row>
    <row r="25" spans="1:4" ht="110.25" x14ac:dyDescent="0.25">
      <c r="A25" s="3">
        <v>3.2</v>
      </c>
      <c r="B25" s="13" t="s">
        <v>6068</v>
      </c>
      <c r="C25" s="3"/>
    </row>
    <row r="26" spans="1:4" x14ac:dyDescent="0.25">
      <c r="A26" s="3"/>
      <c r="C26" s="3"/>
    </row>
    <row r="27" spans="1:4" ht="47.25" x14ac:dyDescent="0.25">
      <c r="A27" s="7" t="s">
        <v>2612</v>
      </c>
      <c r="B27" s="13" t="s">
        <v>2607</v>
      </c>
      <c r="C27" s="3" t="s">
        <v>2439</v>
      </c>
      <c r="D27" s="101">
        <v>5451</v>
      </c>
    </row>
    <row r="28" spans="1:4" ht="47.25" x14ac:dyDescent="0.25">
      <c r="A28" s="7" t="s">
        <v>2596</v>
      </c>
      <c r="B28" s="13" t="s">
        <v>2609</v>
      </c>
      <c r="C28" s="3" t="s">
        <v>2439</v>
      </c>
      <c r="D28" s="101">
        <v>5112</v>
      </c>
    </row>
    <row r="29" spans="1:4" ht="47.25" x14ac:dyDescent="0.25">
      <c r="A29" s="7" t="s">
        <v>2597</v>
      </c>
      <c r="B29" s="13" t="s">
        <v>2608</v>
      </c>
      <c r="C29" s="3" t="s">
        <v>2439</v>
      </c>
      <c r="D29" s="101">
        <v>5018</v>
      </c>
    </row>
    <row r="30" spans="1:4" ht="47.25" x14ac:dyDescent="0.25">
      <c r="A30" s="7" t="s">
        <v>2598</v>
      </c>
      <c r="B30" s="13" t="s">
        <v>2610</v>
      </c>
      <c r="C30" s="3" t="s">
        <v>2439</v>
      </c>
      <c r="D30" s="101">
        <v>4320</v>
      </c>
    </row>
    <row r="31" spans="1:4" ht="47.25" x14ac:dyDescent="0.25">
      <c r="A31" s="7" t="s">
        <v>2599</v>
      </c>
      <c r="B31" s="13" t="s">
        <v>2611</v>
      </c>
      <c r="C31" s="3" t="s">
        <v>2439</v>
      </c>
      <c r="D31" s="101">
        <v>4204</v>
      </c>
    </row>
    <row r="32" spans="1:4" x14ac:dyDescent="0.25">
      <c r="A32" s="7"/>
      <c r="C32" s="3"/>
    </row>
    <row r="33" spans="1:4" x14ac:dyDescent="0.25">
      <c r="A33" s="7"/>
      <c r="B33" s="157" t="s">
        <v>2615</v>
      </c>
      <c r="C33" s="3"/>
    </row>
    <row r="34" spans="1:4" x14ac:dyDescent="0.25">
      <c r="A34" s="3"/>
      <c r="C34" s="7"/>
    </row>
    <row r="35" spans="1:4" ht="151.5" customHeight="1" x14ac:dyDescent="0.25">
      <c r="A35" s="3">
        <v>3.3</v>
      </c>
      <c r="B35" s="13" t="s">
        <v>2603</v>
      </c>
      <c r="C35" s="3"/>
    </row>
    <row r="36" spans="1:4" x14ac:dyDescent="0.25">
      <c r="A36" s="3"/>
      <c r="C36" s="5"/>
    </row>
    <row r="37" spans="1:4" ht="47.25" x14ac:dyDescent="0.25">
      <c r="A37" s="3" t="s">
        <v>2613</v>
      </c>
      <c r="B37" s="13" t="s">
        <v>2609</v>
      </c>
      <c r="C37" s="3" t="s">
        <v>2439</v>
      </c>
      <c r="D37" s="101">
        <v>6987</v>
      </c>
    </row>
    <row r="38" spans="1:4" ht="47.25" x14ac:dyDescent="0.25">
      <c r="A38" s="3" t="s">
        <v>2614</v>
      </c>
      <c r="B38" s="13" t="s">
        <v>2610</v>
      </c>
      <c r="C38" s="3" t="s">
        <v>2439</v>
      </c>
      <c r="D38" s="101">
        <v>6195</v>
      </c>
    </row>
    <row r="39" spans="1:4" x14ac:dyDescent="0.25">
      <c r="A39" s="3"/>
      <c r="B39" s="157"/>
      <c r="C39" s="7"/>
    </row>
    <row r="40" spans="1:4" x14ac:dyDescent="0.25">
      <c r="A40" s="3"/>
      <c r="B40" s="157"/>
      <c r="C40" s="7"/>
    </row>
    <row r="41" spans="1:4" ht="31.5" x14ac:dyDescent="0.25">
      <c r="A41" s="103">
        <v>3.4</v>
      </c>
      <c r="B41" s="13" t="s">
        <v>2616</v>
      </c>
      <c r="C41" s="3" t="s">
        <v>2439</v>
      </c>
      <c r="D41" s="101">
        <v>408</v>
      </c>
    </row>
    <row r="42" spans="1:4" x14ac:dyDescent="0.25">
      <c r="A42" s="3"/>
      <c r="C42" s="3"/>
    </row>
    <row r="43" spans="1:4" ht="55.5" customHeight="1" x14ac:dyDescent="0.25">
      <c r="A43" s="3">
        <v>3.5</v>
      </c>
      <c r="B43" s="13" t="s">
        <v>6283</v>
      </c>
      <c r="C43" s="3" t="s">
        <v>2600</v>
      </c>
      <c r="D43" s="101">
        <v>279</v>
      </c>
    </row>
    <row r="44" spans="1:4" x14ac:dyDescent="0.25">
      <c r="A44" s="3"/>
      <c r="C44" s="3"/>
      <c r="D44" s="101"/>
    </row>
    <row r="45" spans="1:4" ht="111" customHeight="1" x14ac:dyDescent="0.25">
      <c r="A45" s="113" t="s">
        <v>2432</v>
      </c>
      <c r="B45" s="13" t="s">
        <v>2601</v>
      </c>
      <c r="C45" s="3"/>
    </row>
    <row r="46" spans="1:4" x14ac:dyDescent="0.25">
      <c r="A46" s="3"/>
      <c r="C46" s="3"/>
    </row>
    <row r="47" spans="1:4" x14ac:dyDescent="0.25">
      <c r="A47" s="103">
        <v>3.6</v>
      </c>
      <c r="B47" s="13" t="s">
        <v>2617</v>
      </c>
      <c r="C47" s="3" t="s">
        <v>2602</v>
      </c>
      <c r="D47" s="101">
        <v>125</v>
      </c>
    </row>
    <row r="48" spans="1:4" x14ac:dyDescent="0.25">
      <c r="A48" s="3"/>
      <c r="C48" s="5"/>
    </row>
    <row r="49" spans="1:4" x14ac:dyDescent="0.25">
      <c r="A49" s="3"/>
      <c r="B49" s="157" t="s">
        <v>1327</v>
      </c>
      <c r="C49" s="7"/>
    </row>
    <row r="51" spans="1:4" ht="56.25" customHeight="1" x14ac:dyDescent="0.25">
      <c r="A51" s="3">
        <v>3.7</v>
      </c>
      <c r="B51" s="202" t="s">
        <v>1328</v>
      </c>
    </row>
    <row r="52" spans="1:4" x14ac:dyDescent="0.25">
      <c r="A52" s="3" t="s">
        <v>2604</v>
      </c>
      <c r="B52" s="13" t="s">
        <v>2870</v>
      </c>
      <c r="C52" s="5" t="s">
        <v>2437</v>
      </c>
      <c r="D52" s="101">
        <v>391</v>
      </c>
    </row>
    <row r="53" spans="1:4" x14ac:dyDescent="0.25">
      <c r="A53" s="3"/>
      <c r="C53" s="5"/>
      <c r="D53" s="101"/>
    </row>
    <row r="54" spans="1:4" x14ac:dyDescent="0.25">
      <c r="A54" s="3" t="s">
        <v>2605</v>
      </c>
      <c r="B54" s="13" t="s">
        <v>2507</v>
      </c>
      <c r="C54" s="5" t="s">
        <v>2437</v>
      </c>
      <c r="D54" s="101">
        <v>546</v>
      </c>
    </row>
    <row r="55" spans="1:4" x14ac:dyDescent="0.25">
      <c r="D55" s="101"/>
    </row>
    <row r="56" spans="1:4" ht="31.5" x14ac:dyDescent="0.25">
      <c r="A56" s="103">
        <v>3.8</v>
      </c>
      <c r="B56" s="13" t="s">
        <v>2508</v>
      </c>
      <c r="C56" s="5" t="s">
        <v>2437</v>
      </c>
      <c r="D56" s="101">
        <v>367</v>
      </c>
    </row>
    <row r="58" spans="1:4" ht="192.75" customHeight="1" x14ac:dyDescent="0.25">
      <c r="A58" s="5">
        <v>3.9</v>
      </c>
      <c r="B58" s="13" t="s">
        <v>6066</v>
      </c>
      <c r="C58" s="3" t="s">
        <v>4496</v>
      </c>
      <c r="D58" s="101">
        <v>66</v>
      </c>
    </row>
    <row r="61" spans="1:4" ht="157.5" x14ac:dyDescent="0.25">
      <c r="A61" s="101">
        <v>3.1</v>
      </c>
      <c r="B61" s="13" t="s">
        <v>4871</v>
      </c>
      <c r="C61" s="3" t="s">
        <v>4870</v>
      </c>
      <c r="D61" s="101">
        <v>61</v>
      </c>
    </row>
    <row r="62" spans="1:4" x14ac:dyDescent="0.25">
      <c r="D62" s="173">
        <f>SUM(D16:D61)</f>
        <v>67449</v>
      </c>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rgb="FFFFFF00"/>
  </sheetPr>
  <dimension ref="A1:F132"/>
  <sheetViews>
    <sheetView tabSelected="1" view="pageBreakPreview" topLeftCell="A28" zoomScaleNormal="70" zoomScaleSheetLayoutView="100" workbookViewId="0">
      <selection activeCell="B32" sqref="B32"/>
    </sheetView>
  </sheetViews>
  <sheetFormatPr defaultRowHeight="15.75" x14ac:dyDescent="0.25"/>
  <cols>
    <col min="1" max="1" width="10" style="5" customWidth="1"/>
    <col min="2" max="2" width="55.7109375" style="13" customWidth="1"/>
    <col min="3" max="3" width="9.7109375" style="8" customWidth="1"/>
    <col min="4" max="4" width="11.7109375" style="6" customWidth="1"/>
    <col min="5" max="16384" width="9.140625" style="6"/>
  </cols>
  <sheetData>
    <row r="1" spans="1:4" s="14" customFormat="1" ht="22.5" x14ac:dyDescent="0.2">
      <c r="A1" s="253" t="s">
        <v>2618</v>
      </c>
      <c r="B1" s="253"/>
      <c r="C1" s="253"/>
      <c r="D1" s="253"/>
    </row>
    <row r="2" spans="1:4" s="14" customFormat="1" ht="27" x14ac:dyDescent="0.2">
      <c r="A2" s="264" t="s">
        <v>2619</v>
      </c>
      <c r="B2" s="264"/>
      <c r="C2" s="264"/>
      <c r="D2" s="264"/>
    </row>
    <row r="4" spans="1:4" x14ac:dyDescent="0.25">
      <c r="A4" s="34" t="s">
        <v>2620</v>
      </c>
      <c r="B4" s="30"/>
      <c r="C4" s="5"/>
    </row>
    <row r="5" spans="1:4" ht="47.25" x14ac:dyDescent="0.25">
      <c r="A5" s="5">
        <v>1</v>
      </c>
      <c r="B5" s="13" t="s">
        <v>2621</v>
      </c>
      <c r="C5" s="5"/>
    </row>
    <row r="6" spans="1:4" x14ac:dyDescent="0.25">
      <c r="C6" s="5"/>
    </row>
    <row r="7" spans="1:4" ht="78.75" x14ac:dyDescent="0.25">
      <c r="A7" s="5">
        <v>2</v>
      </c>
      <c r="B7" s="13" t="s">
        <v>2622</v>
      </c>
      <c r="C7" s="5"/>
    </row>
    <row r="8" spans="1:4" x14ac:dyDescent="0.25">
      <c r="C8" s="5"/>
    </row>
    <row r="9" spans="1:4" ht="47.25" x14ac:dyDescent="0.25">
      <c r="A9" s="5">
        <v>3</v>
      </c>
      <c r="B9" s="13" t="s">
        <v>6069</v>
      </c>
      <c r="C9" s="5"/>
    </row>
    <row r="10" spans="1:4" x14ac:dyDescent="0.25">
      <c r="C10" s="5"/>
    </row>
    <row r="11" spans="1:4" ht="63" x14ac:dyDescent="0.25">
      <c r="A11" s="5">
        <v>4</v>
      </c>
      <c r="B11" s="13" t="s">
        <v>2623</v>
      </c>
      <c r="C11" s="5"/>
    </row>
    <row r="12" spans="1:4" x14ac:dyDescent="0.25">
      <c r="C12" s="5"/>
    </row>
    <row r="13" spans="1:4" ht="31.5" x14ac:dyDescent="0.25">
      <c r="A13" s="5">
        <v>5</v>
      </c>
      <c r="B13" s="13" t="s">
        <v>2624</v>
      </c>
      <c r="C13" s="5"/>
    </row>
    <row r="14" spans="1:4" x14ac:dyDescent="0.25">
      <c r="C14" s="5"/>
    </row>
    <row r="15" spans="1:4" ht="47.25" x14ac:dyDescent="0.25">
      <c r="A15" s="5">
        <v>6</v>
      </c>
      <c r="B15" s="13" t="s">
        <v>2625</v>
      </c>
      <c r="C15" s="5"/>
    </row>
    <row r="16" spans="1:4" x14ac:dyDescent="0.25">
      <c r="C16" s="5"/>
    </row>
    <row r="17" spans="1:6" ht="47.25" x14ac:dyDescent="0.25">
      <c r="A17" s="5">
        <v>7</v>
      </c>
      <c r="B17" s="13" t="s">
        <v>2626</v>
      </c>
      <c r="C17" s="5"/>
    </row>
    <row r="18" spans="1:6" x14ac:dyDescent="0.25">
      <c r="C18" s="5"/>
    </row>
    <row r="19" spans="1:6" ht="110.25" x14ac:dyDescent="0.25">
      <c r="A19" s="5" t="s">
        <v>4283</v>
      </c>
      <c r="B19" s="13" t="s">
        <v>4284</v>
      </c>
      <c r="C19" s="5"/>
    </row>
    <row r="20" spans="1:6" x14ac:dyDescent="0.25">
      <c r="C20" s="5"/>
    </row>
    <row r="21" spans="1:6" ht="63" x14ac:dyDescent="0.25">
      <c r="A21" s="5" t="s">
        <v>4285</v>
      </c>
      <c r="B21" s="13" t="s">
        <v>4286</v>
      </c>
      <c r="C21" s="5"/>
    </row>
    <row r="22" spans="1:6" x14ac:dyDescent="0.25">
      <c r="C22" s="5"/>
    </row>
    <row r="23" spans="1:6" ht="63" x14ac:dyDescent="0.25">
      <c r="A23" s="5">
        <v>9</v>
      </c>
      <c r="B23" s="13" t="s">
        <v>2627</v>
      </c>
      <c r="C23" s="5"/>
    </row>
    <row r="24" spans="1:6" x14ac:dyDescent="0.25">
      <c r="C24" s="5"/>
    </row>
    <row r="25" spans="1:6" s="112" customFormat="1" ht="31.5" x14ac:dyDescent="0.2">
      <c r="A25" s="55" t="s">
        <v>6402</v>
      </c>
      <c r="B25" s="55" t="s">
        <v>2434</v>
      </c>
      <c r="C25" s="55" t="s">
        <v>2435</v>
      </c>
      <c r="D25" s="172" t="s">
        <v>18</v>
      </c>
    </row>
    <row r="26" spans="1:6" x14ac:dyDescent="0.25">
      <c r="A26" s="55">
        <v>1</v>
      </c>
      <c r="B26" s="55">
        <v>2</v>
      </c>
      <c r="C26" s="55">
        <v>3</v>
      </c>
      <c r="D26" s="45">
        <v>4</v>
      </c>
    </row>
    <row r="27" spans="1:6" x14ac:dyDescent="0.25">
      <c r="A27" s="11"/>
      <c r="B27" s="125"/>
      <c r="C27" s="11"/>
      <c r="F27" s="173"/>
    </row>
    <row r="28" spans="1:6" x14ac:dyDescent="0.25">
      <c r="A28" s="8"/>
      <c r="B28" s="140" t="s">
        <v>2628</v>
      </c>
      <c r="C28" s="21"/>
      <c r="F28" s="173"/>
    </row>
    <row r="29" spans="1:6" x14ac:dyDescent="0.25">
      <c r="A29" s="8"/>
      <c r="B29" s="196"/>
      <c r="C29" s="21"/>
    </row>
    <row r="30" spans="1:6" ht="146.25" customHeight="1" x14ac:dyDescent="0.25">
      <c r="A30" s="3">
        <v>4.0999999999999996</v>
      </c>
      <c r="B30" s="13" t="s">
        <v>6078</v>
      </c>
      <c r="C30" s="3" t="s">
        <v>2439</v>
      </c>
      <c r="D30" s="101">
        <v>4934</v>
      </c>
    </row>
    <row r="31" spans="1:6" x14ac:dyDescent="0.25">
      <c r="A31" s="3"/>
      <c r="C31" s="3"/>
    </row>
    <row r="32" spans="1:6" ht="176.25" customHeight="1" x14ac:dyDescent="0.25">
      <c r="A32" s="3">
        <v>4.2</v>
      </c>
      <c r="B32" s="13" t="s">
        <v>6079</v>
      </c>
      <c r="C32" s="3" t="s">
        <v>2439</v>
      </c>
      <c r="D32" s="101">
        <v>5609</v>
      </c>
    </row>
    <row r="33" spans="1:4" x14ac:dyDescent="0.25">
      <c r="A33" s="3"/>
      <c r="C33" s="3"/>
    </row>
    <row r="34" spans="1:4" ht="183.75" customHeight="1" x14ac:dyDescent="0.25">
      <c r="A34" s="3">
        <v>4.3</v>
      </c>
      <c r="B34" s="13" t="s">
        <v>4927</v>
      </c>
      <c r="C34" s="3" t="s">
        <v>2439</v>
      </c>
      <c r="D34" s="101">
        <v>5185</v>
      </c>
    </row>
    <row r="35" spans="1:4" x14ac:dyDescent="0.25">
      <c r="A35" s="3"/>
      <c r="C35" s="3"/>
    </row>
    <row r="36" spans="1:4" x14ac:dyDescent="0.25">
      <c r="A36" s="3"/>
      <c r="C36" s="3"/>
    </row>
    <row r="37" spans="1:4" ht="173.25" x14ac:dyDescent="0.25">
      <c r="A37" s="3">
        <v>4.4000000000000004</v>
      </c>
      <c r="B37" s="13" t="s">
        <v>6411</v>
      </c>
      <c r="C37" s="3" t="s">
        <v>2439</v>
      </c>
      <c r="D37" s="101">
        <v>5561</v>
      </c>
    </row>
    <row r="38" spans="1:4" x14ac:dyDescent="0.25">
      <c r="A38" s="3"/>
      <c r="C38" s="3"/>
    </row>
    <row r="39" spans="1:4" ht="204.75" x14ac:dyDescent="0.25">
      <c r="A39" s="3">
        <v>4.5</v>
      </c>
      <c r="B39" s="13" t="s">
        <v>6412</v>
      </c>
      <c r="C39" s="3" t="s">
        <v>2439</v>
      </c>
      <c r="D39" s="101">
        <v>6089</v>
      </c>
    </row>
    <row r="40" spans="1:4" x14ac:dyDescent="0.25">
      <c r="A40" s="3"/>
      <c r="C40" s="3"/>
    </row>
    <row r="41" spans="1:4" ht="31.5" x14ac:dyDescent="0.25">
      <c r="A41" s="3">
        <v>4.5999999999999996</v>
      </c>
      <c r="B41" s="13" t="s">
        <v>2219</v>
      </c>
      <c r="C41" s="3"/>
    </row>
    <row r="42" spans="1:4" ht="31.5" x14ac:dyDescent="0.25">
      <c r="A42" s="3" t="s">
        <v>2220</v>
      </c>
      <c r="B42" s="13" t="s">
        <v>6070</v>
      </c>
      <c r="C42" s="3" t="s">
        <v>2438</v>
      </c>
      <c r="D42" s="101">
        <v>69</v>
      </c>
    </row>
    <row r="43" spans="1:4" ht="31.5" x14ac:dyDescent="0.25">
      <c r="A43" s="3" t="s">
        <v>2221</v>
      </c>
      <c r="B43" s="13" t="s">
        <v>6071</v>
      </c>
      <c r="C43" s="3" t="s">
        <v>2438</v>
      </c>
      <c r="D43" s="101">
        <v>139</v>
      </c>
    </row>
    <row r="44" spans="1:4" ht="31.5" x14ac:dyDescent="0.25">
      <c r="A44" s="3" t="s">
        <v>2222</v>
      </c>
      <c r="B44" s="13" t="s">
        <v>6072</v>
      </c>
      <c r="C44" s="3" t="s">
        <v>2438</v>
      </c>
      <c r="D44" s="101">
        <v>194</v>
      </c>
    </row>
    <row r="45" spans="1:4" ht="31.5" x14ac:dyDescent="0.25">
      <c r="A45" s="3" t="s">
        <v>2224</v>
      </c>
      <c r="B45" s="13" t="s">
        <v>6073</v>
      </c>
      <c r="C45" s="3" t="s">
        <v>2438</v>
      </c>
      <c r="D45" s="101">
        <v>242</v>
      </c>
    </row>
    <row r="46" spans="1:4" x14ac:dyDescent="0.25">
      <c r="A46" s="3"/>
      <c r="C46" s="3"/>
    </row>
    <row r="47" spans="1:4" ht="31.5" x14ac:dyDescent="0.25">
      <c r="A47" s="3">
        <v>4.7</v>
      </c>
      <c r="B47" s="13" t="s">
        <v>2223</v>
      </c>
      <c r="C47" s="3" t="s">
        <v>2438</v>
      </c>
      <c r="D47" s="101">
        <v>112</v>
      </c>
    </row>
    <row r="48" spans="1:4" x14ac:dyDescent="0.25">
      <c r="A48" s="3"/>
      <c r="C48" s="3"/>
    </row>
    <row r="49" spans="1:4" ht="47.25" x14ac:dyDescent="0.25">
      <c r="A49" s="3">
        <v>4.8</v>
      </c>
      <c r="B49" s="13" t="s">
        <v>2633</v>
      </c>
      <c r="C49" s="3" t="s">
        <v>2634</v>
      </c>
      <c r="D49" s="101">
        <v>7</v>
      </c>
    </row>
    <row r="50" spans="1:4" x14ac:dyDescent="0.25">
      <c r="A50" s="3"/>
      <c r="C50" s="3"/>
    </row>
    <row r="51" spans="1:4" x14ac:dyDescent="0.25">
      <c r="B51" s="140" t="s">
        <v>6498</v>
      </c>
      <c r="C51" s="3"/>
    </row>
    <row r="52" spans="1:4" x14ac:dyDescent="0.25">
      <c r="B52" s="196"/>
      <c r="C52" s="3"/>
    </row>
    <row r="53" spans="1:4" ht="63" x14ac:dyDescent="0.25">
      <c r="A53" s="103">
        <v>4.9000000000000004</v>
      </c>
      <c r="B53" s="13" t="s">
        <v>4928</v>
      </c>
      <c r="C53" s="3" t="s">
        <v>2606</v>
      </c>
      <c r="D53" s="101">
        <v>157</v>
      </c>
    </row>
    <row r="54" spans="1:4" x14ac:dyDescent="0.25">
      <c r="A54" s="3"/>
      <c r="C54" s="3"/>
    </row>
    <row r="55" spans="1:4" ht="47.25" x14ac:dyDescent="0.25">
      <c r="A55" s="7">
        <v>4.0999999999999996</v>
      </c>
      <c r="B55" s="13" t="s">
        <v>2635</v>
      </c>
      <c r="C55" s="3"/>
    </row>
    <row r="56" spans="1:4" ht="31.5" x14ac:dyDescent="0.25">
      <c r="A56" s="3" t="s">
        <v>2643</v>
      </c>
      <c r="B56" s="13" t="s">
        <v>2636</v>
      </c>
      <c r="C56" s="3" t="s">
        <v>2437</v>
      </c>
      <c r="D56" s="101">
        <v>289</v>
      </c>
    </row>
    <row r="57" spans="1:4" ht="47.25" x14ac:dyDescent="0.25">
      <c r="A57" s="3" t="s">
        <v>2644</v>
      </c>
      <c r="B57" s="13" t="s">
        <v>2225</v>
      </c>
      <c r="C57" s="3" t="s">
        <v>2637</v>
      </c>
      <c r="D57" s="101">
        <v>340</v>
      </c>
    </row>
    <row r="58" spans="1:4" x14ac:dyDescent="0.25">
      <c r="A58" s="3" t="s">
        <v>2226</v>
      </c>
      <c r="B58" s="13" t="s">
        <v>2638</v>
      </c>
      <c r="C58" s="3" t="s">
        <v>2606</v>
      </c>
      <c r="D58" s="101">
        <v>375</v>
      </c>
    </row>
    <row r="59" spans="1:4" x14ac:dyDescent="0.25">
      <c r="A59" s="3" t="s">
        <v>2227</v>
      </c>
      <c r="B59" s="13" t="s">
        <v>2639</v>
      </c>
      <c r="C59" s="3" t="s">
        <v>2606</v>
      </c>
      <c r="D59" s="101">
        <v>301</v>
      </c>
    </row>
    <row r="60" spans="1:4" x14ac:dyDescent="0.25">
      <c r="A60" s="3" t="s">
        <v>2228</v>
      </c>
      <c r="B60" s="13" t="s">
        <v>2640</v>
      </c>
      <c r="C60" s="3" t="s">
        <v>2606</v>
      </c>
      <c r="D60" s="101">
        <v>879</v>
      </c>
    </row>
    <row r="61" spans="1:4" x14ac:dyDescent="0.25">
      <c r="A61" s="3" t="s">
        <v>2229</v>
      </c>
      <c r="B61" s="13" t="s">
        <v>2641</v>
      </c>
      <c r="C61" s="3" t="s">
        <v>2606</v>
      </c>
      <c r="D61" s="101">
        <v>329</v>
      </c>
    </row>
    <row r="62" spans="1:4" ht="31.5" x14ac:dyDescent="0.25">
      <c r="A62" s="3" t="s">
        <v>2230</v>
      </c>
      <c r="B62" s="191" t="s">
        <v>2231</v>
      </c>
      <c r="C62" s="3" t="s">
        <v>2606</v>
      </c>
      <c r="D62" s="101">
        <v>494</v>
      </c>
    </row>
    <row r="63" spans="1:4" ht="31.5" x14ac:dyDescent="0.25">
      <c r="A63" s="3" t="s">
        <v>2232</v>
      </c>
      <c r="B63" s="13" t="s">
        <v>2233</v>
      </c>
      <c r="C63" s="3" t="s">
        <v>2437</v>
      </c>
      <c r="D63" s="163">
        <v>0.2</v>
      </c>
    </row>
    <row r="64" spans="1:4" x14ac:dyDescent="0.25">
      <c r="A64" s="3" t="s">
        <v>2235</v>
      </c>
      <c r="B64" s="13" t="s">
        <v>2234</v>
      </c>
      <c r="C64" s="3" t="s">
        <v>2437</v>
      </c>
      <c r="D64" s="101">
        <v>474</v>
      </c>
    </row>
    <row r="65" spans="1:4" ht="31.5" x14ac:dyDescent="0.25">
      <c r="A65" s="3" t="s">
        <v>2239</v>
      </c>
      <c r="B65" s="13" t="s">
        <v>2240</v>
      </c>
      <c r="C65" s="3" t="s">
        <v>2437</v>
      </c>
      <c r="D65" s="101">
        <v>405</v>
      </c>
    </row>
    <row r="66" spans="1:4" ht="63" x14ac:dyDescent="0.25">
      <c r="A66" s="3" t="s">
        <v>1461</v>
      </c>
      <c r="B66" s="13" t="s">
        <v>1462</v>
      </c>
      <c r="C66" s="3" t="s">
        <v>2437</v>
      </c>
      <c r="D66" s="163">
        <v>0.2</v>
      </c>
    </row>
    <row r="67" spans="1:4" x14ac:dyDescent="0.25">
      <c r="A67" s="3"/>
      <c r="C67" s="3"/>
    </row>
    <row r="68" spans="1:4" ht="78.75" x14ac:dyDescent="0.25">
      <c r="A68" s="3">
        <v>4.1100000000000003</v>
      </c>
      <c r="B68" s="13" t="s">
        <v>2236</v>
      </c>
      <c r="C68" s="3" t="s">
        <v>2437</v>
      </c>
      <c r="D68" s="101">
        <v>171</v>
      </c>
    </row>
    <row r="69" spans="1:4" x14ac:dyDescent="0.25">
      <c r="A69" s="3"/>
      <c r="C69" s="3"/>
    </row>
    <row r="70" spans="1:4" ht="47.25" x14ac:dyDescent="0.25">
      <c r="A70" s="3">
        <v>4.12</v>
      </c>
      <c r="B70" s="13" t="s">
        <v>2237</v>
      </c>
      <c r="C70" s="3" t="s">
        <v>2642</v>
      </c>
      <c r="D70" s="101">
        <v>34</v>
      </c>
    </row>
    <row r="71" spans="1:4" x14ac:dyDescent="0.25">
      <c r="A71" s="3"/>
      <c r="C71" s="3"/>
    </row>
    <row r="72" spans="1:4" x14ac:dyDescent="0.25">
      <c r="A72" s="3"/>
      <c r="C72" s="3"/>
    </row>
    <row r="73" spans="1:4" x14ac:dyDescent="0.25">
      <c r="A73" s="3"/>
      <c r="C73" s="3"/>
    </row>
    <row r="74" spans="1:4" x14ac:dyDescent="0.25">
      <c r="A74" s="3"/>
      <c r="C74" s="3"/>
    </row>
    <row r="75" spans="1:4" x14ac:dyDescent="0.25">
      <c r="B75" s="140" t="s">
        <v>2645</v>
      </c>
      <c r="C75" s="3"/>
    </row>
    <row r="76" spans="1:4" x14ac:dyDescent="0.25">
      <c r="A76" s="126"/>
      <c r="C76" s="3"/>
    </row>
    <row r="77" spans="1:4" ht="110.25" x14ac:dyDescent="0.25">
      <c r="A77" s="3">
        <v>4.13</v>
      </c>
      <c r="B77" s="13" t="s">
        <v>6074</v>
      </c>
      <c r="C77" s="3"/>
    </row>
    <row r="78" spans="1:4" x14ac:dyDescent="0.25">
      <c r="A78" s="3"/>
      <c r="C78" s="3"/>
    </row>
    <row r="79" spans="1:4" x14ac:dyDescent="0.25">
      <c r="A79" s="3" t="s">
        <v>2241</v>
      </c>
      <c r="B79" s="13" t="s">
        <v>2646</v>
      </c>
      <c r="C79" s="3" t="s">
        <v>2647</v>
      </c>
      <c r="D79" s="101">
        <v>77</v>
      </c>
    </row>
    <row r="80" spans="1:4" x14ac:dyDescent="0.25">
      <c r="A80" s="3" t="s">
        <v>2242</v>
      </c>
      <c r="B80" s="13" t="s">
        <v>2648</v>
      </c>
      <c r="C80" s="3" t="s">
        <v>2647</v>
      </c>
      <c r="D80" s="101">
        <v>77</v>
      </c>
    </row>
    <row r="81" spans="1:4" ht="31.5" x14ac:dyDescent="0.25">
      <c r="A81" s="3" t="s">
        <v>2243</v>
      </c>
      <c r="B81" s="13" t="s">
        <v>2649</v>
      </c>
      <c r="C81" s="3" t="s">
        <v>2647</v>
      </c>
      <c r="D81" s="101">
        <v>77</v>
      </c>
    </row>
    <row r="82" spans="1:4" x14ac:dyDescent="0.25">
      <c r="A82" s="3"/>
      <c r="C82" s="3"/>
      <c r="D82" s="101"/>
    </row>
    <row r="83" spans="1:4" ht="78.75" x14ac:dyDescent="0.25">
      <c r="A83" s="3">
        <v>4.1399999999999997</v>
      </c>
      <c r="B83" s="13" t="s">
        <v>2776</v>
      </c>
      <c r="C83" s="3" t="s">
        <v>2650</v>
      </c>
      <c r="D83" s="101">
        <v>12</v>
      </c>
    </row>
    <row r="84" spans="1:4" x14ac:dyDescent="0.25">
      <c r="A84" s="3"/>
      <c r="C84" s="3"/>
      <c r="D84" s="101"/>
    </row>
    <row r="85" spans="1:4" ht="31.5" x14ac:dyDescent="0.25">
      <c r="A85" s="3">
        <v>4.1500000000000004</v>
      </c>
      <c r="B85" s="13" t="s">
        <v>2777</v>
      </c>
      <c r="C85" s="3" t="s">
        <v>2651</v>
      </c>
      <c r="D85" s="101">
        <v>3</v>
      </c>
    </row>
    <row r="86" spans="1:4" x14ac:dyDescent="0.25">
      <c r="A86" s="3"/>
      <c r="C86" s="3"/>
    </row>
    <row r="87" spans="1:4" x14ac:dyDescent="0.25">
      <c r="B87" s="192" t="s">
        <v>2652</v>
      </c>
      <c r="C87" s="3"/>
    </row>
    <row r="88" spans="1:4" ht="63" x14ac:dyDescent="0.25">
      <c r="A88" s="3">
        <v>4.16</v>
      </c>
      <c r="B88" s="13" t="s">
        <v>6075</v>
      </c>
      <c r="C88" s="3" t="s">
        <v>2437</v>
      </c>
      <c r="D88" s="101">
        <v>4076</v>
      </c>
    </row>
    <row r="89" spans="1:4" x14ac:dyDescent="0.25">
      <c r="B89" s="193"/>
      <c r="C89" s="3"/>
    </row>
    <row r="90" spans="1:4" ht="63" x14ac:dyDescent="0.25">
      <c r="A90" s="3">
        <v>4.17</v>
      </c>
      <c r="B90" s="13" t="s">
        <v>6076</v>
      </c>
      <c r="C90" s="3" t="s">
        <v>2437</v>
      </c>
      <c r="D90" s="101">
        <v>3847</v>
      </c>
    </row>
    <row r="91" spans="1:4" x14ac:dyDescent="0.25">
      <c r="B91" s="192"/>
      <c r="C91" s="3"/>
    </row>
    <row r="92" spans="1:4" ht="94.5" x14ac:dyDescent="0.25">
      <c r="A92" s="3">
        <v>4.18</v>
      </c>
      <c r="B92" s="13" t="s">
        <v>2653</v>
      </c>
      <c r="C92" s="3"/>
    </row>
    <row r="93" spans="1:4" ht="31.5" x14ac:dyDescent="0.25">
      <c r="A93" s="3" t="s">
        <v>4442</v>
      </c>
      <c r="B93" s="13" t="s">
        <v>2654</v>
      </c>
      <c r="C93" s="3" t="s">
        <v>2438</v>
      </c>
      <c r="D93" s="101">
        <v>7030</v>
      </c>
    </row>
    <row r="94" spans="1:4" x14ac:dyDescent="0.25">
      <c r="A94" s="3"/>
      <c r="C94" s="3"/>
      <c r="D94" s="101"/>
    </row>
    <row r="95" spans="1:4" x14ac:dyDescent="0.25">
      <c r="A95" s="3" t="s">
        <v>4443</v>
      </c>
      <c r="B95" s="13" t="s">
        <v>2656</v>
      </c>
      <c r="C95" s="3" t="s">
        <v>2438</v>
      </c>
      <c r="D95" s="101">
        <v>9163</v>
      </c>
    </row>
    <row r="96" spans="1:4" x14ac:dyDescent="0.25">
      <c r="A96" s="3" t="s">
        <v>4444</v>
      </c>
      <c r="B96" s="13" t="s">
        <v>2655</v>
      </c>
      <c r="C96" s="3" t="s">
        <v>2438</v>
      </c>
      <c r="D96" s="101">
        <v>10262</v>
      </c>
    </row>
    <row r="97" spans="1:4" x14ac:dyDescent="0.25">
      <c r="A97" s="3"/>
      <c r="C97" s="3"/>
      <c r="D97" s="101"/>
    </row>
    <row r="98" spans="1:4" ht="47.25" x14ac:dyDescent="0.25">
      <c r="A98" s="3" t="s">
        <v>4445</v>
      </c>
      <c r="B98" s="13" t="s">
        <v>2657</v>
      </c>
      <c r="C98" s="3" t="s">
        <v>2438</v>
      </c>
      <c r="D98" s="101">
        <v>8636</v>
      </c>
    </row>
    <row r="99" spans="1:4" x14ac:dyDescent="0.25">
      <c r="A99" s="3"/>
      <c r="C99" s="3"/>
      <c r="D99" s="101"/>
    </row>
    <row r="100" spans="1:4" ht="47.25" x14ac:dyDescent="0.25">
      <c r="A100" s="3" t="s">
        <v>4446</v>
      </c>
      <c r="B100" s="13" t="s">
        <v>6413</v>
      </c>
      <c r="C100" s="3" t="s">
        <v>2439</v>
      </c>
      <c r="D100" s="101">
        <v>13036</v>
      </c>
    </row>
    <row r="101" spans="1:4" x14ac:dyDescent="0.25">
      <c r="A101" s="3"/>
      <c r="C101" s="3"/>
    </row>
    <row r="102" spans="1:4" ht="110.25" x14ac:dyDescent="0.25">
      <c r="A102" s="3">
        <v>4.1900000000000004</v>
      </c>
      <c r="B102" s="13" t="s">
        <v>2779</v>
      </c>
      <c r="C102" s="3"/>
    </row>
    <row r="103" spans="1:4" x14ac:dyDescent="0.25">
      <c r="A103" s="3" t="s">
        <v>4447</v>
      </c>
      <c r="B103" s="13" t="s">
        <v>2658</v>
      </c>
      <c r="C103" s="3" t="s">
        <v>2437</v>
      </c>
      <c r="D103" s="101">
        <v>630</v>
      </c>
    </row>
    <row r="104" spans="1:4" x14ac:dyDescent="0.25">
      <c r="A104" s="3"/>
      <c r="C104" s="3"/>
      <c r="D104" s="101"/>
    </row>
    <row r="105" spans="1:4" x14ac:dyDescent="0.25">
      <c r="A105" s="3" t="s">
        <v>4448</v>
      </c>
      <c r="B105" s="13" t="s">
        <v>2659</v>
      </c>
      <c r="C105" s="3" t="s">
        <v>2642</v>
      </c>
      <c r="D105" s="101">
        <v>534</v>
      </c>
    </row>
    <row r="106" spans="1:4" x14ac:dyDescent="0.25">
      <c r="A106" s="3"/>
      <c r="C106" s="3"/>
      <c r="D106" s="101"/>
    </row>
    <row r="107" spans="1:4" x14ac:dyDescent="0.25">
      <c r="A107" s="3" t="s">
        <v>4449</v>
      </c>
      <c r="B107" s="13" t="s">
        <v>2660</v>
      </c>
      <c r="C107" s="3" t="s">
        <v>2642</v>
      </c>
      <c r="D107" s="101">
        <v>492</v>
      </c>
    </row>
    <row r="108" spans="1:4" x14ac:dyDescent="0.25">
      <c r="A108" s="3"/>
      <c r="C108" s="3"/>
      <c r="D108" s="101"/>
    </row>
    <row r="109" spans="1:4" x14ac:dyDescent="0.25">
      <c r="A109" s="7">
        <v>4.2</v>
      </c>
      <c r="B109" s="13" t="s">
        <v>2778</v>
      </c>
      <c r="C109" s="3" t="s">
        <v>2642</v>
      </c>
      <c r="D109" s="163">
        <v>0.2</v>
      </c>
    </row>
    <row r="110" spans="1:4" x14ac:dyDescent="0.25">
      <c r="A110" s="3"/>
      <c r="C110" s="3"/>
    </row>
    <row r="111" spans="1:4" x14ac:dyDescent="0.25">
      <c r="A111" s="8"/>
      <c r="B111" s="140" t="s">
        <v>4923</v>
      </c>
      <c r="C111" s="3"/>
    </row>
    <row r="112" spans="1:4" x14ac:dyDescent="0.25">
      <c r="A112" s="8"/>
      <c r="B112" s="140"/>
      <c r="C112" s="3"/>
    </row>
    <row r="113" spans="1:4" ht="47.25" x14ac:dyDescent="0.25">
      <c r="A113" s="7">
        <v>4.21</v>
      </c>
      <c r="B113" s="13" t="s">
        <v>2661</v>
      </c>
      <c r="C113" s="3" t="s">
        <v>2438</v>
      </c>
      <c r="D113" s="101">
        <v>8460</v>
      </c>
    </row>
    <row r="114" spans="1:4" x14ac:dyDescent="0.25">
      <c r="A114" s="3"/>
      <c r="C114" s="3"/>
    </row>
    <row r="115" spans="1:4" ht="47.25" x14ac:dyDescent="0.25">
      <c r="A115" s="7">
        <v>4.22</v>
      </c>
      <c r="B115" s="13" t="s">
        <v>2662</v>
      </c>
      <c r="C115" s="3" t="s">
        <v>2438</v>
      </c>
      <c r="D115" s="101">
        <v>5607</v>
      </c>
    </row>
    <row r="116" spans="1:4" x14ac:dyDescent="0.25">
      <c r="A116" s="3"/>
      <c r="C116" s="3"/>
    </row>
    <row r="117" spans="1:4" ht="78.75" x14ac:dyDescent="0.25">
      <c r="A117" s="3">
        <v>4.2300000000000004</v>
      </c>
      <c r="B117" s="13" t="s">
        <v>6077</v>
      </c>
      <c r="C117" s="3" t="s">
        <v>2606</v>
      </c>
      <c r="D117" s="101">
        <v>381</v>
      </c>
    </row>
    <row r="121" spans="1:4" ht="362.25" x14ac:dyDescent="0.25">
      <c r="A121" s="5">
        <v>4.24</v>
      </c>
      <c r="B121" s="13" t="s">
        <v>4367</v>
      </c>
    </row>
    <row r="122" spans="1:4" x14ac:dyDescent="0.25">
      <c r="A122" s="5" t="s">
        <v>1660</v>
      </c>
      <c r="B122" s="13" t="s">
        <v>4366</v>
      </c>
      <c r="C122" s="3" t="s">
        <v>2606</v>
      </c>
      <c r="D122" s="101">
        <v>958</v>
      </c>
    </row>
    <row r="123" spans="1:4" x14ac:dyDescent="0.25">
      <c r="A123" s="5" t="s">
        <v>1666</v>
      </c>
      <c r="B123" s="13" t="s">
        <v>4365</v>
      </c>
      <c r="C123" s="3" t="s">
        <v>2606</v>
      </c>
      <c r="D123" s="101">
        <v>1722</v>
      </c>
    </row>
    <row r="124" spans="1:4" x14ac:dyDescent="0.25">
      <c r="C124" s="3"/>
      <c r="D124" s="101"/>
    </row>
    <row r="125" spans="1:4" s="176" customFormat="1" ht="63" x14ac:dyDescent="0.25">
      <c r="A125" s="5">
        <v>4.25</v>
      </c>
      <c r="B125" s="13" t="s">
        <v>5666</v>
      </c>
      <c r="C125" s="8"/>
      <c r="D125" s="6"/>
    </row>
    <row r="126" spans="1:4" s="176" customFormat="1" x14ac:dyDescent="0.25">
      <c r="A126" s="3" t="s">
        <v>1662</v>
      </c>
      <c r="B126" s="13" t="s">
        <v>5667</v>
      </c>
      <c r="C126" s="3" t="s">
        <v>4217</v>
      </c>
      <c r="D126" s="101">
        <v>429</v>
      </c>
    </row>
    <row r="127" spans="1:4" s="176" customFormat="1" x14ac:dyDescent="0.25">
      <c r="A127" s="3" t="s">
        <v>1664</v>
      </c>
      <c r="B127" s="13" t="s">
        <v>5668</v>
      </c>
      <c r="C127" s="3" t="s">
        <v>4217</v>
      </c>
      <c r="D127" s="101">
        <v>468</v>
      </c>
    </row>
    <row r="128" spans="1:4" s="176" customFormat="1" x14ac:dyDescent="0.25">
      <c r="A128" s="3" t="s">
        <v>1670</v>
      </c>
      <c r="B128" s="13" t="s">
        <v>5669</v>
      </c>
      <c r="C128" s="3" t="s">
        <v>4217</v>
      </c>
      <c r="D128" s="101">
        <v>528</v>
      </c>
    </row>
    <row r="129" spans="1:4" s="176" customFormat="1" x14ac:dyDescent="0.25">
      <c r="A129" s="3" t="s">
        <v>400</v>
      </c>
      <c r="B129" s="13" t="s">
        <v>5670</v>
      </c>
      <c r="C129" s="3" t="s">
        <v>4217</v>
      </c>
      <c r="D129" s="101">
        <v>831</v>
      </c>
    </row>
    <row r="130" spans="1:4" s="176" customFormat="1" x14ac:dyDescent="0.25">
      <c r="A130" s="3" t="s">
        <v>401</v>
      </c>
      <c r="B130" s="13" t="s">
        <v>5671</v>
      </c>
      <c r="C130" s="3" t="s">
        <v>4217</v>
      </c>
      <c r="D130" s="101">
        <v>1078</v>
      </c>
    </row>
    <row r="131" spans="1:4" s="176" customFormat="1" x14ac:dyDescent="0.25">
      <c r="A131" s="3" t="s">
        <v>402</v>
      </c>
      <c r="B131" s="13" t="s">
        <v>5672</v>
      </c>
      <c r="C131" s="3" t="s">
        <v>4217</v>
      </c>
      <c r="D131" s="101">
        <v>1559</v>
      </c>
    </row>
    <row r="132" spans="1:4" x14ac:dyDescent="0.25">
      <c r="D132" s="173">
        <f>SUM(D30:D131)</f>
        <v>112362.59999999999</v>
      </c>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rgb="FFFFFF00"/>
  </sheetPr>
  <dimension ref="A1:E98"/>
  <sheetViews>
    <sheetView view="pageBreakPreview" topLeftCell="A19" zoomScale="90" zoomScaleNormal="100" zoomScaleSheetLayoutView="90" workbookViewId="0">
      <selection activeCell="B40" sqref="B40"/>
    </sheetView>
  </sheetViews>
  <sheetFormatPr defaultRowHeight="15.75" x14ac:dyDescent="0.25"/>
  <cols>
    <col min="1" max="1" width="10" style="5" customWidth="1"/>
    <col min="2" max="2" width="55.7109375" style="13" customWidth="1"/>
    <col min="3" max="3" width="9.7109375" style="8" customWidth="1"/>
    <col min="4" max="4" width="11.7109375" style="6" customWidth="1"/>
    <col min="5" max="16384" width="9.140625" style="6"/>
  </cols>
  <sheetData>
    <row r="1" spans="1:5" ht="22.5" x14ac:dyDescent="0.25">
      <c r="A1" s="265" t="s">
        <v>2815</v>
      </c>
      <c r="B1" s="265"/>
      <c r="C1" s="265"/>
      <c r="D1" s="265"/>
    </row>
    <row r="2" spans="1:5" ht="27" x14ac:dyDescent="0.25">
      <c r="A2" s="266" t="s">
        <v>2816</v>
      </c>
      <c r="B2" s="266"/>
      <c r="C2" s="266"/>
      <c r="D2" s="266"/>
    </row>
    <row r="3" spans="1:5" x14ac:dyDescent="0.25">
      <c r="A3" s="96" t="s">
        <v>2432</v>
      </c>
    </row>
    <row r="4" spans="1:5" ht="31.5" x14ac:dyDescent="0.25">
      <c r="A4" s="96">
        <v>1</v>
      </c>
      <c r="B4" s="13" t="s">
        <v>5264</v>
      </c>
    </row>
    <row r="5" spans="1:5" s="112" customFormat="1" ht="31.5" x14ac:dyDescent="0.2">
      <c r="A5" s="55" t="s">
        <v>6402</v>
      </c>
      <c r="B5" s="55" t="s">
        <v>2434</v>
      </c>
      <c r="C5" s="55" t="s">
        <v>2435</v>
      </c>
      <c r="D5" s="172" t="s">
        <v>18</v>
      </c>
    </row>
    <row r="6" spans="1:5" x14ac:dyDescent="0.25">
      <c r="A6" s="55">
        <v>1</v>
      </c>
      <c r="B6" s="55">
        <v>2</v>
      </c>
      <c r="C6" s="55">
        <v>3</v>
      </c>
      <c r="D6" s="45">
        <v>4</v>
      </c>
      <c r="E6" s="173"/>
    </row>
    <row r="7" spans="1:5" x14ac:dyDescent="0.25">
      <c r="E7" s="173"/>
    </row>
    <row r="8" spans="1:5" ht="31.5" x14ac:dyDescent="0.25">
      <c r="A8" s="96">
        <v>5.0999999999999996</v>
      </c>
      <c r="B8" s="30" t="s">
        <v>2817</v>
      </c>
      <c r="C8" s="5"/>
    </row>
    <row r="9" spans="1:5" x14ac:dyDescent="0.25">
      <c r="A9" s="96"/>
      <c r="B9" s="30"/>
      <c r="C9" s="5"/>
    </row>
    <row r="10" spans="1:5" x14ac:dyDescent="0.25">
      <c r="A10" s="96" t="s">
        <v>2786</v>
      </c>
      <c r="B10" s="30" t="s">
        <v>2789</v>
      </c>
      <c r="C10" s="5" t="s">
        <v>2787</v>
      </c>
      <c r="D10" s="101">
        <v>4469</v>
      </c>
    </row>
    <row r="11" spans="1:5" x14ac:dyDescent="0.25">
      <c r="A11" s="96" t="s">
        <v>2788</v>
      </c>
      <c r="B11" s="30" t="s">
        <v>2791</v>
      </c>
      <c r="C11" s="5" t="s">
        <v>2787</v>
      </c>
      <c r="D11" s="101">
        <v>4263</v>
      </c>
    </row>
    <row r="12" spans="1:5" x14ac:dyDescent="0.25">
      <c r="A12" s="96" t="s">
        <v>2790</v>
      </c>
      <c r="B12" s="30" t="s">
        <v>2792</v>
      </c>
      <c r="C12" s="5" t="s">
        <v>2787</v>
      </c>
      <c r="D12" s="101">
        <v>3265</v>
      </c>
    </row>
    <row r="13" spans="1:5" x14ac:dyDescent="0.25">
      <c r="A13" s="96"/>
      <c r="B13" s="30"/>
      <c r="C13" s="5"/>
    </row>
    <row r="14" spans="1:5" ht="47.25" x14ac:dyDescent="0.25">
      <c r="A14" s="96">
        <v>5.2</v>
      </c>
      <c r="B14" s="30" t="s">
        <v>2818</v>
      </c>
      <c r="C14" s="5"/>
    </row>
    <row r="15" spans="1:5" x14ac:dyDescent="0.25">
      <c r="A15" s="96"/>
      <c r="B15" s="30"/>
      <c r="C15" s="5"/>
    </row>
    <row r="16" spans="1:5" x14ac:dyDescent="0.25">
      <c r="A16" s="96" t="s">
        <v>2819</v>
      </c>
      <c r="B16" s="30" t="s">
        <v>2789</v>
      </c>
      <c r="C16" s="5" t="s">
        <v>2787</v>
      </c>
      <c r="D16" s="101">
        <v>5196</v>
      </c>
    </row>
    <row r="17" spans="1:4" x14ac:dyDescent="0.25">
      <c r="A17" s="96" t="s">
        <v>2820</v>
      </c>
      <c r="B17" s="30" t="s">
        <v>2791</v>
      </c>
      <c r="C17" s="5" t="s">
        <v>2787</v>
      </c>
      <c r="D17" s="101">
        <v>4990</v>
      </c>
    </row>
    <row r="18" spans="1:4" x14ac:dyDescent="0.25">
      <c r="A18" s="96" t="s">
        <v>2821</v>
      </c>
      <c r="B18" s="30" t="s">
        <v>2792</v>
      </c>
      <c r="C18" s="5" t="s">
        <v>2787</v>
      </c>
      <c r="D18" s="101">
        <v>3792</v>
      </c>
    </row>
    <row r="19" spans="1:4" x14ac:dyDescent="0.25">
      <c r="A19" s="96"/>
      <c r="B19" s="30"/>
      <c r="C19" s="5"/>
    </row>
    <row r="20" spans="1:4" ht="31.5" x14ac:dyDescent="0.25">
      <c r="A20" s="96">
        <v>5.3</v>
      </c>
      <c r="B20" s="30" t="s">
        <v>2823</v>
      </c>
      <c r="C20" s="5"/>
    </row>
    <row r="21" spans="1:4" x14ac:dyDescent="0.25">
      <c r="A21" s="96"/>
      <c r="B21" s="30"/>
      <c r="C21" s="5"/>
    </row>
    <row r="22" spans="1:4" x14ac:dyDescent="0.25">
      <c r="A22" s="96" t="s">
        <v>2793</v>
      </c>
      <c r="B22" s="30" t="s">
        <v>2794</v>
      </c>
      <c r="C22" s="5" t="s">
        <v>2439</v>
      </c>
      <c r="D22" s="101">
        <v>327</v>
      </c>
    </row>
    <row r="23" spans="1:4" x14ac:dyDescent="0.25">
      <c r="A23" s="96" t="s">
        <v>2797</v>
      </c>
      <c r="B23" s="30" t="s">
        <v>2795</v>
      </c>
      <c r="C23" s="5" t="s">
        <v>2439</v>
      </c>
      <c r="D23" s="101">
        <v>163</v>
      </c>
    </row>
    <row r="24" spans="1:4" x14ac:dyDescent="0.25">
      <c r="A24" s="96" t="s">
        <v>5277</v>
      </c>
      <c r="B24" s="30" t="s">
        <v>2796</v>
      </c>
      <c r="C24" s="5" t="s">
        <v>2439</v>
      </c>
      <c r="D24" s="101">
        <v>278</v>
      </c>
    </row>
    <row r="25" spans="1:4" x14ac:dyDescent="0.25">
      <c r="A25" s="96" t="s">
        <v>5278</v>
      </c>
      <c r="B25" s="30" t="s">
        <v>2825</v>
      </c>
      <c r="C25" s="5" t="s">
        <v>2787</v>
      </c>
      <c r="D25" s="101">
        <v>331</v>
      </c>
    </row>
    <row r="26" spans="1:4" x14ac:dyDescent="0.25">
      <c r="A26" s="96"/>
    </row>
    <row r="27" spans="1:4" ht="63" x14ac:dyDescent="0.25">
      <c r="A27" s="96">
        <v>5.4</v>
      </c>
      <c r="B27" s="30" t="s">
        <v>2798</v>
      </c>
      <c r="C27" s="5" t="s">
        <v>2787</v>
      </c>
      <c r="D27" s="101">
        <v>6762</v>
      </c>
    </row>
    <row r="28" spans="1:4" x14ac:dyDescent="0.25">
      <c r="A28" s="96"/>
      <c r="B28" s="30"/>
      <c r="C28" s="5"/>
    </row>
    <row r="29" spans="1:4" ht="63" x14ac:dyDescent="0.25">
      <c r="A29" s="96">
        <v>5.5</v>
      </c>
      <c r="B29" s="30" t="s">
        <v>2799</v>
      </c>
      <c r="C29" s="5" t="s">
        <v>2787</v>
      </c>
      <c r="D29" s="101">
        <v>8015</v>
      </c>
    </row>
    <row r="30" spans="1:4" x14ac:dyDescent="0.25">
      <c r="A30" s="96"/>
      <c r="B30" s="30"/>
      <c r="C30" s="5"/>
    </row>
    <row r="31" spans="1:4" ht="47.25" x14ac:dyDescent="0.25">
      <c r="A31" s="96">
        <v>5.6</v>
      </c>
      <c r="B31" s="30" t="s">
        <v>2824</v>
      </c>
      <c r="C31" s="5" t="s">
        <v>2439</v>
      </c>
      <c r="D31" s="101">
        <v>314</v>
      </c>
    </row>
    <row r="32" spans="1:4" x14ac:dyDescent="0.25">
      <c r="A32" s="96"/>
      <c r="B32" s="30"/>
      <c r="C32" s="5"/>
    </row>
    <row r="33" spans="1:4" x14ac:dyDescent="0.25">
      <c r="A33" s="96"/>
      <c r="B33" s="30"/>
      <c r="C33" s="5"/>
    </row>
    <row r="34" spans="1:4" ht="31.5" x14ac:dyDescent="0.25">
      <c r="A34" s="115">
        <v>5.7</v>
      </c>
      <c r="B34" s="30" t="s">
        <v>2800</v>
      </c>
      <c r="C34" s="5"/>
    </row>
    <row r="35" spans="1:4" x14ac:dyDescent="0.25">
      <c r="A35" s="96"/>
      <c r="B35" s="30"/>
      <c r="C35" s="5"/>
    </row>
    <row r="36" spans="1:4" x14ac:dyDescent="0.25">
      <c r="A36" s="96" t="s">
        <v>5279</v>
      </c>
      <c r="B36" s="30" t="s">
        <v>2801</v>
      </c>
      <c r="C36" s="5" t="s">
        <v>2606</v>
      </c>
      <c r="D36" s="101">
        <v>525</v>
      </c>
    </row>
    <row r="37" spans="1:4" x14ac:dyDescent="0.25">
      <c r="A37" s="96" t="s">
        <v>5281</v>
      </c>
      <c r="B37" s="30" t="s">
        <v>2789</v>
      </c>
      <c r="C37" s="5" t="s">
        <v>2606</v>
      </c>
      <c r="D37" s="101">
        <v>497</v>
      </c>
    </row>
    <row r="38" spans="1:4" x14ac:dyDescent="0.25">
      <c r="A38" s="96" t="s">
        <v>5280</v>
      </c>
      <c r="B38" s="30" t="s">
        <v>2791</v>
      </c>
      <c r="C38" s="5" t="s">
        <v>2606</v>
      </c>
      <c r="D38" s="101">
        <v>470</v>
      </c>
    </row>
    <row r="39" spans="1:4" x14ac:dyDescent="0.25">
      <c r="A39" s="96"/>
      <c r="B39" s="30"/>
      <c r="C39" s="5"/>
    </row>
    <row r="40" spans="1:4" ht="31.5" x14ac:dyDescent="0.25">
      <c r="A40" s="96">
        <v>5.8</v>
      </c>
      <c r="B40" s="30" t="s">
        <v>3522</v>
      </c>
      <c r="C40" s="5"/>
    </row>
    <row r="41" spans="1:4" x14ac:dyDescent="0.25">
      <c r="A41" s="96" t="s">
        <v>3519</v>
      </c>
      <c r="B41" s="30" t="s">
        <v>2801</v>
      </c>
      <c r="C41" s="5" t="s">
        <v>2606</v>
      </c>
      <c r="D41" s="101">
        <v>583</v>
      </c>
    </row>
    <row r="42" spans="1:4" x14ac:dyDescent="0.25">
      <c r="A42" s="96" t="s">
        <v>3520</v>
      </c>
      <c r="B42" s="30" t="s">
        <v>2789</v>
      </c>
      <c r="C42" s="5" t="s">
        <v>2606</v>
      </c>
      <c r="D42" s="101">
        <v>553</v>
      </c>
    </row>
    <row r="43" spans="1:4" x14ac:dyDescent="0.25">
      <c r="A43" s="96" t="s">
        <v>3521</v>
      </c>
      <c r="B43" s="30" t="s">
        <v>2791</v>
      </c>
      <c r="C43" s="5" t="s">
        <v>2606</v>
      </c>
      <c r="D43" s="101">
        <v>526</v>
      </c>
    </row>
    <row r="44" spans="1:4" x14ac:dyDescent="0.25">
      <c r="A44" s="96"/>
      <c r="B44" s="30"/>
      <c r="C44" s="5"/>
    </row>
    <row r="45" spans="1:4" ht="31.5" x14ac:dyDescent="0.25">
      <c r="A45" s="115">
        <v>5.9</v>
      </c>
      <c r="B45" s="30" t="s">
        <v>3523</v>
      </c>
      <c r="C45" s="5" t="s">
        <v>2437</v>
      </c>
      <c r="D45" s="101">
        <v>64</v>
      </c>
    </row>
    <row r="46" spans="1:4" x14ac:dyDescent="0.25">
      <c r="A46" s="96"/>
      <c r="B46" s="30"/>
      <c r="C46" s="5"/>
    </row>
    <row r="47" spans="1:4" ht="47.25" x14ac:dyDescent="0.25">
      <c r="A47" s="95">
        <v>5.0999999999999996</v>
      </c>
      <c r="B47" s="30" t="s">
        <v>2802</v>
      </c>
      <c r="C47" s="5"/>
    </row>
    <row r="48" spans="1:4" x14ac:dyDescent="0.25">
      <c r="A48" s="95" t="s">
        <v>159</v>
      </c>
      <c r="B48" s="30" t="s">
        <v>2801</v>
      </c>
      <c r="C48" s="5" t="s">
        <v>2606</v>
      </c>
      <c r="D48" s="101">
        <v>396</v>
      </c>
    </row>
    <row r="49" spans="1:4" x14ac:dyDescent="0.25">
      <c r="A49" s="95" t="s">
        <v>161</v>
      </c>
      <c r="B49" s="30" t="s">
        <v>2789</v>
      </c>
      <c r="C49" s="5" t="s">
        <v>2606</v>
      </c>
      <c r="D49" s="101">
        <v>377</v>
      </c>
    </row>
    <row r="50" spans="1:4" x14ac:dyDescent="0.25">
      <c r="A50" s="95"/>
      <c r="B50" s="30"/>
      <c r="C50" s="5"/>
      <c r="D50" s="101"/>
    </row>
    <row r="51" spans="1:4" ht="31.5" x14ac:dyDescent="0.25">
      <c r="A51" s="95">
        <v>5.1100000000000003</v>
      </c>
      <c r="B51" s="30" t="s">
        <v>3526</v>
      </c>
      <c r="C51" s="5"/>
    </row>
    <row r="52" spans="1:4" x14ac:dyDescent="0.25">
      <c r="A52" s="95" t="s">
        <v>3524</v>
      </c>
      <c r="B52" s="30" t="s">
        <v>2789</v>
      </c>
      <c r="C52" s="5" t="s">
        <v>2606</v>
      </c>
      <c r="D52" s="101">
        <v>360</v>
      </c>
    </row>
    <row r="53" spans="1:4" x14ac:dyDescent="0.25">
      <c r="A53" s="95" t="s">
        <v>3525</v>
      </c>
      <c r="B53" s="30" t="s">
        <v>2803</v>
      </c>
      <c r="C53" s="5" t="s">
        <v>2606</v>
      </c>
      <c r="D53" s="101">
        <v>342</v>
      </c>
    </row>
    <row r="54" spans="1:4" x14ac:dyDescent="0.25">
      <c r="A54" s="95"/>
      <c r="B54" s="30"/>
      <c r="C54" s="5"/>
    </row>
    <row r="55" spans="1:4" ht="63" x14ac:dyDescent="0.25">
      <c r="A55" s="95">
        <v>5.12</v>
      </c>
      <c r="B55" s="30" t="s">
        <v>2829</v>
      </c>
      <c r="C55" s="3" t="s">
        <v>4497</v>
      </c>
      <c r="D55" s="101">
        <v>293</v>
      </c>
    </row>
    <row r="56" spans="1:4" ht="140.25" customHeight="1" x14ac:dyDescent="0.25">
      <c r="A56" s="119" t="s">
        <v>2432</v>
      </c>
      <c r="B56" s="13" t="s">
        <v>2601</v>
      </c>
      <c r="C56" s="3"/>
      <c r="D56" s="101"/>
    </row>
    <row r="57" spans="1:4" x14ac:dyDescent="0.25">
      <c r="A57" s="95"/>
      <c r="B57" s="30"/>
      <c r="C57" s="5"/>
    </row>
    <row r="58" spans="1:4" x14ac:dyDescent="0.25">
      <c r="A58" s="95">
        <v>5.13</v>
      </c>
      <c r="B58" s="30" t="s">
        <v>2828</v>
      </c>
      <c r="C58" s="5" t="s">
        <v>2787</v>
      </c>
      <c r="D58" s="101">
        <v>119</v>
      </c>
    </row>
    <row r="59" spans="1:4" x14ac:dyDescent="0.25">
      <c r="A59" s="95"/>
      <c r="B59" s="30"/>
      <c r="C59" s="5"/>
    </row>
    <row r="60" spans="1:4" x14ac:dyDescent="0.25">
      <c r="A60" s="95"/>
      <c r="B60" s="30"/>
      <c r="C60" s="5"/>
    </row>
    <row r="61" spans="1:4" x14ac:dyDescent="0.25">
      <c r="A61" s="95"/>
      <c r="B61" s="30"/>
      <c r="C61" s="5"/>
    </row>
    <row r="62" spans="1:4" ht="75.75" customHeight="1" x14ac:dyDescent="0.25">
      <c r="A62" s="95">
        <v>5.14</v>
      </c>
      <c r="B62" s="30" t="s">
        <v>2804</v>
      </c>
      <c r="C62" s="5" t="s">
        <v>2439</v>
      </c>
      <c r="D62" s="101">
        <v>5055</v>
      </c>
    </row>
    <row r="63" spans="1:4" x14ac:dyDescent="0.25">
      <c r="A63" s="95"/>
      <c r="B63" s="30"/>
      <c r="C63" s="5"/>
    </row>
    <row r="64" spans="1:4" ht="55.5" customHeight="1" x14ac:dyDescent="0.25">
      <c r="A64" s="95">
        <v>5.15</v>
      </c>
      <c r="B64" s="30" t="s">
        <v>4929</v>
      </c>
      <c r="C64" s="5"/>
      <c r="D64" s="101"/>
    </row>
    <row r="65" spans="1:4" x14ac:dyDescent="0.25">
      <c r="A65" s="95" t="s">
        <v>5502</v>
      </c>
      <c r="B65" s="30" t="s">
        <v>2789</v>
      </c>
      <c r="C65" s="5" t="s">
        <v>2439</v>
      </c>
      <c r="D65" s="101">
        <v>5038</v>
      </c>
    </row>
    <row r="66" spans="1:4" x14ac:dyDescent="0.25">
      <c r="A66" s="95" t="s">
        <v>5503</v>
      </c>
      <c r="B66" s="30" t="s">
        <v>2791</v>
      </c>
      <c r="C66" s="5" t="s">
        <v>2439</v>
      </c>
      <c r="D66" s="101">
        <v>4832</v>
      </c>
    </row>
    <row r="67" spans="1:4" x14ac:dyDescent="0.25">
      <c r="A67" s="95"/>
      <c r="B67" s="30"/>
      <c r="C67" s="5"/>
    </row>
    <row r="68" spans="1:4" ht="47.25" x14ac:dyDescent="0.25">
      <c r="A68" s="95">
        <v>5.16</v>
      </c>
      <c r="B68" s="30" t="s">
        <v>2832</v>
      </c>
      <c r="C68" s="5"/>
    </row>
    <row r="69" spans="1:4" x14ac:dyDescent="0.25">
      <c r="A69" s="95" t="s">
        <v>2805</v>
      </c>
      <c r="B69" s="30" t="s">
        <v>2789</v>
      </c>
      <c r="C69" s="5" t="s">
        <v>2439</v>
      </c>
      <c r="D69" s="101">
        <v>4912</v>
      </c>
    </row>
    <row r="70" spans="1:4" x14ac:dyDescent="0.25">
      <c r="A70" s="95" t="s">
        <v>2806</v>
      </c>
      <c r="B70" s="30" t="s">
        <v>2791</v>
      </c>
      <c r="C70" s="5" t="s">
        <v>2439</v>
      </c>
      <c r="D70" s="101">
        <v>4645</v>
      </c>
    </row>
    <row r="71" spans="1:4" x14ac:dyDescent="0.25">
      <c r="A71" s="95"/>
      <c r="B71" s="30"/>
      <c r="C71" s="5"/>
    </row>
    <row r="72" spans="1:4" ht="31.5" x14ac:dyDescent="0.25">
      <c r="A72" s="95">
        <v>5.17</v>
      </c>
      <c r="B72" s="30" t="s">
        <v>2830</v>
      </c>
      <c r="C72" s="5"/>
    </row>
    <row r="73" spans="1:4" x14ac:dyDescent="0.25">
      <c r="A73" s="95" t="s">
        <v>2807</v>
      </c>
      <c r="B73" s="30" t="s">
        <v>2808</v>
      </c>
      <c r="C73" s="5" t="s">
        <v>2787</v>
      </c>
      <c r="D73" s="101">
        <v>260</v>
      </c>
    </row>
    <row r="74" spans="1:4" x14ac:dyDescent="0.25">
      <c r="A74" s="95" t="s">
        <v>2809</v>
      </c>
      <c r="B74" s="30" t="s">
        <v>2810</v>
      </c>
      <c r="C74" s="5" t="s">
        <v>2606</v>
      </c>
      <c r="D74" s="101">
        <v>23</v>
      </c>
    </row>
    <row r="75" spans="1:4" x14ac:dyDescent="0.25">
      <c r="A75" s="95"/>
      <c r="B75" s="30"/>
      <c r="C75" s="5"/>
    </row>
    <row r="76" spans="1:4" ht="37.5" customHeight="1" x14ac:dyDescent="0.25">
      <c r="A76" s="95">
        <v>5.18</v>
      </c>
      <c r="B76" s="30" t="s">
        <v>2812</v>
      </c>
      <c r="C76" s="5"/>
    </row>
    <row r="77" spans="1:4" x14ac:dyDescent="0.25">
      <c r="A77" s="95" t="s">
        <v>2811</v>
      </c>
      <c r="B77" s="30" t="s">
        <v>2808</v>
      </c>
      <c r="C77" s="5" t="s">
        <v>2787</v>
      </c>
      <c r="D77" s="101">
        <v>163</v>
      </c>
    </row>
    <row r="78" spans="1:4" x14ac:dyDescent="0.25">
      <c r="A78" s="95" t="s">
        <v>2831</v>
      </c>
      <c r="B78" s="30" t="s">
        <v>2810</v>
      </c>
      <c r="C78" s="5" t="s">
        <v>2606</v>
      </c>
      <c r="D78" s="101">
        <v>19</v>
      </c>
    </row>
    <row r="79" spans="1:4" x14ac:dyDescent="0.25">
      <c r="A79" s="95"/>
      <c r="B79" s="30"/>
      <c r="C79" s="5"/>
    </row>
    <row r="80" spans="1:4" ht="62.25" customHeight="1" x14ac:dyDescent="0.25">
      <c r="A80" s="95">
        <v>5.19</v>
      </c>
      <c r="B80" s="30" t="s">
        <v>2</v>
      </c>
      <c r="C80" s="96"/>
    </row>
    <row r="81" spans="1:4" x14ac:dyDescent="0.25">
      <c r="A81" s="96" t="s">
        <v>2813</v>
      </c>
      <c r="B81" s="30" t="s">
        <v>2789</v>
      </c>
      <c r="C81" s="96" t="s">
        <v>2437</v>
      </c>
      <c r="D81" s="101">
        <v>586</v>
      </c>
    </row>
    <row r="82" spans="1:4" x14ac:dyDescent="0.25">
      <c r="A82" s="96" t="s">
        <v>2814</v>
      </c>
      <c r="B82" s="30" t="s">
        <v>2791</v>
      </c>
      <c r="C82" s="96" t="s">
        <v>2437</v>
      </c>
      <c r="D82" s="101">
        <v>557</v>
      </c>
    </row>
    <row r="83" spans="1:4" x14ac:dyDescent="0.25">
      <c r="A83" s="96"/>
      <c r="B83" s="30"/>
      <c r="C83" s="96"/>
    </row>
    <row r="84" spans="1:4" ht="57.75" customHeight="1" x14ac:dyDescent="0.25">
      <c r="A84" s="95">
        <v>5.2</v>
      </c>
      <c r="B84" s="30" t="s">
        <v>3</v>
      </c>
      <c r="C84" s="96"/>
    </row>
    <row r="85" spans="1:4" x14ac:dyDescent="0.25">
      <c r="A85" s="96" t="s">
        <v>4</v>
      </c>
      <c r="B85" s="30" t="s">
        <v>2789</v>
      </c>
      <c r="C85" s="96" t="s">
        <v>2437</v>
      </c>
      <c r="D85" s="101">
        <v>564</v>
      </c>
    </row>
    <row r="86" spans="1:4" x14ac:dyDescent="0.25">
      <c r="A86" s="96" t="s">
        <v>5</v>
      </c>
      <c r="B86" s="30" t="s">
        <v>2791</v>
      </c>
      <c r="C86" s="96" t="s">
        <v>2437</v>
      </c>
      <c r="D86" s="101">
        <v>536</v>
      </c>
    </row>
    <row r="87" spans="1:4" x14ac:dyDescent="0.25">
      <c r="A87" s="101"/>
    </row>
    <row r="88" spans="1:4" x14ac:dyDescent="0.25">
      <c r="A88" s="101"/>
    </row>
    <row r="89" spans="1:4" x14ac:dyDescent="0.25">
      <c r="A89" s="101"/>
    </row>
    <row r="90" spans="1:4" ht="110.25" x14ac:dyDescent="0.25">
      <c r="A90" s="96" t="s">
        <v>6</v>
      </c>
      <c r="B90" s="13" t="s">
        <v>5673</v>
      </c>
      <c r="C90" s="5" t="s">
        <v>2787</v>
      </c>
      <c r="D90" s="101">
        <v>5404</v>
      </c>
    </row>
    <row r="91" spans="1:4" x14ac:dyDescent="0.25">
      <c r="A91" s="101"/>
      <c r="D91" s="101"/>
    </row>
    <row r="92" spans="1:4" ht="110.25" x14ac:dyDescent="0.25">
      <c r="A92" s="96" t="s">
        <v>7</v>
      </c>
      <c r="B92" s="13" t="s">
        <v>5674</v>
      </c>
      <c r="C92" s="5" t="s">
        <v>2787</v>
      </c>
      <c r="D92" s="101">
        <v>4752</v>
      </c>
    </row>
    <row r="93" spans="1:4" x14ac:dyDescent="0.25">
      <c r="A93" s="101"/>
      <c r="D93" s="17"/>
    </row>
    <row r="94" spans="1:4" ht="31.5" x14ac:dyDescent="0.25">
      <c r="A94" s="95" t="s">
        <v>6506</v>
      </c>
      <c r="B94" s="30" t="s">
        <v>6507</v>
      </c>
      <c r="C94" s="5" t="s">
        <v>2787</v>
      </c>
      <c r="D94" s="101">
        <v>260</v>
      </c>
    </row>
    <row r="98" spans="4:4" x14ac:dyDescent="0.25">
      <c r="D98" s="173">
        <f>SUM(D10:D97)</f>
        <v>84876</v>
      </c>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FFFF00"/>
  </sheetPr>
  <dimension ref="A1:E385"/>
  <sheetViews>
    <sheetView view="pageBreakPreview" topLeftCell="A361" zoomScale="90" zoomScaleNormal="100" zoomScaleSheetLayoutView="90" workbookViewId="0">
      <selection activeCell="B19" sqref="B19"/>
    </sheetView>
  </sheetViews>
  <sheetFormatPr defaultRowHeight="15.75" x14ac:dyDescent="0.25"/>
  <cols>
    <col min="1" max="1" width="10" style="5" customWidth="1"/>
    <col min="2" max="2" width="55.7109375" style="13" customWidth="1"/>
    <col min="3" max="3" width="9.7109375" style="8" customWidth="1"/>
    <col min="4" max="4" width="11.7109375" style="6" customWidth="1"/>
    <col min="5" max="16384" width="9.140625" style="6"/>
  </cols>
  <sheetData>
    <row r="1" spans="1:5" s="14" customFormat="1" ht="22.5" x14ac:dyDescent="0.2">
      <c r="A1" s="265" t="s">
        <v>2833</v>
      </c>
      <c r="B1" s="265"/>
      <c r="C1" s="265"/>
      <c r="D1" s="265"/>
    </row>
    <row r="2" spans="1:5" s="14" customFormat="1" ht="27" x14ac:dyDescent="0.2">
      <c r="A2" s="266" t="s">
        <v>2834</v>
      </c>
      <c r="B2" s="266"/>
      <c r="C2" s="266"/>
      <c r="D2" s="266"/>
    </row>
    <row r="3" spans="1:5" x14ac:dyDescent="0.25">
      <c r="A3" s="96" t="s">
        <v>2432</v>
      </c>
      <c r="B3" s="30"/>
      <c r="C3" s="5"/>
    </row>
    <row r="4" spans="1:5" ht="94.5" x14ac:dyDescent="0.25">
      <c r="A4" s="96">
        <v>1</v>
      </c>
      <c r="B4" s="13" t="s">
        <v>2835</v>
      </c>
      <c r="C4" s="5"/>
    </row>
    <row r="5" spans="1:5" x14ac:dyDescent="0.25">
      <c r="A5" s="96"/>
      <c r="C5" s="5"/>
    </row>
    <row r="6" spans="1:5" ht="63" x14ac:dyDescent="0.25">
      <c r="A6" s="96">
        <v>2</v>
      </c>
      <c r="B6" s="13" t="s">
        <v>2836</v>
      </c>
      <c r="C6" s="5"/>
    </row>
    <row r="7" spans="1:5" x14ac:dyDescent="0.25">
      <c r="A7" s="96"/>
      <c r="B7" s="30"/>
      <c r="C7" s="5"/>
    </row>
    <row r="8" spans="1:5" s="112" customFormat="1" ht="31.5" x14ac:dyDescent="0.2">
      <c r="A8" s="55" t="s">
        <v>6402</v>
      </c>
      <c r="B8" s="55" t="s">
        <v>2434</v>
      </c>
      <c r="C8" s="55" t="s">
        <v>2435</v>
      </c>
      <c r="D8" s="172" t="s">
        <v>18</v>
      </c>
    </row>
    <row r="9" spans="1:5" x14ac:dyDescent="0.25">
      <c r="A9" s="55">
        <v>1</v>
      </c>
      <c r="B9" s="55">
        <v>2</v>
      </c>
      <c r="C9" s="55">
        <v>3</v>
      </c>
      <c r="D9" s="45">
        <v>4</v>
      </c>
    </row>
    <row r="10" spans="1:5" x14ac:dyDescent="0.25">
      <c r="A10" s="117"/>
      <c r="B10" s="125"/>
      <c r="C10" s="117"/>
    </row>
    <row r="11" spans="1:5" ht="47.25" x14ac:dyDescent="0.25">
      <c r="A11" s="3">
        <v>6.1</v>
      </c>
      <c r="B11" s="13" t="s">
        <v>2884</v>
      </c>
      <c r="C11" s="7"/>
      <c r="E11" s="173"/>
    </row>
    <row r="12" spans="1:5" x14ac:dyDescent="0.25">
      <c r="A12" s="3" t="s">
        <v>2837</v>
      </c>
      <c r="B12" s="13" t="s">
        <v>2838</v>
      </c>
      <c r="C12" s="7" t="s">
        <v>2787</v>
      </c>
      <c r="D12" s="101">
        <v>1850</v>
      </c>
      <c r="E12" s="173"/>
    </row>
    <row r="13" spans="1:5" x14ac:dyDescent="0.25">
      <c r="A13" s="3" t="s">
        <v>2839</v>
      </c>
      <c r="B13" s="13" t="s">
        <v>2840</v>
      </c>
      <c r="C13" s="7" t="s">
        <v>2787</v>
      </c>
      <c r="D13" s="101">
        <v>1744</v>
      </c>
    </row>
    <row r="14" spans="1:5" x14ac:dyDescent="0.25">
      <c r="A14" s="3" t="s">
        <v>2841</v>
      </c>
      <c r="B14" s="13" t="s">
        <v>2842</v>
      </c>
      <c r="C14" s="7" t="s">
        <v>2787</v>
      </c>
      <c r="D14" s="101">
        <v>3528</v>
      </c>
    </row>
    <row r="15" spans="1:5" x14ac:dyDescent="0.25">
      <c r="A15" s="3" t="s">
        <v>2843</v>
      </c>
      <c r="B15" s="13" t="s">
        <v>2844</v>
      </c>
      <c r="C15" s="7" t="s">
        <v>2787</v>
      </c>
      <c r="D15" s="101">
        <v>3182</v>
      </c>
    </row>
    <row r="16" spans="1:5" x14ac:dyDescent="0.25">
      <c r="A16" s="3" t="s">
        <v>2845</v>
      </c>
      <c r="B16" s="13" t="s">
        <v>2846</v>
      </c>
      <c r="C16" s="7" t="s">
        <v>2787</v>
      </c>
      <c r="D16" s="101">
        <v>2998</v>
      </c>
    </row>
    <row r="17" spans="1:4" x14ac:dyDescent="0.25">
      <c r="A17" s="3" t="s">
        <v>2847</v>
      </c>
      <c r="B17" s="13" t="s">
        <v>2848</v>
      </c>
      <c r="C17" s="7" t="s">
        <v>2787</v>
      </c>
      <c r="D17" s="101">
        <v>2838</v>
      </c>
    </row>
    <row r="18" spans="1:4" x14ac:dyDescent="0.25">
      <c r="A18" s="3"/>
      <c r="C18" s="4"/>
      <c r="D18" s="101"/>
    </row>
    <row r="19" spans="1:4" ht="47.25" x14ac:dyDescent="0.25">
      <c r="A19" s="3">
        <v>6.2</v>
      </c>
      <c r="B19" s="13" t="s">
        <v>2885</v>
      </c>
      <c r="C19" s="7"/>
      <c r="D19" s="101"/>
    </row>
    <row r="20" spans="1:4" x14ac:dyDescent="0.25">
      <c r="A20" s="3" t="s">
        <v>2849</v>
      </c>
      <c r="B20" s="13" t="s">
        <v>2838</v>
      </c>
      <c r="C20" s="7" t="s">
        <v>2787</v>
      </c>
      <c r="D20" s="101">
        <v>2490</v>
      </c>
    </row>
    <row r="21" spans="1:4" x14ac:dyDescent="0.25">
      <c r="A21" s="3" t="s">
        <v>2850</v>
      </c>
      <c r="B21" s="13" t="s">
        <v>2840</v>
      </c>
      <c r="C21" s="7" t="s">
        <v>2787</v>
      </c>
      <c r="D21" s="101">
        <v>2385</v>
      </c>
    </row>
    <row r="22" spans="1:4" x14ac:dyDescent="0.25">
      <c r="A22" s="3" t="s">
        <v>2851</v>
      </c>
      <c r="B22" s="13" t="s">
        <v>2842</v>
      </c>
      <c r="C22" s="7" t="s">
        <v>2787</v>
      </c>
      <c r="D22" s="101">
        <v>4169</v>
      </c>
    </row>
    <row r="23" spans="1:4" x14ac:dyDescent="0.25">
      <c r="A23" s="3" t="s">
        <v>2852</v>
      </c>
      <c r="B23" s="13" t="s">
        <v>2844</v>
      </c>
      <c r="C23" s="7" t="s">
        <v>2787</v>
      </c>
      <c r="D23" s="101">
        <v>3824</v>
      </c>
    </row>
    <row r="24" spans="1:4" x14ac:dyDescent="0.25">
      <c r="A24" s="3" t="s">
        <v>2853</v>
      </c>
      <c r="B24" s="13" t="s">
        <v>2846</v>
      </c>
      <c r="C24" s="7" t="s">
        <v>2787</v>
      </c>
      <c r="D24" s="101">
        <v>3639</v>
      </c>
    </row>
    <row r="25" spans="1:4" x14ac:dyDescent="0.25">
      <c r="A25" s="3" t="s">
        <v>2854</v>
      </c>
      <c r="B25" s="13" t="s">
        <v>2848</v>
      </c>
      <c r="C25" s="7" t="s">
        <v>2787</v>
      </c>
      <c r="D25" s="101">
        <v>3479</v>
      </c>
    </row>
    <row r="26" spans="1:4" x14ac:dyDescent="0.25">
      <c r="A26" s="3"/>
      <c r="C26" s="7"/>
      <c r="D26" s="101"/>
    </row>
    <row r="27" spans="1:4" ht="31.5" x14ac:dyDescent="0.25">
      <c r="A27" s="3">
        <v>6.3</v>
      </c>
      <c r="B27" s="13" t="s">
        <v>2886</v>
      </c>
      <c r="C27" s="7"/>
      <c r="D27" s="101"/>
    </row>
    <row r="28" spans="1:4" x14ac:dyDescent="0.25">
      <c r="A28" s="3" t="s">
        <v>2855</v>
      </c>
      <c r="B28" s="13" t="s">
        <v>2887</v>
      </c>
      <c r="C28" s="7" t="s">
        <v>2787</v>
      </c>
      <c r="D28" s="101">
        <v>173</v>
      </c>
    </row>
    <row r="29" spans="1:4" x14ac:dyDescent="0.25">
      <c r="A29" s="3" t="s">
        <v>2857</v>
      </c>
      <c r="B29" s="13" t="s">
        <v>2888</v>
      </c>
      <c r="C29" s="7" t="s">
        <v>2787</v>
      </c>
      <c r="D29" s="101">
        <v>519</v>
      </c>
    </row>
    <row r="30" spans="1:4" x14ac:dyDescent="0.25">
      <c r="A30" s="3" t="s">
        <v>2859</v>
      </c>
      <c r="B30" s="13" t="s">
        <v>2856</v>
      </c>
      <c r="C30" s="3" t="s">
        <v>2439</v>
      </c>
      <c r="D30" s="101">
        <v>319</v>
      </c>
    </row>
    <row r="31" spans="1:4" x14ac:dyDescent="0.25">
      <c r="A31" s="3" t="s">
        <v>2889</v>
      </c>
      <c r="B31" s="13" t="s">
        <v>2858</v>
      </c>
      <c r="C31" s="3" t="s">
        <v>2439</v>
      </c>
      <c r="D31" s="101">
        <v>186</v>
      </c>
    </row>
    <row r="32" spans="1:4" x14ac:dyDescent="0.25">
      <c r="A32" s="3"/>
      <c r="C32" s="3"/>
      <c r="D32" s="101"/>
    </row>
    <row r="33" spans="1:4" x14ac:dyDescent="0.25">
      <c r="A33" s="3"/>
      <c r="C33" s="3"/>
      <c r="D33" s="101"/>
    </row>
    <row r="34" spans="1:4" ht="31.5" x14ac:dyDescent="0.25">
      <c r="A34" s="3">
        <v>6.4</v>
      </c>
      <c r="B34" s="13" t="s">
        <v>2890</v>
      </c>
      <c r="C34" s="3"/>
      <c r="D34" s="101"/>
    </row>
    <row r="35" spans="1:4" x14ac:dyDescent="0.25">
      <c r="A35" s="3" t="s">
        <v>2860</v>
      </c>
      <c r="B35" s="13" t="s">
        <v>2861</v>
      </c>
      <c r="C35" s="3" t="s">
        <v>2437</v>
      </c>
      <c r="D35" s="101">
        <v>618</v>
      </c>
    </row>
    <row r="36" spans="1:4" x14ac:dyDescent="0.25">
      <c r="A36" s="3"/>
      <c r="C36" s="3"/>
      <c r="D36" s="101"/>
    </row>
    <row r="37" spans="1:4" x14ac:dyDescent="0.25">
      <c r="A37" s="3" t="s">
        <v>2862</v>
      </c>
      <c r="B37" s="13" t="s">
        <v>2863</v>
      </c>
      <c r="C37" s="3" t="s">
        <v>2437</v>
      </c>
      <c r="D37" s="101">
        <v>491</v>
      </c>
    </row>
    <row r="38" spans="1:4" x14ac:dyDescent="0.25">
      <c r="A38" s="3"/>
      <c r="C38" s="3"/>
      <c r="D38" s="101"/>
    </row>
    <row r="39" spans="1:4" x14ac:dyDescent="0.25">
      <c r="A39" s="3" t="s">
        <v>2864</v>
      </c>
      <c r="B39" s="13" t="s">
        <v>2865</v>
      </c>
      <c r="C39" s="3" t="s">
        <v>2437</v>
      </c>
      <c r="D39" s="101">
        <v>666</v>
      </c>
    </row>
    <row r="40" spans="1:4" x14ac:dyDescent="0.25">
      <c r="A40" s="3"/>
      <c r="C40" s="3"/>
      <c r="D40" s="101"/>
    </row>
    <row r="41" spans="1:4" x14ac:dyDescent="0.25">
      <c r="A41" s="3" t="s">
        <v>2866</v>
      </c>
      <c r="B41" s="13" t="s">
        <v>2867</v>
      </c>
      <c r="C41" s="3" t="s">
        <v>2606</v>
      </c>
      <c r="D41" s="101">
        <v>381</v>
      </c>
    </row>
    <row r="42" spans="1:4" x14ac:dyDescent="0.25">
      <c r="A42" s="3"/>
      <c r="C42" s="3"/>
      <c r="D42" s="101"/>
    </row>
    <row r="43" spans="1:4" x14ac:dyDescent="0.25">
      <c r="A43" s="3" t="s">
        <v>2868</v>
      </c>
      <c r="B43" s="13" t="s">
        <v>2869</v>
      </c>
      <c r="C43" s="3" t="s">
        <v>2606</v>
      </c>
      <c r="D43" s="101">
        <v>336</v>
      </c>
    </row>
    <row r="44" spans="1:4" x14ac:dyDescent="0.25">
      <c r="A44" s="3"/>
      <c r="C44" s="3"/>
      <c r="D44" s="101"/>
    </row>
    <row r="45" spans="1:4" s="176" customFormat="1" ht="63" x14ac:dyDescent="0.25">
      <c r="A45" s="3" t="s">
        <v>5717</v>
      </c>
      <c r="B45" s="13" t="s">
        <v>5716</v>
      </c>
      <c r="C45" s="3" t="s">
        <v>2606</v>
      </c>
      <c r="D45" s="101">
        <v>290</v>
      </c>
    </row>
    <row r="46" spans="1:4" x14ac:dyDescent="0.25">
      <c r="A46" s="3"/>
      <c r="C46" s="3"/>
      <c r="D46" s="101"/>
    </row>
    <row r="47" spans="1:4" ht="31.5" x14ac:dyDescent="0.25">
      <c r="A47" s="3">
        <v>6.5</v>
      </c>
      <c r="B47" s="13" t="s">
        <v>2317</v>
      </c>
      <c r="C47" s="3" t="s">
        <v>2439</v>
      </c>
      <c r="D47" s="101">
        <v>545</v>
      </c>
    </row>
    <row r="48" spans="1:4" x14ac:dyDescent="0.25">
      <c r="A48" s="3"/>
      <c r="C48" s="3"/>
      <c r="D48" s="101"/>
    </row>
    <row r="49" spans="1:4" ht="47.25" x14ac:dyDescent="0.25">
      <c r="A49" s="3">
        <v>6.6</v>
      </c>
      <c r="B49" s="13" t="s">
        <v>2318</v>
      </c>
      <c r="C49" s="3" t="s">
        <v>1491</v>
      </c>
      <c r="D49" s="101">
        <v>307</v>
      </c>
    </row>
    <row r="50" spans="1:4" x14ac:dyDescent="0.25">
      <c r="A50" s="3"/>
      <c r="C50" s="3"/>
      <c r="D50" s="101"/>
    </row>
    <row r="51" spans="1:4" x14ac:dyDescent="0.25">
      <c r="A51" s="3">
        <v>6.7</v>
      </c>
      <c r="B51" s="13" t="s">
        <v>2319</v>
      </c>
      <c r="C51" s="3" t="s">
        <v>2439</v>
      </c>
      <c r="D51" s="101">
        <v>124</v>
      </c>
    </row>
    <row r="52" spans="1:4" x14ac:dyDescent="0.25">
      <c r="A52" s="3"/>
      <c r="C52" s="3"/>
      <c r="D52" s="101"/>
    </row>
    <row r="53" spans="1:4" ht="34.5" x14ac:dyDescent="0.25">
      <c r="A53" s="11" t="s">
        <v>2882</v>
      </c>
      <c r="B53" s="13" t="s">
        <v>6080</v>
      </c>
      <c r="C53" s="3" t="s">
        <v>2439</v>
      </c>
      <c r="D53" s="101">
        <v>575</v>
      </c>
    </row>
    <row r="54" spans="1:4" x14ac:dyDescent="0.25">
      <c r="A54" s="3"/>
      <c r="C54" s="3"/>
      <c r="D54" s="101"/>
    </row>
    <row r="55" spans="1:4" ht="157.5" customHeight="1" x14ac:dyDescent="0.25">
      <c r="A55" s="3">
        <v>6.8</v>
      </c>
      <c r="B55" s="13" t="s">
        <v>4924</v>
      </c>
      <c r="C55" s="3"/>
      <c r="D55" s="101"/>
    </row>
    <row r="56" spans="1:4" x14ac:dyDescent="0.25">
      <c r="A56" s="3" t="s">
        <v>2320</v>
      </c>
      <c r="B56" s="13" t="s">
        <v>2316</v>
      </c>
      <c r="C56" s="3" t="s">
        <v>2606</v>
      </c>
      <c r="D56" s="101">
        <v>1814</v>
      </c>
    </row>
    <row r="57" spans="1:4" x14ac:dyDescent="0.25">
      <c r="A57" s="3"/>
      <c r="C57" s="3"/>
      <c r="D57" s="101"/>
    </row>
    <row r="58" spans="1:4" x14ac:dyDescent="0.25">
      <c r="A58" s="3" t="s">
        <v>2322</v>
      </c>
      <c r="B58" s="201" t="s">
        <v>2321</v>
      </c>
      <c r="C58" s="3" t="s">
        <v>2606</v>
      </c>
      <c r="D58" s="101">
        <v>2500</v>
      </c>
    </row>
    <row r="59" spans="1:4" x14ac:dyDescent="0.25">
      <c r="A59" s="3"/>
      <c r="C59" s="3"/>
      <c r="D59" s="101"/>
    </row>
    <row r="60" spans="1:4" x14ac:dyDescent="0.25">
      <c r="A60" s="3"/>
      <c r="C60" s="3"/>
      <c r="D60" s="101"/>
    </row>
    <row r="61" spans="1:4" ht="126" x14ac:dyDescent="0.25">
      <c r="A61" s="3">
        <v>6.9</v>
      </c>
      <c r="B61" s="13" t="s">
        <v>4930</v>
      </c>
      <c r="C61" s="3"/>
      <c r="D61" s="101"/>
    </row>
    <row r="62" spans="1:4" x14ac:dyDescent="0.25">
      <c r="A62" s="3" t="s">
        <v>2323</v>
      </c>
      <c r="B62" s="13" t="s">
        <v>2316</v>
      </c>
      <c r="C62" s="3" t="s">
        <v>2606</v>
      </c>
      <c r="D62" s="101">
        <v>1851</v>
      </c>
    </row>
    <row r="63" spans="1:4" x14ac:dyDescent="0.25">
      <c r="A63" s="3" t="s">
        <v>2324</v>
      </c>
      <c r="B63" s="201" t="s">
        <v>2325</v>
      </c>
      <c r="C63" s="3" t="s">
        <v>2606</v>
      </c>
      <c r="D63" s="101">
        <v>2536</v>
      </c>
    </row>
    <row r="64" spans="1:4" x14ac:dyDescent="0.25">
      <c r="A64" s="3"/>
      <c r="C64" s="3"/>
      <c r="D64" s="101"/>
    </row>
    <row r="65" spans="1:4" ht="173.25" x14ac:dyDescent="0.25">
      <c r="A65" s="7">
        <v>6.1</v>
      </c>
      <c r="B65" s="13" t="s">
        <v>6082</v>
      </c>
      <c r="C65" s="3"/>
      <c r="D65" s="101"/>
    </row>
    <row r="66" spans="1:4" x14ac:dyDescent="0.25">
      <c r="A66" s="7" t="s">
        <v>2326</v>
      </c>
      <c r="B66" s="13" t="s">
        <v>2316</v>
      </c>
      <c r="C66" s="3" t="s">
        <v>2606</v>
      </c>
      <c r="D66" s="101">
        <v>1353</v>
      </c>
    </row>
    <row r="67" spans="1:4" x14ac:dyDescent="0.25">
      <c r="A67" s="3" t="s">
        <v>2327</v>
      </c>
      <c r="B67" s="201" t="s">
        <v>2328</v>
      </c>
      <c r="C67" s="3" t="s">
        <v>2606</v>
      </c>
      <c r="D67" s="101">
        <v>1455</v>
      </c>
    </row>
    <row r="68" spans="1:4" x14ac:dyDescent="0.25">
      <c r="A68" s="3"/>
      <c r="C68" s="3"/>
      <c r="D68" s="101"/>
    </row>
    <row r="69" spans="1:4" ht="78.75" x14ac:dyDescent="0.25">
      <c r="A69" s="7">
        <v>6.11</v>
      </c>
      <c r="B69" s="13" t="s">
        <v>6083</v>
      </c>
      <c r="C69" s="3" t="s">
        <v>2634</v>
      </c>
      <c r="D69" s="101">
        <v>707</v>
      </c>
    </row>
    <row r="70" spans="1:4" x14ac:dyDescent="0.25">
      <c r="A70" s="3"/>
      <c r="C70" s="3"/>
      <c r="D70" s="101"/>
    </row>
    <row r="71" spans="1:4" ht="63" x14ac:dyDescent="0.25">
      <c r="A71" s="7">
        <v>6.12</v>
      </c>
      <c r="B71" s="13" t="s">
        <v>2891</v>
      </c>
      <c r="C71" s="3" t="s">
        <v>4217</v>
      </c>
      <c r="D71" s="101">
        <v>26</v>
      </c>
    </row>
    <row r="72" spans="1:4" x14ac:dyDescent="0.25">
      <c r="A72" s="3"/>
      <c r="C72" s="3"/>
      <c r="D72" s="101"/>
    </row>
    <row r="73" spans="1:4" ht="63" x14ac:dyDescent="0.25">
      <c r="A73" s="7">
        <v>6.13</v>
      </c>
      <c r="B73" s="13" t="s">
        <v>2892</v>
      </c>
      <c r="C73" s="3" t="s">
        <v>4217</v>
      </c>
      <c r="D73" s="101">
        <v>26</v>
      </c>
    </row>
    <row r="74" spans="1:4" x14ac:dyDescent="0.25">
      <c r="A74" s="3"/>
      <c r="C74" s="3"/>
      <c r="D74" s="101"/>
    </row>
    <row r="75" spans="1:4" ht="47.25" x14ac:dyDescent="0.25">
      <c r="A75" s="3">
        <v>6.14</v>
      </c>
      <c r="B75" s="13" t="s">
        <v>2329</v>
      </c>
      <c r="C75" s="3" t="s">
        <v>2606</v>
      </c>
      <c r="D75" s="101">
        <v>64</v>
      </c>
    </row>
    <row r="76" spans="1:4" x14ac:dyDescent="0.25">
      <c r="A76" s="3"/>
      <c r="B76" s="201"/>
      <c r="C76" s="3"/>
      <c r="D76" s="101"/>
    </row>
    <row r="77" spans="1:4" ht="78.75" x14ac:dyDescent="0.25">
      <c r="A77" s="7">
        <v>6.15</v>
      </c>
      <c r="B77" s="13" t="s">
        <v>2309</v>
      </c>
      <c r="C77" s="3" t="s">
        <v>2606</v>
      </c>
      <c r="D77" s="101">
        <v>883</v>
      </c>
    </row>
    <row r="78" spans="1:4" x14ac:dyDescent="0.25">
      <c r="A78" s="3"/>
      <c r="C78" s="3"/>
      <c r="D78" s="101"/>
    </row>
    <row r="79" spans="1:4" ht="31.5" x14ac:dyDescent="0.25">
      <c r="A79" s="7">
        <v>6.16</v>
      </c>
      <c r="B79" s="13" t="s">
        <v>2878</v>
      </c>
      <c r="C79" s="3"/>
      <c r="D79" s="101"/>
    </row>
    <row r="80" spans="1:4" x14ac:dyDescent="0.25">
      <c r="A80" s="3" t="s">
        <v>2876</v>
      </c>
      <c r="B80" s="13" t="s">
        <v>2880</v>
      </c>
      <c r="C80" s="3" t="s">
        <v>2606</v>
      </c>
      <c r="D80" s="101">
        <v>921</v>
      </c>
    </row>
    <row r="81" spans="1:4" x14ac:dyDescent="0.25">
      <c r="A81" s="3" t="s">
        <v>2877</v>
      </c>
      <c r="B81" s="13" t="s">
        <v>2870</v>
      </c>
      <c r="C81" s="3" t="s">
        <v>2606</v>
      </c>
      <c r="D81" s="101">
        <v>825</v>
      </c>
    </row>
    <row r="82" spans="1:4" x14ac:dyDescent="0.25">
      <c r="A82" s="3"/>
      <c r="C82" s="3"/>
      <c r="D82" s="101"/>
    </row>
    <row r="83" spans="1:4" ht="31.5" x14ac:dyDescent="0.25">
      <c r="A83" s="7">
        <v>6.17</v>
      </c>
      <c r="B83" s="13" t="s">
        <v>2331</v>
      </c>
      <c r="C83" s="3"/>
      <c r="D83" s="101"/>
    </row>
    <row r="84" spans="1:4" x14ac:dyDescent="0.25">
      <c r="A84" s="3" t="s">
        <v>2332</v>
      </c>
      <c r="B84" s="13" t="s">
        <v>2871</v>
      </c>
      <c r="C84" s="3" t="s">
        <v>2606</v>
      </c>
      <c r="D84" s="101">
        <v>504</v>
      </c>
    </row>
    <row r="85" spans="1:4" x14ac:dyDescent="0.25">
      <c r="A85" s="3" t="s">
        <v>2333</v>
      </c>
      <c r="B85" s="13" t="s">
        <v>2872</v>
      </c>
      <c r="C85" s="3" t="s">
        <v>2606</v>
      </c>
      <c r="D85" s="101">
        <v>673</v>
      </c>
    </row>
    <row r="86" spans="1:4" x14ac:dyDescent="0.25">
      <c r="A86" s="3" t="s">
        <v>2334</v>
      </c>
      <c r="B86" s="13" t="s">
        <v>6081</v>
      </c>
      <c r="C86" s="3" t="s">
        <v>2606</v>
      </c>
      <c r="D86" s="101">
        <v>609</v>
      </c>
    </row>
    <row r="87" spans="1:4" x14ac:dyDescent="0.25">
      <c r="A87" s="3"/>
      <c r="C87" s="3"/>
      <c r="D87" s="101"/>
    </row>
    <row r="88" spans="1:4" ht="31.5" x14ac:dyDescent="0.25">
      <c r="A88" s="7">
        <v>6.18</v>
      </c>
      <c r="B88" s="13" t="s">
        <v>2873</v>
      </c>
      <c r="C88" s="3"/>
      <c r="D88" s="101"/>
    </row>
    <row r="89" spans="1:4" x14ac:dyDescent="0.25">
      <c r="A89" s="7" t="s">
        <v>2879</v>
      </c>
      <c r="B89" s="13" t="s">
        <v>2874</v>
      </c>
      <c r="C89" s="3" t="s">
        <v>2439</v>
      </c>
      <c r="D89" s="101">
        <v>9621</v>
      </c>
    </row>
    <row r="90" spans="1:4" x14ac:dyDescent="0.25">
      <c r="A90" s="7" t="s">
        <v>2881</v>
      </c>
      <c r="B90" s="13" t="s">
        <v>2875</v>
      </c>
      <c r="C90" s="3" t="s">
        <v>2439</v>
      </c>
      <c r="D90" s="101">
        <v>9162</v>
      </c>
    </row>
    <row r="91" spans="1:4" x14ac:dyDescent="0.25">
      <c r="A91" s="21"/>
      <c r="B91" s="30"/>
      <c r="C91" s="3"/>
      <c r="D91" s="101"/>
    </row>
    <row r="92" spans="1:4" ht="63" x14ac:dyDescent="0.25">
      <c r="A92" s="7">
        <v>6.19</v>
      </c>
      <c r="B92" s="13" t="s">
        <v>4931</v>
      </c>
      <c r="C92" s="3"/>
      <c r="D92" s="101"/>
    </row>
    <row r="93" spans="1:4" x14ac:dyDescent="0.25">
      <c r="A93" s="7" t="s">
        <v>2335</v>
      </c>
      <c r="B93" s="13" t="s">
        <v>2330</v>
      </c>
      <c r="C93" s="3" t="s">
        <v>2606</v>
      </c>
      <c r="D93" s="101">
        <v>1243</v>
      </c>
    </row>
    <row r="94" spans="1:4" x14ac:dyDescent="0.25">
      <c r="A94" s="7" t="s">
        <v>2336</v>
      </c>
      <c r="B94" s="13" t="s">
        <v>2310</v>
      </c>
      <c r="C94" s="3" t="s">
        <v>2606</v>
      </c>
      <c r="D94" s="101">
        <v>1458</v>
      </c>
    </row>
    <row r="95" spans="1:4" x14ac:dyDescent="0.25">
      <c r="A95" s="7" t="s">
        <v>2337</v>
      </c>
      <c r="B95" s="13" t="s">
        <v>2311</v>
      </c>
      <c r="C95" s="3" t="s">
        <v>2606</v>
      </c>
      <c r="D95" s="101">
        <v>1664</v>
      </c>
    </row>
    <row r="96" spans="1:4" x14ac:dyDescent="0.25">
      <c r="A96" s="7"/>
      <c r="C96" s="3"/>
      <c r="D96" s="101"/>
    </row>
    <row r="97" spans="1:4" ht="110.25" x14ac:dyDescent="0.25">
      <c r="A97" s="7">
        <v>6.2</v>
      </c>
      <c r="B97" s="13" t="s">
        <v>4932</v>
      </c>
      <c r="C97" s="3" t="s">
        <v>2606</v>
      </c>
      <c r="D97" s="101">
        <v>5309</v>
      </c>
    </row>
    <row r="98" spans="1:4" x14ac:dyDescent="0.25">
      <c r="A98" s="3"/>
      <c r="C98" s="3"/>
      <c r="D98" s="101"/>
    </row>
    <row r="99" spans="1:4" ht="94.5" x14ac:dyDescent="0.25">
      <c r="A99" s="7">
        <v>6.21</v>
      </c>
      <c r="B99" s="13" t="s">
        <v>4933</v>
      </c>
      <c r="C99" s="3" t="s">
        <v>2606</v>
      </c>
      <c r="D99" s="101">
        <v>7851</v>
      </c>
    </row>
    <row r="100" spans="1:4" x14ac:dyDescent="0.25">
      <c r="A100" s="3"/>
      <c r="C100" s="3"/>
      <c r="D100" s="101"/>
    </row>
    <row r="101" spans="1:4" ht="78.75" x14ac:dyDescent="0.25">
      <c r="A101" s="7">
        <v>6.22</v>
      </c>
      <c r="B101" s="13" t="s">
        <v>4934</v>
      </c>
      <c r="C101" s="3" t="s">
        <v>2606</v>
      </c>
      <c r="D101" s="101">
        <v>8813</v>
      </c>
    </row>
    <row r="102" spans="1:4" x14ac:dyDescent="0.25">
      <c r="A102" s="3"/>
      <c r="C102" s="3"/>
      <c r="D102" s="101"/>
    </row>
    <row r="103" spans="1:4" ht="111" customHeight="1" x14ac:dyDescent="0.25">
      <c r="A103" s="7">
        <v>6.23</v>
      </c>
      <c r="B103" s="13" t="s">
        <v>4935</v>
      </c>
      <c r="C103" s="3" t="s">
        <v>4217</v>
      </c>
      <c r="D103" s="101">
        <v>800</v>
      </c>
    </row>
    <row r="104" spans="1:4" x14ac:dyDescent="0.25">
      <c r="A104" s="21"/>
      <c r="C104" s="3"/>
      <c r="D104" s="101"/>
    </row>
    <row r="105" spans="1:4" ht="78.75" x14ac:dyDescent="0.25">
      <c r="A105" s="7">
        <v>6.24</v>
      </c>
      <c r="B105" s="13" t="s">
        <v>4335</v>
      </c>
      <c r="C105" s="3" t="s">
        <v>2437</v>
      </c>
      <c r="D105" s="101">
        <v>982</v>
      </c>
    </row>
    <row r="106" spans="1:4" x14ac:dyDescent="0.25">
      <c r="A106" s="21"/>
      <c r="C106" s="3"/>
      <c r="D106" s="101"/>
    </row>
    <row r="107" spans="1:4" s="176" customFormat="1" x14ac:dyDescent="0.25">
      <c r="A107" s="7"/>
      <c r="B107" s="125" t="s">
        <v>5718</v>
      </c>
      <c r="C107" s="3"/>
      <c r="D107" s="101"/>
    </row>
    <row r="108" spans="1:4" s="176" customFormat="1" ht="57" customHeight="1" x14ac:dyDescent="0.25">
      <c r="A108" s="7">
        <v>6.25</v>
      </c>
      <c r="B108" s="13" t="s">
        <v>5719</v>
      </c>
      <c r="C108" s="3"/>
      <c r="D108" s="101"/>
    </row>
    <row r="109" spans="1:4" s="176" customFormat="1" x14ac:dyDescent="0.25">
      <c r="A109" s="7" t="s">
        <v>5720</v>
      </c>
      <c r="B109" s="13" t="s">
        <v>5721</v>
      </c>
      <c r="C109" s="3" t="s">
        <v>2439</v>
      </c>
      <c r="D109" s="101">
        <v>8114</v>
      </c>
    </row>
    <row r="110" spans="1:4" s="176" customFormat="1" x14ac:dyDescent="0.25">
      <c r="A110" s="7"/>
      <c r="B110" s="13"/>
      <c r="C110" s="3"/>
      <c r="D110" s="101"/>
    </row>
    <row r="111" spans="1:4" s="176" customFormat="1" x14ac:dyDescent="0.25">
      <c r="A111" s="7" t="s">
        <v>5722</v>
      </c>
      <c r="B111" s="13" t="s">
        <v>5723</v>
      </c>
      <c r="C111" s="3" t="s">
        <v>2439</v>
      </c>
      <c r="D111" s="101">
        <v>9060</v>
      </c>
    </row>
    <row r="112" spans="1:4" s="176" customFormat="1" x14ac:dyDescent="0.25">
      <c r="A112" s="7"/>
      <c r="B112" s="13"/>
      <c r="C112" s="3"/>
      <c r="D112" s="6"/>
    </row>
    <row r="113" spans="1:4" s="176" customFormat="1" x14ac:dyDescent="0.25">
      <c r="A113" s="7" t="s">
        <v>5724</v>
      </c>
      <c r="B113" s="13" t="s">
        <v>5725</v>
      </c>
      <c r="C113" s="3" t="s">
        <v>2439</v>
      </c>
      <c r="D113" s="101">
        <v>11963</v>
      </c>
    </row>
    <row r="114" spans="1:4" s="176" customFormat="1" x14ac:dyDescent="0.25">
      <c r="A114" s="7"/>
      <c r="B114" s="13"/>
      <c r="C114" s="3"/>
      <c r="D114" s="101"/>
    </row>
    <row r="115" spans="1:4" s="176" customFormat="1" x14ac:dyDescent="0.25">
      <c r="A115" s="7" t="s">
        <v>5726</v>
      </c>
      <c r="B115" s="13" t="s">
        <v>5727</v>
      </c>
      <c r="C115" s="3" t="s">
        <v>2439</v>
      </c>
      <c r="D115" s="101">
        <v>12528</v>
      </c>
    </row>
    <row r="116" spans="1:4" s="176" customFormat="1" x14ac:dyDescent="0.25">
      <c r="A116" s="7"/>
      <c r="B116" s="13"/>
      <c r="C116" s="3"/>
      <c r="D116" s="101"/>
    </row>
    <row r="117" spans="1:4" s="176" customFormat="1" ht="31.5" x14ac:dyDescent="0.25">
      <c r="A117" s="7" t="s">
        <v>5728</v>
      </c>
      <c r="B117" s="13" t="s">
        <v>5729</v>
      </c>
      <c r="C117" s="3" t="s">
        <v>2439</v>
      </c>
      <c r="D117" s="101">
        <v>14819</v>
      </c>
    </row>
    <row r="118" spans="1:4" s="176" customFormat="1" x14ac:dyDescent="0.25">
      <c r="A118" s="7"/>
      <c r="B118" s="13"/>
      <c r="C118" s="3"/>
      <c r="D118" s="101"/>
    </row>
    <row r="119" spans="1:4" s="176" customFormat="1" ht="31.5" x14ac:dyDescent="0.25">
      <c r="A119" s="7" t="s">
        <v>5730</v>
      </c>
      <c r="B119" s="13" t="s">
        <v>5731</v>
      </c>
      <c r="C119" s="3" t="s">
        <v>2439</v>
      </c>
      <c r="D119" s="101">
        <v>13815</v>
      </c>
    </row>
    <row r="120" spans="1:4" s="176" customFormat="1" x14ac:dyDescent="0.25">
      <c r="A120" s="7"/>
      <c r="B120" s="13"/>
      <c r="C120" s="3"/>
      <c r="D120" s="101"/>
    </row>
    <row r="121" spans="1:4" s="176" customFormat="1" x14ac:dyDescent="0.25">
      <c r="A121" s="7" t="s">
        <v>5732</v>
      </c>
      <c r="B121" s="13" t="s">
        <v>5733</v>
      </c>
      <c r="C121" s="3" t="s">
        <v>2439</v>
      </c>
      <c r="D121" s="101">
        <v>6000</v>
      </c>
    </row>
    <row r="122" spans="1:4" s="176" customFormat="1" x14ac:dyDescent="0.25">
      <c r="A122" s="7"/>
      <c r="B122" s="13"/>
      <c r="C122" s="3"/>
      <c r="D122" s="101"/>
    </row>
    <row r="123" spans="1:4" s="176" customFormat="1" ht="31.5" x14ac:dyDescent="0.25">
      <c r="A123" s="7" t="s">
        <v>5734</v>
      </c>
      <c r="B123" s="13" t="s">
        <v>5735</v>
      </c>
      <c r="C123" s="3" t="s">
        <v>2439</v>
      </c>
      <c r="D123" s="101">
        <v>1966</v>
      </c>
    </row>
    <row r="124" spans="1:4" s="176" customFormat="1" x14ac:dyDescent="0.25">
      <c r="A124" s="7"/>
      <c r="B124" s="13"/>
      <c r="C124" s="3"/>
      <c r="D124" s="101"/>
    </row>
    <row r="125" spans="1:4" s="176" customFormat="1" x14ac:dyDescent="0.25">
      <c r="A125" s="7"/>
      <c r="B125" s="125" t="s">
        <v>5736</v>
      </c>
      <c r="C125" s="3"/>
      <c r="D125" s="101"/>
    </row>
    <row r="126" spans="1:4" s="176" customFormat="1" ht="31.5" x14ac:dyDescent="0.25">
      <c r="A126" s="7">
        <v>6.26</v>
      </c>
      <c r="B126" s="13" t="s">
        <v>5737</v>
      </c>
      <c r="C126" s="3"/>
      <c r="D126" s="101"/>
    </row>
    <row r="127" spans="1:4" s="176" customFormat="1" x14ac:dyDescent="0.25">
      <c r="A127" s="7" t="s">
        <v>5738</v>
      </c>
      <c r="B127" s="13" t="s">
        <v>5739</v>
      </c>
      <c r="C127" s="3" t="s">
        <v>2439</v>
      </c>
      <c r="D127" s="101">
        <v>25952</v>
      </c>
    </row>
    <row r="128" spans="1:4" s="176" customFormat="1" x14ac:dyDescent="0.25">
      <c r="A128" s="7"/>
      <c r="B128" s="13" t="s">
        <v>5740</v>
      </c>
      <c r="C128" s="3" t="s">
        <v>2439</v>
      </c>
      <c r="D128" s="101">
        <v>17161</v>
      </c>
    </row>
    <row r="129" spans="1:4" s="176" customFormat="1" x14ac:dyDescent="0.25">
      <c r="A129" s="7"/>
      <c r="B129" s="13"/>
      <c r="C129" s="3"/>
      <c r="D129" s="101"/>
    </row>
    <row r="130" spans="1:4" s="176" customFormat="1" x14ac:dyDescent="0.25">
      <c r="A130" s="7" t="s">
        <v>5741</v>
      </c>
      <c r="B130" s="13" t="s">
        <v>5742</v>
      </c>
      <c r="C130" s="3"/>
      <c r="D130" s="101"/>
    </row>
    <row r="131" spans="1:4" s="176" customFormat="1" x14ac:dyDescent="0.25">
      <c r="A131" s="7"/>
      <c r="B131" s="13" t="s">
        <v>5743</v>
      </c>
      <c r="C131" s="3" t="s">
        <v>2439</v>
      </c>
      <c r="D131" s="101">
        <v>17291</v>
      </c>
    </row>
    <row r="132" spans="1:4" s="176" customFormat="1" x14ac:dyDescent="0.25">
      <c r="A132" s="7"/>
      <c r="B132" s="13" t="s">
        <v>5744</v>
      </c>
      <c r="C132" s="3" t="s">
        <v>2439</v>
      </c>
      <c r="D132" s="101">
        <v>26082</v>
      </c>
    </row>
    <row r="133" spans="1:4" s="176" customFormat="1" x14ac:dyDescent="0.25">
      <c r="A133" s="7"/>
      <c r="B133" s="13"/>
      <c r="C133" s="3"/>
      <c r="D133" s="101"/>
    </row>
    <row r="134" spans="1:4" s="176" customFormat="1" x14ac:dyDescent="0.25">
      <c r="A134" s="7" t="s">
        <v>5745</v>
      </c>
      <c r="B134" s="13" t="s">
        <v>5746</v>
      </c>
      <c r="C134" s="3"/>
      <c r="D134" s="101"/>
    </row>
    <row r="135" spans="1:4" s="176" customFormat="1" x14ac:dyDescent="0.25">
      <c r="A135" s="7"/>
      <c r="B135" s="13" t="s">
        <v>5743</v>
      </c>
      <c r="C135" s="3" t="s">
        <v>2439</v>
      </c>
      <c r="D135" s="101">
        <v>17421</v>
      </c>
    </row>
    <row r="136" spans="1:4" s="176" customFormat="1" x14ac:dyDescent="0.25">
      <c r="A136" s="7"/>
      <c r="B136" s="13" t="s">
        <v>5744</v>
      </c>
      <c r="C136" s="3" t="s">
        <v>2439</v>
      </c>
      <c r="D136" s="101">
        <v>26245</v>
      </c>
    </row>
    <row r="137" spans="1:4" s="176" customFormat="1" x14ac:dyDescent="0.25">
      <c r="A137" s="7"/>
      <c r="B137" s="13"/>
      <c r="C137" s="3"/>
      <c r="D137" s="101"/>
    </row>
    <row r="138" spans="1:4" s="176" customFormat="1" x14ac:dyDescent="0.25">
      <c r="A138" s="7" t="s">
        <v>5747</v>
      </c>
      <c r="B138" s="13" t="s">
        <v>5748</v>
      </c>
      <c r="C138" s="3"/>
      <c r="D138" s="101"/>
    </row>
    <row r="139" spans="1:4" s="176" customFormat="1" x14ac:dyDescent="0.25">
      <c r="A139" s="7"/>
      <c r="B139" s="13" t="s">
        <v>5743</v>
      </c>
      <c r="C139" s="3" t="s">
        <v>2439</v>
      </c>
      <c r="D139" s="101">
        <v>17454</v>
      </c>
    </row>
    <row r="140" spans="1:4" s="176" customFormat="1" x14ac:dyDescent="0.25">
      <c r="A140" s="7"/>
      <c r="B140" s="13" t="s">
        <v>5744</v>
      </c>
      <c r="C140" s="3" t="s">
        <v>2439</v>
      </c>
      <c r="D140" s="101">
        <v>26245</v>
      </c>
    </row>
    <row r="141" spans="1:4" s="176" customFormat="1" x14ac:dyDescent="0.25">
      <c r="A141" s="7"/>
      <c r="B141" s="13"/>
      <c r="C141" s="3"/>
      <c r="D141" s="101"/>
    </row>
    <row r="142" spans="1:4" s="176" customFormat="1" ht="47.25" x14ac:dyDescent="0.25">
      <c r="A142" s="7">
        <v>6.27</v>
      </c>
      <c r="B142" s="13" t="s">
        <v>5749</v>
      </c>
      <c r="C142" s="3"/>
      <c r="D142" s="101"/>
    </row>
    <row r="143" spans="1:4" s="176" customFormat="1" x14ac:dyDescent="0.25">
      <c r="A143" s="7" t="s">
        <v>5750</v>
      </c>
      <c r="B143" s="13" t="s">
        <v>5751</v>
      </c>
      <c r="C143" s="3" t="s">
        <v>2439</v>
      </c>
      <c r="D143" s="101">
        <v>5019</v>
      </c>
    </row>
    <row r="144" spans="1:4" s="176" customFormat="1" x14ac:dyDescent="0.25">
      <c r="A144" s="7" t="s">
        <v>5752</v>
      </c>
      <c r="B144" s="13" t="s">
        <v>5742</v>
      </c>
      <c r="C144" s="3" t="s">
        <v>2439</v>
      </c>
      <c r="D144" s="101">
        <v>5149</v>
      </c>
    </row>
    <row r="145" spans="1:4" s="176" customFormat="1" x14ac:dyDescent="0.25">
      <c r="A145" s="7" t="s">
        <v>5753</v>
      </c>
      <c r="B145" s="13" t="s">
        <v>5754</v>
      </c>
      <c r="C145" s="3" t="s">
        <v>2439</v>
      </c>
      <c r="D145" s="101">
        <v>5312</v>
      </c>
    </row>
    <row r="146" spans="1:4" s="176" customFormat="1" x14ac:dyDescent="0.25">
      <c r="A146" s="7" t="s">
        <v>5755</v>
      </c>
      <c r="B146" s="13" t="s">
        <v>5756</v>
      </c>
      <c r="C146" s="3" t="s">
        <v>2439</v>
      </c>
      <c r="D146" s="101">
        <v>5507</v>
      </c>
    </row>
    <row r="147" spans="1:4" s="176" customFormat="1" x14ac:dyDescent="0.25">
      <c r="A147" s="7"/>
      <c r="B147" s="13"/>
      <c r="C147" s="3"/>
      <c r="D147" s="101"/>
    </row>
    <row r="148" spans="1:4" s="176" customFormat="1" ht="47.25" x14ac:dyDescent="0.25">
      <c r="A148" s="7">
        <v>6.28</v>
      </c>
      <c r="B148" s="13" t="s">
        <v>5757</v>
      </c>
      <c r="C148" s="3"/>
      <c r="D148" s="101"/>
    </row>
    <row r="149" spans="1:4" s="176" customFormat="1" x14ac:dyDescent="0.25">
      <c r="A149" s="7" t="s">
        <v>5758</v>
      </c>
      <c r="B149" s="13" t="s">
        <v>5759</v>
      </c>
      <c r="C149" s="3" t="s">
        <v>2439</v>
      </c>
      <c r="D149" s="101">
        <v>18369</v>
      </c>
    </row>
    <row r="150" spans="1:4" s="176" customFormat="1" x14ac:dyDescent="0.25">
      <c r="A150" s="7"/>
      <c r="B150" s="13" t="s">
        <v>5760</v>
      </c>
      <c r="C150" s="3" t="s">
        <v>2439</v>
      </c>
      <c r="D150" s="101">
        <v>26722</v>
      </c>
    </row>
    <row r="151" spans="1:4" s="176" customFormat="1" x14ac:dyDescent="0.25">
      <c r="A151" s="7"/>
      <c r="B151" s="13"/>
      <c r="C151" s="3"/>
      <c r="D151" s="101"/>
    </row>
    <row r="152" spans="1:4" s="176" customFormat="1" x14ac:dyDescent="0.25">
      <c r="A152" s="7" t="s">
        <v>5761</v>
      </c>
      <c r="B152" s="13" t="s">
        <v>5742</v>
      </c>
      <c r="C152" s="3"/>
      <c r="D152" s="101"/>
    </row>
    <row r="153" spans="1:4" s="176" customFormat="1" x14ac:dyDescent="0.25">
      <c r="A153" s="7"/>
      <c r="B153" s="13" t="s">
        <v>5762</v>
      </c>
      <c r="C153" s="3" t="s">
        <v>2439</v>
      </c>
      <c r="D153" s="101">
        <v>26992</v>
      </c>
    </row>
    <row r="154" spans="1:4" s="176" customFormat="1" x14ac:dyDescent="0.25">
      <c r="A154" s="7"/>
      <c r="B154" s="13" t="s">
        <v>5763</v>
      </c>
      <c r="C154" s="3" t="s">
        <v>2439</v>
      </c>
      <c r="D154" s="101">
        <v>18579</v>
      </c>
    </row>
    <row r="155" spans="1:4" s="176" customFormat="1" x14ac:dyDescent="0.25">
      <c r="A155" s="7"/>
      <c r="B155" s="13"/>
      <c r="C155" s="3"/>
      <c r="D155" s="101"/>
    </row>
    <row r="156" spans="1:4" s="176" customFormat="1" x14ac:dyDescent="0.25">
      <c r="A156" s="7" t="s">
        <v>5764</v>
      </c>
      <c r="B156" s="13" t="s">
        <v>5746</v>
      </c>
      <c r="C156" s="3"/>
      <c r="D156" s="101"/>
    </row>
    <row r="157" spans="1:4" s="176" customFormat="1" x14ac:dyDescent="0.25">
      <c r="A157" s="7"/>
      <c r="B157" s="13" t="s">
        <v>5762</v>
      </c>
      <c r="C157" s="3" t="s">
        <v>2439</v>
      </c>
      <c r="D157" s="101">
        <v>27062</v>
      </c>
    </row>
    <row r="158" spans="1:4" s="176" customFormat="1" x14ac:dyDescent="0.25">
      <c r="A158" s="7"/>
      <c r="B158" s="13" t="s">
        <v>5763</v>
      </c>
      <c r="C158" s="3" t="s">
        <v>2439</v>
      </c>
      <c r="D158" s="101">
        <v>18649</v>
      </c>
    </row>
    <row r="159" spans="1:4" s="176" customFormat="1" x14ac:dyDescent="0.25">
      <c r="A159" s="7"/>
      <c r="B159" s="13"/>
      <c r="C159" s="3"/>
      <c r="D159" s="101"/>
    </row>
    <row r="160" spans="1:4" s="176" customFormat="1" x14ac:dyDescent="0.25">
      <c r="A160" s="7" t="s">
        <v>5765</v>
      </c>
      <c r="B160" s="13" t="s">
        <v>5766</v>
      </c>
      <c r="C160" s="3"/>
      <c r="D160" s="101"/>
    </row>
    <row r="161" spans="1:4" s="176" customFormat="1" x14ac:dyDescent="0.25">
      <c r="A161" s="7"/>
      <c r="B161" s="13" t="s">
        <v>5762</v>
      </c>
      <c r="C161" s="3" t="s">
        <v>2439</v>
      </c>
      <c r="D161" s="101">
        <v>27272</v>
      </c>
    </row>
    <row r="162" spans="1:4" s="176" customFormat="1" x14ac:dyDescent="0.25">
      <c r="A162" s="7"/>
      <c r="B162" s="13" t="s">
        <v>5763</v>
      </c>
      <c r="C162" s="3" t="s">
        <v>2439</v>
      </c>
      <c r="D162" s="101">
        <v>18859</v>
      </c>
    </row>
    <row r="163" spans="1:4" s="176" customFormat="1" x14ac:dyDescent="0.25">
      <c r="A163" s="7"/>
      <c r="B163" s="13"/>
      <c r="C163" s="3"/>
      <c r="D163" s="101"/>
    </row>
    <row r="164" spans="1:4" s="176" customFormat="1" ht="31.5" x14ac:dyDescent="0.25">
      <c r="A164" s="7">
        <v>6.29</v>
      </c>
      <c r="B164" s="13" t="s">
        <v>5767</v>
      </c>
      <c r="C164" s="3"/>
      <c r="D164" s="101"/>
    </row>
    <row r="165" spans="1:4" s="176" customFormat="1" x14ac:dyDescent="0.25">
      <c r="A165" s="7"/>
      <c r="B165" s="13" t="s">
        <v>5762</v>
      </c>
      <c r="C165" s="3" t="s">
        <v>2439</v>
      </c>
      <c r="D165" s="101">
        <v>38844</v>
      </c>
    </row>
    <row r="166" spans="1:4" s="176" customFormat="1" x14ac:dyDescent="0.25">
      <c r="A166" s="7"/>
      <c r="B166" s="13" t="s">
        <v>5768</v>
      </c>
      <c r="C166" s="3" t="s">
        <v>2439</v>
      </c>
      <c r="D166" s="101">
        <v>27662</v>
      </c>
    </row>
    <row r="167" spans="1:4" s="176" customFormat="1" x14ac:dyDescent="0.25">
      <c r="A167" s="7"/>
      <c r="B167" s="13"/>
      <c r="C167" s="3"/>
      <c r="D167" s="101"/>
    </row>
    <row r="168" spans="1:4" s="176" customFormat="1" ht="31.5" x14ac:dyDescent="0.25">
      <c r="A168" s="7">
        <v>6.3</v>
      </c>
      <c r="B168" s="13" t="s">
        <v>5769</v>
      </c>
      <c r="C168" s="3"/>
      <c r="D168" s="101"/>
    </row>
    <row r="169" spans="1:4" s="176" customFormat="1" x14ac:dyDescent="0.25">
      <c r="A169" s="7"/>
      <c r="B169" s="13" t="s">
        <v>5762</v>
      </c>
      <c r="C169" s="3" t="s">
        <v>2439</v>
      </c>
      <c r="D169" s="101">
        <v>34203</v>
      </c>
    </row>
    <row r="170" spans="1:4" s="176" customFormat="1" x14ac:dyDescent="0.25">
      <c r="A170" s="7"/>
      <c r="B170" s="13" t="s">
        <v>5770</v>
      </c>
      <c r="C170" s="3" t="s">
        <v>2439</v>
      </c>
      <c r="D170" s="101">
        <v>23112</v>
      </c>
    </row>
    <row r="171" spans="1:4" s="176" customFormat="1" x14ac:dyDescent="0.25">
      <c r="A171" s="7"/>
      <c r="B171" s="13"/>
      <c r="C171" s="3"/>
      <c r="D171" s="101"/>
    </row>
    <row r="172" spans="1:4" s="176" customFormat="1" ht="31.5" x14ac:dyDescent="0.25">
      <c r="A172" s="7">
        <v>6.31</v>
      </c>
      <c r="B172" s="13" t="s">
        <v>5771</v>
      </c>
      <c r="C172" s="3"/>
      <c r="D172" s="101"/>
    </row>
    <row r="173" spans="1:4" s="176" customFormat="1" x14ac:dyDescent="0.25">
      <c r="A173" s="7"/>
      <c r="B173" s="13" t="s">
        <v>5763</v>
      </c>
      <c r="C173" s="3" t="s">
        <v>2437</v>
      </c>
      <c r="D173" s="101">
        <v>5006</v>
      </c>
    </row>
    <row r="174" spans="1:4" s="176" customFormat="1" x14ac:dyDescent="0.25">
      <c r="A174" s="7"/>
      <c r="B174" s="13"/>
      <c r="C174" s="3"/>
      <c r="D174" s="101"/>
    </row>
    <row r="175" spans="1:4" s="176" customFormat="1" ht="47.25" x14ac:dyDescent="0.25">
      <c r="A175" s="7">
        <v>6.32</v>
      </c>
      <c r="B175" s="13" t="s">
        <v>5772</v>
      </c>
      <c r="C175" s="3"/>
      <c r="D175" s="101"/>
    </row>
    <row r="176" spans="1:4" s="176" customFormat="1" x14ac:dyDescent="0.25">
      <c r="A176" s="7"/>
      <c r="B176" s="13" t="s">
        <v>5762</v>
      </c>
      <c r="C176" s="3" t="s">
        <v>2437</v>
      </c>
      <c r="D176" s="101">
        <v>8348</v>
      </c>
    </row>
    <row r="177" spans="1:4" s="176" customFormat="1" x14ac:dyDescent="0.25">
      <c r="A177" s="7"/>
      <c r="B177" s="13" t="s">
        <v>5763</v>
      </c>
      <c r="C177" s="3" t="s">
        <v>2437</v>
      </c>
      <c r="D177" s="101">
        <v>4741</v>
      </c>
    </row>
    <row r="178" spans="1:4" s="176" customFormat="1" x14ac:dyDescent="0.25">
      <c r="A178" s="7"/>
      <c r="B178" s="13"/>
      <c r="C178" s="3"/>
      <c r="D178" s="101"/>
    </row>
    <row r="179" spans="1:4" s="176" customFormat="1" ht="47.25" x14ac:dyDescent="0.25">
      <c r="A179" s="7">
        <v>6.33</v>
      </c>
      <c r="B179" s="13" t="s">
        <v>5773</v>
      </c>
      <c r="C179" s="3"/>
      <c r="D179" s="101"/>
    </row>
    <row r="180" spans="1:4" s="176" customFormat="1" x14ac:dyDescent="0.25">
      <c r="A180" s="7"/>
      <c r="B180" s="13" t="s">
        <v>5762</v>
      </c>
      <c r="C180" s="3" t="s">
        <v>2437</v>
      </c>
      <c r="D180" s="101">
        <v>9028</v>
      </c>
    </row>
    <row r="181" spans="1:4" s="176" customFormat="1" x14ac:dyDescent="0.25">
      <c r="A181" s="7"/>
      <c r="B181" s="13" t="s">
        <v>5763</v>
      </c>
      <c r="C181" s="3" t="s">
        <v>2437</v>
      </c>
      <c r="D181" s="101">
        <v>5421</v>
      </c>
    </row>
    <row r="182" spans="1:4" s="176" customFormat="1" x14ac:dyDescent="0.25">
      <c r="A182" s="7"/>
      <c r="B182" s="13"/>
      <c r="C182" s="3"/>
      <c r="D182" s="101"/>
    </row>
    <row r="183" spans="1:4" s="176" customFormat="1" ht="63" x14ac:dyDescent="0.25">
      <c r="A183" s="7">
        <v>6.34</v>
      </c>
      <c r="B183" s="13" t="s">
        <v>6401</v>
      </c>
      <c r="C183" s="3" t="s">
        <v>5774</v>
      </c>
      <c r="D183" s="101">
        <v>11004</v>
      </c>
    </row>
    <row r="184" spans="1:4" s="176" customFormat="1" x14ac:dyDescent="0.25">
      <c r="A184" s="7"/>
      <c r="B184" s="13"/>
      <c r="C184" s="3"/>
      <c r="D184" s="101"/>
    </row>
    <row r="185" spans="1:4" s="176" customFormat="1" ht="31.5" x14ac:dyDescent="0.25">
      <c r="A185" s="7">
        <v>6.35</v>
      </c>
      <c r="B185" s="13" t="s">
        <v>5775</v>
      </c>
      <c r="C185" s="3" t="s">
        <v>2439</v>
      </c>
      <c r="D185" s="101">
        <v>16279</v>
      </c>
    </row>
    <row r="186" spans="1:4" s="176" customFormat="1" x14ac:dyDescent="0.25">
      <c r="A186" s="7"/>
      <c r="B186" s="13"/>
      <c r="C186" s="3"/>
      <c r="D186" s="101"/>
    </row>
    <row r="187" spans="1:4" s="176" customFormat="1" ht="31.5" x14ac:dyDescent="0.25">
      <c r="A187" s="7">
        <v>6.36</v>
      </c>
      <c r="B187" s="13" t="s">
        <v>5776</v>
      </c>
      <c r="C187" s="3"/>
      <c r="D187" s="101"/>
    </row>
    <row r="188" spans="1:4" s="176" customFormat="1" x14ac:dyDescent="0.25">
      <c r="A188" s="7" t="s">
        <v>6084</v>
      </c>
      <c r="B188" s="13" t="s">
        <v>5777</v>
      </c>
      <c r="C188" s="3" t="s">
        <v>2437</v>
      </c>
      <c r="D188" s="101">
        <v>1952</v>
      </c>
    </row>
    <row r="189" spans="1:4" s="176" customFormat="1" x14ac:dyDescent="0.25">
      <c r="A189" s="7"/>
      <c r="B189" s="13" t="s">
        <v>5778</v>
      </c>
      <c r="C189" s="3" t="s">
        <v>2437</v>
      </c>
      <c r="D189" s="101">
        <v>929</v>
      </c>
    </row>
    <row r="190" spans="1:4" s="176" customFormat="1" x14ac:dyDescent="0.25">
      <c r="A190" s="7"/>
      <c r="B190" s="13"/>
      <c r="C190" s="3"/>
      <c r="D190" s="101"/>
    </row>
    <row r="191" spans="1:4" s="176" customFormat="1" x14ac:dyDescent="0.25">
      <c r="A191" s="7"/>
      <c r="B191" s="13"/>
      <c r="C191" s="3"/>
      <c r="D191" s="101"/>
    </row>
    <row r="192" spans="1:4" s="176" customFormat="1" x14ac:dyDescent="0.25">
      <c r="A192" s="7" t="s">
        <v>6085</v>
      </c>
      <c r="B192" s="13" t="s">
        <v>5779</v>
      </c>
      <c r="C192" s="3" t="s">
        <v>2437</v>
      </c>
      <c r="D192" s="101">
        <v>1215</v>
      </c>
    </row>
    <row r="193" spans="1:4" s="176" customFormat="1" x14ac:dyDescent="0.25">
      <c r="A193" s="7"/>
      <c r="B193" s="13" t="s">
        <v>5780</v>
      </c>
      <c r="C193" s="3" t="s">
        <v>2437</v>
      </c>
      <c r="D193" s="101">
        <v>739</v>
      </c>
    </row>
    <row r="194" spans="1:4" s="176" customFormat="1" x14ac:dyDescent="0.25">
      <c r="A194" s="7"/>
      <c r="B194" s="13"/>
      <c r="C194" s="3"/>
      <c r="D194" s="101"/>
    </row>
    <row r="195" spans="1:4" s="176" customFormat="1" x14ac:dyDescent="0.25">
      <c r="A195" s="7" t="s">
        <v>6086</v>
      </c>
      <c r="B195" s="13" t="s">
        <v>5781</v>
      </c>
      <c r="C195" s="3" t="s">
        <v>2437</v>
      </c>
      <c r="D195" s="101">
        <v>988</v>
      </c>
    </row>
    <row r="196" spans="1:4" s="176" customFormat="1" x14ac:dyDescent="0.25">
      <c r="A196" s="7"/>
      <c r="B196" s="13" t="s">
        <v>5782</v>
      </c>
      <c r="C196" s="3" t="s">
        <v>2437</v>
      </c>
      <c r="D196" s="101">
        <v>441</v>
      </c>
    </row>
    <row r="197" spans="1:4" s="176" customFormat="1" x14ac:dyDescent="0.25">
      <c r="A197" s="7"/>
      <c r="B197" s="13"/>
      <c r="C197" s="3"/>
      <c r="D197" s="101"/>
    </row>
    <row r="198" spans="1:4" s="176" customFormat="1" ht="31.5" x14ac:dyDescent="0.25">
      <c r="A198" s="7">
        <v>6.37</v>
      </c>
      <c r="B198" s="13" t="s">
        <v>5783</v>
      </c>
      <c r="C198" s="3"/>
      <c r="D198" s="101"/>
    </row>
    <row r="199" spans="1:4" s="176" customFormat="1" x14ac:dyDescent="0.25">
      <c r="A199" s="7"/>
      <c r="B199" s="13" t="s">
        <v>5784</v>
      </c>
      <c r="C199" s="3" t="s">
        <v>2437</v>
      </c>
      <c r="D199" s="101">
        <v>226</v>
      </c>
    </row>
    <row r="200" spans="1:4" s="176" customFormat="1" x14ac:dyDescent="0.25">
      <c r="A200" s="7"/>
      <c r="B200" s="13" t="s">
        <v>5785</v>
      </c>
      <c r="C200" s="3" t="s">
        <v>2437</v>
      </c>
      <c r="D200" s="101">
        <v>154</v>
      </c>
    </row>
    <row r="201" spans="1:4" s="176" customFormat="1" x14ac:dyDescent="0.25">
      <c r="A201" s="7"/>
      <c r="B201" s="13"/>
      <c r="C201" s="3"/>
      <c r="D201" s="101"/>
    </row>
    <row r="202" spans="1:4" s="176" customFormat="1" ht="31.5" x14ac:dyDescent="0.25">
      <c r="A202" s="7">
        <v>6.38</v>
      </c>
      <c r="B202" s="13" t="s">
        <v>5786</v>
      </c>
      <c r="C202" s="3"/>
      <c r="D202" s="101"/>
    </row>
    <row r="203" spans="1:4" s="176" customFormat="1" x14ac:dyDescent="0.25">
      <c r="A203" s="7"/>
      <c r="B203" s="13" t="s">
        <v>5784</v>
      </c>
      <c r="C203" s="3" t="s">
        <v>2439</v>
      </c>
      <c r="D203" s="101">
        <v>100886</v>
      </c>
    </row>
    <row r="204" spans="1:4" s="176" customFormat="1" x14ac:dyDescent="0.25">
      <c r="A204" s="7"/>
      <c r="B204" s="13" t="s">
        <v>5785</v>
      </c>
      <c r="C204" s="3" t="s">
        <v>2439</v>
      </c>
      <c r="D204" s="101">
        <v>93386</v>
      </c>
    </row>
    <row r="205" spans="1:4" s="176" customFormat="1" x14ac:dyDescent="0.25">
      <c r="A205" s="7"/>
      <c r="B205" s="13"/>
      <c r="C205" s="3"/>
      <c r="D205" s="101"/>
    </row>
    <row r="206" spans="1:4" s="176" customFormat="1" ht="31.5" x14ac:dyDescent="0.25">
      <c r="A206" s="7">
        <v>6.39</v>
      </c>
      <c r="B206" s="13" t="s">
        <v>5787</v>
      </c>
      <c r="C206" s="3"/>
      <c r="D206" s="101"/>
    </row>
    <row r="207" spans="1:4" s="176" customFormat="1" x14ac:dyDescent="0.25">
      <c r="A207" s="7"/>
      <c r="B207" s="13" t="s">
        <v>5784</v>
      </c>
      <c r="C207" s="3" t="s">
        <v>2439</v>
      </c>
      <c r="D207" s="101">
        <v>98886</v>
      </c>
    </row>
    <row r="208" spans="1:4" s="176" customFormat="1" x14ac:dyDescent="0.25">
      <c r="A208" s="7"/>
      <c r="B208" s="13" t="s">
        <v>5785</v>
      </c>
      <c r="C208" s="3" t="s">
        <v>2439</v>
      </c>
      <c r="D208" s="101">
        <v>91386</v>
      </c>
    </row>
    <row r="209" spans="1:4" s="176" customFormat="1" x14ac:dyDescent="0.25">
      <c r="A209" s="7"/>
      <c r="B209" s="13"/>
      <c r="C209" s="3"/>
      <c r="D209" s="101"/>
    </row>
    <row r="210" spans="1:4" s="176" customFormat="1" ht="31.5" x14ac:dyDescent="0.25">
      <c r="A210" s="7">
        <v>6.4</v>
      </c>
      <c r="B210" s="13" t="s">
        <v>5788</v>
      </c>
      <c r="C210" s="3"/>
      <c r="D210" s="101"/>
    </row>
    <row r="211" spans="1:4" s="176" customFormat="1" x14ac:dyDescent="0.25">
      <c r="A211" s="7" t="s">
        <v>5792</v>
      </c>
      <c r="B211" s="13" t="s">
        <v>5789</v>
      </c>
      <c r="C211" s="3"/>
      <c r="D211" s="101"/>
    </row>
    <row r="212" spans="1:4" s="176" customFormat="1" x14ac:dyDescent="0.25">
      <c r="A212" s="7"/>
      <c r="B212" s="13" t="s">
        <v>5784</v>
      </c>
      <c r="C212" s="3" t="s">
        <v>2439</v>
      </c>
      <c r="D212" s="101">
        <v>50443</v>
      </c>
    </row>
    <row r="213" spans="1:4" s="176" customFormat="1" x14ac:dyDescent="0.25">
      <c r="A213" s="7"/>
      <c r="B213" s="13" t="s">
        <v>5785</v>
      </c>
      <c r="C213" s="3" t="s">
        <v>2439</v>
      </c>
      <c r="D213" s="101">
        <v>46693</v>
      </c>
    </row>
    <row r="214" spans="1:4" s="176" customFormat="1" x14ac:dyDescent="0.25">
      <c r="A214" s="7"/>
      <c r="B214" s="13"/>
      <c r="C214" s="3"/>
      <c r="D214" s="101"/>
    </row>
    <row r="215" spans="1:4" s="176" customFormat="1" x14ac:dyDescent="0.25">
      <c r="A215" s="7" t="s">
        <v>5795</v>
      </c>
      <c r="B215" s="13" t="s">
        <v>5790</v>
      </c>
      <c r="C215" s="3"/>
      <c r="D215" s="101"/>
    </row>
    <row r="216" spans="1:4" s="176" customFormat="1" x14ac:dyDescent="0.25">
      <c r="A216" s="7"/>
      <c r="B216" s="13" t="s">
        <v>5784</v>
      </c>
      <c r="C216" s="3" t="s">
        <v>2439</v>
      </c>
      <c r="D216" s="101">
        <v>49443</v>
      </c>
    </row>
    <row r="217" spans="1:4" s="176" customFormat="1" x14ac:dyDescent="0.25">
      <c r="A217" s="7"/>
      <c r="B217" s="13" t="s">
        <v>5785</v>
      </c>
      <c r="C217" s="3" t="s">
        <v>2439</v>
      </c>
      <c r="D217" s="101">
        <v>45693</v>
      </c>
    </row>
    <row r="218" spans="1:4" s="176" customFormat="1" x14ac:dyDescent="0.25">
      <c r="A218" s="7"/>
      <c r="B218" s="13"/>
      <c r="C218" s="3"/>
      <c r="D218" s="101"/>
    </row>
    <row r="219" spans="1:4" s="176" customFormat="1" ht="31.5" x14ac:dyDescent="0.25">
      <c r="A219" s="7">
        <v>6.41</v>
      </c>
      <c r="B219" s="13" t="s">
        <v>5791</v>
      </c>
      <c r="C219" s="3"/>
      <c r="D219" s="101"/>
    </row>
    <row r="220" spans="1:4" s="176" customFormat="1" x14ac:dyDescent="0.25">
      <c r="A220" s="7" t="s">
        <v>5799</v>
      </c>
      <c r="B220" s="13" t="s">
        <v>5793</v>
      </c>
      <c r="C220" s="3" t="s">
        <v>422</v>
      </c>
      <c r="D220" s="101">
        <v>571</v>
      </c>
    </row>
    <row r="221" spans="1:4" s="176" customFormat="1" x14ac:dyDescent="0.25">
      <c r="A221" s="7"/>
      <c r="B221" s="13" t="s">
        <v>5794</v>
      </c>
      <c r="C221" s="3" t="s">
        <v>422</v>
      </c>
      <c r="D221" s="101">
        <v>1135</v>
      </c>
    </row>
    <row r="222" spans="1:4" s="176" customFormat="1" x14ac:dyDescent="0.25">
      <c r="A222" s="7"/>
      <c r="B222" s="13"/>
      <c r="C222" s="3"/>
      <c r="D222" s="101"/>
    </row>
    <row r="223" spans="1:4" s="176" customFormat="1" x14ac:dyDescent="0.25">
      <c r="A223" s="7" t="s">
        <v>5802</v>
      </c>
      <c r="B223" s="13" t="s">
        <v>5796</v>
      </c>
      <c r="C223" s="3" t="s">
        <v>422</v>
      </c>
      <c r="D223" s="101">
        <v>1457</v>
      </c>
    </row>
    <row r="224" spans="1:4" s="176" customFormat="1" x14ac:dyDescent="0.25">
      <c r="A224" s="7"/>
      <c r="B224" s="13" t="s">
        <v>5797</v>
      </c>
      <c r="C224" s="3" t="s">
        <v>422</v>
      </c>
      <c r="D224" s="101">
        <v>744</v>
      </c>
    </row>
    <row r="225" spans="1:4" s="176" customFormat="1" x14ac:dyDescent="0.25">
      <c r="A225" s="7"/>
      <c r="B225" s="13"/>
      <c r="C225" s="3"/>
      <c r="D225" s="101"/>
    </row>
    <row r="226" spans="1:4" s="176" customFormat="1" ht="63" x14ac:dyDescent="0.25">
      <c r="A226" s="7">
        <v>6.42</v>
      </c>
      <c r="B226" s="13" t="s">
        <v>5798</v>
      </c>
      <c r="C226" s="3"/>
      <c r="D226" s="101"/>
    </row>
    <row r="227" spans="1:4" s="176" customFormat="1" x14ac:dyDescent="0.25">
      <c r="A227" s="7" t="s">
        <v>5808</v>
      </c>
      <c r="B227" s="13" t="s">
        <v>5800</v>
      </c>
      <c r="C227" s="3" t="s">
        <v>2437</v>
      </c>
      <c r="D227" s="101">
        <v>1247</v>
      </c>
    </row>
    <row r="228" spans="1:4" s="176" customFormat="1" x14ac:dyDescent="0.25">
      <c r="A228" s="7"/>
      <c r="B228" s="13" t="s">
        <v>5801</v>
      </c>
      <c r="C228" s="3" t="s">
        <v>2437</v>
      </c>
      <c r="D228" s="101">
        <v>1707</v>
      </c>
    </row>
    <row r="229" spans="1:4" s="176" customFormat="1" x14ac:dyDescent="0.25">
      <c r="A229" s="7" t="s">
        <v>5809</v>
      </c>
      <c r="B229" s="13" t="s">
        <v>5803</v>
      </c>
      <c r="C229" s="3" t="s">
        <v>2437</v>
      </c>
      <c r="D229" s="101">
        <v>1057</v>
      </c>
    </row>
    <row r="230" spans="1:4" s="176" customFormat="1" x14ac:dyDescent="0.25">
      <c r="A230" s="7"/>
      <c r="B230" s="13" t="s">
        <v>5804</v>
      </c>
      <c r="C230" s="3" t="s">
        <v>2437</v>
      </c>
      <c r="D230" s="101">
        <v>970</v>
      </c>
    </row>
    <row r="231" spans="1:4" s="176" customFormat="1" x14ac:dyDescent="0.25">
      <c r="A231" s="7"/>
      <c r="B231" s="13"/>
      <c r="C231" s="3"/>
      <c r="D231" s="101"/>
    </row>
    <row r="232" spans="1:4" s="176" customFormat="1" x14ac:dyDescent="0.25">
      <c r="A232" s="7" t="s">
        <v>5810</v>
      </c>
      <c r="B232" s="13" t="s">
        <v>5805</v>
      </c>
      <c r="C232" s="3" t="s">
        <v>2437</v>
      </c>
      <c r="D232" s="101">
        <v>759</v>
      </c>
    </row>
    <row r="233" spans="1:4" s="176" customFormat="1" x14ac:dyDescent="0.25">
      <c r="A233" s="7"/>
      <c r="B233" s="13" t="s">
        <v>5806</v>
      </c>
      <c r="C233" s="3" t="s">
        <v>2437</v>
      </c>
      <c r="D233" s="101">
        <v>743</v>
      </c>
    </row>
    <row r="234" spans="1:4" s="176" customFormat="1" x14ac:dyDescent="0.25">
      <c r="A234" s="7"/>
      <c r="B234" s="13"/>
      <c r="C234" s="3"/>
      <c r="D234" s="101"/>
    </row>
    <row r="235" spans="1:4" s="176" customFormat="1" ht="31.5" x14ac:dyDescent="0.25">
      <c r="A235" s="7">
        <v>6.43</v>
      </c>
      <c r="B235" s="13" t="s">
        <v>5807</v>
      </c>
      <c r="C235" s="3"/>
      <c r="D235" s="101"/>
    </row>
    <row r="236" spans="1:4" s="176" customFormat="1" x14ac:dyDescent="0.25">
      <c r="A236" s="7" t="s">
        <v>5812</v>
      </c>
      <c r="B236" s="13" t="s">
        <v>6088</v>
      </c>
      <c r="C236" s="3" t="s">
        <v>2437</v>
      </c>
      <c r="D236" s="101">
        <v>1296</v>
      </c>
    </row>
    <row r="237" spans="1:4" s="176" customFormat="1" x14ac:dyDescent="0.25">
      <c r="A237" s="7" t="s">
        <v>5813</v>
      </c>
      <c r="B237" s="13" t="s">
        <v>6089</v>
      </c>
      <c r="C237" s="3" t="s">
        <v>2437</v>
      </c>
      <c r="D237" s="101">
        <v>1106</v>
      </c>
    </row>
    <row r="238" spans="1:4" s="176" customFormat="1" x14ac:dyDescent="0.25">
      <c r="A238" s="7" t="s">
        <v>6087</v>
      </c>
      <c r="B238" s="13" t="s">
        <v>6090</v>
      </c>
      <c r="C238" s="3" t="s">
        <v>2437</v>
      </c>
      <c r="D238" s="101">
        <v>808</v>
      </c>
    </row>
    <row r="239" spans="1:4" s="176" customFormat="1" x14ac:dyDescent="0.25">
      <c r="A239" s="7"/>
      <c r="B239" s="13"/>
      <c r="C239" s="3"/>
      <c r="D239" s="101"/>
    </row>
    <row r="240" spans="1:4" s="176" customFormat="1" ht="31.5" x14ac:dyDescent="0.25">
      <c r="A240" s="7">
        <v>6.44</v>
      </c>
      <c r="B240" s="13" t="s">
        <v>5811</v>
      </c>
      <c r="C240" s="3"/>
      <c r="D240" s="101"/>
    </row>
    <row r="241" spans="1:4" s="176" customFormat="1" x14ac:dyDescent="0.25">
      <c r="A241" s="7" t="s">
        <v>6091</v>
      </c>
      <c r="B241" s="13" t="s">
        <v>6093</v>
      </c>
      <c r="C241" s="3" t="s">
        <v>2437</v>
      </c>
      <c r="D241" s="101">
        <v>1839</v>
      </c>
    </row>
    <row r="242" spans="1:4" s="176" customFormat="1" x14ac:dyDescent="0.25">
      <c r="A242" s="7" t="s">
        <v>6092</v>
      </c>
      <c r="B242" s="13" t="s">
        <v>6094</v>
      </c>
      <c r="C242" s="3" t="s">
        <v>2437</v>
      </c>
      <c r="D242" s="101">
        <v>2313</v>
      </c>
    </row>
    <row r="243" spans="1:4" s="176" customFormat="1" x14ac:dyDescent="0.25">
      <c r="A243" s="7"/>
      <c r="B243" s="13"/>
      <c r="C243" s="3"/>
      <c r="D243" s="101"/>
    </row>
    <row r="244" spans="1:4" s="176" customFormat="1" x14ac:dyDescent="0.25">
      <c r="A244" s="7">
        <v>6.45</v>
      </c>
      <c r="B244" s="13" t="s">
        <v>5814</v>
      </c>
      <c r="C244" s="3"/>
      <c r="D244" s="101"/>
    </row>
    <row r="245" spans="1:4" s="176" customFormat="1" x14ac:dyDescent="0.25">
      <c r="A245" s="7"/>
      <c r="B245" s="13" t="s">
        <v>5815</v>
      </c>
      <c r="C245" s="3" t="s">
        <v>2439</v>
      </c>
      <c r="D245" s="101">
        <v>427</v>
      </c>
    </row>
    <row r="246" spans="1:4" s="176" customFormat="1" x14ac:dyDescent="0.25">
      <c r="A246" s="7"/>
      <c r="B246" s="13" t="s">
        <v>5816</v>
      </c>
      <c r="C246" s="3" t="s">
        <v>2439</v>
      </c>
      <c r="D246" s="101">
        <v>340</v>
      </c>
    </row>
    <row r="247" spans="1:4" s="176" customFormat="1" x14ac:dyDescent="0.25">
      <c r="A247" s="7"/>
      <c r="B247" s="13"/>
      <c r="C247" s="3"/>
      <c r="D247" s="101"/>
    </row>
    <row r="248" spans="1:4" s="176" customFormat="1" x14ac:dyDescent="0.25">
      <c r="A248" s="7">
        <v>6.46</v>
      </c>
      <c r="B248" s="13" t="s">
        <v>5817</v>
      </c>
      <c r="C248" s="3"/>
      <c r="D248" s="101"/>
    </row>
    <row r="249" spans="1:4" s="176" customFormat="1" x14ac:dyDescent="0.25">
      <c r="A249" s="7"/>
      <c r="B249" s="13" t="s">
        <v>5815</v>
      </c>
      <c r="C249" s="3" t="s">
        <v>2437</v>
      </c>
      <c r="D249" s="101">
        <v>126</v>
      </c>
    </row>
    <row r="250" spans="1:4" s="176" customFormat="1" x14ac:dyDescent="0.25">
      <c r="A250" s="7"/>
      <c r="B250" s="13" t="s">
        <v>5785</v>
      </c>
      <c r="C250" s="3" t="s">
        <v>2437</v>
      </c>
      <c r="D250" s="101">
        <v>108</v>
      </c>
    </row>
    <row r="251" spans="1:4" s="176" customFormat="1" x14ac:dyDescent="0.25">
      <c r="A251" s="7"/>
      <c r="B251" s="13"/>
      <c r="C251" s="3"/>
      <c r="D251" s="101"/>
    </row>
    <row r="252" spans="1:4" s="176" customFormat="1" ht="31.5" x14ac:dyDescent="0.25">
      <c r="A252" s="7">
        <v>6.47</v>
      </c>
      <c r="B252" s="13" t="s">
        <v>5818</v>
      </c>
      <c r="C252" s="3" t="s">
        <v>2437</v>
      </c>
      <c r="D252" s="101">
        <v>284</v>
      </c>
    </row>
    <row r="253" spans="1:4" s="176" customFormat="1" x14ac:dyDescent="0.25">
      <c r="A253" s="7"/>
      <c r="B253" s="13"/>
      <c r="C253" s="3"/>
      <c r="D253" s="101"/>
    </row>
    <row r="254" spans="1:4" s="176" customFormat="1" ht="31.5" x14ac:dyDescent="0.25">
      <c r="A254" s="7">
        <v>6.48</v>
      </c>
      <c r="B254" s="13" t="s">
        <v>5819</v>
      </c>
      <c r="C254" s="3" t="s">
        <v>2437</v>
      </c>
      <c r="D254" s="101">
        <v>778</v>
      </c>
    </row>
    <row r="255" spans="1:4" s="176" customFormat="1" x14ac:dyDescent="0.25">
      <c r="A255" s="7"/>
      <c r="B255" s="13"/>
      <c r="C255" s="3"/>
      <c r="D255" s="101"/>
    </row>
    <row r="256" spans="1:4" s="176" customFormat="1" ht="31.5" x14ac:dyDescent="0.25">
      <c r="A256" s="7">
        <v>6.49</v>
      </c>
      <c r="B256" s="13" t="s">
        <v>5820</v>
      </c>
      <c r="C256" s="3" t="s">
        <v>2437</v>
      </c>
      <c r="D256" s="101">
        <v>1449</v>
      </c>
    </row>
    <row r="257" spans="1:4" s="176" customFormat="1" x14ac:dyDescent="0.25">
      <c r="A257" s="7"/>
      <c r="B257" s="13"/>
      <c r="C257" s="3"/>
      <c r="D257" s="101"/>
    </row>
    <row r="258" spans="1:4" s="176" customFormat="1" ht="31.5" x14ac:dyDescent="0.25">
      <c r="A258" s="7">
        <v>6.5</v>
      </c>
      <c r="B258" s="13" t="s">
        <v>5821</v>
      </c>
      <c r="C258" s="3" t="s">
        <v>2437</v>
      </c>
      <c r="D258" s="101">
        <v>855</v>
      </c>
    </row>
    <row r="259" spans="1:4" s="176" customFormat="1" x14ac:dyDescent="0.25">
      <c r="A259" s="7"/>
      <c r="B259" s="13"/>
      <c r="C259" s="3"/>
      <c r="D259" s="101"/>
    </row>
    <row r="260" spans="1:4" s="176" customFormat="1" ht="47.25" x14ac:dyDescent="0.25">
      <c r="A260" s="7">
        <v>6.51</v>
      </c>
      <c r="B260" s="13" t="s">
        <v>5822</v>
      </c>
      <c r="C260" s="3"/>
      <c r="D260" s="101"/>
    </row>
    <row r="261" spans="1:4" s="176" customFormat="1" x14ac:dyDescent="0.25">
      <c r="A261" s="7" t="s">
        <v>6095</v>
      </c>
      <c r="B261" s="13" t="s">
        <v>5823</v>
      </c>
      <c r="C261" s="3"/>
      <c r="D261" s="101"/>
    </row>
    <row r="262" spans="1:4" s="176" customFormat="1" x14ac:dyDescent="0.25">
      <c r="A262" s="7"/>
      <c r="B262" s="13" t="s">
        <v>5824</v>
      </c>
      <c r="C262" s="3" t="s">
        <v>2437</v>
      </c>
      <c r="D262" s="101">
        <v>674</v>
      </c>
    </row>
    <row r="263" spans="1:4" s="176" customFormat="1" x14ac:dyDescent="0.25">
      <c r="A263" s="7"/>
      <c r="B263" s="13"/>
      <c r="C263" s="3"/>
      <c r="D263" s="101"/>
    </row>
    <row r="264" spans="1:4" s="176" customFormat="1" x14ac:dyDescent="0.25">
      <c r="A264" s="7" t="s">
        <v>6096</v>
      </c>
      <c r="B264" s="13" t="s">
        <v>5825</v>
      </c>
      <c r="C264" s="3"/>
      <c r="D264" s="101"/>
    </row>
    <row r="265" spans="1:4" s="176" customFormat="1" x14ac:dyDescent="0.25">
      <c r="A265" s="7"/>
      <c r="B265" s="13" t="s">
        <v>5824</v>
      </c>
      <c r="C265" s="3" t="s">
        <v>2437</v>
      </c>
      <c r="D265" s="101">
        <v>55</v>
      </c>
    </row>
    <row r="266" spans="1:4" s="176" customFormat="1" x14ac:dyDescent="0.25">
      <c r="A266" s="7"/>
      <c r="B266" s="13"/>
      <c r="C266" s="3"/>
      <c r="D266" s="101"/>
    </row>
    <row r="267" spans="1:4" s="176" customFormat="1" ht="47.25" x14ac:dyDescent="0.25">
      <c r="A267" s="7">
        <v>6.52</v>
      </c>
      <c r="B267" s="13" t="s">
        <v>5826</v>
      </c>
      <c r="C267" s="3" t="s">
        <v>2437</v>
      </c>
      <c r="D267" s="101">
        <v>344</v>
      </c>
    </row>
    <row r="268" spans="1:4" s="176" customFormat="1" x14ac:dyDescent="0.25">
      <c r="A268" s="7"/>
      <c r="B268" s="13"/>
      <c r="C268" s="3"/>
      <c r="D268" s="101"/>
    </row>
    <row r="269" spans="1:4" s="176" customFormat="1" ht="31.5" x14ac:dyDescent="0.25">
      <c r="A269" s="7">
        <v>6.53</v>
      </c>
      <c r="B269" s="13" t="s">
        <v>5827</v>
      </c>
      <c r="C269" s="3" t="s">
        <v>2437</v>
      </c>
      <c r="D269" s="101">
        <v>430</v>
      </c>
    </row>
    <row r="270" spans="1:4" s="176" customFormat="1" x14ac:dyDescent="0.25">
      <c r="A270" s="7"/>
      <c r="B270" s="13"/>
      <c r="C270" s="3"/>
      <c r="D270" s="101"/>
    </row>
    <row r="271" spans="1:4" s="176" customFormat="1" ht="63" x14ac:dyDescent="0.25">
      <c r="A271" s="7">
        <v>6.54</v>
      </c>
      <c r="B271" s="13" t="s">
        <v>5828</v>
      </c>
      <c r="C271" s="3" t="s">
        <v>2437</v>
      </c>
      <c r="D271" s="101">
        <v>3439</v>
      </c>
    </row>
    <row r="272" spans="1:4" s="176" customFormat="1" x14ac:dyDescent="0.25">
      <c r="A272" s="7"/>
      <c r="B272" s="13"/>
      <c r="C272" s="3"/>
      <c r="D272" s="101"/>
    </row>
    <row r="273" spans="1:4" s="176" customFormat="1" ht="31.5" x14ac:dyDescent="0.25">
      <c r="A273" s="7">
        <v>6.55</v>
      </c>
      <c r="B273" s="13" t="s">
        <v>5829</v>
      </c>
      <c r="C273" s="3" t="s">
        <v>2437</v>
      </c>
      <c r="D273" s="101">
        <v>421</v>
      </c>
    </row>
    <row r="274" spans="1:4" s="176" customFormat="1" ht="31.5" x14ac:dyDescent="0.25">
      <c r="A274" s="7"/>
      <c r="B274" s="13" t="s">
        <v>5830</v>
      </c>
      <c r="C274" s="3"/>
      <c r="D274" s="101"/>
    </row>
    <row r="275" spans="1:4" s="176" customFormat="1" x14ac:dyDescent="0.25">
      <c r="A275" s="7"/>
      <c r="B275" s="13"/>
      <c r="C275" s="3"/>
      <c r="D275" s="101"/>
    </row>
    <row r="276" spans="1:4" s="176" customFormat="1" ht="63" x14ac:dyDescent="0.25">
      <c r="A276" s="7">
        <v>6.56</v>
      </c>
      <c r="B276" s="13" t="s">
        <v>5831</v>
      </c>
      <c r="C276" s="3" t="s">
        <v>2453</v>
      </c>
      <c r="D276" s="101">
        <v>732</v>
      </c>
    </row>
    <row r="277" spans="1:4" s="176" customFormat="1" x14ac:dyDescent="0.25">
      <c r="A277" s="7"/>
      <c r="B277" s="13"/>
      <c r="C277" s="3"/>
      <c r="D277" s="101"/>
    </row>
    <row r="278" spans="1:4" s="176" customFormat="1" ht="47.25" x14ac:dyDescent="0.25">
      <c r="A278" s="7">
        <v>6.57</v>
      </c>
      <c r="B278" s="13" t="s">
        <v>5832</v>
      </c>
      <c r="C278" s="3" t="s">
        <v>2453</v>
      </c>
      <c r="D278" s="101">
        <v>1435</v>
      </c>
    </row>
    <row r="279" spans="1:4" s="176" customFormat="1" x14ac:dyDescent="0.25">
      <c r="A279" s="7"/>
      <c r="B279" s="13"/>
      <c r="C279" s="3"/>
      <c r="D279" s="101"/>
    </row>
    <row r="280" spans="1:4" s="176" customFormat="1" ht="47.25" x14ac:dyDescent="0.25">
      <c r="A280" s="7">
        <v>6.58</v>
      </c>
      <c r="B280" s="13" t="s">
        <v>5833</v>
      </c>
      <c r="C280" s="3" t="s">
        <v>2437</v>
      </c>
      <c r="D280" s="101">
        <v>3994</v>
      </c>
    </row>
    <row r="281" spans="1:4" s="176" customFormat="1" x14ac:dyDescent="0.25">
      <c r="A281" s="7"/>
      <c r="B281" s="13"/>
      <c r="C281" s="3"/>
      <c r="D281" s="101"/>
    </row>
    <row r="282" spans="1:4" s="176" customFormat="1" ht="47.25" x14ac:dyDescent="0.25">
      <c r="A282" s="7">
        <v>6.59</v>
      </c>
      <c r="B282" s="13" t="s">
        <v>5834</v>
      </c>
      <c r="C282" s="3"/>
      <c r="D282" s="101"/>
    </row>
    <row r="283" spans="1:4" s="176" customFormat="1" x14ac:dyDescent="0.25">
      <c r="A283" s="7"/>
      <c r="B283" s="13" t="s">
        <v>5835</v>
      </c>
      <c r="C283" s="3" t="s">
        <v>4217</v>
      </c>
      <c r="D283" s="101">
        <v>1686</v>
      </c>
    </row>
    <row r="284" spans="1:4" s="176" customFormat="1" x14ac:dyDescent="0.25">
      <c r="A284" s="7"/>
      <c r="B284" s="13" t="s">
        <v>5836</v>
      </c>
      <c r="C284" s="3" t="s">
        <v>4217</v>
      </c>
      <c r="D284" s="101">
        <v>840</v>
      </c>
    </row>
    <row r="285" spans="1:4" s="176" customFormat="1" x14ac:dyDescent="0.25">
      <c r="A285" s="7"/>
      <c r="B285" s="13"/>
      <c r="C285" s="3"/>
      <c r="D285" s="101"/>
    </row>
    <row r="286" spans="1:4" s="176" customFormat="1" ht="31.5" x14ac:dyDescent="0.25">
      <c r="A286" s="7">
        <v>6.6</v>
      </c>
      <c r="B286" s="13" t="s">
        <v>5837</v>
      </c>
      <c r="C286" s="3" t="s">
        <v>2453</v>
      </c>
      <c r="D286" s="101">
        <v>1832</v>
      </c>
    </row>
    <row r="287" spans="1:4" s="176" customFormat="1" x14ac:dyDescent="0.25">
      <c r="A287" s="7"/>
      <c r="B287" s="13"/>
      <c r="C287" s="3"/>
      <c r="D287" s="101"/>
    </row>
    <row r="288" spans="1:4" s="176" customFormat="1" x14ac:dyDescent="0.25">
      <c r="A288" s="7"/>
      <c r="B288" s="13"/>
      <c r="C288" s="3"/>
      <c r="D288" s="101"/>
    </row>
    <row r="289" spans="1:4" s="176" customFormat="1" ht="47.25" x14ac:dyDescent="0.25">
      <c r="A289" s="7">
        <v>6.61</v>
      </c>
      <c r="B289" s="13" t="s">
        <v>5838</v>
      </c>
      <c r="C289" s="3" t="s">
        <v>4217</v>
      </c>
      <c r="D289" s="101">
        <v>1660</v>
      </c>
    </row>
    <row r="290" spans="1:4" s="176" customFormat="1" x14ac:dyDescent="0.25">
      <c r="A290" s="7"/>
      <c r="B290" s="13"/>
      <c r="C290" s="3"/>
      <c r="D290" s="101"/>
    </row>
    <row r="291" spans="1:4" s="176" customFormat="1" x14ac:dyDescent="0.25">
      <c r="A291" s="7"/>
      <c r="B291" s="13"/>
      <c r="C291" s="3"/>
      <c r="D291" s="101"/>
    </row>
    <row r="292" spans="1:4" s="176" customFormat="1" ht="47.25" x14ac:dyDescent="0.25">
      <c r="A292" s="7">
        <v>6.62</v>
      </c>
      <c r="B292" s="13" t="s">
        <v>5839</v>
      </c>
      <c r="C292" s="3" t="s">
        <v>2453</v>
      </c>
      <c r="D292" s="101">
        <v>2656</v>
      </c>
    </row>
    <row r="293" spans="1:4" s="176" customFormat="1" x14ac:dyDescent="0.25">
      <c r="A293" s="7"/>
      <c r="B293" s="13"/>
      <c r="C293" s="3"/>
      <c r="D293" s="101"/>
    </row>
    <row r="294" spans="1:4" s="176" customFormat="1" ht="47.25" x14ac:dyDescent="0.25">
      <c r="A294" s="7">
        <v>6.63</v>
      </c>
      <c r="B294" s="13" t="s">
        <v>5840</v>
      </c>
      <c r="C294" s="3" t="s">
        <v>2453</v>
      </c>
      <c r="D294" s="101">
        <v>2689</v>
      </c>
    </row>
    <row r="295" spans="1:4" s="176" customFormat="1" x14ac:dyDescent="0.25">
      <c r="A295" s="7"/>
      <c r="B295" s="13"/>
      <c r="C295" s="3"/>
      <c r="D295" s="101"/>
    </row>
    <row r="296" spans="1:4" s="176" customFormat="1" ht="47.25" x14ac:dyDescent="0.25">
      <c r="A296" s="7">
        <v>6.64</v>
      </c>
      <c r="B296" s="13" t="s">
        <v>5841</v>
      </c>
      <c r="C296" s="3" t="s">
        <v>4217</v>
      </c>
      <c r="D296" s="101">
        <v>2521</v>
      </c>
    </row>
    <row r="297" spans="1:4" s="176" customFormat="1" x14ac:dyDescent="0.25">
      <c r="A297" s="7"/>
      <c r="B297" s="13"/>
      <c r="C297" s="3"/>
      <c r="D297" s="101"/>
    </row>
    <row r="298" spans="1:4" s="176" customFormat="1" ht="47.25" x14ac:dyDescent="0.25">
      <c r="A298" s="7">
        <v>6.65</v>
      </c>
      <c r="B298" s="13" t="s">
        <v>5842</v>
      </c>
      <c r="C298" s="3" t="s">
        <v>4217</v>
      </c>
      <c r="D298" s="101">
        <v>5047</v>
      </c>
    </row>
    <row r="299" spans="1:4" s="176" customFormat="1" x14ac:dyDescent="0.25">
      <c r="A299" s="7"/>
      <c r="B299" s="13"/>
      <c r="C299" s="3"/>
      <c r="D299" s="101"/>
    </row>
    <row r="300" spans="1:4" s="176" customFormat="1" ht="77.25" customHeight="1" x14ac:dyDescent="0.25">
      <c r="A300" s="7">
        <v>6.66</v>
      </c>
      <c r="B300" s="13" t="s">
        <v>5843</v>
      </c>
      <c r="C300" s="3" t="s">
        <v>2437</v>
      </c>
      <c r="D300" s="101">
        <v>4832</v>
      </c>
    </row>
    <row r="301" spans="1:4" s="176" customFormat="1" x14ac:dyDescent="0.25">
      <c r="A301" s="7"/>
      <c r="B301" s="13"/>
      <c r="C301" s="3"/>
      <c r="D301" s="101"/>
    </row>
    <row r="302" spans="1:4" s="176" customFormat="1" ht="63" x14ac:dyDescent="0.25">
      <c r="A302" s="7">
        <v>6.67</v>
      </c>
      <c r="B302" s="13" t="s">
        <v>5844</v>
      </c>
      <c r="C302" s="3" t="s">
        <v>2437</v>
      </c>
      <c r="D302" s="101">
        <v>848</v>
      </c>
    </row>
    <row r="303" spans="1:4" s="176" customFormat="1" x14ac:dyDescent="0.25">
      <c r="A303" s="7"/>
      <c r="B303" s="13"/>
      <c r="C303" s="3"/>
      <c r="D303" s="101"/>
    </row>
    <row r="304" spans="1:4" s="176" customFormat="1" ht="63" x14ac:dyDescent="0.25">
      <c r="A304" s="7">
        <v>6.68</v>
      </c>
      <c r="B304" s="13" t="s">
        <v>5845</v>
      </c>
      <c r="C304" s="3" t="s">
        <v>2453</v>
      </c>
      <c r="D304" s="101">
        <v>1111</v>
      </c>
    </row>
    <row r="305" spans="1:4" s="176" customFormat="1" x14ac:dyDescent="0.25">
      <c r="A305" s="7"/>
      <c r="B305" s="13"/>
      <c r="C305" s="3"/>
      <c r="D305" s="101"/>
    </row>
    <row r="306" spans="1:4" s="176" customFormat="1" ht="31.5" x14ac:dyDescent="0.25">
      <c r="A306" s="7">
        <v>6.69</v>
      </c>
      <c r="B306" s="13" t="s">
        <v>5846</v>
      </c>
      <c r="C306" s="3" t="s">
        <v>2453</v>
      </c>
      <c r="D306" s="101">
        <v>496</v>
      </c>
    </row>
    <row r="307" spans="1:4" s="176" customFormat="1" x14ac:dyDescent="0.25">
      <c r="A307" s="7"/>
      <c r="B307" s="13"/>
      <c r="C307" s="3"/>
      <c r="D307" s="101"/>
    </row>
    <row r="308" spans="1:4" s="176" customFormat="1" ht="47.25" x14ac:dyDescent="0.25">
      <c r="A308" s="7">
        <v>6.7</v>
      </c>
      <c r="B308" s="13" t="s">
        <v>5847</v>
      </c>
      <c r="C308" s="3" t="s">
        <v>2453</v>
      </c>
      <c r="D308" s="101">
        <v>966</v>
      </c>
    </row>
    <row r="309" spans="1:4" s="176" customFormat="1" x14ac:dyDescent="0.25">
      <c r="A309" s="7"/>
      <c r="B309" s="13"/>
      <c r="C309" s="3"/>
      <c r="D309" s="101"/>
    </row>
    <row r="310" spans="1:4" s="176" customFormat="1" ht="31.5" x14ac:dyDescent="0.25">
      <c r="A310" s="7">
        <v>6.71</v>
      </c>
      <c r="B310" s="13" t="s">
        <v>5848</v>
      </c>
      <c r="C310" s="3"/>
      <c r="D310" s="101"/>
    </row>
    <row r="311" spans="1:4" s="176" customFormat="1" x14ac:dyDescent="0.25">
      <c r="A311" s="7"/>
      <c r="B311" s="13" t="s">
        <v>5849</v>
      </c>
      <c r="C311" s="3" t="s">
        <v>2437</v>
      </c>
      <c r="D311" s="101">
        <v>263</v>
      </c>
    </row>
    <row r="312" spans="1:4" s="176" customFormat="1" x14ac:dyDescent="0.25">
      <c r="A312" s="7"/>
      <c r="B312" s="13" t="s">
        <v>5850</v>
      </c>
      <c r="C312" s="3" t="s">
        <v>2437</v>
      </c>
      <c r="D312" s="101">
        <v>266</v>
      </c>
    </row>
    <row r="313" spans="1:4" s="176" customFormat="1" x14ac:dyDescent="0.25">
      <c r="A313" s="7"/>
      <c r="B313" s="13"/>
      <c r="C313" s="3"/>
      <c r="D313" s="101"/>
    </row>
    <row r="314" spans="1:4" s="176" customFormat="1" x14ac:dyDescent="0.25">
      <c r="A314" s="7"/>
      <c r="B314" s="13"/>
      <c r="C314" s="3"/>
      <c r="D314" s="101"/>
    </row>
    <row r="315" spans="1:4" s="176" customFormat="1" ht="110.25" x14ac:dyDescent="0.25">
      <c r="A315" s="7">
        <v>6.72</v>
      </c>
      <c r="B315" s="13" t="s">
        <v>5851</v>
      </c>
      <c r="C315" s="3"/>
      <c r="D315" s="101"/>
    </row>
    <row r="316" spans="1:4" s="176" customFormat="1" ht="31.5" x14ac:dyDescent="0.25">
      <c r="A316" s="7" t="s">
        <v>1662</v>
      </c>
      <c r="B316" s="13" t="s">
        <v>5852</v>
      </c>
      <c r="C316" s="3" t="s">
        <v>4836</v>
      </c>
      <c r="D316" s="101">
        <v>1981</v>
      </c>
    </row>
    <row r="317" spans="1:4" s="176" customFormat="1" x14ac:dyDescent="0.25">
      <c r="A317" s="7" t="s">
        <v>1664</v>
      </c>
      <c r="B317" s="13" t="s">
        <v>5853</v>
      </c>
      <c r="C317" s="3" t="s">
        <v>2437</v>
      </c>
      <c r="D317" s="101">
        <v>324</v>
      </c>
    </row>
    <row r="318" spans="1:4" s="176" customFormat="1" ht="31.5" x14ac:dyDescent="0.25">
      <c r="A318" s="7" t="s">
        <v>1670</v>
      </c>
      <c r="B318" s="13" t="s">
        <v>5854</v>
      </c>
      <c r="C318" s="3" t="s">
        <v>4836</v>
      </c>
      <c r="D318" s="101">
        <v>2167</v>
      </c>
    </row>
    <row r="319" spans="1:4" s="176" customFormat="1" x14ac:dyDescent="0.25">
      <c r="A319" s="7"/>
      <c r="B319" s="13"/>
      <c r="C319" s="3"/>
      <c r="D319" s="101"/>
    </row>
    <row r="320" spans="1:4" s="176" customFormat="1" ht="63" x14ac:dyDescent="0.25">
      <c r="A320" s="7">
        <v>6.73</v>
      </c>
      <c r="B320" s="13" t="s">
        <v>5855</v>
      </c>
      <c r="C320" s="3" t="s">
        <v>2453</v>
      </c>
      <c r="D320" s="101">
        <v>179</v>
      </c>
    </row>
    <row r="321" spans="1:4" s="176" customFormat="1" x14ac:dyDescent="0.25">
      <c r="A321" s="7"/>
      <c r="B321" s="13"/>
      <c r="C321" s="3"/>
      <c r="D321" s="101"/>
    </row>
    <row r="322" spans="1:4" s="176" customFormat="1" ht="31.5" x14ac:dyDescent="0.25">
      <c r="A322" s="7">
        <v>6.74</v>
      </c>
      <c r="B322" s="13" t="s">
        <v>5856</v>
      </c>
      <c r="C322" s="3" t="s">
        <v>2453</v>
      </c>
      <c r="D322" s="101">
        <v>59</v>
      </c>
    </row>
    <row r="323" spans="1:4" s="176" customFormat="1" x14ac:dyDescent="0.25">
      <c r="A323" s="7"/>
      <c r="B323" s="13"/>
      <c r="C323" s="3"/>
      <c r="D323" s="101"/>
    </row>
    <row r="324" spans="1:4" s="176" customFormat="1" ht="78.75" x14ac:dyDescent="0.25">
      <c r="A324" s="7">
        <v>6.75</v>
      </c>
      <c r="B324" s="13" t="s">
        <v>5857</v>
      </c>
      <c r="C324" s="3" t="s">
        <v>2437</v>
      </c>
      <c r="D324" s="101">
        <v>2092</v>
      </c>
    </row>
    <row r="325" spans="1:4" s="176" customFormat="1" x14ac:dyDescent="0.25">
      <c r="A325" s="7"/>
      <c r="B325" s="13"/>
      <c r="C325" s="3"/>
      <c r="D325" s="101"/>
    </row>
    <row r="326" spans="1:4" s="176" customFormat="1" ht="78.75" x14ac:dyDescent="0.25">
      <c r="A326" s="7">
        <v>6.76</v>
      </c>
      <c r="B326" s="13" t="s">
        <v>5858</v>
      </c>
      <c r="C326" s="3" t="s">
        <v>2437</v>
      </c>
      <c r="D326" s="101">
        <v>2178</v>
      </c>
    </row>
    <row r="327" spans="1:4" s="176" customFormat="1" x14ac:dyDescent="0.25">
      <c r="A327" s="7"/>
      <c r="B327" s="13"/>
      <c r="C327" s="3"/>
      <c r="D327" s="101"/>
    </row>
    <row r="328" spans="1:4" s="176" customFormat="1" ht="94.5" x14ac:dyDescent="0.25">
      <c r="A328" s="7">
        <v>6.77</v>
      </c>
      <c r="B328" s="13" t="s">
        <v>5859</v>
      </c>
      <c r="C328" s="3" t="s">
        <v>2453</v>
      </c>
      <c r="D328" s="101">
        <v>796</v>
      </c>
    </row>
    <row r="329" spans="1:4" s="176" customFormat="1" x14ac:dyDescent="0.25">
      <c r="A329" s="7"/>
      <c r="B329" s="13"/>
      <c r="C329" s="3"/>
      <c r="D329" s="101"/>
    </row>
    <row r="330" spans="1:4" s="176" customFormat="1" ht="47.25" x14ac:dyDescent="0.25">
      <c r="A330" s="7">
        <v>6.78</v>
      </c>
      <c r="B330" s="13" t="s">
        <v>5860</v>
      </c>
      <c r="C330" s="3" t="s">
        <v>4217</v>
      </c>
      <c r="D330" s="101">
        <v>1050</v>
      </c>
    </row>
    <row r="331" spans="1:4" s="176" customFormat="1" x14ac:dyDescent="0.25">
      <c r="A331" s="7"/>
      <c r="B331" s="13"/>
      <c r="C331" s="3"/>
      <c r="D331" s="101"/>
    </row>
    <row r="332" spans="1:4" s="176" customFormat="1" x14ac:dyDescent="0.25">
      <c r="A332" s="7"/>
      <c r="B332" s="13"/>
      <c r="C332" s="3"/>
      <c r="D332" s="101"/>
    </row>
    <row r="333" spans="1:4" s="176" customFormat="1" ht="47.25" x14ac:dyDescent="0.25">
      <c r="A333" s="7">
        <v>6.79</v>
      </c>
      <c r="B333" s="13" t="s">
        <v>5861</v>
      </c>
      <c r="C333" s="3" t="s">
        <v>4217</v>
      </c>
      <c r="D333" s="101">
        <v>1224</v>
      </c>
    </row>
    <row r="334" spans="1:4" s="176" customFormat="1" x14ac:dyDescent="0.25">
      <c r="A334" s="7"/>
      <c r="B334" s="13"/>
      <c r="C334" s="3"/>
      <c r="D334" s="101"/>
    </row>
    <row r="335" spans="1:4" s="176" customFormat="1" ht="31.5" x14ac:dyDescent="0.25">
      <c r="A335" s="7">
        <v>6.8</v>
      </c>
      <c r="B335" s="13" t="s">
        <v>5862</v>
      </c>
      <c r="C335" s="3" t="s">
        <v>4217</v>
      </c>
      <c r="D335" s="101">
        <v>9724</v>
      </c>
    </row>
    <row r="336" spans="1:4" s="176" customFormat="1" x14ac:dyDescent="0.25">
      <c r="A336" s="7"/>
      <c r="B336" s="13"/>
      <c r="C336" s="3"/>
      <c r="D336" s="101"/>
    </row>
    <row r="337" spans="1:4" s="176" customFormat="1" ht="31.5" x14ac:dyDescent="0.25">
      <c r="A337" s="7">
        <v>6.81</v>
      </c>
      <c r="B337" s="13" t="s">
        <v>5863</v>
      </c>
      <c r="C337" s="3" t="s">
        <v>4217</v>
      </c>
      <c r="D337" s="101">
        <v>11756</v>
      </c>
    </row>
    <row r="338" spans="1:4" s="176" customFormat="1" x14ac:dyDescent="0.25">
      <c r="A338" s="7"/>
      <c r="B338" s="13"/>
      <c r="C338" s="3"/>
      <c r="D338" s="101"/>
    </row>
    <row r="339" spans="1:4" s="176" customFormat="1" ht="31.5" x14ac:dyDescent="0.25">
      <c r="A339" s="7">
        <v>6.82</v>
      </c>
      <c r="B339" s="13" t="s">
        <v>5864</v>
      </c>
      <c r="C339" s="3" t="s">
        <v>4217</v>
      </c>
      <c r="D339" s="101">
        <v>13434</v>
      </c>
    </row>
    <row r="340" spans="1:4" s="176" customFormat="1" x14ac:dyDescent="0.25">
      <c r="A340" s="7"/>
      <c r="B340" s="13"/>
      <c r="C340" s="3"/>
      <c r="D340" s="101"/>
    </row>
    <row r="341" spans="1:4" s="176" customFormat="1" ht="31.5" x14ac:dyDescent="0.25">
      <c r="A341" s="7">
        <v>6.83</v>
      </c>
      <c r="B341" s="13" t="s">
        <v>5865</v>
      </c>
      <c r="C341" s="3" t="s">
        <v>4217</v>
      </c>
      <c r="D341" s="101">
        <v>15112</v>
      </c>
    </row>
    <row r="342" spans="1:4" s="176" customFormat="1" x14ac:dyDescent="0.25">
      <c r="A342" s="7"/>
      <c r="B342" s="13"/>
      <c r="C342" s="3"/>
      <c r="D342" s="101"/>
    </row>
    <row r="343" spans="1:4" s="176" customFormat="1" ht="31.5" x14ac:dyDescent="0.25">
      <c r="A343" s="7">
        <v>6.84</v>
      </c>
      <c r="B343" s="13" t="s">
        <v>5866</v>
      </c>
      <c r="C343" s="3" t="s">
        <v>4217</v>
      </c>
      <c r="D343" s="101">
        <v>17855</v>
      </c>
    </row>
    <row r="344" spans="1:4" s="176" customFormat="1" x14ac:dyDescent="0.25">
      <c r="A344" s="7"/>
      <c r="B344" s="13"/>
      <c r="C344" s="3"/>
      <c r="D344" s="101"/>
    </row>
    <row r="345" spans="1:4" s="176" customFormat="1" ht="78.75" x14ac:dyDescent="0.25">
      <c r="A345" s="7">
        <v>6.85</v>
      </c>
      <c r="B345" s="13" t="s">
        <v>5867</v>
      </c>
      <c r="C345" s="3" t="s">
        <v>2785</v>
      </c>
      <c r="D345" s="101">
        <v>8077</v>
      </c>
    </row>
    <row r="346" spans="1:4" s="176" customFormat="1" x14ac:dyDescent="0.25">
      <c r="A346" s="7"/>
      <c r="B346" s="13"/>
      <c r="C346" s="3"/>
      <c r="D346" s="101"/>
    </row>
    <row r="347" spans="1:4" s="176" customFormat="1" ht="110.25" x14ac:dyDescent="0.25">
      <c r="A347" s="7">
        <v>6.86</v>
      </c>
      <c r="B347" s="13" t="s">
        <v>5868</v>
      </c>
      <c r="C347" s="3" t="s">
        <v>2437</v>
      </c>
      <c r="D347" s="101">
        <v>2081</v>
      </c>
    </row>
    <row r="348" spans="1:4" s="176" customFormat="1" x14ac:dyDescent="0.25">
      <c r="A348" s="7"/>
      <c r="B348" s="13"/>
      <c r="C348" s="3"/>
      <c r="D348" s="101"/>
    </row>
    <row r="349" spans="1:4" s="176" customFormat="1" ht="122.25" customHeight="1" x14ac:dyDescent="0.25">
      <c r="A349" s="7">
        <v>6.87</v>
      </c>
      <c r="B349" s="13" t="s">
        <v>5869</v>
      </c>
      <c r="C349" s="3" t="s">
        <v>2606</v>
      </c>
      <c r="D349" s="101"/>
    </row>
    <row r="350" spans="1:4" s="176" customFormat="1" x14ac:dyDescent="0.25">
      <c r="A350" s="7" t="s">
        <v>1662</v>
      </c>
      <c r="B350" s="13" t="s">
        <v>5870</v>
      </c>
      <c r="C350" s="3" t="s">
        <v>4836</v>
      </c>
      <c r="D350" s="101">
        <v>3259</v>
      </c>
    </row>
    <row r="351" spans="1:4" s="176" customFormat="1" x14ac:dyDescent="0.25">
      <c r="A351" s="7" t="s">
        <v>1664</v>
      </c>
      <c r="B351" s="13" t="s">
        <v>5871</v>
      </c>
      <c r="C351" s="3" t="s">
        <v>4836</v>
      </c>
      <c r="D351" s="101">
        <v>2880</v>
      </c>
    </row>
    <row r="352" spans="1:4" s="176" customFormat="1" x14ac:dyDescent="0.25">
      <c r="A352" s="7"/>
      <c r="B352" s="13"/>
      <c r="C352" s="3"/>
      <c r="D352" s="101"/>
    </row>
    <row r="353" spans="1:4" s="176" customFormat="1" x14ac:dyDescent="0.25">
      <c r="A353" s="7"/>
      <c r="B353" s="13"/>
      <c r="C353" s="3"/>
      <c r="D353" s="101"/>
    </row>
    <row r="354" spans="1:4" s="176" customFormat="1" ht="31.5" x14ac:dyDescent="0.25">
      <c r="A354" s="7">
        <v>6.88</v>
      </c>
      <c r="B354" s="13" t="s">
        <v>5872</v>
      </c>
      <c r="C354" s="3"/>
      <c r="D354" s="101"/>
    </row>
    <row r="355" spans="1:4" s="176" customFormat="1" x14ac:dyDescent="0.25">
      <c r="A355" s="7" t="s">
        <v>1662</v>
      </c>
      <c r="B355" s="13" t="s">
        <v>5873</v>
      </c>
      <c r="C355" s="3" t="s">
        <v>4836</v>
      </c>
      <c r="D355" s="101">
        <v>2923</v>
      </c>
    </row>
    <row r="356" spans="1:4" s="176" customFormat="1" x14ac:dyDescent="0.25">
      <c r="A356" s="7" t="s">
        <v>1664</v>
      </c>
      <c r="B356" s="13" t="s">
        <v>5874</v>
      </c>
      <c r="C356" s="3" t="s">
        <v>4836</v>
      </c>
      <c r="D356" s="101">
        <v>2081</v>
      </c>
    </row>
    <row r="357" spans="1:4" s="176" customFormat="1" x14ac:dyDescent="0.25">
      <c r="A357" s="7" t="s">
        <v>1670</v>
      </c>
      <c r="B357" s="13" t="s">
        <v>5875</v>
      </c>
      <c r="C357" s="3" t="s">
        <v>4836</v>
      </c>
      <c r="D357" s="101">
        <v>2167</v>
      </c>
    </row>
    <row r="358" spans="1:4" s="176" customFormat="1" x14ac:dyDescent="0.25">
      <c r="A358" s="7" t="s">
        <v>400</v>
      </c>
      <c r="B358" s="13" t="s">
        <v>5876</v>
      </c>
      <c r="C358" s="3" t="s">
        <v>4836</v>
      </c>
      <c r="D358" s="101">
        <v>1984</v>
      </c>
    </row>
    <row r="359" spans="1:4" s="176" customFormat="1" x14ac:dyDescent="0.25">
      <c r="A359" s="7"/>
      <c r="B359" s="13"/>
      <c r="C359" s="3"/>
      <c r="D359" s="101"/>
    </row>
    <row r="360" spans="1:4" s="176" customFormat="1" ht="47.25" x14ac:dyDescent="0.25">
      <c r="A360" s="7">
        <v>6.89</v>
      </c>
      <c r="B360" s="13" t="s">
        <v>5877</v>
      </c>
      <c r="C360" s="3" t="s">
        <v>2673</v>
      </c>
      <c r="D360" s="101">
        <v>857</v>
      </c>
    </row>
    <row r="361" spans="1:4" s="176" customFormat="1" x14ac:dyDescent="0.25">
      <c r="A361" s="7"/>
      <c r="B361" s="13"/>
      <c r="C361" s="3"/>
      <c r="D361" s="101"/>
    </row>
    <row r="362" spans="1:4" s="176" customFormat="1" ht="31.5" x14ac:dyDescent="0.25">
      <c r="A362" s="7">
        <v>6.9</v>
      </c>
      <c r="B362" s="13" t="s">
        <v>5878</v>
      </c>
      <c r="C362" s="3"/>
      <c r="D362" s="101"/>
    </row>
    <row r="363" spans="1:4" s="176" customFormat="1" x14ac:dyDescent="0.25">
      <c r="A363" s="7"/>
      <c r="B363" s="13" t="s">
        <v>5879</v>
      </c>
      <c r="C363" s="3" t="s">
        <v>2673</v>
      </c>
      <c r="D363" s="101">
        <v>3421</v>
      </c>
    </row>
    <row r="364" spans="1:4" s="176" customFormat="1" x14ac:dyDescent="0.25">
      <c r="A364" s="7"/>
      <c r="B364" s="13" t="s">
        <v>5880</v>
      </c>
      <c r="C364" s="3" t="s">
        <v>2673</v>
      </c>
      <c r="D364" s="101">
        <v>4312</v>
      </c>
    </row>
    <row r="365" spans="1:4" s="176" customFormat="1" x14ac:dyDescent="0.25">
      <c r="A365" s="7"/>
      <c r="B365" s="13"/>
      <c r="C365" s="3"/>
      <c r="D365" s="101"/>
    </row>
    <row r="366" spans="1:4" s="176" customFormat="1" ht="110.25" x14ac:dyDescent="0.25">
      <c r="A366" s="7">
        <v>6.91</v>
      </c>
      <c r="B366" s="13" t="s">
        <v>5881</v>
      </c>
      <c r="C366" s="3" t="s">
        <v>2437</v>
      </c>
      <c r="D366" s="101">
        <v>4350</v>
      </c>
    </row>
    <row r="367" spans="1:4" s="176" customFormat="1" x14ac:dyDescent="0.25">
      <c r="A367" s="7"/>
      <c r="B367" s="13"/>
      <c r="C367" s="3"/>
      <c r="D367" s="101"/>
    </row>
    <row r="368" spans="1:4" s="176" customFormat="1" ht="50.25" x14ac:dyDescent="0.25">
      <c r="A368" s="7">
        <v>6.92</v>
      </c>
      <c r="B368" s="13" t="s">
        <v>5882</v>
      </c>
      <c r="C368" s="3"/>
      <c r="D368" s="101"/>
    </row>
    <row r="369" spans="1:4" s="176" customFormat="1" x14ac:dyDescent="0.25">
      <c r="A369" s="7"/>
      <c r="B369" s="13" t="s">
        <v>5883</v>
      </c>
      <c r="C369" s="3" t="s">
        <v>2437</v>
      </c>
      <c r="D369" s="101">
        <v>1244</v>
      </c>
    </row>
    <row r="370" spans="1:4" s="176" customFormat="1" x14ac:dyDescent="0.25">
      <c r="A370" s="7"/>
      <c r="B370" s="13" t="s">
        <v>5884</v>
      </c>
      <c r="C370" s="3" t="s">
        <v>2437</v>
      </c>
      <c r="D370" s="101">
        <v>1392</v>
      </c>
    </row>
    <row r="371" spans="1:4" s="176" customFormat="1" x14ac:dyDescent="0.25">
      <c r="A371" s="7"/>
      <c r="B371" s="13" t="s">
        <v>5885</v>
      </c>
      <c r="C371" s="3" t="s">
        <v>2437</v>
      </c>
      <c r="D371" s="101">
        <v>1685</v>
      </c>
    </row>
    <row r="372" spans="1:4" s="176" customFormat="1" x14ac:dyDescent="0.25">
      <c r="A372" s="7"/>
      <c r="B372" s="13"/>
      <c r="C372" s="3"/>
      <c r="D372" s="101"/>
    </row>
    <row r="373" spans="1:4" s="176" customFormat="1" ht="50.25" x14ac:dyDescent="0.25">
      <c r="A373" s="7">
        <v>6.93</v>
      </c>
      <c r="B373" s="13" t="s">
        <v>5886</v>
      </c>
      <c r="C373" s="3"/>
      <c r="D373" s="101"/>
    </row>
    <row r="374" spans="1:4" s="176" customFormat="1" x14ac:dyDescent="0.25">
      <c r="A374" s="7"/>
      <c r="B374" s="13" t="s">
        <v>5883</v>
      </c>
      <c r="C374" s="3" t="s">
        <v>2437</v>
      </c>
      <c r="D374" s="101">
        <v>1392</v>
      </c>
    </row>
    <row r="375" spans="1:4" s="176" customFormat="1" x14ac:dyDescent="0.25">
      <c r="A375" s="7"/>
      <c r="B375" s="13" t="s">
        <v>5884</v>
      </c>
      <c r="C375" s="3" t="s">
        <v>2437</v>
      </c>
      <c r="D375" s="101">
        <v>1538</v>
      </c>
    </row>
    <row r="376" spans="1:4" s="176" customFormat="1" x14ac:dyDescent="0.25">
      <c r="A376" s="7"/>
      <c r="B376" s="13" t="s">
        <v>5885</v>
      </c>
      <c r="C376" s="3" t="s">
        <v>2437</v>
      </c>
      <c r="D376" s="101">
        <v>1831</v>
      </c>
    </row>
    <row r="377" spans="1:4" s="176" customFormat="1" x14ac:dyDescent="0.25">
      <c r="A377" s="7"/>
      <c r="B377" s="13"/>
      <c r="C377" s="3"/>
      <c r="D377" s="101"/>
    </row>
    <row r="378" spans="1:4" s="176" customFormat="1" x14ac:dyDescent="0.25">
      <c r="A378" s="7">
        <v>6.94</v>
      </c>
      <c r="B378" s="13" t="s">
        <v>5887</v>
      </c>
      <c r="C378" s="3" t="s">
        <v>2437</v>
      </c>
      <c r="D378" s="101">
        <v>517</v>
      </c>
    </row>
    <row r="379" spans="1:4" s="176" customFormat="1" x14ac:dyDescent="0.25">
      <c r="A379" s="7"/>
      <c r="B379" s="13"/>
      <c r="C379" s="3"/>
      <c r="D379" s="101">
        <f>SUM(D12:D378)</f>
        <v>1517299</v>
      </c>
    </row>
    <row r="380" spans="1:4" x14ac:dyDescent="0.25">
      <c r="A380" s="7"/>
      <c r="C380" s="3"/>
    </row>
    <row r="381" spans="1:4" x14ac:dyDescent="0.25">
      <c r="A381" s="7"/>
      <c r="C381" s="3"/>
    </row>
    <row r="382" spans="1:4" x14ac:dyDescent="0.25">
      <c r="A382" s="7"/>
      <c r="C382" s="3"/>
    </row>
    <row r="383" spans="1:4" x14ac:dyDescent="0.25">
      <c r="A383" s="7"/>
      <c r="C383" s="3"/>
    </row>
    <row r="384" spans="1:4" x14ac:dyDescent="0.25">
      <c r="A384" s="7"/>
      <c r="C384" s="3"/>
    </row>
    <row r="385" spans="1:3" x14ac:dyDescent="0.25">
      <c r="A385" s="7"/>
      <c r="C385" s="3"/>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FFFF00"/>
  </sheetPr>
  <dimension ref="A1:E149"/>
  <sheetViews>
    <sheetView view="pageBreakPreview" topLeftCell="A76" zoomScale="90" zoomScaleNormal="100" zoomScaleSheetLayoutView="90" workbookViewId="0">
      <selection activeCell="B66" sqref="B66"/>
    </sheetView>
  </sheetViews>
  <sheetFormatPr defaultRowHeight="15.75" x14ac:dyDescent="0.25"/>
  <cols>
    <col min="1" max="1" width="10" style="5" customWidth="1"/>
    <col min="2" max="2" width="55.7109375" style="13" customWidth="1"/>
    <col min="3" max="3" width="9.7109375" style="5" customWidth="1"/>
    <col min="4" max="4" width="11.7109375" style="6" customWidth="1"/>
    <col min="5" max="16384" width="9.140625" style="6"/>
  </cols>
  <sheetData>
    <row r="1" spans="1:5" ht="22.5" x14ac:dyDescent="0.25">
      <c r="A1" s="267" t="s">
        <v>2338</v>
      </c>
      <c r="B1" s="267"/>
      <c r="C1" s="267"/>
      <c r="D1" s="267"/>
    </row>
    <row r="2" spans="1:5" ht="27" x14ac:dyDescent="0.25">
      <c r="A2" s="268" t="s">
        <v>2339</v>
      </c>
      <c r="B2" s="268"/>
      <c r="C2" s="268"/>
      <c r="D2" s="268"/>
    </row>
    <row r="3" spans="1:5" x14ac:dyDescent="0.25">
      <c r="A3" s="8"/>
      <c r="C3" s="3"/>
    </row>
    <row r="4" spans="1:5" s="112" customFormat="1" ht="31.5" x14ac:dyDescent="0.2">
      <c r="A4" s="55" t="s">
        <v>6402</v>
      </c>
      <c r="B4" s="55" t="s">
        <v>2434</v>
      </c>
      <c r="C4" s="55" t="s">
        <v>2435</v>
      </c>
      <c r="D4" s="172" t="s">
        <v>18</v>
      </c>
    </row>
    <row r="5" spans="1:5" x14ac:dyDescent="0.25">
      <c r="A5" s="55">
        <v>1</v>
      </c>
      <c r="B5" s="55">
        <v>2</v>
      </c>
      <c r="C5" s="55">
        <v>3</v>
      </c>
      <c r="D5" s="45">
        <v>4</v>
      </c>
    </row>
    <row r="6" spans="1:5" x14ac:dyDescent="0.25">
      <c r="A6" s="122"/>
      <c r="C6" s="122"/>
      <c r="E6" s="173"/>
    </row>
    <row r="7" spans="1:5" ht="116.25" customHeight="1" x14ac:dyDescent="0.25">
      <c r="A7" s="92">
        <v>7.1</v>
      </c>
      <c r="B7" s="116" t="s">
        <v>2340</v>
      </c>
      <c r="C7" s="92"/>
      <c r="E7" s="173"/>
    </row>
    <row r="8" spans="1:5" x14ac:dyDescent="0.25">
      <c r="A8" s="92"/>
      <c r="B8" s="204" t="s">
        <v>2341</v>
      </c>
      <c r="C8" s="94"/>
    </row>
    <row r="9" spans="1:5" ht="126" customHeight="1" x14ac:dyDescent="0.25">
      <c r="A9" s="92"/>
      <c r="B9" s="116" t="s">
        <v>2342</v>
      </c>
      <c r="C9" s="92"/>
    </row>
    <row r="10" spans="1:5" x14ac:dyDescent="0.25">
      <c r="A10" s="123"/>
      <c r="B10" s="200"/>
      <c r="C10" s="96"/>
    </row>
    <row r="11" spans="1:5" x14ac:dyDescent="0.25">
      <c r="A11" s="92">
        <v>7.1</v>
      </c>
      <c r="B11" s="116" t="s">
        <v>2346</v>
      </c>
      <c r="C11" s="92"/>
    </row>
    <row r="12" spans="1:5" ht="18.75" x14ac:dyDescent="0.25">
      <c r="A12" s="92" t="s">
        <v>2343</v>
      </c>
      <c r="B12" s="116" t="s">
        <v>6097</v>
      </c>
      <c r="C12" s="92" t="s">
        <v>2606</v>
      </c>
      <c r="D12" s="101">
        <v>1164</v>
      </c>
    </row>
    <row r="13" spans="1:5" ht="18.75" x14ac:dyDescent="0.25">
      <c r="A13" s="92" t="s">
        <v>2344</v>
      </c>
      <c r="B13" s="116" t="s">
        <v>6098</v>
      </c>
      <c r="C13" s="92" t="s">
        <v>2606</v>
      </c>
      <c r="D13" s="101">
        <v>1350</v>
      </c>
    </row>
    <row r="14" spans="1:5" ht="18.75" x14ac:dyDescent="0.25">
      <c r="A14" s="92" t="s">
        <v>2345</v>
      </c>
      <c r="B14" s="116" t="s">
        <v>6099</v>
      </c>
      <c r="C14" s="92" t="s">
        <v>2606</v>
      </c>
      <c r="D14" s="101">
        <v>1674</v>
      </c>
    </row>
    <row r="15" spans="1:5" x14ac:dyDescent="0.25">
      <c r="A15" s="92"/>
      <c r="B15" s="116"/>
      <c r="C15" s="92"/>
    </row>
    <row r="16" spans="1:5" x14ac:dyDescent="0.25">
      <c r="A16" s="92">
        <v>7.2</v>
      </c>
      <c r="B16" s="116" t="s">
        <v>2347</v>
      </c>
      <c r="C16" s="92"/>
    </row>
    <row r="17" spans="1:4" ht="18.75" x14ac:dyDescent="0.25">
      <c r="A17" s="92" t="s">
        <v>2349</v>
      </c>
      <c r="B17" s="116" t="s">
        <v>6100</v>
      </c>
      <c r="C17" s="92" t="s">
        <v>2606</v>
      </c>
      <c r="D17" s="101">
        <v>1044</v>
      </c>
    </row>
    <row r="18" spans="1:4" ht="18.75" x14ac:dyDescent="0.25">
      <c r="A18" s="92" t="s">
        <v>2350</v>
      </c>
      <c r="B18" s="116" t="s">
        <v>6098</v>
      </c>
      <c r="C18" s="92" t="s">
        <v>2606</v>
      </c>
      <c r="D18" s="101">
        <v>1157</v>
      </c>
    </row>
    <row r="19" spans="1:4" ht="18.75" x14ac:dyDescent="0.25">
      <c r="A19" s="92" t="s">
        <v>2351</v>
      </c>
      <c r="B19" s="116" t="s">
        <v>6099</v>
      </c>
      <c r="C19" s="92" t="s">
        <v>2606</v>
      </c>
      <c r="D19" s="101">
        <v>1305</v>
      </c>
    </row>
    <row r="20" spans="1:4" x14ac:dyDescent="0.25">
      <c r="A20" s="92"/>
      <c r="B20" s="116"/>
      <c r="C20" s="92"/>
      <c r="D20" s="101"/>
    </row>
    <row r="21" spans="1:4" x14ac:dyDescent="0.25">
      <c r="A21" s="92">
        <v>7.3</v>
      </c>
      <c r="B21" s="116" t="s">
        <v>1987</v>
      </c>
      <c r="C21" s="92"/>
      <c r="D21" s="101"/>
    </row>
    <row r="22" spans="1:4" ht="18.75" x14ac:dyDescent="0.25">
      <c r="A22" s="92" t="s">
        <v>2353</v>
      </c>
      <c r="B22" s="116" t="s">
        <v>6100</v>
      </c>
      <c r="C22" s="92" t="s">
        <v>2606</v>
      </c>
      <c r="D22" s="101">
        <v>1084</v>
      </c>
    </row>
    <row r="23" spans="1:4" ht="18.75" x14ac:dyDescent="0.25">
      <c r="A23" s="92" t="s">
        <v>2354</v>
      </c>
      <c r="B23" s="116" t="s">
        <v>6098</v>
      </c>
      <c r="C23" s="92" t="s">
        <v>2606</v>
      </c>
      <c r="D23" s="101">
        <v>1268</v>
      </c>
    </row>
    <row r="24" spans="1:4" ht="18.75" x14ac:dyDescent="0.25">
      <c r="A24" s="92" t="s">
        <v>2355</v>
      </c>
      <c r="B24" s="116" t="s">
        <v>6099</v>
      </c>
      <c r="C24" s="92" t="s">
        <v>2606</v>
      </c>
      <c r="D24" s="101">
        <v>1674</v>
      </c>
    </row>
    <row r="25" spans="1:4" x14ac:dyDescent="0.25">
      <c r="A25" s="92"/>
      <c r="B25" s="116"/>
      <c r="C25" s="92"/>
      <c r="D25" s="101"/>
    </row>
    <row r="26" spans="1:4" x14ac:dyDescent="0.25">
      <c r="A26" s="92">
        <v>7.4</v>
      </c>
      <c r="B26" s="116" t="s">
        <v>1991</v>
      </c>
      <c r="C26" s="92"/>
      <c r="D26" s="101"/>
    </row>
    <row r="27" spans="1:4" ht="18.75" x14ac:dyDescent="0.25">
      <c r="A27" s="92" t="s">
        <v>1988</v>
      </c>
      <c r="B27" s="116" t="s">
        <v>6101</v>
      </c>
      <c r="C27" s="92" t="s">
        <v>2606</v>
      </c>
      <c r="D27" s="101">
        <v>1029</v>
      </c>
    </row>
    <row r="28" spans="1:4" ht="18.75" x14ac:dyDescent="0.25">
      <c r="A28" s="92" t="s">
        <v>1989</v>
      </c>
      <c r="B28" s="116" t="s">
        <v>6098</v>
      </c>
      <c r="C28" s="92" t="s">
        <v>2606</v>
      </c>
      <c r="D28" s="101">
        <v>1120</v>
      </c>
    </row>
    <row r="29" spans="1:4" ht="18.75" x14ac:dyDescent="0.25">
      <c r="A29" s="92" t="s">
        <v>1990</v>
      </c>
      <c r="B29" s="116" t="s">
        <v>6099</v>
      </c>
      <c r="C29" s="92" t="s">
        <v>2606</v>
      </c>
      <c r="D29" s="101">
        <v>1361</v>
      </c>
    </row>
    <row r="30" spans="1:4" x14ac:dyDescent="0.25">
      <c r="A30" s="92"/>
      <c r="B30" s="116"/>
      <c r="C30" s="92"/>
      <c r="D30" s="101"/>
    </row>
    <row r="31" spans="1:4" x14ac:dyDescent="0.25">
      <c r="A31" s="92"/>
      <c r="B31" s="116"/>
      <c r="C31" s="92"/>
      <c r="D31" s="101"/>
    </row>
    <row r="32" spans="1:4" ht="134.25" customHeight="1" x14ac:dyDescent="0.25">
      <c r="A32" s="92">
        <v>7.5</v>
      </c>
      <c r="B32" s="116" t="s">
        <v>2348</v>
      </c>
      <c r="C32" s="94"/>
      <c r="D32" s="101"/>
    </row>
    <row r="33" spans="1:4" x14ac:dyDescent="0.25">
      <c r="A33" s="3"/>
      <c r="C33" s="94"/>
      <c r="D33" s="101"/>
    </row>
    <row r="34" spans="1:4" x14ac:dyDescent="0.25">
      <c r="A34" s="92" t="s">
        <v>2357</v>
      </c>
      <c r="B34" s="116" t="s">
        <v>4592</v>
      </c>
      <c r="C34" s="94"/>
      <c r="D34" s="101"/>
    </row>
    <row r="35" spans="1:4" ht="18.75" x14ac:dyDescent="0.25">
      <c r="A35" s="92" t="s">
        <v>1662</v>
      </c>
      <c r="B35" s="116" t="s">
        <v>6100</v>
      </c>
      <c r="C35" s="94" t="s">
        <v>2606</v>
      </c>
      <c r="D35" s="101">
        <v>1993</v>
      </c>
    </row>
    <row r="36" spans="1:4" ht="18.75" x14ac:dyDescent="0.25">
      <c r="A36" s="92" t="s">
        <v>1664</v>
      </c>
      <c r="B36" s="116" t="s">
        <v>6098</v>
      </c>
      <c r="C36" s="94" t="s">
        <v>2606</v>
      </c>
      <c r="D36" s="101">
        <v>2818</v>
      </c>
    </row>
    <row r="37" spans="1:4" ht="18.75" x14ac:dyDescent="0.25">
      <c r="A37" s="92" t="s">
        <v>1670</v>
      </c>
      <c r="B37" s="116" t="s">
        <v>6099</v>
      </c>
      <c r="C37" s="94" t="s">
        <v>2606</v>
      </c>
      <c r="D37" s="101">
        <v>3028</v>
      </c>
    </row>
    <row r="38" spans="1:4" x14ac:dyDescent="0.25">
      <c r="A38" s="92"/>
      <c r="B38" s="116"/>
      <c r="C38" s="94"/>
      <c r="D38" s="101"/>
    </row>
    <row r="39" spans="1:4" x14ac:dyDescent="0.25">
      <c r="A39" s="92" t="s">
        <v>2359</v>
      </c>
      <c r="B39" s="116" t="s">
        <v>2352</v>
      </c>
      <c r="C39" s="94"/>
      <c r="D39" s="101"/>
    </row>
    <row r="40" spans="1:4" ht="18.75" x14ac:dyDescent="0.25">
      <c r="A40" s="92" t="s">
        <v>1662</v>
      </c>
      <c r="B40" s="116" t="s">
        <v>6100</v>
      </c>
      <c r="C40" s="94" t="s">
        <v>2606</v>
      </c>
      <c r="D40" s="101">
        <v>2453</v>
      </c>
    </row>
    <row r="41" spans="1:4" ht="18.75" x14ac:dyDescent="0.25">
      <c r="A41" s="92" t="s">
        <v>1664</v>
      </c>
      <c r="B41" s="116" t="s">
        <v>6098</v>
      </c>
      <c r="C41" s="94" t="s">
        <v>2606</v>
      </c>
      <c r="D41" s="101">
        <v>2944</v>
      </c>
    </row>
    <row r="42" spans="1:4" ht="18.75" x14ac:dyDescent="0.25">
      <c r="A42" s="92" t="s">
        <v>1670</v>
      </c>
      <c r="B42" s="116" t="s">
        <v>6099</v>
      </c>
      <c r="C42" s="94" t="s">
        <v>2606</v>
      </c>
      <c r="D42" s="101">
        <v>3434</v>
      </c>
    </row>
    <row r="43" spans="1:4" x14ac:dyDescent="0.25">
      <c r="A43" s="92"/>
      <c r="B43" s="116"/>
      <c r="C43" s="94"/>
      <c r="D43" s="101"/>
    </row>
    <row r="44" spans="1:4" x14ac:dyDescent="0.25">
      <c r="A44" s="92" t="s">
        <v>1998</v>
      </c>
      <c r="B44" s="116" t="s">
        <v>4593</v>
      </c>
      <c r="C44" s="94"/>
      <c r="D44" s="101"/>
    </row>
    <row r="45" spans="1:4" ht="18.75" x14ac:dyDescent="0.25">
      <c r="A45" s="92" t="s">
        <v>1662</v>
      </c>
      <c r="B45" s="116" t="s">
        <v>6100</v>
      </c>
      <c r="C45" s="94" t="s">
        <v>2606</v>
      </c>
      <c r="D45" s="101">
        <v>2334</v>
      </c>
    </row>
    <row r="46" spans="1:4" ht="18.75" x14ac:dyDescent="0.25">
      <c r="A46" s="92" t="s">
        <v>1664</v>
      </c>
      <c r="B46" s="116" t="s">
        <v>6098</v>
      </c>
      <c r="C46" s="94" t="s">
        <v>2606</v>
      </c>
      <c r="D46" s="101">
        <v>3176</v>
      </c>
    </row>
    <row r="47" spans="1:4" ht="18.75" x14ac:dyDescent="0.25">
      <c r="A47" s="92" t="s">
        <v>1670</v>
      </c>
      <c r="B47" s="116" t="s">
        <v>6099</v>
      </c>
      <c r="C47" s="94" t="s">
        <v>2606</v>
      </c>
      <c r="D47" s="101">
        <v>4076</v>
      </c>
    </row>
    <row r="48" spans="1:4" x14ac:dyDescent="0.25">
      <c r="A48" s="92"/>
      <c r="B48" s="116"/>
      <c r="C48" s="94"/>
      <c r="D48" s="101"/>
    </row>
    <row r="49" spans="1:4" x14ac:dyDescent="0.25">
      <c r="A49" s="92" t="s">
        <v>5675</v>
      </c>
      <c r="B49" s="116" t="s">
        <v>4594</v>
      </c>
      <c r="C49" s="94"/>
      <c r="D49" s="101"/>
    </row>
    <row r="50" spans="1:4" ht="18.75" x14ac:dyDescent="0.25">
      <c r="A50" s="92" t="s">
        <v>1662</v>
      </c>
      <c r="B50" s="116" t="s">
        <v>6100</v>
      </c>
      <c r="C50" s="94" t="s">
        <v>2606</v>
      </c>
      <c r="D50" s="101">
        <v>2310</v>
      </c>
    </row>
    <row r="51" spans="1:4" ht="18.75" x14ac:dyDescent="0.25">
      <c r="A51" s="92" t="s">
        <v>1664</v>
      </c>
      <c r="B51" s="116" t="s">
        <v>6098</v>
      </c>
      <c r="C51" s="94" t="s">
        <v>2606</v>
      </c>
      <c r="D51" s="101">
        <v>2952</v>
      </c>
    </row>
    <row r="52" spans="1:4" ht="18.75" x14ac:dyDescent="0.25">
      <c r="A52" s="92" t="s">
        <v>1670</v>
      </c>
      <c r="B52" s="116" t="s">
        <v>6099</v>
      </c>
      <c r="C52" s="94" t="s">
        <v>2606</v>
      </c>
      <c r="D52" s="101">
        <v>3850</v>
      </c>
    </row>
    <row r="53" spans="1:4" x14ac:dyDescent="0.25">
      <c r="A53" s="92"/>
      <c r="B53" s="116"/>
      <c r="C53" s="94"/>
      <c r="D53" s="101"/>
    </row>
    <row r="54" spans="1:4" s="176" customFormat="1" x14ac:dyDescent="0.25">
      <c r="A54" s="92" t="s">
        <v>5676</v>
      </c>
      <c r="B54" s="116" t="s">
        <v>5638</v>
      </c>
      <c r="C54" s="94"/>
      <c r="D54" s="101"/>
    </row>
    <row r="55" spans="1:4" s="176" customFormat="1" ht="18.75" x14ac:dyDescent="0.25">
      <c r="A55" s="92" t="s">
        <v>1662</v>
      </c>
      <c r="B55" s="116" t="s">
        <v>6100</v>
      </c>
      <c r="C55" s="94" t="s">
        <v>2606</v>
      </c>
      <c r="D55" s="101">
        <v>1850</v>
      </c>
    </row>
    <row r="56" spans="1:4" s="176" customFormat="1" ht="18.75" x14ac:dyDescent="0.25">
      <c r="A56" s="92" t="s">
        <v>1664</v>
      </c>
      <c r="B56" s="116" t="s">
        <v>6098</v>
      </c>
      <c r="C56" s="94" t="s">
        <v>2606</v>
      </c>
      <c r="D56" s="101">
        <v>2400</v>
      </c>
    </row>
    <row r="57" spans="1:4" s="176" customFormat="1" ht="18.75" x14ac:dyDescent="0.25">
      <c r="A57" s="92" t="s">
        <v>1670</v>
      </c>
      <c r="B57" s="116" t="s">
        <v>6099</v>
      </c>
      <c r="C57" s="94" t="s">
        <v>2606</v>
      </c>
      <c r="D57" s="101">
        <v>2750</v>
      </c>
    </row>
    <row r="58" spans="1:4" s="176" customFormat="1" x14ac:dyDescent="0.25">
      <c r="A58" s="92"/>
      <c r="B58" s="116"/>
      <c r="C58" s="94"/>
      <c r="D58" s="101"/>
    </row>
    <row r="59" spans="1:4" s="176" customFormat="1" x14ac:dyDescent="0.25">
      <c r="A59" s="92" t="s">
        <v>5677</v>
      </c>
      <c r="B59" s="116" t="s">
        <v>5639</v>
      </c>
      <c r="C59" s="94"/>
      <c r="D59" s="101"/>
    </row>
    <row r="60" spans="1:4" s="176" customFormat="1" ht="18.75" x14ac:dyDescent="0.25">
      <c r="A60" s="92" t="s">
        <v>1662</v>
      </c>
      <c r="B60" s="116" t="s">
        <v>6100</v>
      </c>
      <c r="C60" s="94" t="s">
        <v>2606</v>
      </c>
      <c r="D60" s="101">
        <v>2000</v>
      </c>
    </row>
    <row r="61" spans="1:4" s="176" customFormat="1" ht="18.75" x14ac:dyDescent="0.25">
      <c r="A61" s="92" t="s">
        <v>1664</v>
      </c>
      <c r="B61" s="116" t="s">
        <v>6098</v>
      </c>
      <c r="C61" s="94" t="s">
        <v>2606</v>
      </c>
      <c r="D61" s="101">
        <v>2600</v>
      </c>
    </row>
    <row r="62" spans="1:4" s="176" customFormat="1" ht="18.75" x14ac:dyDescent="0.25">
      <c r="A62" s="92" t="s">
        <v>1670</v>
      </c>
      <c r="B62" s="116" t="s">
        <v>6099</v>
      </c>
      <c r="C62" s="94" t="s">
        <v>2606</v>
      </c>
      <c r="D62" s="101">
        <v>3100</v>
      </c>
    </row>
    <row r="63" spans="1:4" x14ac:dyDescent="0.25">
      <c r="A63" s="92"/>
      <c r="B63" s="116"/>
      <c r="C63" s="94"/>
      <c r="D63" s="101"/>
    </row>
    <row r="64" spans="1:4" x14ac:dyDescent="0.25">
      <c r="A64" s="92"/>
      <c r="B64" s="116"/>
      <c r="C64" s="94"/>
      <c r="D64" s="101"/>
    </row>
    <row r="65" spans="1:4" x14ac:dyDescent="0.25">
      <c r="A65" s="92"/>
      <c r="B65" s="116"/>
      <c r="C65" s="94"/>
      <c r="D65" s="101"/>
    </row>
    <row r="66" spans="1:4" ht="78.75" customHeight="1" x14ac:dyDescent="0.25">
      <c r="A66" s="114">
        <v>7.6</v>
      </c>
      <c r="B66" s="116" t="s">
        <v>4604</v>
      </c>
      <c r="C66" s="94"/>
      <c r="D66" s="101"/>
    </row>
    <row r="67" spans="1:4" x14ac:dyDescent="0.25">
      <c r="A67" s="92" t="s">
        <v>2361</v>
      </c>
      <c r="B67" s="116" t="s">
        <v>2366</v>
      </c>
      <c r="C67" s="118"/>
      <c r="D67" s="101"/>
    </row>
    <row r="68" spans="1:4" x14ac:dyDescent="0.25">
      <c r="A68" s="92" t="s">
        <v>1662</v>
      </c>
      <c r="B68" s="116" t="s">
        <v>4605</v>
      </c>
      <c r="C68" s="94" t="s">
        <v>2453</v>
      </c>
      <c r="D68" s="101">
        <v>146</v>
      </c>
    </row>
    <row r="69" spans="1:4" x14ac:dyDescent="0.25">
      <c r="A69" s="92"/>
      <c r="B69" s="116"/>
      <c r="C69" s="94"/>
      <c r="D69" s="101"/>
    </row>
    <row r="70" spans="1:4" x14ac:dyDescent="0.25">
      <c r="A70" s="92" t="s">
        <v>1664</v>
      </c>
      <c r="B70" s="116" t="s">
        <v>4606</v>
      </c>
      <c r="C70" s="94" t="s">
        <v>2453</v>
      </c>
      <c r="D70" s="101">
        <v>88</v>
      </c>
    </row>
    <row r="71" spans="1:4" x14ac:dyDescent="0.25">
      <c r="A71" s="92"/>
      <c r="B71" s="116"/>
      <c r="C71" s="94"/>
      <c r="D71" s="101"/>
    </row>
    <row r="72" spans="1:4" x14ac:dyDescent="0.25">
      <c r="A72" s="92" t="s">
        <v>2362</v>
      </c>
      <c r="B72" s="116" t="s">
        <v>5678</v>
      </c>
      <c r="C72" s="118"/>
      <c r="D72" s="101"/>
    </row>
    <row r="73" spans="1:4" x14ac:dyDescent="0.25">
      <c r="A73" s="92" t="s">
        <v>1662</v>
      </c>
      <c r="B73" s="116" t="s">
        <v>4605</v>
      </c>
      <c r="C73" s="94" t="s">
        <v>2453</v>
      </c>
      <c r="D73" s="101">
        <v>233</v>
      </c>
    </row>
    <row r="74" spans="1:4" x14ac:dyDescent="0.25">
      <c r="A74" s="92"/>
      <c r="B74" s="116"/>
      <c r="C74" s="94"/>
      <c r="D74" s="101"/>
    </row>
    <row r="75" spans="1:4" x14ac:dyDescent="0.25">
      <c r="A75" s="92" t="s">
        <v>1664</v>
      </c>
      <c r="B75" s="116" t="s">
        <v>4606</v>
      </c>
      <c r="C75" s="94" t="s">
        <v>2453</v>
      </c>
      <c r="D75" s="101">
        <v>143</v>
      </c>
    </row>
    <row r="76" spans="1:4" x14ac:dyDescent="0.25">
      <c r="A76" s="6"/>
      <c r="B76" s="116"/>
      <c r="C76" s="94"/>
      <c r="D76" s="101"/>
    </row>
    <row r="77" spans="1:4" ht="69.75" customHeight="1" x14ac:dyDescent="0.25">
      <c r="A77" s="92">
        <v>7.7</v>
      </c>
      <c r="B77" s="116" t="s">
        <v>2002</v>
      </c>
      <c r="C77" s="94" t="s">
        <v>2453</v>
      </c>
      <c r="D77" s="101">
        <v>24</v>
      </c>
    </row>
    <row r="78" spans="1:4" x14ac:dyDescent="0.25">
      <c r="A78" s="92"/>
      <c r="B78" s="116"/>
      <c r="C78" s="94"/>
      <c r="D78" s="101"/>
    </row>
    <row r="79" spans="1:4" ht="84" customHeight="1" x14ac:dyDescent="0.25">
      <c r="A79" s="114">
        <v>7.8</v>
      </c>
      <c r="B79" s="116" t="s">
        <v>2003</v>
      </c>
      <c r="C79" s="94" t="s">
        <v>2367</v>
      </c>
      <c r="D79" s="101">
        <v>256</v>
      </c>
    </row>
    <row r="80" spans="1:4" x14ac:dyDescent="0.25">
      <c r="A80" s="92"/>
      <c r="B80" s="116"/>
      <c r="C80" s="94"/>
      <c r="D80" s="101"/>
    </row>
    <row r="81" spans="1:4" ht="31.5" x14ac:dyDescent="0.25">
      <c r="A81" s="92">
        <v>7.9</v>
      </c>
      <c r="B81" s="116" t="s">
        <v>1492</v>
      </c>
      <c r="C81" s="94" t="s">
        <v>2606</v>
      </c>
      <c r="D81" s="101">
        <v>102</v>
      </c>
    </row>
    <row r="82" spans="1:4" x14ac:dyDescent="0.25">
      <c r="A82" s="92"/>
      <c r="B82" s="116"/>
      <c r="C82" s="94"/>
      <c r="D82" s="101"/>
    </row>
    <row r="83" spans="1:4" ht="57.75" customHeight="1" x14ac:dyDescent="0.25">
      <c r="A83" s="94">
        <v>7.1</v>
      </c>
      <c r="B83" s="116" t="s">
        <v>4498</v>
      </c>
      <c r="C83" s="94" t="s">
        <v>2785</v>
      </c>
      <c r="D83" s="101">
        <v>52</v>
      </c>
    </row>
    <row r="84" spans="1:4" x14ac:dyDescent="0.25">
      <c r="A84" s="92"/>
      <c r="B84" s="116"/>
      <c r="C84" s="94"/>
      <c r="D84" s="101"/>
    </row>
    <row r="85" spans="1:4" ht="75.75" customHeight="1" x14ac:dyDescent="0.25">
      <c r="A85" s="92">
        <v>7.11</v>
      </c>
      <c r="B85" s="116" t="s">
        <v>2005</v>
      </c>
      <c r="C85" s="94"/>
      <c r="D85" s="101"/>
    </row>
    <row r="86" spans="1:4" x14ac:dyDescent="0.25">
      <c r="A86" s="92" t="s">
        <v>5679</v>
      </c>
      <c r="B86" s="116" t="s">
        <v>4174</v>
      </c>
      <c r="C86" s="94" t="s">
        <v>2634</v>
      </c>
      <c r="D86" s="101">
        <v>642</v>
      </c>
    </row>
    <row r="87" spans="1:4" x14ac:dyDescent="0.25">
      <c r="A87" s="92"/>
      <c r="B87" s="116"/>
      <c r="C87" s="94"/>
      <c r="D87" s="101"/>
    </row>
    <row r="88" spans="1:4" x14ac:dyDescent="0.25">
      <c r="A88" s="92" t="s">
        <v>5680</v>
      </c>
      <c r="B88" s="116" t="s">
        <v>2004</v>
      </c>
      <c r="C88" s="94" t="s">
        <v>2634</v>
      </c>
      <c r="D88" s="101">
        <v>611</v>
      </c>
    </row>
    <row r="89" spans="1:4" x14ac:dyDescent="0.25">
      <c r="A89" s="92"/>
      <c r="B89" s="116"/>
      <c r="C89" s="94"/>
      <c r="D89" s="101"/>
    </row>
    <row r="90" spans="1:4" x14ac:dyDescent="0.25">
      <c r="A90" s="92"/>
      <c r="B90" s="116"/>
      <c r="C90" s="94"/>
      <c r="D90" s="101"/>
    </row>
    <row r="91" spans="1:4" ht="126" x14ac:dyDescent="0.25">
      <c r="A91" s="92">
        <v>7.12</v>
      </c>
      <c r="B91" s="116" t="s">
        <v>587</v>
      </c>
      <c r="C91" s="94" t="s">
        <v>2606</v>
      </c>
      <c r="D91" s="101">
        <v>674</v>
      </c>
    </row>
    <row r="92" spans="1:4" x14ac:dyDescent="0.25">
      <c r="A92" s="92"/>
      <c r="B92" s="116"/>
      <c r="C92" s="94"/>
      <c r="D92" s="101"/>
    </row>
    <row r="93" spans="1:4" ht="110.25" x14ac:dyDescent="0.25">
      <c r="A93" s="120">
        <v>7.13</v>
      </c>
      <c r="B93" s="116" t="s">
        <v>588</v>
      </c>
      <c r="C93" s="94" t="s">
        <v>2606</v>
      </c>
      <c r="D93" s="101">
        <v>748</v>
      </c>
    </row>
    <row r="94" spans="1:4" x14ac:dyDescent="0.25">
      <c r="A94" s="92"/>
      <c r="B94" s="116"/>
      <c r="C94" s="94"/>
      <c r="D94" s="101"/>
    </row>
    <row r="95" spans="1:4" ht="63" x14ac:dyDescent="0.25">
      <c r="A95" s="92">
        <v>7.14</v>
      </c>
      <c r="B95" s="116" t="s">
        <v>589</v>
      </c>
      <c r="C95" s="94" t="s">
        <v>2437</v>
      </c>
      <c r="D95" s="163">
        <v>0.1</v>
      </c>
    </row>
    <row r="96" spans="1:4" x14ac:dyDescent="0.25">
      <c r="A96" s="92"/>
      <c r="B96" s="116"/>
      <c r="C96" s="94"/>
      <c r="D96" s="163"/>
    </row>
    <row r="97" spans="1:4" ht="47.25" x14ac:dyDescent="0.25">
      <c r="A97" s="92">
        <v>7.15</v>
      </c>
      <c r="B97" s="116" t="s">
        <v>590</v>
      </c>
      <c r="C97" s="94" t="s">
        <v>2437</v>
      </c>
      <c r="D97" s="163">
        <v>0.1</v>
      </c>
    </row>
    <row r="98" spans="1:4" x14ac:dyDescent="0.25">
      <c r="A98" s="92"/>
      <c r="B98" s="116"/>
      <c r="C98" s="94"/>
      <c r="D98" s="101"/>
    </row>
    <row r="99" spans="1:4" ht="94.5" x14ac:dyDescent="0.25">
      <c r="A99" s="120">
        <v>7.16</v>
      </c>
      <c r="B99" s="116" t="s">
        <v>2009</v>
      </c>
      <c r="C99" s="94" t="s">
        <v>2356</v>
      </c>
      <c r="D99" s="101">
        <v>329</v>
      </c>
    </row>
    <row r="100" spans="1:4" x14ac:dyDescent="0.25">
      <c r="A100" s="92"/>
      <c r="B100" s="116"/>
      <c r="C100" s="94"/>
      <c r="D100" s="101"/>
    </row>
    <row r="101" spans="1:4" ht="78.75" x14ac:dyDescent="0.25">
      <c r="A101" s="92">
        <v>7.17</v>
      </c>
      <c r="B101" s="116" t="s">
        <v>6103</v>
      </c>
      <c r="C101" s="94"/>
      <c r="D101" s="101"/>
    </row>
    <row r="102" spans="1:4" x14ac:dyDescent="0.25">
      <c r="A102" s="92" t="s">
        <v>5681</v>
      </c>
      <c r="B102" s="116" t="s">
        <v>2358</v>
      </c>
      <c r="C102" s="94" t="s">
        <v>4217</v>
      </c>
      <c r="D102" s="101">
        <v>130</v>
      </c>
    </row>
    <row r="103" spans="1:4" x14ac:dyDescent="0.25">
      <c r="A103" s="92" t="s">
        <v>5682</v>
      </c>
      <c r="B103" s="116" t="s">
        <v>2360</v>
      </c>
      <c r="C103" s="94" t="s">
        <v>4217</v>
      </c>
      <c r="D103" s="101">
        <v>155</v>
      </c>
    </row>
    <row r="104" spans="1:4" x14ac:dyDescent="0.25">
      <c r="A104" s="92" t="s">
        <v>5683</v>
      </c>
      <c r="B104" s="116" t="s">
        <v>4620</v>
      </c>
      <c r="C104" s="94" t="s">
        <v>4217</v>
      </c>
      <c r="D104" s="101">
        <v>219</v>
      </c>
    </row>
    <row r="105" spans="1:4" x14ac:dyDescent="0.25">
      <c r="A105" s="92" t="s">
        <v>5684</v>
      </c>
      <c r="B105" s="116" t="s">
        <v>4621</v>
      </c>
      <c r="C105" s="94" t="s">
        <v>4217</v>
      </c>
      <c r="D105" s="101">
        <v>250</v>
      </c>
    </row>
    <row r="106" spans="1:4" x14ac:dyDescent="0.25">
      <c r="A106" s="92" t="s">
        <v>5685</v>
      </c>
      <c r="B106" s="116" t="s">
        <v>4622</v>
      </c>
      <c r="C106" s="94" t="s">
        <v>4217</v>
      </c>
      <c r="D106" s="101">
        <v>281</v>
      </c>
    </row>
    <row r="107" spans="1:4" x14ac:dyDescent="0.25">
      <c r="A107" s="92"/>
      <c r="B107" s="116"/>
      <c r="C107" s="94"/>
      <c r="D107" s="101"/>
    </row>
    <row r="108" spans="1:4" x14ac:dyDescent="0.25">
      <c r="A108" s="92"/>
      <c r="B108" s="116"/>
      <c r="C108" s="94"/>
      <c r="D108" s="101"/>
    </row>
    <row r="109" spans="1:4" ht="110.25" x14ac:dyDescent="0.25">
      <c r="A109" s="94">
        <v>7.18</v>
      </c>
      <c r="B109" s="116" t="s">
        <v>2363</v>
      </c>
      <c r="C109" s="94"/>
      <c r="D109" s="101"/>
    </row>
    <row r="110" spans="1:4" x14ac:dyDescent="0.25">
      <c r="A110" s="114" t="s">
        <v>2010</v>
      </c>
      <c r="B110" s="116" t="s">
        <v>2364</v>
      </c>
      <c r="C110" s="94" t="s">
        <v>2437</v>
      </c>
      <c r="D110" s="101">
        <v>789</v>
      </c>
    </row>
    <row r="111" spans="1:4" x14ac:dyDescent="0.25">
      <c r="A111" s="114" t="s">
        <v>2011</v>
      </c>
      <c r="B111" s="116" t="s">
        <v>2365</v>
      </c>
      <c r="C111" s="94" t="s">
        <v>2437</v>
      </c>
      <c r="D111" s="101">
        <v>911</v>
      </c>
    </row>
    <row r="112" spans="1:4" x14ac:dyDescent="0.25">
      <c r="A112" s="114" t="s">
        <v>4619</v>
      </c>
      <c r="B112" s="116" t="s">
        <v>4369</v>
      </c>
      <c r="C112" s="94" t="s">
        <v>2437</v>
      </c>
      <c r="D112" s="101">
        <v>1100</v>
      </c>
    </row>
    <row r="113" spans="1:4" x14ac:dyDescent="0.25">
      <c r="A113" s="92"/>
      <c r="B113" s="116"/>
      <c r="C113" s="94"/>
      <c r="D113" s="101"/>
    </row>
    <row r="114" spans="1:4" ht="78.75" x14ac:dyDescent="0.25">
      <c r="A114" s="94">
        <v>7.19</v>
      </c>
      <c r="B114" s="116" t="s">
        <v>6104</v>
      </c>
      <c r="C114" s="94" t="s">
        <v>2437</v>
      </c>
      <c r="D114" s="101">
        <v>128</v>
      </c>
    </row>
    <row r="115" spans="1:4" x14ac:dyDescent="0.25">
      <c r="A115" s="92"/>
      <c r="B115" s="116"/>
      <c r="C115" s="94"/>
      <c r="D115" s="101"/>
    </row>
    <row r="116" spans="1:4" ht="126" x14ac:dyDescent="0.25">
      <c r="A116" s="94">
        <v>7.2</v>
      </c>
      <c r="B116" s="116" t="s">
        <v>6365</v>
      </c>
      <c r="C116" s="94"/>
      <c r="D116" s="101"/>
    </row>
    <row r="117" spans="1:4" x14ac:dyDescent="0.25">
      <c r="A117" s="94" t="s">
        <v>5686</v>
      </c>
      <c r="B117" s="116" t="s">
        <v>4451</v>
      </c>
      <c r="C117" s="94" t="s">
        <v>2437</v>
      </c>
      <c r="D117" s="101">
        <v>1463</v>
      </c>
    </row>
    <row r="118" spans="1:4" x14ac:dyDescent="0.25">
      <c r="A118" s="94" t="s">
        <v>5687</v>
      </c>
      <c r="B118" s="116" t="s">
        <v>4452</v>
      </c>
      <c r="C118" s="94" t="s">
        <v>2437</v>
      </c>
      <c r="D118" s="101">
        <v>1825</v>
      </c>
    </row>
    <row r="119" spans="1:4" x14ac:dyDescent="0.25">
      <c r="A119" s="94" t="s">
        <v>5688</v>
      </c>
      <c r="B119" s="116" t="s">
        <v>4453</v>
      </c>
      <c r="C119" s="94" t="s">
        <v>2437</v>
      </c>
      <c r="D119" s="101">
        <v>1824</v>
      </c>
    </row>
    <row r="120" spans="1:4" x14ac:dyDescent="0.25">
      <c r="A120" s="94"/>
      <c r="B120" s="116"/>
      <c r="C120" s="94"/>
      <c r="D120" s="101"/>
    </row>
    <row r="121" spans="1:4" ht="134.25" customHeight="1" x14ac:dyDescent="0.25">
      <c r="A121" s="94">
        <v>7.21</v>
      </c>
      <c r="B121" s="116" t="s">
        <v>4607</v>
      </c>
      <c r="C121" s="94"/>
      <c r="D121" s="101"/>
    </row>
    <row r="122" spans="1:4" x14ac:dyDescent="0.25">
      <c r="A122" s="7" t="s">
        <v>4433</v>
      </c>
      <c r="B122" s="13" t="s">
        <v>4454</v>
      </c>
      <c r="C122" s="7" t="s">
        <v>2437</v>
      </c>
      <c r="D122" s="101">
        <v>727</v>
      </c>
    </row>
    <row r="123" spans="1:4" x14ac:dyDescent="0.25">
      <c r="A123" s="7" t="s">
        <v>4434</v>
      </c>
      <c r="B123" s="13" t="s">
        <v>4455</v>
      </c>
      <c r="C123" s="7" t="s">
        <v>2437</v>
      </c>
      <c r="D123" s="101">
        <v>809</v>
      </c>
    </row>
    <row r="124" spans="1:4" x14ac:dyDescent="0.25">
      <c r="A124" s="7" t="s">
        <v>4435</v>
      </c>
      <c r="B124" s="13" t="s">
        <v>4456</v>
      </c>
      <c r="C124" s="7" t="s">
        <v>2437</v>
      </c>
      <c r="D124" s="101">
        <v>894</v>
      </c>
    </row>
    <row r="125" spans="1:4" x14ac:dyDescent="0.25">
      <c r="A125" s="7" t="s">
        <v>4436</v>
      </c>
      <c r="B125" s="13" t="s">
        <v>4457</v>
      </c>
      <c r="C125" s="7" t="s">
        <v>2437</v>
      </c>
      <c r="D125" s="101">
        <v>1079</v>
      </c>
    </row>
    <row r="126" spans="1:4" s="176" customFormat="1" x14ac:dyDescent="0.25">
      <c r="A126" s="94" t="s">
        <v>4437</v>
      </c>
      <c r="B126" s="116" t="s">
        <v>4450</v>
      </c>
      <c r="C126" s="7" t="s">
        <v>2437</v>
      </c>
      <c r="D126" s="101">
        <v>1162</v>
      </c>
    </row>
    <row r="127" spans="1:4" x14ac:dyDescent="0.25">
      <c r="A127" s="94"/>
      <c r="B127" s="116"/>
      <c r="C127" s="94"/>
      <c r="D127" s="101"/>
    </row>
    <row r="128" spans="1:4" x14ac:dyDescent="0.25">
      <c r="A128" s="94"/>
      <c r="B128" s="116"/>
      <c r="C128" s="94"/>
      <c r="D128" s="101"/>
    </row>
    <row r="129" spans="1:4" ht="127.5" customHeight="1" x14ac:dyDescent="0.25">
      <c r="A129" s="94">
        <v>7.22</v>
      </c>
      <c r="B129" s="116" t="s">
        <v>4608</v>
      </c>
      <c r="C129" s="94"/>
      <c r="D129" s="101"/>
    </row>
    <row r="130" spans="1:4" x14ac:dyDescent="0.25">
      <c r="A130" s="94" t="s">
        <v>4438</v>
      </c>
      <c r="B130" s="116" t="s">
        <v>4458</v>
      </c>
      <c r="C130" s="94" t="s">
        <v>2437</v>
      </c>
      <c r="D130" s="101">
        <v>705</v>
      </c>
    </row>
    <row r="131" spans="1:4" x14ac:dyDescent="0.25">
      <c r="A131" s="94" t="s">
        <v>4439</v>
      </c>
      <c r="B131" s="116" t="s">
        <v>4455</v>
      </c>
      <c r="C131" s="94" t="s">
        <v>2437</v>
      </c>
      <c r="D131" s="101">
        <v>870</v>
      </c>
    </row>
    <row r="132" spans="1:4" x14ac:dyDescent="0.25">
      <c r="A132" s="94" t="s">
        <v>4440</v>
      </c>
      <c r="B132" s="116" t="s">
        <v>4450</v>
      </c>
      <c r="C132" s="94" t="s">
        <v>2437</v>
      </c>
      <c r="D132" s="101">
        <v>1126</v>
      </c>
    </row>
    <row r="133" spans="1:4" x14ac:dyDescent="0.25">
      <c r="A133" s="94" t="s">
        <v>4441</v>
      </c>
      <c r="B133" s="13" t="s">
        <v>4801</v>
      </c>
      <c r="C133" s="112" t="s">
        <v>2437</v>
      </c>
      <c r="D133" s="101">
        <v>1415</v>
      </c>
    </row>
    <row r="134" spans="1:4" x14ac:dyDescent="0.25">
      <c r="D134" s="101"/>
    </row>
    <row r="135" spans="1:4" ht="80.25" customHeight="1" x14ac:dyDescent="0.25">
      <c r="A135" s="5">
        <v>7.23</v>
      </c>
      <c r="B135" s="13" t="s">
        <v>4701</v>
      </c>
      <c r="C135" s="5" t="s">
        <v>2453</v>
      </c>
      <c r="D135" s="101">
        <v>105</v>
      </c>
    </row>
    <row r="136" spans="1:4" x14ac:dyDescent="0.25">
      <c r="D136" s="101"/>
    </row>
    <row r="137" spans="1:4" ht="124.5" customHeight="1" x14ac:dyDescent="0.25">
      <c r="A137" s="5">
        <v>7.24</v>
      </c>
      <c r="B137" s="13" t="s">
        <v>4802</v>
      </c>
      <c r="C137" s="112"/>
      <c r="D137" s="101"/>
    </row>
    <row r="138" spans="1:4" x14ac:dyDescent="0.25">
      <c r="A138" s="5" t="s">
        <v>6102</v>
      </c>
      <c r="B138" s="13" t="s">
        <v>2012</v>
      </c>
      <c r="C138" s="112" t="s">
        <v>2437</v>
      </c>
      <c r="D138" s="101">
        <v>1183</v>
      </c>
    </row>
    <row r="139" spans="1:4" x14ac:dyDescent="0.25">
      <c r="A139" s="5" t="s">
        <v>6332</v>
      </c>
      <c r="B139" s="13" t="s">
        <v>4803</v>
      </c>
      <c r="C139" s="112" t="s">
        <v>2437</v>
      </c>
      <c r="D139" s="101">
        <v>1645</v>
      </c>
    </row>
    <row r="140" spans="1:4" x14ac:dyDescent="0.25">
      <c r="C140" s="112"/>
      <c r="D140" s="101"/>
    </row>
    <row r="141" spans="1:4" ht="132.75" customHeight="1" x14ac:dyDescent="0.25">
      <c r="A141" s="5">
        <v>7.25</v>
      </c>
      <c r="B141" s="13" t="s">
        <v>4804</v>
      </c>
      <c r="C141" s="112"/>
      <c r="D141" s="101"/>
    </row>
    <row r="142" spans="1:4" x14ac:dyDescent="0.25">
      <c r="A142" s="5" t="s">
        <v>5635</v>
      </c>
      <c r="B142" s="13" t="s">
        <v>4805</v>
      </c>
      <c r="C142" s="112" t="s">
        <v>2437</v>
      </c>
      <c r="D142" s="101">
        <v>1041</v>
      </c>
    </row>
    <row r="143" spans="1:4" x14ac:dyDescent="0.25">
      <c r="A143" s="5" t="s">
        <v>5282</v>
      </c>
      <c r="B143" s="13" t="s">
        <v>4806</v>
      </c>
      <c r="C143" s="112" t="s">
        <v>2437</v>
      </c>
      <c r="D143" s="101">
        <v>1296</v>
      </c>
    </row>
    <row r="144" spans="1:4" x14ac:dyDescent="0.25">
      <c r="A144" s="5" t="s">
        <v>6333</v>
      </c>
      <c r="B144" s="13" t="s">
        <v>4807</v>
      </c>
      <c r="C144" s="112" t="s">
        <v>2437</v>
      </c>
      <c r="D144" s="101">
        <v>1464</v>
      </c>
    </row>
    <row r="145" spans="1:4" s="176" customFormat="1" x14ac:dyDescent="0.25">
      <c r="A145" s="5" t="s">
        <v>6334</v>
      </c>
      <c r="B145" s="13" t="s">
        <v>5689</v>
      </c>
      <c r="C145" s="112" t="s">
        <v>2437</v>
      </c>
      <c r="D145" s="101">
        <v>1425</v>
      </c>
    </row>
    <row r="146" spans="1:4" x14ac:dyDescent="0.25">
      <c r="A146" s="92"/>
      <c r="B146" s="116"/>
      <c r="C146" s="94"/>
      <c r="D146" s="101"/>
    </row>
    <row r="147" spans="1:4" x14ac:dyDescent="0.25">
      <c r="A147" s="92"/>
      <c r="B147" s="116"/>
      <c r="C147" s="94"/>
      <c r="D147" s="101"/>
    </row>
    <row r="148" spans="1:4" s="176" customFormat="1" ht="110.25" x14ac:dyDescent="0.25">
      <c r="A148" s="92">
        <v>7.26</v>
      </c>
      <c r="B148" s="116" t="s">
        <v>5663</v>
      </c>
      <c r="C148" s="94" t="s">
        <v>2606</v>
      </c>
      <c r="D148" s="101">
        <v>1003</v>
      </c>
    </row>
    <row r="149" spans="1:4" x14ac:dyDescent="0.25">
      <c r="A149" s="92"/>
      <c r="B149" s="116"/>
      <c r="C149" s="94"/>
      <c r="D149" s="101">
        <f>SUM(D12:D148)</f>
        <v>96370.200000000012</v>
      </c>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rgb="FFFFFF00"/>
  </sheetPr>
  <dimension ref="A1:E225"/>
  <sheetViews>
    <sheetView view="pageBreakPreview" topLeftCell="A190" zoomScaleNormal="100" zoomScaleSheetLayoutView="100" workbookViewId="0">
      <selection activeCell="D225" sqref="D225"/>
    </sheetView>
  </sheetViews>
  <sheetFormatPr defaultRowHeight="15.75" x14ac:dyDescent="0.25"/>
  <cols>
    <col min="1" max="1" width="10" style="5" customWidth="1"/>
    <col min="2" max="2" width="55.7109375" style="30" customWidth="1"/>
    <col min="3" max="3" width="9.7109375" style="8" customWidth="1"/>
    <col min="4" max="4" width="11.7109375" style="8" customWidth="1"/>
    <col min="5" max="16384" width="9.140625" style="6"/>
  </cols>
  <sheetData>
    <row r="1" spans="1:5" s="14" customFormat="1" ht="22.5" x14ac:dyDescent="0.2">
      <c r="A1" s="269" t="s">
        <v>1741</v>
      </c>
      <c r="B1" s="269"/>
      <c r="C1" s="269"/>
      <c r="D1" s="269"/>
    </row>
    <row r="2" spans="1:5" s="14" customFormat="1" ht="27" x14ac:dyDescent="0.2">
      <c r="A2" s="270" t="s">
        <v>1742</v>
      </c>
      <c r="B2" s="270"/>
      <c r="C2" s="270"/>
      <c r="D2" s="270"/>
    </row>
    <row r="4" spans="1:5" s="112" customFormat="1" ht="31.5" x14ac:dyDescent="0.2">
      <c r="A4" s="55" t="s">
        <v>6402</v>
      </c>
      <c r="B4" s="55" t="s">
        <v>2434</v>
      </c>
      <c r="C4" s="55" t="s">
        <v>2435</v>
      </c>
      <c r="D4" s="172" t="s">
        <v>18</v>
      </c>
    </row>
    <row r="5" spans="1:5" x14ac:dyDescent="0.25">
      <c r="A5" s="55">
        <v>1</v>
      </c>
      <c r="B5" s="55">
        <v>2</v>
      </c>
      <c r="C5" s="55">
        <v>3</v>
      </c>
      <c r="D5" s="45">
        <v>4</v>
      </c>
    </row>
    <row r="6" spans="1:5" x14ac:dyDescent="0.25">
      <c r="A6" s="3"/>
      <c r="B6" s="13"/>
      <c r="C6" s="3"/>
    </row>
    <row r="7" spans="1:5" ht="63" x14ac:dyDescent="0.25">
      <c r="A7" s="92">
        <v>8.1</v>
      </c>
      <c r="B7" s="116" t="s">
        <v>1367</v>
      </c>
      <c r="C7" s="92"/>
      <c r="E7" s="173"/>
    </row>
    <row r="8" spans="1:5" x14ac:dyDescent="0.25">
      <c r="A8" s="92" t="s">
        <v>1743</v>
      </c>
      <c r="B8" s="116" t="s">
        <v>1748</v>
      </c>
      <c r="C8" s="92" t="s">
        <v>2439</v>
      </c>
      <c r="D8" s="101">
        <v>48847</v>
      </c>
    </row>
    <row r="9" spans="1:5" x14ac:dyDescent="0.25">
      <c r="A9" s="92" t="s">
        <v>1745</v>
      </c>
      <c r="B9" s="205" t="s">
        <v>1369</v>
      </c>
      <c r="C9" s="92" t="s">
        <v>2439</v>
      </c>
      <c r="D9" s="101">
        <v>41491</v>
      </c>
    </row>
    <row r="10" spans="1:5" x14ac:dyDescent="0.25">
      <c r="A10" s="92" t="s">
        <v>1747</v>
      </c>
      <c r="B10" s="116" t="s">
        <v>1750</v>
      </c>
      <c r="C10" s="92" t="s">
        <v>2439</v>
      </c>
      <c r="D10" s="101">
        <v>101671</v>
      </c>
    </row>
    <row r="11" spans="1:5" x14ac:dyDescent="0.25">
      <c r="A11" s="92" t="s">
        <v>1749</v>
      </c>
      <c r="B11" s="116" t="s">
        <v>1744</v>
      </c>
      <c r="C11" s="92" t="s">
        <v>2439</v>
      </c>
      <c r="D11" s="101">
        <v>110138</v>
      </c>
    </row>
    <row r="12" spans="1:5" x14ac:dyDescent="0.25">
      <c r="A12" s="92" t="s">
        <v>1751</v>
      </c>
      <c r="B12" s="116" t="s">
        <v>1746</v>
      </c>
      <c r="C12" s="92" t="s">
        <v>2439</v>
      </c>
      <c r="D12" s="101">
        <v>118554</v>
      </c>
    </row>
    <row r="13" spans="1:5" x14ac:dyDescent="0.25">
      <c r="A13" s="92" t="s">
        <v>1753</v>
      </c>
      <c r="B13" s="116" t="s">
        <v>1755</v>
      </c>
      <c r="C13" s="92" t="s">
        <v>2439</v>
      </c>
      <c r="D13" s="101">
        <v>135533</v>
      </c>
    </row>
    <row r="14" spans="1:5" x14ac:dyDescent="0.25">
      <c r="A14" s="92"/>
      <c r="B14" s="116"/>
      <c r="C14" s="92"/>
    </row>
    <row r="15" spans="1:5" ht="47.25" x14ac:dyDescent="0.25">
      <c r="A15" s="92">
        <v>8.1999999999999993</v>
      </c>
      <c r="B15" s="116" t="s">
        <v>1756</v>
      </c>
      <c r="C15" s="92"/>
    </row>
    <row r="16" spans="1:5" x14ac:dyDescent="0.25">
      <c r="A16" s="92" t="s">
        <v>1757</v>
      </c>
      <c r="B16" s="116" t="s">
        <v>1754</v>
      </c>
      <c r="C16" s="92" t="s">
        <v>2439</v>
      </c>
      <c r="D16" s="101">
        <v>46270</v>
      </c>
    </row>
    <row r="17" spans="1:4" x14ac:dyDescent="0.25">
      <c r="A17" s="92" t="s">
        <v>1758</v>
      </c>
      <c r="B17" s="116" t="s">
        <v>1752</v>
      </c>
      <c r="C17" s="92" t="s">
        <v>2439</v>
      </c>
      <c r="D17" s="101">
        <v>43387</v>
      </c>
    </row>
    <row r="18" spans="1:4" x14ac:dyDescent="0.25">
      <c r="A18" s="92"/>
      <c r="B18" s="116"/>
      <c r="C18" s="92"/>
    </row>
    <row r="19" spans="1:4" ht="31.5" x14ac:dyDescent="0.25">
      <c r="A19" s="92">
        <v>8.3000000000000007</v>
      </c>
      <c r="B19" s="116" t="s">
        <v>1759</v>
      </c>
      <c r="C19" s="92" t="s">
        <v>2439</v>
      </c>
      <c r="D19" s="101" t="s">
        <v>2522</v>
      </c>
    </row>
    <row r="20" spans="1:4" x14ac:dyDescent="0.25">
      <c r="A20" s="3"/>
      <c r="B20" s="13"/>
      <c r="C20" s="3"/>
    </row>
    <row r="21" spans="1:4" ht="110.25" x14ac:dyDescent="0.25">
      <c r="A21" s="96">
        <v>8.4</v>
      </c>
      <c r="B21" s="200" t="s">
        <v>6508</v>
      </c>
      <c r="C21" s="127"/>
    </row>
    <row r="22" spans="1:4" x14ac:dyDescent="0.25">
      <c r="A22" s="96" t="s">
        <v>1375</v>
      </c>
      <c r="B22" s="200" t="s">
        <v>1416</v>
      </c>
      <c r="C22" s="3"/>
    </row>
    <row r="23" spans="1:4" x14ac:dyDescent="0.25">
      <c r="A23" s="96" t="s">
        <v>1430</v>
      </c>
      <c r="B23" s="200" t="s">
        <v>1426</v>
      </c>
      <c r="C23" s="3" t="s">
        <v>2437</v>
      </c>
      <c r="D23" s="101">
        <v>2778</v>
      </c>
    </row>
    <row r="24" spans="1:4" x14ac:dyDescent="0.25">
      <c r="A24" s="96" t="s">
        <v>1431</v>
      </c>
      <c r="B24" s="200" t="s">
        <v>1418</v>
      </c>
      <c r="C24" s="3" t="s">
        <v>2437</v>
      </c>
      <c r="D24" s="101">
        <v>2968</v>
      </c>
    </row>
    <row r="25" spans="1:4" x14ac:dyDescent="0.25">
      <c r="A25" s="96" t="s">
        <v>1432</v>
      </c>
      <c r="B25" s="200" t="s">
        <v>1440</v>
      </c>
      <c r="C25" s="3" t="s">
        <v>2437</v>
      </c>
      <c r="D25" s="101">
        <v>2584</v>
      </c>
    </row>
    <row r="26" spans="1:4" x14ac:dyDescent="0.25">
      <c r="A26" s="96" t="s">
        <v>1433</v>
      </c>
      <c r="B26" s="200" t="s">
        <v>1434</v>
      </c>
      <c r="C26" s="3" t="s">
        <v>2437</v>
      </c>
      <c r="D26" s="101">
        <v>3345</v>
      </c>
    </row>
    <row r="27" spans="1:4" x14ac:dyDescent="0.25">
      <c r="A27" s="96"/>
      <c r="B27" s="13"/>
      <c r="C27" s="3"/>
    </row>
    <row r="28" spans="1:4" x14ac:dyDescent="0.25">
      <c r="A28" s="96" t="s">
        <v>1376</v>
      </c>
      <c r="B28" s="200" t="s">
        <v>1435</v>
      </c>
      <c r="C28" s="3"/>
    </row>
    <row r="29" spans="1:4" x14ac:dyDescent="0.25">
      <c r="A29" s="96" t="s">
        <v>1436</v>
      </c>
      <c r="B29" s="200" t="s">
        <v>1426</v>
      </c>
      <c r="C29" s="3" t="s">
        <v>2437</v>
      </c>
      <c r="D29" s="101">
        <v>2465</v>
      </c>
    </row>
    <row r="30" spans="1:4" x14ac:dyDescent="0.25">
      <c r="A30" s="96" t="s">
        <v>1437</v>
      </c>
      <c r="B30" s="200" t="s">
        <v>1418</v>
      </c>
      <c r="C30" s="3" t="s">
        <v>2437</v>
      </c>
      <c r="D30" s="101">
        <v>2628</v>
      </c>
    </row>
    <row r="31" spans="1:4" x14ac:dyDescent="0.25">
      <c r="A31" s="96" t="s">
        <v>1438</v>
      </c>
      <c r="B31" s="200" t="s">
        <v>1440</v>
      </c>
      <c r="C31" s="3" t="s">
        <v>2437</v>
      </c>
      <c r="D31" s="101">
        <v>2284</v>
      </c>
    </row>
    <row r="32" spans="1:4" x14ac:dyDescent="0.25">
      <c r="A32" s="96" t="s">
        <v>1439</v>
      </c>
      <c r="B32" s="200" t="s">
        <v>1434</v>
      </c>
      <c r="C32" s="3" t="s">
        <v>2437</v>
      </c>
      <c r="D32" s="101">
        <v>2957</v>
      </c>
    </row>
    <row r="33" spans="1:4" x14ac:dyDescent="0.25">
      <c r="A33" s="96"/>
      <c r="B33" s="116"/>
      <c r="C33" s="3"/>
    </row>
    <row r="34" spans="1:4" x14ac:dyDescent="0.25">
      <c r="A34" s="96"/>
      <c r="B34" s="116"/>
      <c r="C34" s="3"/>
    </row>
    <row r="35" spans="1:4" ht="94.5" x14ac:dyDescent="0.25">
      <c r="A35" s="96">
        <v>8.5</v>
      </c>
      <c r="B35" s="116" t="s">
        <v>1441</v>
      </c>
      <c r="C35" s="93"/>
    </row>
    <row r="36" spans="1:4" x14ac:dyDescent="0.25">
      <c r="A36" s="96" t="s">
        <v>1378</v>
      </c>
      <c r="B36" s="200" t="s">
        <v>1416</v>
      </c>
      <c r="C36" s="3"/>
    </row>
    <row r="37" spans="1:4" x14ac:dyDescent="0.25">
      <c r="A37" s="96" t="s">
        <v>1415</v>
      </c>
      <c r="B37" s="200" t="s">
        <v>1426</v>
      </c>
      <c r="C37" s="3" t="s">
        <v>2437</v>
      </c>
      <c r="D37" s="101">
        <v>2488</v>
      </c>
    </row>
    <row r="38" spans="1:4" x14ac:dyDescent="0.25">
      <c r="A38" s="96" t="s">
        <v>1417</v>
      </c>
      <c r="B38" s="200" t="s">
        <v>1418</v>
      </c>
      <c r="C38" s="3" t="s">
        <v>2437</v>
      </c>
      <c r="D38" s="101">
        <v>2650</v>
      </c>
    </row>
    <row r="39" spans="1:4" x14ac:dyDescent="0.25">
      <c r="A39" s="96" t="s">
        <v>1419</v>
      </c>
      <c r="B39" s="200" t="s">
        <v>1440</v>
      </c>
      <c r="C39" s="3" t="s">
        <v>2437</v>
      </c>
      <c r="D39" s="101">
        <v>2312</v>
      </c>
    </row>
    <row r="40" spans="1:4" x14ac:dyDescent="0.25">
      <c r="A40" s="96" t="s">
        <v>1420</v>
      </c>
      <c r="B40" s="200" t="s">
        <v>1434</v>
      </c>
      <c r="C40" s="3" t="s">
        <v>2437</v>
      </c>
      <c r="D40" s="101">
        <v>2976</v>
      </c>
    </row>
    <row r="41" spans="1:4" x14ac:dyDescent="0.25">
      <c r="A41" s="96"/>
      <c r="B41" s="200"/>
      <c r="C41" s="3"/>
    </row>
    <row r="42" spans="1:4" x14ac:dyDescent="0.25">
      <c r="A42" s="96" t="s">
        <v>1379</v>
      </c>
      <c r="B42" s="200" t="s">
        <v>1435</v>
      </c>
      <c r="C42" s="3"/>
    </row>
    <row r="43" spans="1:4" x14ac:dyDescent="0.25">
      <c r="A43" s="96" t="s">
        <v>1421</v>
      </c>
      <c r="B43" s="200" t="s">
        <v>1426</v>
      </c>
      <c r="C43" s="3" t="s">
        <v>2437</v>
      </c>
      <c r="D43" s="101">
        <v>2208</v>
      </c>
    </row>
    <row r="44" spans="1:4" x14ac:dyDescent="0.25">
      <c r="A44" s="96" t="s">
        <v>1422</v>
      </c>
      <c r="B44" s="200" t="s">
        <v>1418</v>
      </c>
      <c r="C44" s="3" t="s">
        <v>2437</v>
      </c>
      <c r="D44" s="101">
        <v>2347</v>
      </c>
    </row>
    <row r="45" spans="1:4" x14ac:dyDescent="0.25">
      <c r="A45" s="96" t="s">
        <v>1423</v>
      </c>
      <c r="B45" s="200" t="s">
        <v>1440</v>
      </c>
      <c r="C45" s="3" t="s">
        <v>2437</v>
      </c>
      <c r="D45" s="101">
        <v>2045</v>
      </c>
    </row>
    <row r="46" spans="1:4" x14ac:dyDescent="0.25">
      <c r="A46" s="96" t="s">
        <v>1424</v>
      </c>
      <c r="B46" s="200" t="s">
        <v>1434</v>
      </c>
      <c r="C46" s="3" t="s">
        <v>2437</v>
      </c>
      <c r="D46" s="101">
        <v>2627</v>
      </c>
    </row>
    <row r="47" spans="1:4" x14ac:dyDescent="0.25">
      <c r="A47" s="96"/>
      <c r="B47" s="116"/>
      <c r="C47" s="3"/>
    </row>
    <row r="48" spans="1:4" x14ac:dyDescent="0.25">
      <c r="A48" s="96" t="s">
        <v>1380</v>
      </c>
      <c r="B48" s="200" t="s">
        <v>1442</v>
      </c>
      <c r="C48" s="3"/>
    </row>
    <row r="49" spans="1:4" x14ac:dyDescent="0.25">
      <c r="A49" s="96" t="s">
        <v>1425</v>
      </c>
      <c r="B49" s="200" t="s">
        <v>1426</v>
      </c>
      <c r="C49" s="3" t="s">
        <v>2437</v>
      </c>
      <c r="D49" s="101">
        <v>1929</v>
      </c>
    </row>
    <row r="50" spans="1:4" x14ac:dyDescent="0.25">
      <c r="A50" s="96" t="s">
        <v>1427</v>
      </c>
      <c r="B50" s="200" t="s">
        <v>1418</v>
      </c>
      <c r="C50" s="3" t="s">
        <v>2437</v>
      </c>
      <c r="D50" s="101">
        <v>2039</v>
      </c>
    </row>
    <row r="51" spans="1:4" x14ac:dyDescent="0.25">
      <c r="A51" s="96" t="s">
        <v>1428</v>
      </c>
      <c r="B51" s="200" t="s">
        <v>1440</v>
      </c>
      <c r="C51" s="3" t="s">
        <v>2437</v>
      </c>
      <c r="D51" s="101">
        <v>1779</v>
      </c>
    </row>
    <row r="52" spans="1:4" x14ac:dyDescent="0.25">
      <c r="A52" s="96" t="s">
        <v>1429</v>
      </c>
      <c r="B52" s="200" t="s">
        <v>1434</v>
      </c>
      <c r="C52" s="3" t="s">
        <v>2437</v>
      </c>
      <c r="D52" s="101">
        <v>2277</v>
      </c>
    </row>
    <row r="53" spans="1:4" x14ac:dyDescent="0.25">
      <c r="A53" s="3"/>
      <c r="C53" s="3"/>
    </row>
    <row r="54" spans="1:4" ht="94.5" x14ac:dyDescent="0.25">
      <c r="A54" s="92">
        <v>8.6</v>
      </c>
      <c r="B54" s="200" t="s">
        <v>4936</v>
      </c>
      <c r="C54" s="3"/>
    </row>
    <row r="55" spans="1:4" x14ac:dyDescent="0.25">
      <c r="A55" s="92"/>
      <c r="B55" s="200"/>
      <c r="C55" s="3"/>
    </row>
    <row r="56" spans="1:4" x14ac:dyDescent="0.25">
      <c r="A56" s="92" t="s">
        <v>1377</v>
      </c>
      <c r="B56" s="200" t="s">
        <v>1443</v>
      </c>
      <c r="C56" s="3"/>
    </row>
    <row r="57" spans="1:4" x14ac:dyDescent="0.25">
      <c r="A57" s="92" t="s">
        <v>1411</v>
      </c>
      <c r="B57" s="201" t="s">
        <v>1381</v>
      </c>
      <c r="C57" s="3" t="s">
        <v>2437</v>
      </c>
      <c r="D57" s="101">
        <v>2244</v>
      </c>
    </row>
    <row r="58" spans="1:4" x14ac:dyDescent="0.25">
      <c r="A58" s="92" t="s">
        <v>1412</v>
      </c>
      <c r="B58" s="200" t="s">
        <v>1418</v>
      </c>
      <c r="C58" s="3" t="s">
        <v>2437</v>
      </c>
      <c r="D58" s="101">
        <v>2398</v>
      </c>
    </row>
    <row r="59" spans="1:4" x14ac:dyDescent="0.25">
      <c r="A59" s="92" t="s">
        <v>1413</v>
      </c>
      <c r="B59" s="200" t="s">
        <v>1440</v>
      </c>
      <c r="C59" s="3" t="s">
        <v>2437</v>
      </c>
      <c r="D59" s="101">
        <v>2079</v>
      </c>
    </row>
    <row r="60" spans="1:4" x14ac:dyDescent="0.25">
      <c r="A60" s="92" t="s">
        <v>1414</v>
      </c>
      <c r="B60" s="200" t="s">
        <v>1434</v>
      </c>
      <c r="C60" s="3" t="s">
        <v>2437</v>
      </c>
      <c r="D60" s="101">
        <v>2708</v>
      </c>
    </row>
    <row r="61" spans="1:4" x14ac:dyDescent="0.25">
      <c r="A61" s="3"/>
      <c r="C61" s="3"/>
    </row>
    <row r="62" spans="1:4" x14ac:dyDescent="0.25">
      <c r="A62" s="92" t="s">
        <v>1382</v>
      </c>
      <c r="B62" s="13" t="s">
        <v>427</v>
      </c>
      <c r="C62" s="3" t="s">
        <v>2437</v>
      </c>
      <c r="D62" s="101">
        <v>906</v>
      </c>
    </row>
    <row r="63" spans="1:4" x14ac:dyDescent="0.25">
      <c r="A63" s="92"/>
      <c r="B63" s="13"/>
      <c r="C63" s="3"/>
    </row>
    <row r="64" spans="1:4" x14ac:dyDescent="0.25">
      <c r="A64" s="92" t="s">
        <v>1383</v>
      </c>
      <c r="B64" s="13" t="s">
        <v>428</v>
      </c>
      <c r="C64" s="3" t="s">
        <v>2437</v>
      </c>
      <c r="D64" s="101">
        <v>1568</v>
      </c>
    </row>
    <row r="65" spans="1:4" x14ac:dyDescent="0.25">
      <c r="A65" s="92"/>
      <c r="B65" s="13"/>
      <c r="C65" s="3"/>
    </row>
    <row r="66" spans="1:4" x14ac:dyDescent="0.25">
      <c r="A66" s="92" t="s">
        <v>1384</v>
      </c>
      <c r="B66" s="13" t="s">
        <v>6414</v>
      </c>
      <c r="C66" s="3" t="s">
        <v>2437</v>
      </c>
      <c r="D66" s="101">
        <v>1821</v>
      </c>
    </row>
    <row r="67" spans="1:4" x14ac:dyDescent="0.25">
      <c r="A67" s="92"/>
      <c r="B67" s="13"/>
      <c r="C67" s="3"/>
    </row>
    <row r="68" spans="1:4" x14ac:dyDescent="0.25">
      <c r="A68" s="92" t="s">
        <v>1385</v>
      </c>
      <c r="B68" s="13" t="s">
        <v>429</v>
      </c>
      <c r="C68" s="3" t="s">
        <v>2437</v>
      </c>
      <c r="D68" s="101">
        <v>1081</v>
      </c>
    </row>
    <row r="69" spans="1:4" x14ac:dyDescent="0.25">
      <c r="A69" s="92"/>
      <c r="B69" s="13"/>
      <c r="C69" s="3"/>
    </row>
    <row r="70" spans="1:4" x14ac:dyDescent="0.25">
      <c r="A70" s="3" t="s">
        <v>5632</v>
      </c>
      <c r="B70" s="13" t="s">
        <v>5633</v>
      </c>
      <c r="C70" s="3" t="s">
        <v>2437</v>
      </c>
      <c r="D70" s="101">
        <v>1243</v>
      </c>
    </row>
    <row r="71" spans="1:4" x14ac:dyDescent="0.25">
      <c r="A71" s="3"/>
      <c r="B71" s="13"/>
      <c r="C71" s="3"/>
    </row>
    <row r="72" spans="1:4" x14ac:dyDescent="0.25">
      <c r="A72" s="3" t="s">
        <v>1386</v>
      </c>
      <c r="B72" s="13" t="s">
        <v>430</v>
      </c>
      <c r="C72" s="3" t="s">
        <v>2437</v>
      </c>
      <c r="D72" s="101">
        <v>1821</v>
      </c>
    </row>
    <row r="73" spans="1:4" x14ac:dyDescent="0.25">
      <c r="A73" s="3"/>
      <c r="B73" s="13"/>
      <c r="C73" s="3"/>
    </row>
    <row r="74" spans="1:4" x14ac:dyDescent="0.25">
      <c r="A74" s="3" t="s">
        <v>1387</v>
      </c>
      <c r="B74" s="13" t="s">
        <v>6415</v>
      </c>
      <c r="C74" s="3" t="s">
        <v>2437</v>
      </c>
      <c r="D74" s="101">
        <v>2074</v>
      </c>
    </row>
    <row r="75" spans="1:4" x14ac:dyDescent="0.25">
      <c r="A75" s="3"/>
      <c r="B75" s="13"/>
      <c r="C75" s="3"/>
    </row>
    <row r="76" spans="1:4" ht="31.5" x14ac:dyDescent="0.25">
      <c r="A76" s="3" t="s">
        <v>1388</v>
      </c>
      <c r="B76" s="13" t="s">
        <v>431</v>
      </c>
      <c r="C76" s="3" t="s">
        <v>2437</v>
      </c>
      <c r="D76" s="101">
        <v>695</v>
      </c>
    </row>
    <row r="77" spans="1:4" x14ac:dyDescent="0.25">
      <c r="A77" s="3"/>
      <c r="B77" s="13"/>
      <c r="C77" s="3"/>
    </row>
    <row r="78" spans="1:4" x14ac:dyDescent="0.25">
      <c r="A78" s="3" t="s">
        <v>1389</v>
      </c>
      <c r="B78" s="13" t="s">
        <v>585</v>
      </c>
      <c r="C78" s="3" t="s">
        <v>2437</v>
      </c>
      <c r="D78" s="101">
        <v>927</v>
      </c>
    </row>
    <row r="79" spans="1:4" x14ac:dyDescent="0.25">
      <c r="A79" s="3"/>
      <c r="B79" s="13"/>
      <c r="C79" s="3"/>
    </row>
    <row r="80" spans="1:4" x14ac:dyDescent="0.25">
      <c r="A80" s="3" t="s">
        <v>1393</v>
      </c>
      <c r="B80" s="13" t="s">
        <v>1391</v>
      </c>
      <c r="C80" s="3" t="s">
        <v>2437</v>
      </c>
      <c r="D80" s="101">
        <v>839</v>
      </c>
    </row>
    <row r="81" spans="1:4" x14ac:dyDescent="0.25">
      <c r="A81" s="3"/>
      <c r="B81" s="13"/>
      <c r="C81" s="3"/>
    </row>
    <row r="82" spans="1:4" x14ac:dyDescent="0.25">
      <c r="A82" s="3" t="s">
        <v>1409</v>
      </c>
      <c r="B82" s="13" t="s">
        <v>1392</v>
      </c>
      <c r="C82" s="3" t="s">
        <v>2437</v>
      </c>
      <c r="D82" s="101">
        <v>1020</v>
      </c>
    </row>
    <row r="83" spans="1:4" x14ac:dyDescent="0.25">
      <c r="A83" s="3"/>
      <c r="B83" s="13"/>
      <c r="C83" s="3"/>
    </row>
    <row r="84" spans="1:4" x14ac:dyDescent="0.25">
      <c r="A84" s="3" t="s">
        <v>1410</v>
      </c>
      <c r="B84" s="13" t="s">
        <v>1390</v>
      </c>
      <c r="C84" s="3" t="s">
        <v>2437</v>
      </c>
      <c r="D84" s="101">
        <v>1445</v>
      </c>
    </row>
    <row r="85" spans="1:4" x14ac:dyDescent="0.25">
      <c r="A85" s="3"/>
      <c r="B85" s="13"/>
      <c r="C85" s="3"/>
    </row>
    <row r="86" spans="1:4" s="176" customFormat="1" x14ac:dyDescent="0.25">
      <c r="A86" s="3" t="s">
        <v>5649</v>
      </c>
      <c r="B86" s="13" t="s">
        <v>5650</v>
      </c>
      <c r="C86" s="3" t="s">
        <v>2437</v>
      </c>
      <c r="D86" s="101">
        <v>1694</v>
      </c>
    </row>
    <row r="87" spans="1:4" x14ac:dyDescent="0.25">
      <c r="A87" s="3"/>
      <c r="B87" s="13"/>
      <c r="C87" s="3"/>
    </row>
    <row r="88" spans="1:4" s="176" customFormat="1" x14ac:dyDescent="0.25">
      <c r="A88" s="3" t="s">
        <v>5651</v>
      </c>
      <c r="B88" s="13" t="s">
        <v>5652</v>
      </c>
      <c r="C88" s="3" t="s">
        <v>2437</v>
      </c>
      <c r="D88" s="101">
        <v>2357</v>
      </c>
    </row>
    <row r="89" spans="1:4" x14ac:dyDescent="0.25">
      <c r="A89" s="3"/>
      <c r="B89" s="13"/>
      <c r="C89" s="3"/>
    </row>
    <row r="90" spans="1:4" s="176" customFormat="1" x14ac:dyDescent="0.25">
      <c r="A90" s="3" t="s">
        <v>5653</v>
      </c>
      <c r="B90" s="13" t="s">
        <v>5654</v>
      </c>
      <c r="C90" s="3" t="s">
        <v>2437</v>
      </c>
      <c r="D90" s="101">
        <v>2755</v>
      </c>
    </row>
    <row r="91" spans="1:4" x14ac:dyDescent="0.25">
      <c r="A91" s="3"/>
      <c r="B91" s="13"/>
      <c r="C91" s="3"/>
    </row>
    <row r="92" spans="1:4" s="176" customFormat="1" x14ac:dyDescent="0.25">
      <c r="A92" s="3" t="s">
        <v>5660</v>
      </c>
      <c r="B92" s="13" t="s">
        <v>5657</v>
      </c>
      <c r="C92" s="3" t="s">
        <v>2437</v>
      </c>
      <c r="D92" s="101">
        <v>1628</v>
      </c>
    </row>
    <row r="93" spans="1:4" x14ac:dyDescent="0.25">
      <c r="A93" s="3"/>
      <c r="B93" s="13"/>
      <c r="C93" s="3"/>
    </row>
    <row r="94" spans="1:4" s="176" customFormat="1" x14ac:dyDescent="0.25">
      <c r="A94" s="3" t="s">
        <v>5661</v>
      </c>
      <c r="B94" s="13" t="s">
        <v>5658</v>
      </c>
      <c r="C94" s="3" t="s">
        <v>2437</v>
      </c>
      <c r="D94" s="101">
        <v>1827</v>
      </c>
    </row>
    <row r="95" spans="1:4" x14ac:dyDescent="0.25">
      <c r="A95" s="3"/>
      <c r="B95" s="13"/>
      <c r="C95" s="3"/>
    </row>
    <row r="96" spans="1:4" s="178" customFormat="1" ht="75" customHeight="1" x14ac:dyDescent="0.25">
      <c r="A96" s="92" t="s">
        <v>5659</v>
      </c>
      <c r="B96" s="116" t="s">
        <v>4627</v>
      </c>
      <c r="C96" s="3" t="s">
        <v>2437</v>
      </c>
      <c r="D96" s="101">
        <v>306</v>
      </c>
    </row>
    <row r="97" spans="1:4" x14ac:dyDescent="0.25">
      <c r="A97" s="3"/>
      <c r="C97" s="3"/>
    </row>
    <row r="98" spans="1:4" s="176" customFormat="1" ht="63.75" customHeight="1" x14ac:dyDescent="0.25">
      <c r="A98" s="92" t="s">
        <v>6284</v>
      </c>
      <c r="B98" s="116" t="s">
        <v>5655</v>
      </c>
      <c r="C98" s="3" t="s">
        <v>5656</v>
      </c>
      <c r="D98" s="101">
        <v>50</v>
      </c>
    </row>
    <row r="99" spans="1:4" x14ac:dyDescent="0.25">
      <c r="A99" s="3"/>
      <c r="C99" s="3"/>
    </row>
    <row r="100" spans="1:4" ht="78.75" x14ac:dyDescent="0.25">
      <c r="A100" s="92">
        <v>8.8000000000000007</v>
      </c>
      <c r="B100" s="116" t="s">
        <v>1394</v>
      </c>
      <c r="C100" s="3" t="s">
        <v>2437</v>
      </c>
      <c r="D100" s="101">
        <v>96</v>
      </c>
    </row>
    <row r="101" spans="1:4" x14ac:dyDescent="0.25">
      <c r="A101" s="3"/>
      <c r="C101" s="3"/>
    </row>
    <row r="102" spans="1:4" x14ac:dyDescent="0.25">
      <c r="A102" s="3"/>
      <c r="C102" s="3"/>
    </row>
    <row r="103" spans="1:4" ht="47.25" x14ac:dyDescent="0.25">
      <c r="A103" s="92">
        <v>8.9</v>
      </c>
      <c r="B103" s="13" t="s">
        <v>432</v>
      </c>
      <c r="C103" s="3" t="s">
        <v>2437</v>
      </c>
      <c r="D103" s="101">
        <v>127</v>
      </c>
    </row>
    <row r="104" spans="1:4" x14ac:dyDescent="0.25">
      <c r="A104" s="3"/>
      <c r="C104" s="3"/>
    </row>
    <row r="105" spans="1:4" ht="63" x14ac:dyDescent="0.25">
      <c r="A105" s="94">
        <v>8.1</v>
      </c>
      <c r="B105" s="116" t="s">
        <v>1397</v>
      </c>
      <c r="C105" s="3" t="s">
        <v>2437</v>
      </c>
      <c r="D105" s="101" t="s">
        <v>1398</v>
      </c>
    </row>
    <row r="106" spans="1:4" x14ac:dyDescent="0.25">
      <c r="A106" s="3"/>
      <c r="C106" s="3"/>
    </row>
    <row r="107" spans="1:4" x14ac:dyDescent="0.25">
      <c r="A107" s="92">
        <v>8.11</v>
      </c>
      <c r="B107" s="116" t="s">
        <v>6335</v>
      </c>
      <c r="C107" s="3" t="s">
        <v>2437</v>
      </c>
      <c r="D107" s="101" t="s">
        <v>1761</v>
      </c>
    </row>
    <row r="108" spans="1:4" x14ac:dyDescent="0.25">
      <c r="A108" s="3"/>
      <c r="C108" s="3"/>
    </row>
    <row r="109" spans="1:4" ht="47.25" x14ac:dyDescent="0.25">
      <c r="A109" s="92">
        <v>8.1199999999999992</v>
      </c>
      <c r="B109" s="116" t="s">
        <v>1760</v>
      </c>
      <c r="C109" s="3" t="s">
        <v>2437</v>
      </c>
      <c r="D109" s="163">
        <v>0.2</v>
      </c>
    </row>
    <row r="110" spans="1:4" x14ac:dyDescent="0.25">
      <c r="A110" s="3"/>
      <c r="C110" s="3"/>
    </row>
    <row r="111" spans="1:4" ht="63" x14ac:dyDescent="0.25">
      <c r="A111" s="3">
        <v>8.1300000000000008</v>
      </c>
      <c r="B111" s="13" t="s">
        <v>1764</v>
      </c>
      <c r="C111" s="3"/>
    </row>
    <row r="112" spans="1:4" x14ac:dyDescent="0.25">
      <c r="A112" s="3" t="s">
        <v>1444</v>
      </c>
      <c r="B112" s="13" t="s">
        <v>1766</v>
      </c>
      <c r="C112" s="3"/>
    </row>
    <row r="113" spans="1:4" x14ac:dyDescent="0.25">
      <c r="A113" s="3" t="s">
        <v>1445</v>
      </c>
      <c r="B113" s="13" t="s">
        <v>1767</v>
      </c>
      <c r="C113" s="3" t="s">
        <v>2437</v>
      </c>
      <c r="D113" s="101">
        <v>1686</v>
      </c>
    </row>
    <row r="114" spans="1:4" x14ac:dyDescent="0.25">
      <c r="A114" s="3" t="s">
        <v>1446</v>
      </c>
      <c r="B114" s="13" t="s">
        <v>1768</v>
      </c>
      <c r="C114" s="3" t="s">
        <v>2437</v>
      </c>
      <c r="D114" s="101">
        <v>1894</v>
      </c>
    </row>
    <row r="115" spans="1:4" x14ac:dyDescent="0.25">
      <c r="A115" s="3" t="s">
        <v>1447</v>
      </c>
      <c r="B115" s="13" t="s">
        <v>1769</v>
      </c>
      <c r="C115" s="3" t="s">
        <v>2437</v>
      </c>
      <c r="D115" s="101">
        <v>2376</v>
      </c>
    </row>
    <row r="116" spans="1:4" x14ac:dyDescent="0.25">
      <c r="A116" s="3"/>
      <c r="B116" s="13"/>
      <c r="C116" s="3"/>
    </row>
    <row r="117" spans="1:4" x14ac:dyDescent="0.25">
      <c r="A117" s="3" t="s">
        <v>1448</v>
      </c>
      <c r="B117" s="13" t="s">
        <v>1762</v>
      </c>
      <c r="C117" s="3"/>
    </row>
    <row r="118" spans="1:4" x14ac:dyDescent="0.25">
      <c r="A118" s="3" t="s">
        <v>1449</v>
      </c>
      <c r="B118" s="13" t="s">
        <v>1767</v>
      </c>
      <c r="C118" s="3" t="s">
        <v>2437</v>
      </c>
      <c r="D118" s="101">
        <v>1841</v>
      </c>
    </row>
    <row r="119" spans="1:4" x14ac:dyDescent="0.25">
      <c r="A119" s="3" t="s">
        <v>1450</v>
      </c>
      <c r="B119" s="13" t="s">
        <v>1768</v>
      </c>
      <c r="C119" s="3" t="s">
        <v>2437</v>
      </c>
      <c r="D119" s="101">
        <v>2033</v>
      </c>
    </row>
    <row r="120" spans="1:4" x14ac:dyDescent="0.25">
      <c r="A120" s="3" t="s">
        <v>1451</v>
      </c>
      <c r="B120" s="13" t="s">
        <v>1769</v>
      </c>
      <c r="C120" s="3" t="s">
        <v>2437</v>
      </c>
      <c r="D120" s="101">
        <v>2440</v>
      </c>
    </row>
    <row r="121" spans="1:4" x14ac:dyDescent="0.25">
      <c r="A121" s="3"/>
      <c r="B121" s="13"/>
      <c r="C121" s="3"/>
    </row>
    <row r="122" spans="1:4" x14ac:dyDescent="0.25">
      <c r="A122" s="3" t="s">
        <v>1452</v>
      </c>
      <c r="B122" s="13" t="s">
        <v>1763</v>
      </c>
      <c r="C122" s="3"/>
    </row>
    <row r="123" spans="1:4" x14ac:dyDescent="0.25">
      <c r="A123" s="3" t="s">
        <v>1453</v>
      </c>
      <c r="B123" s="13" t="s">
        <v>1767</v>
      </c>
      <c r="C123" s="3" t="s">
        <v>2437</v>
      </c>
      <c r="D123" s="101">
        <v>1991</v>
      </c>
    </row>
    <row r="124" spans="1:4" x14ac:dyDescent="0.25">
      <c r="A124" s="3" t="s">
        <v>1454</v>
      </c>
      <c r="B124" s="13" t="s">
        <v>1768</v>
      </c>
      <c r="C124" s="3" t="s">
        <v>2437</v>
      </c>
      <c r="D124" s="101">
        <v>2248</v>
      </c>
    </row>
    <row r="125" spans="1:4" x14ac:dyDescent="0.25">
      <c r="A125" s="3" t="s">
        <v>1455</v>
      </c>
      <c r="B125" s="13" t="s">
        <v>1769</v>
      </c>
      <c r="C125" s="3" t="s">
        <v>2437</v>
      </c>
      <c r="D125" s="101">
        <v>2505</v>
      </c>
    </row>
    <row r="126" spans="1:4" x14ac:dyDescent="0.25">
      <c r="A126" s="3"/>
      <c r="B126" s="13"/>
      <c r="C126" s="3"/>
    </row>
    <row r="127" spans="1:4" ht="45" x14ac:dyDescent="0.25">
      <c r="A127" s="92">
        <v>8.14</v>
      </c>
      <c r="B127" s="202" t="s">
        <v>6416</v>
      </c>
      <c r="C127" s="3" t="s">
        <v>2437</v>
      </c>
      <c r="D127" s="101">
        <v>141</v>
      </c>
    </row>
    <row r="128" spans="1:4" x14ac:dyDescent="0.25">
      <c r="A128" s="3"/>
      <c r="B128" s="13"/>
      <c r="C128" s="3"/>
    </row>
    <row r="129" spans="1:4" ht="47.25" x14ac:dyDescent="0.25">
      <c r="A129" s="3">
        <v>8.15</v>
      </c>
      <c r="B129" s="13" t="s">
        <v>1459</v>
      </c>
      <c r="C129" s="3" t="s">
        <v>4217</v>
      </c>
      <c r="D129" s="101">
        <v>128</v>
      </c>
    </row>
    <row r="130" spans="1:4" x14ac:dyDescent="0.25">
      <c r="A130" s="3"/>
      <c r="B130" s="13"/>
      <c r="C130" s="3"/>
    </row>
    <row r="131" spans="1:4" ht="30" x14ac:dyDescent="0.25">
      <c r="A131" s="3">
        <v>8.16</v>
      </c>
      <c r="B131" s="202" t="s">
        <v>6106</v>
      </c>
      <c r="C131" s="3" t="s">
        <v>2606</v>
      </c>
      <c r="D131" s="101">
        <v>308</v>
      </c>
    </row>
    <row r="132" spans="1:4" x14ac:dyDescent="0.25">
      <c r="A132" s="3"/>
      <c r="B132" s="13"/>
      <c r="C132" s="3"/>
    </row>
    <row r="133" spans="1:4" ht="31.5" x14ac:dyDescent="0.25">
      <c r="A133" s="3">
        <v>8.17</v>
      </c>
      <c r="B133" s="13" t="s">
        <v>1504</v>
      </c>
      <c r="C133" s="3" t="s">
        <v>2606</v>
      </c>
      <c r="D133" s="101">
        <v>89</v>
      </c>
    </row>
    <row r="134" spans="1:4" x14ac:dyDescent="0.25">
      <c r="A134" s="3"/>
      <c r="B134" s="13"/>
      <c r="C134" s="3"/>
    </row>
    <row r="135" spans="1:4" ht="31.5" x14ac:dyDescent="0.25">
      <c r="A135" s="94">
        <v>8.18</v>
      </c>
      <c r="B135" s="116" t="s">
        <v>1505</v>
      </c>
      <c r="C135" s="3"/>
    </row>
    <row r="136" spans="1:4" x14ac:dyDescent="0.25">
      <c r="A136" s="94" t="s">
        <v>1765</v>
      </c>
      <c r="B136" s="116" t="s">
        <v>1395</v>
      </c>
      <c r="C136" s="3" t="s">
        <v>2606</v>
      </c>
      <c r="D136" s="101" t="s">
        <v>1761</v>
      </c>
    </row>
    <row r="137" spans="1:4" x14ac:dyDescent="0.25">
      <c r="A137" s="94" t="s">
        <v>1770</v>
      </c>
      <c r="B137" s="116" t="s">
        <v>1396</v>
      </c>
      <c r="C137" s="3" t="s">
        <v>2606</v>
      </c>
      <c r="D137" s="163">
        <v>0.1</v>
      </c>
    </row>
    <row r="138" spans="1:4" x14ac:dyDescent="0.25">
      <c r="A138" s="3"/>
      <c r="B138" s="13"/>
      <c r="C138" s="3"/>
    </row>
    <row r="139" spans="1:4" ht="63" x14ac:dyDescent="0.25">
      <c r="A139" s="7">
        <v>8.19</v>
      </c>
      <c r="B139" s="13" t="s">
        <v>1353</v>
      </c>
      <c r="C139" s="3"/>
    </row>
    <row r="140" spans="1:4" ht="31.5" x14ac:dyDescent="0.25">
      <c r="A140" s="3" t="s">
        <v>1771</v>
      </c>
      <c r="B140" s="13" t="s">
        <v>1460</v>
      </c>
      <c r="C140" s="3" t="s">
        <v>2437</v>
      </c>
      <c r="D140" s="101">
        <v>2044</v>
      </c>
    </row>
    <row r="141" spans="1:4" x14ac:dyDescent="0.25">
      <c r="A141" s="3" t="s">
        <v>1772</v>
      </c>
      <c r="B141" s="13" t="s">
        <v>1465</v>
      </c>
      <c r="C141" s="3" t="s">
        <v>2437</v>
      </c>
      <c r="D141" s="101">
        <v>1928</v>
      </c>
    </row>
    <row r="142" spans="1:4" x14ac:dyDescent="0.25">
      <c r="A142" s="3"/>
      <c r="B142" s="13"/>
      <c r="C142" s="3"/>
    </row>
    <row r="143" spans="1:4" ht="63" x14ac:dyDescent="0.25">
      <c r="A143" s="7">
        <v>8.1999999999999993</v>
      </c>
      <c r="B143" s="13" t="s">
        <v>1354</v>
      </c>
      <c r="C143" s="3"/>
    </row>
    <row r="144" spans="1:4" x14ac:dyDescent="0.25">
      <c r="A144" s="7" t="s">
        <v>1773</v>
      </c>
      <c r="B144" s="13" t="s">
        <v>1466</v>
      </c>
      <c r="C144" s="3" t="s">
        <v>2437</v>
      </c>
      <c r="D144" s="101">
        <v>1484</v>
      </c>
    </row>
    <row r="145" spans="1:4" x14ac:dyDescent="0.25">
      <c r="A145" s="7" t="s">
        <v>1774</v>
      </c>
      <c r="B145" s="13" t="s">
        <v>1468</v>
      </c>
      <c r="C145" s="3" t="s">
        <v>2437</v>
      </c>
      <c r="D145" s="101">
        <v>1786</v>
      </c>
    </row>
    <row r="146" spans="1:4" x14ac:dyDescent="0.25">
      <c r="A146" s="7" t="s">
        <v>1469</v>
      </c>
      <c r="B146" s="13" t="s">
        <v>1506</v>
      </c>
      <c r="C146" s="3" t="s">
        <v>2437</v>
      </c>
      <c r="D146" s="101">
        <v>1426</v>
      </c>
    </row>
    <row r="147" spans="1:4" ht="31.5" x14ac:dyDescent="0.25">
      <c r="A147" s="7" t="s">
        <v>1471</v>
      </c>
      <c r="B147" s="13" t="s">
        <v>1355</v>
      </c>
      <c r="C147" s="3" t="s">
        <v>2437</v>
      </c>
      <c r="D147" s="101">
        <v>1748</v>
      </c>
    </row>
    <row r="148" spans="1:4" x14ac:dyDescent="0.25">
      <c r="A148" s="7"/>
      <c r="B148" s="13"/>
      <c r="C148" s="3"/>
    </row>
    <row r="149" spans="1:4" ht="47.25" x14ac:dyDescent="0.25">
      <c r="A149" s="3" t="s">
        <v>1507</v>
      </c>
      <c r="B149" s="13" t="s">
        <v>6107</v>
      </c>
      <c r="C149" s="3" t="s">
        <v>2437</v>
      </c>
      <c r="D149" s="101">
        <v>560</v>
      </c>
    </row>
    <row r="150" spans="1:4" x14ac:dyDescent="0.25">
      <c r="A150" s="3"/>
      <c r="B150" s="13"/>
      <c r="C150" s="3"/>
    </row>
    <row r="151" spans="1:4" ht="47.25" x14ac:dyDescent="0.25">
      <c r="A151" s="3" t="s">
        <v>1508</v>
      </c>
      <c r="B151" s="13" t="s">
        <v>6108</v>
      </c>
      <c r="C151" s="3" t="s">
        <v>2437</v>
      </c>
      <c r="D151" s="101">
        <v>312</v>
      </c>
    </row>
    <row r="152" spans="1:4" x14ac:dyDescent="0.25">
      <c r="A152" s="3"/>
      <c r="B152" s="13"/>
      <c r="C152" s="3"/>
    </row>
    <row r="153" spans="1:4" ht="63" x14ac:dyDescent="0.25">
      <c r="A153" s="128">
        <v>8.2200000000000006</v>
      </c>
      <c r="B153" s="13" t="s">
        <v>1358</v>
      </c>
      <c r="C153" s="7"/>
    </row>
    <row r="154" spans="1:4" x14ac:dyDescent="0.25">
      <c r="A154" s="3" t="s">
        <v>1474</v>
      </c>
      <c r="B154" s="13" t="s">
        <v>1359</v>
      </c>
      <c r="C154" s="7" t="s">
        <v>4217</v>
      </c>
      <c r="D154" s="101">
        <v>13</v>
      </c>
    </row>
    <row r="155" spans="1:4" x14ac:dyDescent="0.25">
      <c r="A155" s="3" t="s">
        <v>1475</v>
      </c>
      <c r="B155" s="13" t="s">
        <v>1360</v>
      </c>
      <c r="C155" s="7" t="s">
        <v>4217</v>
      </c>
      <c r="D155" s="101">
        <v>17</v>
      </c>
    </row>
    <row r="156" spans="1:4" x14ac:dyDescent="0.25">
      <c r="A156" s="3" t="s">
        <v>1476</v>
      </c>
      <c r="B156" s="13" t="s">
        <v>1361</v>
      </c>
      <c r="C156" s="7" t="s">
        <v>4217</v>
      </c>
      <c r="D156" s="101">
        <v>18</v>
      </c>
    </row>
    <row r="157" spans="1:4" x14ac:dyDescent="0.25">
      <c r="A157" s="3" t="s">
        <v>1477</v>
      </c>
      <c r="B157" s="13" t="s">
        <v>1362</v>
      </c>
      <c r="C157" s="7" t="s">
        <v>4217</v>
      </c>
      <c r="D157" s="101">
        <v>19</v>
      </c>
    </row>
    <row r="158" spans="1:4" x14ac:dyDescent="0.25">
      <c r="A158" s="3"/>
      <c r="B158" s="13"/>
      <c r="C158" s="3"/>
    </row>
    <row r="159" spans="1:4" x14ac:dyDescent="0.25">
      <c r="A159" s="3"/>
      <c r="B159" s="13"/>
      <c r="C159" s="3"/>
    </row>
    <row r="160" spans="1:4" x14ac:dyDescent="0.25">
      <c r="A160" s="3"/>
      <c r="B160" s="13"/>
      <c r="C160" s="3"/>
    </row>
    <row r="161" spans="1:4" ht="47.25" x14ac:dyDescent="0.25">
      <c r="A161" s="3">
        <v>8.23</v>
      </c>
      <c r="B161" s="13" t="s">
        <v>6109</v>
      </c>
      <c r="C161" s="3"/>
    </row>
    <row r="162" spans="1:4" x14ac:dyDescent="0.25">
      <c r="A162" s="3" t="s">
        <v>1509</v>
      </c>
      <c r="B162" s="13" t="s">
        <v>1356</v>
      </c>
      <c r="C162" s="3" t="s">
        <v>2680</v>
      </c>
      <c r="D162" s="101">
        <v>89</v>
      </c>
    </row>
    <row r="163" spans="1:4" x14ac:dyDescent="0.25">
      <c r="A163" s="3" t="s">
        <v>4302</v>
      </c>
      <c r="B163" s="13" t="s">
        <v>1357</v>
      </c>
      <c r="C163" s="3" t="s">
        <v>2680</v>
      </c>
      <c r="D163" s="101">
        <v>127</v>
      </c>
    </row>
    <row r="164" spans="1:4" x14ac:dyDescent="0.25">
      <c r="A164" s="3" t="s">
        <v>4303</v>
      </c>
      <c r="B164" s="13" t="s">
        <v>1256</v>
      </c>
      <c r="C164" s="3" t="s">
        <v>2680</v>
      </c>
      <c r="D164" s="101">
        <v>72</v>
      </c>
    </row>
    <row r="165" spans="1:4" x14ac:dyDescent="0.25">
      <c r="A165" s="3" t="s">
        <v>4304</v>
      </c>
      <c r="B165" s="13" t="s">
        <v>1257</v>
      </c>
      <c r="C165" s="3" t="s">
        <v>2680</v>
      </c>
      <c r="D165" s="101">
        <v>88</v>
      </c>
    </row>
    <row r="166" spans="1:4" x14ac:dyDescent="0.25">
      <c r="A166" s="3"/>
      <c r="B166" s="13"/>
      <c r="C166" s="3"/>
    </row>
    <row r="167" spans="1:4" ht="130.5" customHeight="1" x14ac:dyDescent="0.25">
      <c r="A167" s="3">
        <v>8.24</v>
      </c>
      <c r="B167" s="13" t="s">
        <v>6110</v>
      </c>
      <c r="C167" s="3" t="s">
        <v>2680</v>
      </c>
      <c r="D167" s="101">
        <v>341</v>
      </c>
    </row>
    <row r="168" spans="1:4" x14ac:dyDescent="0.25">
      <c r="A168" s="3"/>
      <c r="B168" s="13"/>
      <c r="C168" s="7"/>
    </row>
    <row r="169" spans="1:4" ht="76.5" customHeight="1" x14ac:dyDescent="0.25">
      <c r="A169" s="7">
        <v>8.25</v>
      </c>
      <c r="B169" s="13" t="s">
        <v>1363</v>
      </c>
      <c r="C169" s="7"/>
    </row>
    <row r="170" spans="1:4" x14ac:dyDescent="0.25">
      <c r="A170" s="3" t="s">
        <v>1775</v>
      </c>
      <c r="B170" s="13" t="s">
        <v>1364</v>
      </c>
      <c r="C170" s="7" t="s">
        <v>1365</v>
      </c>
      <c r="D170" s="101">
        <v>231</v>
      </c>
    </row>
    <row r="171" spans="1:4" x14ac:dyDescent="0.25">
      <c r="A171" s="3" t="s">
        <v>1776</v>
      </c>
      <c r="B171" s="13" t="s">
        <v>1366</v>
      </c>
      <c r="C171" s="7" t="s">
        <v>1365</v>
      </c>
      <c r="D171" s="101">
        <v>266</v>
      </c>
    </row>
    <row r="172" spans="1:4" x14ac:dyDescent="0.25">
      <c r="A172" s="3"/>
      <c r="B172" s="13"/>
      <c r="C172" s="3"/>
      <c r="D172" s="101"/>
    </row>
    <row r="173" spans="1:4" ht="47.25" x14ac:dyDescent="0.25">
      <c r="A173" s="7">
        <v>8.26</v>
      </c>
      <c r="B173" s="13" t="s">
        <v>1478</v>
      </c>
      <c r="C173" s="3" t="s">
        <v>4217</v>
      </c>
      <c r="D173" s="101">
        <v>908</v>
      </c>
    </row>
    <row r="174" spans="1:4" x14ac:dyDescent="0.25">
      <c r="A174" s="3"/>
      <c r="B174" s="13"/>
      <c r="C174" s="3"/>
    </row>
    <row r="175" spans="1:4" ht="76.5" customHeight="1" x14ac:dyDescent="0.25">
      <c r="A175" s="3">
        <v>8.27</v>
      </c>
      <c r="B175" s="13" t="s">
        <v>1479</v>
      </c>
      <c r="C175" s="3" t="s">
        <v>4217</v>
      </c>
      <c r="D175" s="101">
        <v>1478</v>
      </c>
    </row>
    <row r="176" spans="1:4" x14ac:dyDescent="0.25">
      <c r="A176" s="3"/>
      <c r="B176" s="13"/>
      <c r="C176" s="129"/>
    </row>
    <row r="177" spans="1:4" ht="106.5" customHeight="1" x14ac:dyDescent="0.25">
      <c r="A177" s="3">
        <v>8.2799999999999994</v>
      </c>
      <c r="B177" s="13" t="s">
        <v>1480</v>
      </c>
      <c r="C177" s="7" t="s">
        <v>2437</v>
      </c>
      <c r="D177" s="101">
        <v>413</v>
      </c>
    </row>
    <row r="178" spans="1:4" x14ac:dyDescent="0.25">
      <c r="A178" s="3"/>
      <c r="B178" s="13"/>
      <c r="C178" s="129"/>
    </row>
    <row r="179" spans="1:4" x14ac:dyDescent="0.25">
      <c r="A179" s="3"/>
      <c r="B179" s="13"/>
      <c r="C179" s="129"/>
    </row>
    <row r="180" spans="1:4" x14ac:dyDescent="0.25">
      <c r="A180" s="3"/>
      <c r="B180" s="13"/>
      <c r="C180" s="129"/>
    </row>
    <row r="181" spans="1:4" ht="94.5" x14ac:dyDescent="0.25">
      <c r="A181" s="3">
        <v>8.2899999999999991</v>
      </c>
      <c r="B181" s="30" t="s">
        <v>4702</v>
      </c>
      <c r="C181" s="5" t="s">
        <v>2437</v>
      </c>
      <c r="D181" s="101">
        <v>941</v>
      </c>
    </row>
    <row r="182" spans="1:4" x14ac:dyDescent="0.25">
      <c r="C182" s="5"/>
      <c r="D182" s="101"/>
    </row>
    <row r="183" spans="1:4" ht="78.75" x14ac:dyDescent="0.25">
      <c r="A183" s="7">
        <v>8.3000000000000007</v>
      </c>
      <c r="B183" s="13" t="s">
        <v>1503</v>
      </c>
      <c r="C183" s="7" t="s">
        <v>2785</v>
      </c>
      <c r="D183" s="101">
        <v>182</v>
      </c>
    </row>
    <row r="184" spans="1:4" x14ac:dyDescent="0.25">
      <c r="A184" s="3"/>
      <c r="B184" s="13"/>
      <c r="C184" s="129"/>
    </row>
    <row r="185" spans="1:4" ht="63" x14ac:dyDescent="0.25">
      <c r="A185" s="7">
        <v>8.31</v>
      </c>
      <c r="B185" s="13" t="s">
        <v>695</v>
      </c>
      <c r="C185" s="7" t="s">
        <v>4217</v>
      </c>
      <c r="D185" s="101">
        <v>629</v>
      </c>
    </row>
    <row r="186" spans="1:4" x14ac:dyDescent="0.25">
      <c r="A186" s="7"/>
      <c r="B186" s="13"/>
      <c r="C186" s="7"/>
    </row>
    <row r="187" spans="1:4" x14ac:dyDescent="0.25">
      <c r="A187" s="3">
        <v>8.32</v>
      </c>
      <c r="B187" s="13" t="s">
        <v>696</v>
      </c>
      <c r="C187" s="7" t="s">
        <v>4217</v>
      </c>
      <c r="D187" s="163">
        <v>0.1</v>
      </c>
    </row>
    <row r="188" spans="1:4" x14ac:dyDescent="0.25">
      <c r="A188" s="3"/>
      <c r="B188" s="13"/>
      <c r="C188" s="129"/>
    </row>
    <row r="189" spans="1:4" ht="60" x14ac:dyDescent="0.25">
      <c r="A189" s="5">
        <v>8.33</v>
      </c>
      <c r="B189" s="202" t="s">
        <v>6105</v>
      </c>
      <c r="C189" s="7" t="s">
        <v>4217</v>
      </c>
      <c r="D189" s="101">
        <v>150</v>
      </c>
    </row>
    <row r="191" spans="1:4" ht="47.25" x14ac:dyDescent="0.25">
      <c r="A191" s="5">
        <v>8.34</v>
      </c>
      <c r="B191" s="30" t="s">
        <v>5636</v>
      </c>
      <c r="C191" s="5"/>
      <c r="D191" s="101"/>
    </row>
    <row r="192" spans="1:4" s="176" customFormat="1" ht="141.75" x14ac:dyDescent="0.25">
      <c r="A192" s="5"/>
      <c r="B192" s="30" t="s">
        <v>5637</v>
      </c>
      <c r="C192" s="5" t="s">
        <v>2437</v>
      </c>
      <c r="D192" s="101">
        <v>5571</v>
      </c>
    </row>
    <row r="194" spans="1:4" ht="47.25" x14ac:dyDescent="0.25">
      <c r="A194" s="5">
        <v>8.35</v>
      </c>
      <c r="B194" s="30" t="s">
        <v>4707</v>
      </c>
      <c r="C194" s="5"/>
      <c r="D194" s="5"/>
    </row>
    <row r="196" spans="1:4" x14ac:dyDescent="0.25">
      <c r="A196" s="5" t="s">
        <v>4703</v>
      </c>
      <c r="B196" s="30" t="s">
        <v>4705</v>
      </c>
      <c r="C196" s="5" t="s">
        <v>2437</v>
      </c>
      <c r="D196" s="101">
        <v>627</v>
      </c>
    </row>
    <row r="197" spans="1:4" x14ac:dyDescent="0.25">
      <c r="A197" s="5" t="s">
        <v>4704</v>
      </c>
      <c r="B197" s="30" t="s">
        <v>4706</v>
      </c>
      <c r="C197" s="5" t="s">
        <v>2437</v>
      </c>
      <c r="D197" s="101">
        <v>762</v>
      </c>
    </row>
    <row r="199" spans="1:4" ht="47.25" x14ac:dyDescent="0.25">
      <c r="A199" s="5">
        <v>8.36</v>
      </c>
      <c r="B199" s="30" t="s">
        <v>4712</v>
      </c>
      <c r="C199" s="5"/>
      <c r="D199" s="5"/>
    </row>
    <row r="201" spans="1:4" x14ac:dyDescent="0.25">
      <c r="A201" s="5" t="s">
        <v>4708</v>
      </c>
      <c r="B201" s="30" t="s">
        <v>4710</v>
      </c>
      <c r="C201" s="5" t="s">
        <v>2437</v>
      </c>
      <c r="D201" s="101">
        <v>1434</v>
      </c>
    </row>
    <row r="202" spans="1:4" x14ac:dyDescent="0.25">
      <c r="A202" s="5" t="s">
        <v>4709</v>
      </c>
      <c r="B202" s="30" t="s">
        <v>4711</v>
      </c>
      <c r="C202" s="5" t="s">
        <v>2437</v>
      </c>
      <c r="D202" s="101">
        <v>1569</v>
      </c>
    </row>
    <row r="204" spans="1:4" s="178" customFormat="1" ht="63" x14ac:dyDescent="0.25">
      <c r="A204" s="5">
        <v>8.3699999999999992</v>
      </c>
      <c r="B204" s="30" t="s">
        <v>4713</v>
      </c>
      <c r="C204" s="5" t="s">
        <v>4166</v>
      </c>
      <c r="D204" s="101">
        <v>650</v>
      </c>
    </row>
    <row r="206" spans="1:4" s="176" customFormat="1" ht="63" x14ac:dyDescent="0.25">
      <c r="A206" s="5">
        <v>8.3800000000000008</v>
      </c>
      <c r="B206" s="30" t="s">
        <v>6379</v>
      </c>
      <c r="C206" s="5" t="s">
        <v>2437</v>
      </c>
      <c r="D206" s="101">
        <v>1350</v>
      </c>
    </row>
    <row r="208" spans="1:4" s="176" customFormat="1" ht="63" x14ac:dyDescent="0.25">
      <c r="A208" s="5">
        <v>8.39</v>
      </c>
      <c r="B208" s="30" t="s">
        <v>6380</v>
      </c>
      <c r="C208" s="5"/>
      <c r="D208" s="101"/>
    </row>
    <row r="209" spans="1:4" s="176" customFormat="1" x14ac:dyDescent="0.25">
      <c r="A209" s="5" t="s">
        <v>1662</v>
      </c>
      <c r="B209" s="30" t="s">
        <v>5690</v>
      </c>
      <c r="C209" s="5" t="s">
        <v>2437</v>
      </c>
      <c r="D209" s="101">
        <v>1350</v>
      </c>
    </row>
    <row r="210" spans="1:4" s="176" customFormat="1" x14ac:dyDescent="0.25">
      <c r="A210" s="5" t="s">
        <v>1664</v>
      </c>
      <c r="B210" s="30" t="s">
        <v>1800</v>
      </c>
      <c r="C210" s="5" t="s">
        <v>2437</v>
      </c>
      <c r="D210" s="101">
        <v>1031</v>
      </c>
    </row>
    <row r="211" spans="1:4" s="176" customFormat="1" x14ac:dyDescent="0.25">
      <c r="A211" s="5" t="s">
        <v>1670</v>
      </c>
      <c r="B211" s="30" t="s">
        <v>4288</v>
      </c>
      <c r="C211" s="5" t="s">
        <v>2437</v>
      </c>
      <c r="D211" s="101">
        <v>850</v>
      </c>
    </row>
    <row r="213" spans="1:4" s="176" customFormat="1" ht="47.25" x14ac:dyDescent="0.25">
      <c r="A213" s="101">
        <v>8.4</v>
      </c>
      <c r="B213" s="30" t="s">
        <v>6418</v>
      </c>
      <c r="C213" s="5"/>
      <c r="D213" s="101"/>
    </row>
    <row r="214" spans="1:4" s="176" customFormat="1" x14ac:dyDescent="0.25">
      <c r="A214" s="5" t="s">
        <v>1662</v>
      </c>
      <c r="B214" s="30" t="s">
        <v>5691</v>
      </c>
      <c r="C214" s="5" t="s">
        <v>4217</v>
      </c>
      <c r="D214" s="101">
        <v>426</v>
      </c>
    </row>
    <row r="215" spans="1:4" s="176" customFormat="1" x14ac:dyDescent="0.25">
      <c r="A215" s="5" t="s">
        <v>1664</v>
      </c>
      <c r="B215" s="30" t="s">
        <v>5692</v>
      </c>
      <c r="C215" s="5" t="s">
        <v>4217</v>
      </c>
      <c r="D215" s="101">
        <v>513</v>
      </c>
    </row>
    <row r="216" spans="1:4" s="176" customFormat="1" x14ac:dyDescent="0.25">
      <c r="A216" s="5" t="s">
        <v>1670</v>
      </c>
      <c r="B216" s="30" t="s">
        <v>5693</v>
      </c>
      <c r="C216" s="5" t="s">
        <v>4217</v>
      </c>
      <c r="D216" s="101">
        <v>563</v>
      </c>
    </row>
    <row r="217" spans="1:4" s="176" customFormat="1" x14ac:dyDescent="0.25">
      <c r="A217" s="5" t="s">
        <v>400</v>
      </c>
      <c r="B217" s="30" t="s">
        <v>5694</v>
      </c>
      <c r="C217" s="5" t="s">
        <v>4217</v>
      </c>
      <c r="D217" s="101">
        <v>628</v>
      </c>
    </row>
    <row r="218" spans="1:4" s="176" customFormat="1" x14ac:dyDescent="0.25">
      <c r="A218" s="5" t="s">
        <v>401</v>
      </c>
      <c r="B218" s="30" t="s">
        <v>5695</v>
      </c>
      <c r="C218" s="5" t="s">
        <v>4217</v>
      </c>
      <c r="D218" s="101">
        <v>751</v>
      </c>
    </row>
    <row r="220" spans="1:4" s="176" customFormat="1" ht="47.25" x14ac:dyDescent="0.25">
      <c r="A220" s="101">
        <v>8.41</v>
      </c>
      <c r="B220" s="30" t="s">
        <v>6417</v>
      </c>
      <c r="C220" s="5"/>
      <c r="D220" s="101"/>
    </row>
    <row r="221" spans="1:4" s="176" customFormat="1" x14ac:dyDescent="0.25">
      <c r="A221" s="5" t="s">
        <v>1662</v>
      </c>
      <c r="B221" s="30" t="s">
        <v>5696</v>
      </c>
      <c r="C221" s="5" t="s">
        <v>4217</v>
      </c>
      <c r="D221" s="101">
        <v>159</v>
      </c>
    </row>
    <row r="222" spans="1:4" s="176" customFormat="1" x14ac:dyDescent="0.25">
      <c r="A222" s="5" t="s">
        <v>1664</v>
      </c>
      <c r="B222" s="30" t="s">
        <v>5697</v>
      </c>
      <c r="C222" s="5" t="s">
        <v>4217</v>
      </c>
      <c r="D222" s="101">
        <v>195</v>
      </c>
    </row>
    <row r="224" spans="1:4" s="176" customFormat="1" ht="30" x14ac:dyDescent="0.25">
      <c r="A224" s="101">
        <v>8.42</v>
      </c>
      <c r="B224" s="206" t="s">
        <v>5698</v>
      </c>
      <c r="C224" s="5" t="s">
        <v>4217</v>
      </c>
      <c r="D224" s="101">
        <v>448</v>
      </c>
    </row>
    <row r="225" spans="4:4" x14ac:dyDescent="0.25">
      <c r="D225" s="10">
        <f>SUM(D8:D224)</f>
        <v>787113.39999999991</v>
      </c>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tabColor rgb="FFFFFF00"/>
  </sheetPr>
  <dimension ref="A1:E238"/>
  <sheetViews>
    <sheetView view="pageBreakPreview" topLeftCell="A28" zoomScale="90" zoomScaleNormal="100" zoomScaleSheetLayoutView="90" workbookViewId="0">
      <selection activeCell="D68" sqref="D68"/>
    </sheetView>
  </sheetViews>
  <sheetFormatPr defaultRowHeight="15.75" x14ac:dyDescent="0.25"/>
  <cols>
    <col min="1" max="1" width="10" style="5" customWidth="1"/>
    <col min="2" max="2" width="55.7109375" style="30" customWidth="1"/>
    <col min="3" max="3" width="9.7109375" style="8" customWidth="1"/>
    <col min="4" max="4" width="11.7109375" style="8" customWidth="1"/>
    <col min="5" max="16384" width="9.140625" style="6"/>
  </cols>
  <sheetData>
    <row r="1" spans="1:5" ht="22.5" x14ac:dyDescent="0.25">
      <c r="A1" s="269" t="s">
        <v>2290</v>
      </c>
      <c r="B1" s="269"/>
      <c r="C1" s="269"/>
      <c r="D1" s="269"/>
    </row>
    <row r="2" spans="1:5" ht="27" x14ac:dyDescent="0.25">
      <c r="A2" s="270" t="s">
        <v>425</v>
      </c>
      <c r="B2" s="270"/>
      <c r="C2" s="270"/>
      <c r="D2" s="270"/>
    </row>
    <row r="4" spans="1:5" s="112" customFormat="1" ht="31.5" x14ac:dyDescent="0.2">
      <c r="A4" s="55" t="s">
        <v>6402</v>
      </c>
      <c r="B4" s="55" t="s">
        <v>2434</v>
      </c>
      <c r="C4" s="55" t="s">
        <v>2435</v>
      </c>
      <c r="D4" s="172" t="s">
        <v>18</v>
      </c>
    </row>
    <row r="5" spans="1:5" x14ac:dyDescent="0.25">
      <c r="A5" s="55">
        <v>1</v>
      </c>
      <c r="B5" s="55">
        <v>2</v>
      </c>
      <c r="C5" s="55">
        <v>3</v>
      </c>
      <c r="D5" s="45">
        <v>4</v>
      </c>
      <c r="E5" s="173"/>
    </row>
    <row r="6" spans="1:5" x14ac:dyDescent="0.25">
      <c r="A6" s="3"/>
      <c r="B6" s="13"/>
      <c r="C6" s="3"/>
      <c r="E6" s="173"/>
    </row>
    <row r="7" spans="1:5" ht="73.5" customHeight="1" x14ac:dyDescent="0.25">
      <c r="A7" s="3">
        <v>9.1</v>
      </c>
      <c r="B7" s="13" t="s">
        <v>1565</v>
      </c>
      <c r="C7" s="3" t="s">
        <v>2650</v>
      </c>
      <c r="D7" s="101">
        <v>72</v>
      </c>
      <c r="E7" s="182">
        <v>0.15</v>
      </c>
    </row>
    <row r="8" spans="1:5" x14ac:dyDescent="0.25">
      <c r="A8" s="3"/>
      <c r="B8" s="13"/>
      <c r="C8" s="3"/>
    </row>
    <row r="9" spans="1:5" s="100" customFormat="1" x14ac:dyDescent="0.25">
      <c r="A9" s="3" t="s">
        <v>4586</v>
      </c>
      <c r="B9" s="13" t="s">
        <v>4587</v>
      </c>
      <c r="C9" s="3" t="s">
        <v>2650</v>
      </c>
      <c r="D9" s="7" t="s">
        <v>2522</v>
      </c>
    </row>
    <row r="10" spans="1:5" x14ac:dyDescent="0.25">
      <c r="A10" s="3"/>
      <c r="B10" s="13"/>
      <c r="C10" s="3"/>
    </row>
    <row r="11" spans="1:5" ht="63" x14ac:dyDescent="0.25">
      <c r="A11" s="3">
        <v>9.1999999999999993</v>
      </c>
      <c r="B11" s="13" t="s">
        <v>1567</v>
      </c>
      <c r="C11" s="3" t="s">
        <v>2650</v>
      </c>
      <c r="D11" s="101">
        <v>81</v>
      </c>
      <c r="E11" s="182">
        <v>0.15</v>
      </c>
    </row>
    <row r="12" spans="1:5" x14ac:dyDescent="0.25">
      <c r="A12" s="3"/>
      <c r="B12" s="13"/>
      <c r="C12" s="3"/>
    </row>
    <row r="13" spans="1:5" ht="75.75" customHeight="1" x14ac:dyDescent="0.25">
      <c r="A13" s="3">
        <v>9.3000000000000007</v>
      </c>
      <c r="B13" s="13" t="s">
        <v>1566</v>
      </c>
      <c r="C13" s="3"/>
    </row>
    <row r="14" spans="1:5" x14ac:dyDescent="0.25">
      <c r="A14" s="3"/>
      <c r="B14" s="13"/>
      <c r="C14" s="3"/>
    </row>
    <row r="15" spans="1:5" x14ac:dyDescent="0.25">
      <c r="A15" s="3" t="s">
        <v>2291</v>
      </c>
      <c r="B15" s="13" t="s">
        <v>2293</v>
      </c>
      <c r="C15" s="3" t="s">
        <v>2650</v>
      </c>
      <c r="D15" s="101">
        <v>100</v>
      </c>
    </row>
    <row r="16" spans="1:5" x14ac:dyDescent="0.25">
      <c r="A16" s="3"/>
      <c r="B16" s="13"/>
      <c r="C16" s="3"/>
      <c r="D16" s="101"/>
    </row>
    <row r="17" spans="1:5" x14ac:dyDescent="0.25">
      <c r="A17" s="3" t="s">
        <v>2292</v>
      </c>
      <c r="B17" s="13" t="s">
        <v>2294</v>
      </c>
      <c r="C17" s="3" t="s">
        <v>2634</v>
      </c>
      <c r="D17" s="101">
        <v>109</v>
      </c>
    </row>
    <row r="18" spans="1:5" x14ac:dyDescent="0.25">
      <c r="A18" s="3"/>
      <c r="B18" s="13"/>
      <c r="C18" s="3"/>
      <c r="D18" s="101"/>
    </row>
    <row r="19" spans="1:5" x14ac:dyDescent="0.25">
      <c r="A19" s="3" t="s">
        <v>1615</v>
      </c>
      <c r="B19" s="13" t="s">
        <v>2295</v>
      </c>
      <c r="C19" s="3" t="s">
        <v>2650</v>
      </c>
      <c r="D19" s="101">
        <v>131</v>
      </c>
    </row>
    <row r="20" spans="1:5" x14ac:dyDescent="0.25">
      <c r="A20" s="3"/>
      <c r="B20" s="13"/>
      <c r="C20" s="3"/>
    </row>
    <row r="21" spans="1:5" ht="31.5" x14ac:dyDescent="0.25">
      <c r="A21" s="3">
        <v>9.4</v>
      </c>
      <c r="B21" s="13" t="s">
        <v>1568</v>
      </c>
      <c r="C21" s="3" t="s">
        <v>2650</v>
      </c>
      <c r="D21" s="101">
        <v>6</v>
      </c>
    </row>
    <row r="22" spans="1:5" x14ac:dyDescent="0.25">
      <c r="A22" s="3"/>
      <c r="B22" s="13"/>
      <c r="C22" s="3"/>
    </row>
    <row r="23" spans="1:5" ht="171.75" customHeight="1" x14ac:dyDescent="0.25">
      <c r="A23" s="3">
        <v>9.5</v>
      </c>
      <c r="B23" s="13" t="s">
        <v>1616</v>
      </c>
      <c r="C23" s="3" t="s">
        <v>2650</v>
      </c>
      <c r="D23" s="101">
        <v>83</v>
      </c>
      <c r="E23" s="182">
        <v>0.15</v>
      </c>
    </row>
    <row r="24" spans="1:5" x14ac:dyDescent="0.25">
      <c r="A24" s="3"/>
      <c r="B24" s="13"/>
      <c r="C24" s="3"/>
    </row>
    <row r="25" spans="1:5" x14ac:dyDescent="0.25">
      <c r="A25" s="3"/>
      <c r="B25" s="13"/>
      <c r="C25" s="3"/>
    </row>
    <row r="26" spans="1:5" ht="189" x14ac:dyDescent="0.25">
      <c r="A26" s="3">
        <v>9.6</v>
      </c>
      <c r="B26" s="13" t="s">
        <v>1258</v>
      </c>
      <c r="C26" s="3"/>
    </row>
    <row r="27" spans="1:5" x14ac:dyDescent="0.25">
      <c r="A27" s="3" t="s">
        <v>1259</v>
      </c>
      <c r="B27" s="13" t="s">
        <v>1945</v>
      </c>
      <c r="C27" s="3" t="s">
        <v>2453</v>
      </c>
      <c r="D27" s="101">
        <v>429</v>
      </c>
    </row>
    <row r="28" spans="1:5" x14ac:dyDescent="0.25">
      <c r="A28" s="3" t="s">
        <v>1260</v>
      </c>
      <c r="B28" s="13" t="s">
        <v>1946</v>
      </c>
      <c r="C28" s="3" t="s">
        <v>2453</v>
      </c>
      <c r="D28" s="101">
        <v>469</v>
      </c>
    </row>
    <row r="29" spans="1:5" x14ac:dyDescent="0.25">
      <c r="A29" s="3" t="s">
        <v>1261</v>
      </c>
      <c r="B29" s="13" t="s">
        <v>1947</v>
      </c>
      <c r="C29" s="3" t="s">
        <v>2453</v>
      </c>
      <c r="D29" s="101">
        <v>506</v>
      </c>
    </row>
    <row r="30" spans="1:5" x14ac:dyDescent="0.25">
      <c r="A30" s="3"/>
      <c r="B30" s="13"/>
      <c r="C30" s="3"/>
    </row>
    <row r="31" spans="1:5" ht="78.75" x14ac:dyDescent="0.25">
      <c r="A31" s="3">
        <v>9.6999999999999993</v>
      </c>
      <c r="B31" s="13" t="s">
        <v>1948</v>
      </c>
      <c r="C31" s="3" t="s">
        <v>2650</v>
      </c>
      <c r="D31" s="101">
        <v>81</v>
      </c>
    </row>
    <row r="32" spans="1:5" x14ac:dyDescent="0.25">
      <c r="A32" s="3" t="s">
        <v>1263</v>
      </c>
      <c r="B32" s="13" t="s">
        <v>1262</v>
      </c>
      <c r="C32" s="3" t="s">
        <v>2650</v>
      </c>
      <c r="D32" s="163">
        <v>0.1</v>
      </c>
    </row>
    <row r="33" spans="1:4" x14ac:dyDescent="0.25">
      <c r="A33" s="3"/>
      <c r="B33" s="13"/>
      <c r="C33" s="3"/>
    </row>
    <row r="34" spans="1:4" ht="63" x14ac:dyDescent="0.25">
      <c r="A34" s="103">
        <v>9.8000000000000007</v>
      </c>
      <c r="B34" s="13" t="s">
        <v>1617</v>
      </c>
      <c r="C34" s="3" t="s">
        <v>2650</v>
      </c>
      <c r="D34" s="101">
        <v>96</v>
      </c>
    </row>
    <row r="35" spans="1:4" ht="31.5" x14ac:dyDescent="0.25">
      <c r="A35" s="3" t="s">
        <v>1264</v>
      </c>
      <c r="B35" s="13" t="s">
        <v>1265</v>
      </c>
      <c r="C35" s="3" t="s">
        <v>2650</v>
      </c>
      <c r="D35" s="163">
        <v>0.1</v>
      </c>
    </row>
    <row r="36" spans="1:4" x14ac:dyDescent="0.25">
      <c r="A36" s="3"/>
      <c r="B36" s="13"/>
      <c r="C36" s="3"/>
    </row>
    <row r="37" spans="1:4" ht="47.25" x14ac:dyDescent="0.25">
      <c r="A37" s="5">
        <v>9.9</v>
      </c>
      <c r="B37" s="13" t="s">
        <v>1949</v>
      </c>
      <c r="C37" s="3" t="s">
        <v>2650</v>
      </c>
      <c r="D37" s="101">
        <v>74</v>
      </c>
    </row>
    <row r="38" spans="1:4" x14ac:dyDescent="0.25">
      <c r="A38" s="3"/>
      <c r="B38" s="13"/>
      <c r="C38" s="3"/>
    </row>
    <row r="39" spans="1:4" ht="139.5" customHeight="1" x14ac:dyDescent="0.25">
      <c r="A39" s="7">
        <v>9.1</v>
      </c>
      <c r="B39" s="13" t="s">
        <v>1952</v>
      </c>
      <c r="C39" s="3" t="s">
        <v>2606</v>
      </c>
      <c r="D39" s="101">
        <v>5174</v>
      </c>
    </row>
    <row r="40" spans="1:4" x14ac:dyDescent="0.25">
      <c r="A40" s="3"/>
      <c r="B40" s="13"/>
      <c r="C40" s="3"/>
    </row>
    <row r="41" spans="1:4" x14ac:dyDescent="0.25">
      <c r="A41" s="3"/>
      <c r="B41" s="13"/>
      <c r="C41" s="3"/>
    </row>
    <row r="42" spans="1:4" ht="94.5" x14ac:dyDescent="0.25">
      <c r="A42" s="3">
        <v>9.11</v>
      </c>
      <c r="B42" s="13" t="s">
        <v>1953</v>
      </c>
      <c r="C42" s="3" t="s">
        <v>2437</v>
      </c>
      <c r="D42" s="101">
        <v>3579</v>
      </c>
    </row>
    <row r="43" spans="1:4" x14ac:dyDescent="0.25">
      <c r="A43" s="3"/>
      <c r="B43" s="13"/>
      <c r="C43" s="3"/>
    </row>
    <row r="44" spans="1:4" ht="78.75" x14ac:dyDescent="0.25">
      <c r="A44" s="3">
        <v>9.1199999999999992</v>
      </c>
      <c r="B44" s="13" t="s">
        <v>1954</v>
      </c>
      <c r="C44" s="3"/>
    </row>
    <row r="45" spans="1:4" x14ac:dyDescent="0.25">
      <c r="A45" s="3" t="s">
        <v>1266</v>
      </c>
      <c r="B45" s="13" t="s">
        <v>1955</v>
      </c>
      <c r="C45" s="3" t="s">
        <v>2606</v>
      </c>
      <c r="D45" s="101">
        <v>3141</v>
      </c>
    </row>
    <row r="46" spans="1:4" ht="31.5" x14ac:dyDescent="0.25">
      <c r="A46" s="3" t="s">
        <v>1267</v>
      </c>
      <c r="B46" s="13" t="s">
        <v>1956</v>
      </c>
      <c r="C46" s="3" t="s">
        <v>2606</v>
      </c>
      <c r="D46" s="101">
        <v>2993</v>
      </c>
    </row>
    <row r="47" spans="1:4" x14ac:dyDescent="0.25">
      <c r="A47" s="3"/>
      <c r="B47" s="13"/>
      <c r="C47" s="3"/>
    </row>
    <row r="48" spans="1:4" ht="157.5" x14ac:dyDescent="0.25">
      <c r="A48" s="3">
        <v>9.1300000000000008</v>
      </c>
      <c r="B48" s="13" t="s">
        <v>433</v>
      </c>
      <c r="C48" s="3" t="s">
        <v>2606</v>
      </c>
      <c r="D48" s="101">
        <v>2074</v>
      </c>
    </row>
    <row r="49" spans="1:4" x14ac:dyDescent="0.25">
      <c r="A49" s="3"/>
      <c r="B49" s="13"/>
      <c r="C49" s="3"/>
    </row>
    <row r="50" spans="1:4" x14ac:dyDescent="0.25">
      <c r="A50" s="3">
        <v>9.14</v>
      </c>
      <c r="B50" s="13" t="s">
        <v>1957</v>
      </c>
      <c r="C50" s="3" t="s">
        <v>4217</v>
      </c>
      <c r="D50" s="101">
        <v>516</v>
      </c>
    </row>
    <row r="51" spans="1:4" x14ac:dyDescent="0.25">
      <c r="A51" s="3"/>
      <c r="B51" s="13"/>
      <c r="C51" s="3"/>
    </row>
    <row r="52" spans="1:4" ht="31.5" x14ac:dyDescent="0.25">
      <c r="A52" s="3">
        <v>9.15</v>
      </c>
      <c r="B52" s="13" t="s">
        <v>1268</v>
      </c>
      <c r="C52" s="3"/>
    </row>
    <row r="53" spans="1:4" x14ac:dyDescent="0.25">
      <c r="A53" s="3" t="s">
        <v>1269</v>
      </c>
      <c r="B53" s="13" t="s">
        <v>1958</v>
      </c>
      <c r="C53" s="3" t="s">
        <v>2606</v>
      </c>
      <c r="D53" s="101">
        <v>823</v>
      </c>
    </row>
    <row r="54" spans="1:4" x14ac:dyDescent="0.25">
      <c r="A54" s="3" t="s">
        <v>1270</v>
      </c>
      <c r="B54" s="13" t="s">
        <v>1959</v>
      </c>
      <c r="C54" s="3" t="s">
        <v>2606</v>
      </c>
      <c r="D54" s="101">
        <v>887</v>
      </c>
    </row>
    <row r="55" spans="1:4" x14ac:dyDescent="0.25">
      <c r="A55" s="3"/>
      <c r="B55" s="13"/>
      <c r="C55" s="3"/>
    </row>
    <row r="56" spans="1:4" ht="47.25" x14ac:dyDescent="0.25">
      <c r="A56" s="3">
        <v>9.16</v>
      </c>
      <c r="B56" s="191" t="s">
        <v>1618</v>
      </c>
      <c r="C56" s="3" t="s">
        <v>2606</v>
      </c>
      <c r="D56" s="101">
        <v>327</v>
      </c>
    </row>
    <row r="57" spans="1:4" x14ac:dyDescent="0.25">
      <c r="A57" s="3"/>
      <c r="B57" s="13"/>
      <c r="C57" s="3"/>
    </row>
    <row r="58" spans="1:4" ht="94.5" x14ac:dyDescent="0.25">
      <c r="A58" s="3">
        <v>9.17</v>
      </c>
      <c r="B58" s="13" t="s">
        <v>4937</v>
      </c>
      <c r="C58" s="3" t="s">
        <v>2606</v>
      </c>
      <c r="D58" s="101">
        <v>2869</v>
      </c>
    </row>
    <row r="59" spans="1:4" x14ac:dyDescent="0.25">
      <c r="A59" s="3"/>
      <c r="B59" s="13"/>
      <c r="C59" s="3"/>
      <c r="D59" s="101"/>
    </row>
    <row r="60" spans="1:4" x14ac:dyDescent="0.25">
      <c r="A60" s="3" t="s">
        <v>1271</v>
      </c>
      <c r="B60" s="13" t="s">
        <v>6336</v>
      </c>
      <c r="C60" s="3" t="s">
        <v>2606</v>
      </c>
      <c r="D60" s="163">
        <v>0.2</v>
      </c>
    </row>
    <row r="61" spans="1:4" x14ac:dyDescent="0.25">
      <c r="A61" s="3"/>
      <c r="B61" s="13"/>
      <c r="C61" s="3"/>
    </row>
    <row r="62" spans="1:4" ht="173.25" x14ac:dyDescent="0.25">
      <c r="A62" s="3">
        <v>9.18</v>
      </c>
      <c r="B62" s="13" t="s">
        <v>6111</v>
      </c>
      <c r="C62" s="3" t="s">
        <v>2606</v>
      </c>
      <c r="D62" s="101">
        <v>278</v>
      </c>
    </row>
    <row r="63" spans="1:4" x14ac:dyDescent="0.25">
      <c r="A63" s="3"/>
      <c r="B63" s="13"/>
      <c r="C63" s="3"/>
    </row>
    <row r="64" spans="1:4" ht="220.5" x14ac:dyDescent="0.25">
      <c r="A64" s="3">
        <v>9.19</v>
      </c>
      <c r="B64" s="13" t="s">
        <v>434</v>
      </c>
      <c r="C64" s="3"/>
    </row>
    <row r="65" spans="1:4" x14ac:dyDescent="0.25">
      <c r="A65" s="3" t="s">
        <v>1950</v>
      </c>
      <c r="B65" s="13" t="s">
        <v>1961</v>
      </c>
      <c r="C65" s="3" t="s">
        <v>2606</v>
      </c>
      <c r="D65" s="101">
        <v>3099</v>
      </c>
    </row>
    <row r="66" spans="1:4" x14ac:dyDescent="0.25">
      <c r="A66" s="3" t="s">
        <v>1951</v>
      </c>
      <c r="B66" s="13" t="s">
        <v>1963</v>
      </c>
      <c r="C66" s="3" t="s">
        <v>2606</v>
      </c>
      <c r="D66" s="101">
        <v>3090</v>
      </c>
    </row>
    <row r="67" spans="1:4" ht="31.5" x14ac:dyDescent="0.25">
      <c r="A67" s="3" t="s">
        <v>1619</v>
      </c>
      <c r="B67" s="13" t="s">
        <v>1272</v>
      </c>
      <c r="C67" s="3" t="s">
        <v>2606</v>
      </c>
      <c r="D67" s="101">
        <v>3135</v>
      </c>
    </row>
    <row r="68" spans="1:4" ht="31.5" x14ac:dyDescent="0.25">
      <c r="A68" s="3" t="s">
        <v>1620</v>
      </c>
      <c r="B68" s="13" t="s">
        <v>1965</v>
      </c>
      <c r="C68" s="3" t="s">
        <v>2606</v>
      </c>
      <c r="D68" s="101">
        <v>3090</v>
      </c>
    </row>
    <row r="69" spans="1:4" x14ac:dyDescent="0.25">
      <c r="A69" s="3"/>
      <c r="B69" s="13"/>
      <c r="C69" s="3"/>
      <c r="D69" s="101"/>
    </row>
    <row r="70" spans="1:4" ht="31.5" x14ac:dyDescent="0.25">
      <c r="A70" s="7">
        <v>9.1999999999999993</v>
      </c>
      <c r="B70" s="13" t="s">
        <v>1966</v>
      </c>
      <c r="C70" s="3" t="s">
        <v>2606</v>
      </c>
      <c r="D70" s="163">
        <v>0.05</v>
      </c>
    </row>
    <row r="71" spans="1:4" x14ac:dyDescent="0.25">
      <c r="A71" s="3"/>
      <c r="B71" s="13"/>
      <c r="C71" s="3"/>
      <c r="D71" s="160"/>
    </row>
    <row r="72" spans="1:4" x14ac:dyDescent="0.25">
      <c r="A72" s="3">
        <v>9.2100000000000009</v>
      </c>
      <c r="B72" s="13" t="s">
        <v>1967</v>
      </c>
      <c r="C72" s="3" t="s">
        <v>2606</v>
      </c>
      <c r="D72" s="163">
        <v>0.03</v>
      </c>
    </row>
    <row r="73" spans="1:4" x14ac:dyDescent="0.25">
      <c r="A73" s="3"/>
      <c r="B73" s="13"/>
      <c r="C73" s="3"/>
    </row>
    <row r="74" spans="1:4" x14ac:dyDescent="0.25">
      <c r="A74" s="3">
        <v>9.2200000000000006</v>
      </c>
      <c r="B74" s="13" t="s">
        <v>1968</v>
      </c>
      <c r="C74" s="3" t="s">
        <v>2606</v>
      </c>
      <c r="D74" s="101">
        <v>95</v>
      </c>
    </row>
    <row r="75" spans="1:4" x14ac:dyDescent="0.25">
      <c r="A75" s="3"/>
      <c r="B75" s="13"/>
      <c r="C75" s="3"/>
    </row>
    <row r="76" spans="1:4" x14ac:dyDescent="0.25">
      <c r="A76" s="7">
        <v>9.23</v>
      </c>
      <c r="B76" s="13" t="s">
        <v>1622</v>
      </c>
      <c r="C76" s="3" t="s">
        <v>2606</v>
      </c>
      <c r="D76" s="101">
        <v>311</v>
      </c>
    </row>
    <row r="77" spans="1:4" x14ac:dyDescent="0.25">
      <c r="A77" s="7"/>
      <c r="B77" s="13"/>
      <c r="C77" s="3"/>
      <c r="D77" s="101"/>
    </row>
    <row r="78" spans="1:4" x14ac:dyDescent="0.25">
      <c r="A78" s="7"/>
      <c r="B78" s="13"/>
      <c r="C78" s="3"/>
      <c r="D78" s="101"/>
    </row>
    <row r="79" spans="1:4" ht="31.5" x14ac:dyDescent="0.25">
      <c r="A79" s="3">
        <v>9.24</v>
      </c>
      <c r="B79" s="13" t="s">
        <v>1623</v>
      </c>
      <c r="C79" s="3" t="s">
        <v>2606</v>
      </c>
      <c r="D79" s="163">
        <v>0.05</v>
      </c>
    </row>
    <row r="80" spans="1:4" x14ac:dyDescent="0.25">
      <c r="A80" s="3"/>
      <c r="B80" s="13"/>
      <c r="C80" s="3"/>
      <c r="D80" s="160"/>
    </row>
    <row r="81" spans="1:4" x14ac:dyDescent="0.25">
      <c r="A81" s="3">
        <v>9.25</v>
      </c>
      <c r="B81" s="13" t="s">
        <v>1624</v>
      </c>
      <c r="C81" s="3" t="s">
        <v>2606</v>
      </c>
      <c r="D81" s="163">
        <v>0.05</v>
      </c>
    </row>
    <row r="82" spans="1:4" x14ac:dyDescent="0.25">
      <c r="A82" s="3"/>
      <c r="B82" s="13"/>
      <c r="C82" s="3"/>
    </row>
    <row r="83" spans="1:4" ht="63" x14ac:dyDescent="0.25">
      <c r="A83" s="3">
        <v>9.26</v>
      </c>
      <c r="B83" s="13" t="s">
        <v>1969</v>
      </c>
      <c r="C83" s="3" t="s">
        <v>2606</v>
      </c>
      <c r="D83" s="101">
        <v>617</v>
      </c>
    </row>
    <row r="84" spans="1:4" x14ac:dyDescent="0.25">
      <c r="A84" s="3"/>
      <c r="B84" s="13"/>
      <c r="C84" s="3"/>
    </row>
    <row r="85" spans="1:4" ht="31.5" x14ac:dyDescent="0.25">
      <c r="A85" s="3">
        <v>9.27</v>
      </c>
      <c r="B85" s="13" t="s">
        <v>1970</v>
      </c>
      <c r="C85" s="3" t="s">
        <v>2650</v>
      </c>
      <c r="D85" s="101">
        <v>65</v>
      </c>
    </row>
    <row r="86" spans="1:4" x14ac:dyDescent="0.25">
      <c r="A86" s="3"/>
      <c r="B86" s="13"/>
      <c r="C86" s="3"/>
    </row>
    <row r="87" spans="1:4" ht="236.25" x14ac:dyDescent="0.25">
      <c r="A87" s="3">
        <v>9.2799999999999994</v>
      </c>
      <c r="B87" s="13" t="s">
        <v>1971</v>
      </c>
      <c r="C87" s="3"/>
    </row>
    <row r="88" spans="1:4" x14ac:dyDescent="0.25">
      <c r="A88" s="3" t="s">
        <v>1960</v>
      </c>
      <c r="B88" s="13" t="s">
        <v>1973</v>
      </c>
      <c r="C88" s="3" t="s">
        <v>2437</v>
      </c>
      <c r="D88" s="101">
        <v>3803</v>
      </c>
    </row>
    <row r="89" spans="1:4" x14ac:dyDescent="0.25">
      <c r="A89" s="3" t="s">
        <v>1962</v>
      </c>
      <c r="B89" s="13" t="s">
        <v>1972</v>
      </c>
      <c r="C89" s="3" t="s">
        <v>2437</v>
      </c>
      <c r="D89" s="101">
        <v>3501</v>
      </c>
    </row>
    <row r="90" spans="1:4" ht="31.5" x14ac:dyDescent="0.25">
      <c r="A90" s="3" t="s">
        <v>1964</v>
      </c>
      <c r="B90" s="13" t="s">
        <v>1273</v>
      </c>
      <c r="C90" s="3" t="s">
        <v>2437</v>
      </c>
      <c r="D90" s="101">
        <v>1654</v>
      </c>
    </row>
    <row r="91" spans="1:4" x14ac:dyDescent="0.25">
      <c r="A91" s="3"/>
      <c r="C91" s="3"/>
    </row>
    <row r="92" spans="1:4" x14ac:dyDescent="0.25">
      <c r="B92" s="29" t="s">
        <v>1974</v>
      </c>
    </row>
    <row r="93" spans="1:4" ht="138" customHeight="1" x14ac:dyDescent="0.25">
      <c r="A93" s="3">
        <v>9.2899999999999991</v>
      </c>
      <c r="B93" s="13" t="s">
        <v>6112</v>
      </c>
      <c r="C93" s="3" t="s">
        <v>2453</v>
      </c>
      <c r="D93" s="101">
        <v>586</v>
      </c>
    </row>
    <row r="94" spans="1:4" x14ac:dyDescent="0.25">
      <c r="A94" s="3"/>
      <c r="B94" s="13"/>
      <c r="C94" s="3"/>
    </row>
    <row r="95" spans="1:4" x14ac:dyDescent="0.25">
      <c r="A95" s="3"/>
      <c r="B95" s="13"/>
      <c r="C95" s="3"/>
    </row>
    <row r="96" spans="1:4" ht="110.25" x14ac:dyDescent="0.25">
      <c r="A96" s="7">
        <v>9.3000000000000007</v>
      </c>
      <c r="B96" s="13" t="s">
        <v>6113</v>
      </c>
      <c r="C96" s="3" t="s">
        <v>2453</v>
      </c>
      <c r="D96" s="101">
        <v>503</v>
      </c>
    </row>
    <row r="97" spans="1:4" x14ac:dyDescent="0.25">
      <c r="A97" s="3"/>
      <c r="B97" s="13"/>
      <c r="C97" s="3"/>
    </row>
    <row r="98" spans="1:4" ht="110.25" x14ac:dyDescent="0.25">
      <c r="A98" s="7">
        <v>9.31</v>
      </c>
      <c r="B98" s="13" t="s">
        <v>6114</v>
      </c>
      <c r="C98" s="3" t="s">
        <v>2453</v>
      </c>
      <c r="D98" s="101">
        <v>512</v>
      </c>
    </row>
    <row r="99" spans="1:4" x14ac:dyDescent="0.25">
      <c r="A99" s="3"/>
      <c r="B99" s="13"/>
      <c r="C99" s="3"/>
    </row>
    <row r="100" spans="1:4" ht="110.25" x14ac:dyDescent="0.25">
      <c r="A100" s="3">
        <v>9.32</v>
      </c>
      <c r="B100" s="13" t="s">
        <v>6115</v>
      </c>
      <c r="C100" s="3" t="s">
        <v>2453</v>
      </c>
      <c r="D100" s="101">
        <v>470</v>
      </c>
    </row>
    <row r="101" spans="1:4" x14ac:dyDescent="0.25">
      <c r="A101" s="3"/>
      <c r="B101" s="13"/>
      <c r="C101" s="3"/>
    </row>
    <row r="102" spans="1:4" x14ac:dyDescent="0.25">
      <c r="A102" s="3">
        <v>9.33</v>
      </c>
      <c r="B102" s="30" t="s">
        <v>1335</v>
      </c>
      <c r="C102" s="3" t="s">
        <v>2453</v>
      </c>
      <c r="D102" s="101">
        <v>12</v>
      </c>
    </row>
    <row r="103" spans="1:4" x14ac:dyDescent="0.25">
      <c r="A103" s="3"/>
      <c r="B103" s="13"/>
    </row>
    <row r="104" spans="1:4" ht="31.5" x14ac:dyDescent="0.25">
      <c r="A104" s="7">
        <v>9.34</v>
      </c>
      <c r="B104" s="30" t="s">
        <v>1336</v>
      </c>
      <c r="C104" s="3" t="s">
        <v>2680</v>
      </c>
      <c r="D104" s="163">
        <v>0.05</v>
      </c>
    </row>
    <row r="105" spans="1:4" x14ac:dyDescent="0.25">
      <c r="A105" s="3"/>
      <c r="B105" s="13"/>
      <c r="D105" s="160"/>
    </row>
    <row r="106" spans="1:4" ht="31.5" x14ac:dyDescent="0.25">
      <c r="A106" s="7">
        <v>9.35</v>
      </c>
      <c r="B106" s="30" t="s">
        <v>1337</v>
      </c>
      <c r="C106" s="3" t="s">
        <v>6116</v>
      </c>
      <c r="D106" s="163">
        <v>0.05</v>
      </c>
    </row>
    <row r="107" spans="1:4" x14ac:dyDescent="0.25">
      <c r="A107" s="3"/>
      <c r="B107" s="13"/>
      <c r="C107" s="3"/>
      <c r="D107" s="160"/>
    </row>
    <row r="108" spans="1:4" ht="31.5" x14ac:dyDescent="0.25">
      <c r="A108" s="3" t="s">
        <v>5553</v>
      </c>
      <c r="B108" s="13" t="s">
        <v>4588</v>
      </c>
      <c r="C108" s="3" t="s">
        <v>4589</v>
      </c>
      <c r="D108" s="163">
        <v>0.05</v>
      </c>
    </row>
    <row r="109" spans="1:4" x14ac:dyDescent="0.25">
      <c r="A109" s="3"/>
      <c r="B109" s="13"/>
      <c r="C109" s="3"/>
    </row>
    <row r="110" spans="1:4" ht="94.5" x14ac:dyDescent="0.25">
      <c r="A110" s="3">
        <v>9.36</v>
      </c>
      <c r="B110" s="13" t="s">
        <v>1975</v>
      </c>
      <c r="C110" s="3"/>
    </row>
    <row r="111" spans="1:4" x14ac:dyDescent="0.25">
      <c r="A111" s="3" t="s">
        <v>1274</v>
      </c>
      <c r="B111" s="13" t="s">
        <v>1976</v>
      </c>
      <c r="C111" s="3" t="s">
        <v>2606</v>
      </c>
      <c r="D111" s="101">
        <v>629</v>
      </c>
    </row>
    <row r="112" spans="1:4" x14ac:dyDescent="0.25">
      <c r="A112" s="3" t="s">
        <v>1275</v>
      </c>
      <c r="B112" s="13" t="s">
        <v>1977</v>
      </c>
      <c r="C112" s="3" t="s">
        <v>2606</v>
      </c>
      <c r="D112" s="101">
        <v>565</v>
      </c>
    </row>
    <row r="113" spans="1:4" x14ac:dyDescent="0.25">
      <c r="A113" s="3"/>
      <c r="B113" s="13"/>
      <c r="C113" s="3"/>
      <c r="D113" s="101"/>
    </row>
    <row r="114" spans="1:4" x14ac:dyDescent="0.25">
      <c r="A114" s="3" t="s">
        <v>1276</v>
      </c>
      <c r="B114" s="13" t="s">
        <v>1978</v>
      </c>
      <c r="C114" s="3" t="s">
        <v>2606</v>
      </c>
      <c r="D114" s="101">
        <v>521</v>
      </c>
    </row>
    <row r="115" spans="1:4" x14ac:dyDescent="0.25">
      <c r="A115" s="3" t="s">
        <v>1277</v>
      </c>
      <c r="B115" s="13" t="s">
        <v>1979</v>
      </c>
      <c r="C115" s="3" t="s">
        <v>2606</v>
      </c>
      <c r="D115" s="101">
        <v>480</v>
      </c>
    </row>
    <row r="116" spans="1:4" x14ac:dyDescent="0.25">
      <c r="A116" s="3"/>
      <c r="B116" s="13"/>
      <c r="C116" s="3"/>
    </row>
    <row r="117" spans="1:4" ht="173.25" x14ac:dyDescent="0.25">
      <c r="A117" s="3">
        <v>9.3699999999999992</v>
      </c>
      <c r="B117" s="30" t="s">
        <v>1625</v>
      </c>
      <c r="C117" s="3" t="s">
        <v>2453</v>
      </c>
      <c r="D117" s="101">
        <v>266</v>
      </c>
    </row>
    <row r="118" spans="1:4" x14ac:dyDescent="0.25">
      <c r="A118" s="3"/>
      <c r="B118" s="13"/>
      <c r="C118" s="3"/>
    </row>
    <row r="119" spans="1:4" ht="63" x14ac:dyDescent="0.25">
      <c r="A119" s="3">
        <v>9.3800000000000008</v>
      </c>
      <c r="B119" s="30" t="s">
        <v>1342</v>
      </c>
      <c r="C119" s="3"/>
    </row>
    <row r="120" spans="1:4" x14ac:dyDescent="0.25">
      <c r="A120" s="3" t="s">
        <v>1278</v>
      </c>
      <c r="B120" s="30" t="s">
        <v>1343</v>
      </c>
      <c r="C120" s="3" t="s">
        <v>2606</v>
      </c>
      <c r="D120" s="101">
        <v>693</v>
      </c>
    </row>
    <row r="121" spans="1:4" x14ac:dyDescent="0.25">
      <c r="A121" s="3" t="s">
        <v>1279</v>
      </c>
      <c r="B121" s="30" t="s">
        <v>1348</v>
      </c>
      <c r="C121" s="3" t="s">
        <v>2606</v>
      </c>
      <c r="D121" s="101">
        <v>722</v>
      </c>
    </row>
    <row r="122" spans="1:4" x14ac:dyDescent="0.25">
      <c r="A122" s="3" t="s">
        <v>1280</v>
      </c>
      <c r="B122" s="30" t="s">
        <v>1349</v>
      </c>
      <c r="C122" s="3" t="s">
        <v>2606</v>
      </c>
      <c r="D122" s="101">
        <v>750</v>
      </c>
    </row>
    <row r="123" spans="1:4" x14ac:dyDescent="0.25">
      <c r="A123" s="3" t="s">
        <v>1281</v>
      </c>
      <c r="B123" s="30" t="s">
        <v>1350</v>
      </c>
      <c r="C123" s="3" t="s">
        <v>2606</v>
      </c>
      <c r="D123" s="101">
        <v>779</v>
      </c>
    </row>
    <row r="124" spans="1:4" x14ac:dyDescent="0.25">
      <c r="A124" s="3"/>
      <c r="B124" s="13"/>
      <c r="C124" s="3"/>
    </row>
    <row r="125" spans="1:4" ht="141.75" x14ac:dyDescent="0.25">
      <c r="A125" s="3">
        <v>9.39</v>
      </c>
      <c r="B125" s="13" t="s">
        <v>0</v>
      </c>
      <c r="C125" s="3" t="s">
        <v>2437</v>
      </c>
      <c r="D125" s="101">
        <v>3895</v>
      </c>
    </row>
    <row r="126" spans="1:4" x14ac:dyDescent="0.25">
      <c r="A126" s="3"/>
      <c r="B126" s="13"/>
      <c r="C126" s="3"/>
      <c r="D126" s="10">
        <f>SUM(D7:D125)</f>
        <v>58741.730000000018</v>
      </c>
    </row>
    <row r="127" spans="1:4" x14ac:dyDescent="0.25">
      <c r="A127" s="3"/>
      <c r="B127" s="13"/>
      <c r="C127" s="3"/>
    </row>
    <row r="128" spans="1:4" x14ac:dyDescent="0.25">
      <c r="A128" s="3"/>
      <c r="B128" s="13"/>
      <c r="C128" s="3"/>
    </row>
    <row r="129" spans="1:3" x14ac:dyDescent="0.25">
      <c r="A129" s="8"/>
      <c r="B129" s="196"/>
      <c r="C129" s="135"/>
    </row>
    <row r="130" spans="1:3" x14ac:dyDescent="0.25">
      <c r="A130" s="3"/>
      <c r="B130" s="13"/>
      <c r="C130" s="3"/>
    </row>
    <row r="131" spans="1:3" x14ac:dyDescent="0.25">
      <c r="A131" s="3"/>
      <c r="B131" s="13"/>
      <c r="C131" s="3"/>
    </row>
    <row r="132" spans="1:3" x14ac:dyDescent="0.25">
      <c r="A132" s="3"/>
      <c r="B132" s="13"/>
      <c r="C132" s="3"/>
    </row>
    <row r="133" spans="1:3" x14ac:dyDescent="0.25">
      <c r="A133" s="3"/>
      <c r="B133" s="13"/>
      <c r="C133" s="3"/>
    </row>
    <row r="134" spans="1:3" x14ac:dyDescent="0.25">
      <c r="A134" s="3"/>
      <c r="B134" s="13"/>
      <c r="C134" s="3"/>
    </row>
    <row r="135" spans="1:3" x14ac:dyDescent="0.25">
      <c r="A135" s="3"/>
      <c r="B135" s="13"/>
      <c r="C135" s="3"/>
    </row>
    <row r="136" spans="1:3" x14ac:dyDescent="0.25">
      <c r="A136" s="3"/>
      <c r="B136" s="13"/>
      <c r="C136" s="3"/>
    </row>
    <row r="137" spans="1:3" x14ac:dyDescent="0.25">
      <c r="A137" s="3"/>
      <c r="B137" s="13"/>
      <c r="C137" s="3"/>
    </row>
    <row r="138" spans="1:3" x14ac:dyDescent="0.25">
      <c r="A138" s="3"/>
      <c r="B138" s="13"/>
      <c r="C138" s="3"/>
    </row>
    <row r="139" spans="1:3" x14ac:dyDescent="0.25">
      <c r="A139" s="3"/>
      <c r="B139" s="13"/>
      <c r="C139" s="3"/>
    </row>
    <row r="140" spans="1:3" x14ac:dyDescent="0.25">
      <c r="A140" s="3"/>
      <c r="B140" s="13"/>
      <c r="C140" s="3"/>
    </row>
    <row r="141" spans="1:3" x14ac:dyDescent="0.25">
      <c r="A141" s="3"/>
      <c r="B141" s="13"/>
      <c r="C141" s="3"/>
    </row>
    <row r="142" spans="1:3" x14ac:dyDescent="0.25">
      <c r="A142" s="3"/>
      <c r="B142" s="13"/>
      <c r="C142" s="3"/>
    </row>
    <row r="143" spans="1:3" x14ac:dyDescent="0.25">
      <c r="A143" s="3"/>
      <c r="B143" s="13"/>
      <c r="C143" s="3"/>
    </row>
    <row r="144" spans="1:3" x14ac:dyDescent="0.25">
      <c r="A144" s="3"/>
      <c r="B144" s="13"/>
      <c r="C144" s="3"/>
    </row>
    <row r="145" spans="1:3" x14ac:dyDescent="0.25">
      <c r="A145" s="3"/>
      <c r="B145" s="13"/>
      <c r="C145" s="3"/>
    </row>
    <row r="146" spans="1:3" x14ac:dyDescent="0.25">
      <c r="A146" s="3"/>
      <c r="B146" s="13"/>
      <c r="C146" s="3"/>
    </row>
    <row r="147" spans="1:3" x14ac:dyDescent="0.25">
      <c r="A147" s="3"/>
      <c r="B147" s="13"/>
      <c r="C147" s="3"/>
    </row>
    <row r="148" spans="1:3" x14ac:dyDescent="0.25">
      <c r="A148" s="3"/>
      <c r="B148" s="13"/>
      <c r="C148" s="3"/>
    </row>
    <row r="149" spans="1:3" x14ac:dyDescent="0.25">
      <c r="A149" s="3"/>
      <c r="B149" s="13"/>
      <c r="C149" s="3"/>
    </row>
    <row r="150" spans="1:3" x14ac:dyDescent="0.25">
      <c r="A150" s="3"/>
      <c r="B150" s="13"/>
      <c r="C150" s="3"/>
    </row>
    <row r="151" spans="1:3" x14ac:dyDescent="0.25">
      <c r="A151" s="3"/>
      <c r="B151" s="13"/>
      <c r="C151" s="3"/>
    </row>
    <row r="152" spans="1:3" x14ac:dyDescent="0.25">
      <c r="A152" s="3"/>
      <c r="B152" s="13"/>
      <c r="C152" s="3"/>
    </row>
    <row r="153" spans="1:3" x14ac:dyDescent="0.25">
      <c r="A153" s="3"/>
      <c r="B153" s="13"/>
      <c r="C153" s="3"/>
    </row>
    <row r="154" spans="1:3" x14ac:dyDescent="0.25">
      <c r="A154" s="8"/>
      <c r="B154" s="196"/>
      <c r="C154" s="135"/>
    </row>
    <row r="155" spans="1:3" x14ac:dyDescent="0.25">
      <c r="A155" s="7"/>
      <c r="B155" s="13"/>
      <c r="C155" s="3"/>
    </row>
    <row r="156" spans="1:3" x14ac:dyDescent="0.25">
      <c r="A156" s="7"/>
      <c r="B156" s="13"/>
      <c r="C156" s="3"/>
    </row>
    <row r="157" spans="1:3" x14ac:dyDescent="0.25">
      <c r="A157" s="3"/>
      <c r="B157" s="13"/>
      <c r="C157" s="3"/>
    </row>
    <row r="158" spans="1:3" x14ac:dyDescent="0.25">
      <c r="A158" s="3"/>
      <c r="B158" s="13"/>
      <c r="C158" s="3"/>
    </row>
    <row r="159" spans="1:3" x14ac:dyDescent="0.25">
      <c r="A159" s="3"/>
      <c r="B159" s="13"/>
      <c r="C159" s="3"/>
    </row>
    <row r="160" spans="1:3" x14ac:dyDescent="0.25">
      <c r="A160" s="3"/>
      <c r="B160" s="13"/>
      <c r="C160" s="3"/>
    </row>
    <row r="161" spans="1:3" x14ac:dyDescent="0.25">
      <c r="A161" s="3"/>
      <c r="B161" s="13"/>
      <c r="C161" s="3"/>
    </row>
    <row r="162" spans="1:3" x14ac:dyDescent="0.25">
      <c r="A162" s="3"/>
      <c r="B162" s="13"/>
      <c r="C162" s="3"/>
    </row>
    <row r="163" spans="1:3" x14ac:dyDescent="0.25">
      <c r="A163" s="3"/>
      <c r="B163" s="13"/>
      <c r="C163" s="3"/>
    </row>
    <row r="164" spans="1:3" x14ac:dyDescent="0.25">
      <c r="A164" s="3"/>
      <c r="B164" s="13"/>
    </row>
    <row r="165" spans="1:3" x14ac:dyDescent="0.25">
      <c r="A165" s="3"/>
      <c r="B165" s="13"/>
      <c r="C165" s="3"/>
    </row>
    <row r="166" spans="1:3" x14ac:dyDescent="0.25">
      <c r="A166" s="3"/>
      <c r="B166" s="13"/>
      <c r="C166" s="3"/>
    </row>
    <row r="167" spans="1:3" x14ac:dyDescent="0.25">
      <c r="A167" s="3"/>
      <c r="B167" s="13"/>
      <c r="C167" s="3"/>
    </row>
    <row r="168" spans="1:3" x14ac:dyDescent="0.25">
      <c r="A168" s="3"/>
      <c r="B168" s="13"/>
      <c r="C168" s="3"/>
    </row>
    <row r="169" spans="1:3" x14ac:dyDescent="0.25">
      <c r="A169" s="3"/>
      <c r="B169" s="13"/>
      <c r="C169" s="3"/>
    </row>
    <row r="170" spans="1:3" x14ac:dyDescent="0.25">
      <c r="A170" s="3"/>
      <c r="B170" s="13"/>
      <c r="C170" s="3"/>
    </row>
    <row r="171" spans="1:3" x14ac:dyDescent="0.25">
      <c r="A171" s="3"/>
      <c r="B171" s="13"/>
      <c r="C171" s="3"/>
    </row>
    <row r="172" spans="1:3" x14ac:dyDescent="0.25">
      <c r="A172" s="3"/>
      <c r="B172" s="13"/>
      <c r="C172" s="3"/>
    </row>
    <row r="173" spans="1:3" x14ac:dyDescent="0.25">
      <c r="A173" s="3"/>
      <c r="B173" s="13"/>
      <c r="C173" s="3"/>
    </row>
    <row r="174" spans="1:3" x14ac:dyDescent="0.25">
      <c r="A174" s="3"/>
      <c r="B174" s="13"/>
      <c r="C174" s="3"/>
    </row>
    <row r="175" spans="1:3" x14ac:dyDescent="0.25">
      <c r="A175" s="3"/>
      <c r="B175" s="13"/>
      <c r="C175" s="3"/>
    </row>
    <row r="176" spans="1:3" x14ac:dyDescent="0.25">
      <c r="A176" s="3"/>
      <c r="B176" s="13"/>
      <c r="C176" s="3"/>
    </row>
    <row r="177" spans="1:3" x14ac:dyDescent="0.25">
      <c r="A177" s="3"/>
      <c r="B177" s="13"/>
      <c r="C177" s="3"/>
    </row>
    <row r="178" spans="1:3" x14ac:dyDescent="0.25">
      <c r="A178" s="3"/>
      <c r="B178" s="13"/>
      <c r="C178" s="3"/>
    </row>
    <row r="179" spans="1:3" x14ac:dyDescent="0.25">
      <c r="A179" s="3"/>
      <c r="B179" s="13"/>
      <c r="C179" s="3"/>
    </row>
    <row r="180" spans="1:3" x14ac:dyDescent="0.25">
      <c r="A180" s="3"/>
      <c r="B180" s="13"/>
      <c r="C180" s="3"/>
    </row>
    <row r="181" spans="1:3" x14ac:dyDescent="0.25">
      <c r="A181" s="3"/>
      <c r="B181" s="13"/>
      <c r="C181" s="3"/>
    </row>
    <row r="182" spans="1:3" x14ac:dyDescent="0.25">
      <c r="A182" s="3"/>
      <c r="B182" s="13"/>
      <c r="C182" s="3"/>
    </row>
    <row r="183" spans="1:3" x14ac:dyDescent="0.25">
      <c r="A183" s="8"/>
      <c r="B183" s="196"/>
      <c r="C183" s="135"/>
    </row>
    <row r="184" spans="1:3" x14ac:dyDescent="0.25">
      <c r="A184" s="3"/>
      <c r="B184" s="13"/>
      <c r="C184" s="3"/>
    </row>
    <row r="185" spans="1:3" x14ac:dyDescent="0.25">
      <c r="A185" s="3"/>
      <c r="B185" s="13"/>
      <c r="C185" s="3"/>
    </row>
    <row r="186" spans="1:3" x14ac:dyDescent="0.25">
      <c r="A186" s="3"/>
      <c r="B186" s="13"/>
      <c r="C186" s="3"/>
    </row>
    <row r="187" spans="1:3" x14ac:dyDescent="0.25">
      <c r="A187" s="3"/>
      <c r="B187" s="13"/>
      <c r="C187" s="3"/>
    </row>
    <row r="188" spans="1:3" x14ac:dyDescent="0.25">
      <c r="A188" s="3"/>
      <c r="B188" s="13"/>
      <c r="C188" s="3"/>
    </row>
    <row r="189" spans="1:3" x14ac:dyDescent="0.25">
      <c r="A189" s="3"/>
      <c r="B189" s="13"/>
      <c r="C189" s="3"/>
    </row>
    <row r="190" spans="1:3" x14ac:dyDescent="0.25">
      <c r="A190" s="3"/>
      <c r="B190" s="13"/>
      <c r="C190" s="3"/>
    </row>
    <row r="191" spans="1:3" x14ac:dyDescent="0.25">
      <c r="A191" s="3"/>
      <c r="B191" s="13"/>
      <c r="C191" s="3"/>
    </row>
    <row r="192" spans="1:3" x14ac:dyDescent="0.25">
      <c r="A192" s="3"/>
      <c r="B192" s="13"/>
      <c r="C192" s="3"/>
    </row>
    <row r="193" spans="1:3" x14ac:dyDescent="0.25">
      <c r="A193" s="3"/>
      <c r="B193" s="13"/>
      <c r="C193" s="3"/>
    </row>
    <row r="194" spans="1:3" x14ac:dyDescent="0.25">
      <c r="A194" s="3"/>
      <c r="C194" s="3"/>
    </row>
    <row r="195" spans="1:3" x14ac:dyDescent="0.25">
      <c r="A195" s="135"/>
      <c r="C195" s="136"/>
    </row>
    <row r="196" spans="1:3" x14ac:dyDescent="0.25">
      <c r="A196" s="3"/>
      <c r="B196" s="13"/>
      <c r="C196" s="3"/>
    </row>
    <row r="197" spans="1:3" x14ac:dyDescent="0.25">
      <c r="A197" s="3"/>
      <c r="B197" s="13"/>
      <c r="C197" s="3"/>
    </row>
    <row r="198" spans="1:3" x14ac:dyDescent="0.25">
      <c r="A198" s="3"/>
      <c r="B198" s="13"/>
      <c r="C198" s="3"/>
    </row>
    <row r="199" spans="1:3" x14ac:dyDescent="0.25">
      <c r="A199" s="3"/>
      <c r="B199" s="13"/>
      <c r="C199" s="3"/>
    </row>
    <row r="200" spans="1:3" x14ac:dyDescent="0.25">
      <c r="A200" s="3"/>
      <c r="B200" s="13"/>
      <c r="C200" s="3"/>
    </row>
    <row r="201" spans="1:3" x14ac:dyDescent="0.25">
      <c r="A201" s="3"/>
      <c r="B201" s="13"/>
      <c r="C201" s="3"/>
    </row>
    <row r="202" spans="1:3" x14ac:dyDescent="0.25">
      <c r="A202" s="3"/>
      <c r="B202" s="13"/>
      <c r="C202" s="3"/>
    </row>
    <row r="203" spans="1:3" x14ac:dyDescent="0.25">
      <c r="A203" s="3"/>
      <c r="B203" s="13"/>
      <c r="C203" s="3"/>
    </row>
    <row r="204" spans="1:3" x14ac:dyDescent="0.25">
      <c r="A204" s="3"/>
      <c r="B204" s="13"/>
      <c r="C204" s="3"/>
    </row>
    <row r="205" spans="1:3" x14ac:dyDescent="0.25">
      <c r="A205" s="3"/>
      <c r="B205" s="13"/>
      <c r="C205" s="3"/>
    </row>
    <row r="206" spans="1:3" x14ac:dyDescent="0.25">
      <c r="A206" s="3"/>
      <c r="C206" s="3"/>
    </row>
    <row r="207" spans="1:3" x14ac:dyDescent="0.25">
      <c r="C207" s="3"/>
    </row>
    <row r="208" spans="1:3" x14ac:dyDescent="0.25">
      <c r="A208" s="8"/>
      <c r="B208" s="196"/>
      <c r="C208" s="3"/>
    </row>
    <row r="209" spans="1:3" x14ac:dyDescent="0.25">
      <c r="A209" s="3"/>
      <c r="C209" s="3"/>
    </row>
    <row r="210" spans="1:3" x14ac:dyDescent="0.25">
      <c r="A210" s="3"/>
      <c r="C210" s="3"/>
    </row>
    <row r="211" spans="1:3" x14ac:dyDescent="0.25">
      <c r="A211" s="3"/>
      <c r="C211" s="3"/>
    </row>
    <row r="212" spans="1:3" x14ac:dyDescent="0.25">
      <c r="A212" s="3"/>
      <c r="C212" s="3"/>
    </row>
    <row r="213" spans="1:3" x14ac:dyDescent="0.25">
      <c r="A213" s="7"/>
      <c r="C213" s="3"/>
    </row>
    <row r="215" spans="1:3" x14ac:dyDescent="0.25">
      <c r="A215" s="3"/>
      <c r="C215" s="3"/>
    </row>
    <row r="216" spans="1:3" x14ac:dyDescent="0.25">
      <c r="C216" s="3"/>
    </row>
    <row r="217" spans="1:3" x14ac:dyDescent="0.25">
      <c r="C217" s="3"/>
    </row>
    <row r="218" spans="1:3" x14ac:dyDescent="0.25">
      <c r="C218" s="3"/>
    </row>
    <row r="219" spans="1:3" x14ac:dyDescent="0.25">
      <c r="C219" s="3"/>
    </row>
    <row r="220" spans="1:3" x14ac:dyDescent="0.25">
      <c r="C220" s="3"/>
    </row>
    <row r="221" spans="1:3" x14ac:dyDescent="0.25">
      <c r="C221" s="3"/>
    </row>
    <row r="222" spans="1:3" x14ac:dyDescent="0.25">
      <c r="C222" s="3"/>
    </row>
    <row r="223" spans="1:3" x14ac:dyDescent="0.25">
      <c r="C223" s="3"/>
    </row>
    <row r="224" spans="1:3" x14ac:dyDescent="0.25">
      <c r="C224" s="3"/>
    </row>
    <row r="225" spans="3:3" x14ac:dyDescent="0.25">
      <c r="C225" s="3"/>
    </row>
    <row r="226" spans="3:3" x14ac:dyDescent="0.25">
      <c r="C226" s="3"/>
    </row>
    <row r="227" spans="3:3" x14ac:dyDescent="0.25">
      <c r="C227" s="3"/>
    </row>
    <row r="228" spans="3:3" x14ac:dyDescent="0.25">
      <c r="C228" s="3"/>
    </row>
    <row r="229" spans="3:3" x14ac:dyDescent="0.25">
      <c r="C229" s="3"/>
    </row>
    <row r="230" spans="3:3" x14ac:dyDescent="0.25">
      <c r="C230" s="3"/>
    </row>
    <row r="231" spans="3:3" x14ac:dyDescent="0.25">
      <c r="C231" s="3"/>
    </row>
    <row r="232" spans="3:3" x14ac:dyDescent="0.25">
      <c r="C232" s="3"/>
    </row>
    <row r="233" spans="3:3" x14ac:dyDescent="0.25">
      <c r="C233" s="3"/>
    </row>
    <row r="234" spans="3:3" x14ac:dyDescent="0.25">
      <c r="C234" s="3"/>
    </row>
    <row r="235" spans="3:3" x14ac:dyDescent="0.25">
      <c r="C235" s="3"/>
    </row>
    <row r="236" spans="3:3" x14ac:dyDescent="0.25">
      <c r="C236" s="3"/>
    </row>
    <row r="237" spans="3:3" x14ac:dyDescent="0.25">
      <c r="C237" s="3"/>
    </row>
    <row r="238" spans="3:3" x14ac:dyDescent="0.25">
      <c r="C238" s="3"/>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tabColor rgb="FFFFFF00"/>
  </sheetPr>
  <dimension ref="A1:F313"/>
  <sheetViews>
    <sheetView view="pageBreakPreview" topLeftCell="A85" zoomScaleNormal="100" zoomScaleSheetLayoutView="100" workbookViewId="0">
      <selection activeCell="B89" sqref="B89"/>
    </sheetView>
  </sheetViews>
  <sheetFormatPr defaultRowHeight="15.75" x14ac:dyDescent="0.25"/>
  <cols>
    <col min="1" max="1" width="10" style="5" customWidth="1"/>
    <col min="2" max="2" width="55.7109375" style="30" customWidth="1"/>
    <col min="3" max="3" width="9.7109375" style="8" customWidth="1"/>
    <col min="4" max="4" width="11.7109375" style="5" customWidth="1"/>
    <col min="5" max="5" width="9.140625" style="6"/>
    <col min="6" max="6" width="9.28515625" style="6" bestFit="1" customWidth="1"/>
    <col min="7" max="16384" width="9.140625" style="6"/>
  </cols>
  <sheetData>
    <row r="1" spans="1:5" ht="22.5" x14ac:dyDescent="0.25">
      <c r="A1" s="269" t="s">
        <v>2262</v>
      </c>
      <c r="B1" s="269"/>
      <c r="C1" s="269"/>
      <c r="D1" s="269"/>
    </row>
    <row r="2" spans="1:5" ht="27" x14ac:dyDescent="0.25">
      <c r="A2" s="270" t="s">
        <v>2263</v>
      </c>
      <c r="B2" s="270"/>
      <c r="C2" s="270"/>
      <c r="D2" s="270"/>
    </row>
    <row r="3" spans="1:5" s="179" customFormat="1" x14ac:dyDescent="0.2">
      <c r="A3" s="5" t="s">
        <v>2432</v>
      </c>
      <c r="B3" s="30"/>
      <c r="C3" s="8"/>
      <c r="D3" s="136"/>
    </row>
    <row r="4" spans="1:5" ht="47.25" x14ac:dyDescent="0.25">
      <c r="A4" s="3">
        <v>1</v>
      </c>
      <c r="B4" s="13" t="s">
        <v>2264</v>
      </c>
    </row>
    <row r="5" spans="1:5" ht="63" x14ac:dyDescent="0.25">
      <c r="A5" s="3">
        <v>2</v>
      </c>
      <c r="B5" s="13" t="s">
        <v>2265</v>
      </c>
    </row>
    <row r="6" spans="1:5" ht="63" x14ac:dyDescent="0.25">
      <c r="A6" s="3">
        <v>3</v>
      </c>
      <c r="B6" s="13" t="s">
        <v>2266</v>
      </c>
    </row>
    <row r="8" spans="1:5" s="112" customFormat="1" ht="31.5" x14ac:dyDescent="0.2">
      <c r="A8" s="55" t="s">
        <v>6402</v>
      </c>
      <c r="B8" s="55" t="s">
        <v>2434</v>
      </c>
      <c r="C8" s="55" t="s">
        <v>2435</v>
      </c>
      <c r="D8" s="172" t="s">
        <v>18</v>
      </c>
    </row>
    <row r="9" spans="1:5" s="112" customFormat="1" x14ac:dyDescent="0.2">
      <c r="A9" s="55">
        <v>1</v>
      </c>
      <c r="B9" s="55">
        <v>2</v>
      </c>
      <c r="C9" s="55">
        <v>3</v>
      </c>
      <c r="D9" s="45">
        <v>4</v>
      </c>
    </row>
    <row r="10" spans="1:5" s="112" customFormat="1" x14ac:dyDescent="0.2">
      <c r="A10" s="3"/>
      <c r="B10" s="13"/>
      <c r="C10" s="3"/>
      <c r="D10" s="5"/>
    </row>
    <row r="11" spans="1:5" x14ac:dyDescent="0.25">
      <c r="A11" s="8"/>
      <c r="B11" s="125" t="s">
        <v>2278</v>
      </c>
      <c r="C11" s="7"/>
    </row>
    <row r="12" spans="1:5" x14ac:dyDescent="0.25">
      <c r="A12" s="8"/>
      <c r="C12" s="7"/>
      <c r="E12" s="109"/>
    </row>
    <row r="13" spans="1:5" ht="141.75" x14ac:dyDescent="0.25">
      <c r="A13" s="103">
        <v>10.1</v>
      </c>
      <c r="B13" s="13" t="s">
        <v>2250</v>
      </c>
      <c r="C13" s="7"/>
    </row>
    <row r="14" spans="1:5" ht="18.75" x14ac:dyDescent="0.25">
      <c r="A14" s="3" t="s">
        <v>2252</v>
      </c>
      <c r="B14" s="30" t="s">
        <v>6117</v>
      </c>
      <c r="C14" s="7" t="s">
        <v>2437</v>
      </c>
      <c r="D14" s="101">
        <v>904</v>
      </c>
    </row>
    <row r="15" spans="1:5" ht="18.75" x14ac:dyDescent="0.25">
      <c r="A15" s="3" t="s">
        <v>2251</v>
      </c>
      <c r="B15" s="30" t="s">
        <v>6118</v>
      </c>
      <c r="C15" s="7" t="s">
        <v>2437</v>
      </c>
      <c r="D15" s="101">
        <v>765</v>
      </c>
    </row>
    <row r="16" spans="1:5" ht="18.75" x14ac:dyDescent="0.25">
      <c r="A16" s="3" t="s">
        <v>2253</v>
      </c>
      <c r="B16" s="30" t="s">
        <v>6119</v>
      </c>
      <c r="C16" s="7" t="s">
        <v>2437</v>
      </c>
      <c r="D16" s="101">
        <v>645</v>
      </c>
    </row>
    <row r="17" spans="1:4" x14ac:dyDescent="0.25">
      <c r="A17" s="3"/>
      <c r="B17" s="13"/>
      <c r="C17" s="7"/>
    </row>
    <row r="18" spans="1:4" ht="47.25" x14ac:dyDescent="0.25">
      <c r="A18" s="3">
        <v>10.199999999999999</v>
      </c>
      <c r="B18" s="30" t="s">
        <v>2254</v>
      </c>
      <c r="C18" s="7" t="s">
        <v>2281</v>
      </c>
      <c r="D18" s="101">
        <v>31</v>
      </c>
    </row>
    <row r="19" spans="1:4" x14ac:dyDescent="0.25">
      <c r="A19" s="3"/>
      <c r="B19" s="13"/>
      <c r="C19" s="7"/>
    </row>
    <row r="20" spans="1:4" ht="31.5" x14ac:dyDescent="0.25">
      <c r="A20" s="3">
        <v>10.3</v>
      </c>
      <c r="B20" s="30" t="s">
        <v>6419</v>
      </c>
      <c r="C20" s="208" t="s">
        <v>2281</v>
      </c>
      <c r="D20" s="101">
        <v>143</v>
      </c>
    </row>
    <row r="21" spans="1:4" x14ac:dyDescent="0.25">
      <c r="A21" s="3"/>
      <c r="B21" s="13"/>
      <c r="C21" s="7"/>
    </row>
    <row r="22" spans="1:4" ht="47.25" x14ac:dyDescent="0.25">
      <c r="A22" s="103">
        <v>10.4</v>
      </c>
      <c r="B22" s="30" t="s">
        <v>2256</v>
      </c>
      <c r="C22" s="7" t="s">
        <v>2282</v>
      </c>
    </row>
    <row r="23" spans="1:4" x14ac:dyDescent="0.25">
      <c r="A23" s="3" t="s">
        <v>2255</v>
      </c>
      <c r="B23" s="30" t="s">
        <v>2257</v>
      </c>
      <c r="C23" s="7" t="s">
        <v>2453</v>
      </c>
      <c r="D23" s="101">
        <v>503</v>
      </c>
    </row>
    <row r="24" spans="1:4" x14ac:dyDescent="0.25">
      <c r="A24" s="3" t="s">
        <v>2259</v>
      </c>
      <c r="B24" s="30" t="s">
        <v>2258</v>
      </c>
      <c r="C24" s="7" t="s">
        <v>2453</v>
      </c>
      <c r="D24" s="101">
        <v>441</v>
      </c>
    </row>
    <row r="25" spans="1:4" x14ac:dyDescent="0.25">
      <c r="A25" s="4"/>
      <c r="B25" s="13"/>
      <c r="C25" s="7"/>
    </row>
    <row r="26" spans="1:4" ht="72.75" customHeight="1" x14ac:dyDescent="0.25">
      <c r="A26" s="3">
        <v>10.5</v>
      </c>
      <c r="B26" s="13" t="s">
        <v>2289</v>
      </c>
      <c r="C26" s="7" t="s">
        <v>2453</v>
      </c>
      <c r="D26" s="101">
        <v>937</v>
      </c>
    </row>
    <row r="27" spans="1:4" x14ac:dyDescent="0.25">
      <c r="A27" s="3"/>
      <c r="B27" s="13"/>
      <c r="C27" s="101"/>
    </row>
    <row r="28" spans="1:4" ht="99.75" customHeight="1" x14ac:dyDescent="0.25">
      <c r="A28" s="3">
        <v>10.6</v>
      </c>
      <c r="B28" s="13" t="s">
        <v>1282</v>
      </c>
      <c r="C28" s="7" t="s">
        <v>2453</v>
      </c>
      <c r="D28" s="101">
        <v>358</v>
      </c>
    </row>
    <row r="29" spans="1:4" x14ac:dyDescent="0.25">
      <c r="A29" s="4"/>
      <c r="B29" s="13"/>
      <c r="C29" s="7"/>
    </row>
    <row r="30" spans="1:4" ht="63" x14ac:dyDescent="0.25">
      <c r="A30" s="3">
        <v>10.7</v>
      </c>
      <c r="B30" s="30" t="s">
        <v>2261</v>
      </c>
      <c r="C30" s="7"/>
    </row>
    <row r="31" spans="1:4" x14ac:dyDescent="0.25">
      <c r="A31" s="3" t="s">
        <v>2260</v>
      </c>
      <c r="B31" s="13" t="s">
        <v>2279</v>
      </c>
      <c r="C31" s="7" t="s">
        <v>2453</v>
      </c>
      <c r="D31" s="101">
        <v>463</v>
      </c>
    </row>
    <row r="32" spans="1:4" x14ac:dyDescent="0.25">
      <c r="A32" s="3" t="s">
        <v>1942</v>
      </c>
      <c r="B32" s="13" t="s">
        <v>2280</v>
      </c>
      <c r="C32" s="7" t="s">
        <v>2453</v>
      </c>
      <c r="D32" s="101">
        <v>405</v>
      </c>
    </row>
    <row r="33" spans="1:4" x14ac:dyDescent="0.25">
      <c r="A33" s="3"/>
      <c r="B33" s="13"/>
      <c r="C33" s="7"/>
    </row>
    <row r="34" spans="1:4" ht="132.75" customHeight="1" x14ac:dyDescent="0.25">
      <c r="A34" s="3">
        <v>10.8</v>
      </c>
      <c r="B34" s="13" t="s">
        <v>1943</v>
      </c>
      <c r="C34" s="7" t="s">
        <v>2437</v>
      </c>
      <c r="D34" s="101">
        <v>383</v>
      </c>
    </row>
    <row r="35" spans="1:4" x14ac:dyDescent="0.25">
      <c r="A35" s="3"/>
      <c r="B35" s="13"/>
      <c r="C35" s="7"/>
    </row>
    <row r="36" spans="1:4" ht="76.5" customHeight="1" x14ac:dyDescent="0.25">
      <c r="A36" s="5">
        <v>10.9</v>
      </c>
      <c r="B36" s="13" t="s">
        <v>1283</v>
      </c>
      <c r="C36" s="7" t="s">
        <v>2453</v>
      </c>
      <c r="D36" s="101">
        <v>28</v>
      </c>
    </row>
    <row r="37" spans="1:4" x14ac:dyDescent="0.25">
      <c r="A37" s="3"/>
      <c r="B37" s="13"/>
      <c r="C37" s="7"/>
    </row>
    <row r="38" spans="1:4" ht="75" customHeight="1" x14ac:dyDescent="0.25">
      <c r="A38" s="101">
        <v>10.1</v>
      </c>
      <c r="B38" s="13" t="s">
        <v>1284</v>
      </c>
      <c r="C38" s="7" t="s">
        <v>2453</v>
      </c>
      <c r="D38" s="101">
        <v>75</v>
      </c>
    </row>
    <row r="39" spans="1:4" x14ac:dyDescent="0.25">
      <c r="A39" s="3"/>
      <c r="B39" s="13"/>
      <c r="C39" s="7"/>
    </row>
    <row r="40" spans="1:4" ht="31.5" x14ac:dyDescent="0.25">
      <c r="A40" s="5">
        <v>10.11</v>
      </c>
      <c r="B40" s="13" t="s">
        <v>1285</v>
      </c>
      <c r="C40" s="7" t="s">
        <v>2453</v>
      </c>
      <c r="D40" s="101">
        <v>113</v>
      </c>
    </row>
    <row r="41" spans="1:4" x14ac:dyDescent="0.25">
      <c r="A41" s="3"/>
      <c r="B41" s="13"/>
      <c r="C41" s="7"/>
    </row>
    <row r="42" spans="1:4" x14ac:dyDescent="0.25">
      <c r="A42" s="3"/>
      <c r="B42" s="13"/>
      <c r="C42" s="7"/>
    </row>
    <row r="43" spans="1:4" s="179" customFormat="1" ht="63" x14ac:dyDescent="0.2">
      <c r="A43" s="5">
        <v>10.119999999999999</v>
      </c>
      <c r="B43" s="13" t="s">
        <v>1286</v>
      </c>
      <c r="C43" s="7"/>
      <c r="D43" s="136"/>
    </row>
    <row r="44" spans="1:4" s="179" customFormat="1" x14ac:dyDescent="0.2">
      <c r="A44" s="5" t="s">
        <v>2270</v>
      </c>
      <c r="B44" s="13" t="s">
        <v>1499</v>
      </c>
      <c r="C44" s="7" t="s">
        <v>2453</v>
      </c>
      <c r="D44" s="101">
        <v>387</v>
      </c>
    </row>
    <row r="45" spans="1:4" x14ac:dyDescent="0.25">
      <c r="A45" s="5" t="s">
        <v>2271</v>
      </c>
      <c r="B45" s="13" t="s">
        <v>1500</v>
      </c>
      <c r="C45" s="7" t="s">
        <v>2453</v>
      </c>
      <c r="D45" s="101">
        <v>414</v>
      </c>
    </row>
    <row r="46" spans="1:4" x14ac:dyDescent="0.25">
      <c r="A46" s="5" t="s">
        <v>2272</v>
      </c>
      <c r="B46" s="13" t="s">
        <v>1501</v>
      </c>
      <c r="C46" s="7" t="s">
        <v>2453</v>
      </c>
      <c r="D46" s="101">
        <v>510</v>
      </c>
    </row>
    <row r="47" spans="1:4" x14ac:dyDescent="0.25">
      <c r="A47" s="5" t="s">
        <v>1287</v>
      </c>
      <c r="B47" s="13" t="s">
        <v>1502</v>
      </c>
      <c r="C47" s="7" t="s">
        <v>2453</v>
      </c>
      <c r="D47" s="101">
        <v>436</v>
      </c>
    </row>
    <row r="48" spans="1:4" x14ac:dyDescent="0.25">
      <c r="A48" s="3"/>
      <c r="B48" s="13"/>
      <c r="C48" s="7"/>
    </row>
    <row r="49" spans="1:4" ht="78.75" x14ac:dyDescent="0.25">
      <c r="A49" s="5">
        <v>10.130000000000001</v>
      </c>
      <c r="B49" s="13" t="s">
        <v>1288</v>
      </c>
      <c r="C49" s="7"/>
    </row>
    <row r="50" spans="1:4" x14ac:dyDescent="0.25">
      <c r="A50" s="5" t="s">
        <v>2273</v>
      </c>
      <c r="B50" s="13" t="s">
        <v>1290</v>
      </c>
      <c r="C50" s="7" t="s">
        <v>2453</v>
      </c>
      <c r="D50" s="101">
        <v>262</v>
      </c>
    </row>
    <row r="51" spans="1:4" x14ac:dyDescent="0.25">
      <c r="A51" s="5" t="s">
        <v>2274</v>
      </c>
      <c r="B51" s="13" t="s">
        <v>1289</v>
      </c>
      <c r="C51" s="7" t="s">
        <v>2453</v>
      </c>
      <c r="D51" s="101">
        <v>179</v>
      </c>
    </row>
    <row r="52" spans="1:4" x14ac:dyDescent="0.25">
      <c r="A52" s="5" t="s">
        <v>2275</v>
      </c>
      <c r="B52" s="13" t="s">
        <v>1291</v>
      </c>
      <c r="C52" s="7" t="s">
        <v>2453</v>
      </c>
      <c r="D52" s="101">
        <v>388</v>
      </c>
    </row>
    <row r="53" spans="1:4" x14ac:dyDescent="0.25">
      <c r="A53" s="5" t="s">
        <v>2276</v>
      </c>
      <c r="B53" s="13" t="s">
        <v>1292</v>
      </c>
      <c r="C53" s="7" t="s">
        <v>2453</v>
      </c>
      <c r="D53" s="101">
        <v>486</v>
      </c>
    </row>
    <row r="54" spans="1:4" x14ac:dyDescent="0.25">
      <c r="A54" s="5" t="s">
        <v>1294</v>
      </c>
      <c r="B54" s="13" t="s">
        <v>1293</v>
      </c>
      <c r="C54" s="7" t="s">
        <v>2453</v>
      </c>
      <c r="D54" s="101">
        <v>397</v>
      </c>
    </row>
    <row r="55" spans="1:4" x14ac:dyDescent="0.25">
      <c r="A55" s="5" t="s">
        <v>1295</v>
      </c>
      <c r="B55" s="13" t="s">
        <v>1296</v>
      </c>
      <c r="C55" s="7" t="s">
        <v>3069</v>
      </c>
      <c r="D55" s="101">
        <v>163</v>
      </c>
    </row>
    <row r="56" spans="1:4" x14ac:dyDescent="0.25">
      <c r="A56" s="5" t="s">
        <v>1297</v>
      </c>
      <c r="B56" s="13" t="s">
        <v>1298</v>
      </c>
      <c r="C56" s="7" t="s">
        <v>4217</v>
      </c>
      <c r="D56" s="101">
        <v>510</v>
      </c>
    </row>
    <row r="57" spans="1:4" x14ac:dyDescent="0.25">
      <c r="A57" s="5" t="s">
        <v>1299</v>
      </c>
      <c r="B57" s="13" t="s">
        <v>1300</v>
      </c>
      <c r="C57" s="7" t="s">
        <v>2453</v>
      </c>
      <c r="D57" s="101">
        <v>277</v>
      </c>
    </row>
    <row r="58" spans="1:4" x14ac:dyDescent="0.25">
      <c r="A58" s="4"/>
      <c r="B58" s="13"/>
      <c r="C58" s="101"/>
    </row>
    <row r="59" spans="1:4" ht="47.25" x14ac:dyDescent="0.25">
      <c r="A59" s="5">
        <v>10.14</v>
      </c>
      <c r="B59" s="13" t="s">
        <v>1301</v>
      </c>
      <c r="C59" s="7" t="s">
        <v>2453</v>
      </c>
      <c r="D59" s="101">
        <v>42</v>
      </c>
    </row>
    <row r="60" spans="1:4" x14ac:dyDescent="0.25">
      <c r="A60" s="3"/>
      <c r="B60" s="13"/>
      <c r="C60" s="7"/>
    </row>
    <row r="61" spans="1:4" ht="116.25" customHeight="1" x14ac:dyDescent="0.25">
      <c r="A61" s="5">
        <v>10.15</v>
      </c>
      <c r="B61" s="13" t="s">
        <v>6420</v>
      </c>
      <c r="C61" s="7" t="s">
        <v>2437</v>
      </c>
      <c r="D61" s="101">
        <v>143</v>
      </c>
    </row>
    <row r="62" spans="1:4" x14ac:dyDescent="0.25">
      <c r="A62" s="3"/>
      <c r="B62" s="13"/>
      <c r="C62" s="7"/>
    </row>
    <row r="63" spans="1:4" ht="95.25" customHeight="1" x14ac:dyDescent="0.25">
      <c r="A63" s="5">
        <v>10.16</v>
      </c>
      <c r="B63" s="13" t="s">
        <v>699</v>
      </c>
      <c r="C63" s="7" t="s">
        <v>2437</v>
      </c>
      <c r="D63" s="101">
        <v>1648</v>
      </c>
    </row>
    <row r="64" spans="1:4" x14ac:dyDescent="0.25">
      <c r="A64" s="5" t="s">
        <v>701</v>
      </c>
      <c r="B64" s="13" t="s">
        <v>702</v>
      </c>
      <c r="C64" s="7" t="s">
        <v>2437</v>
      </c>
      <c r="D64" s="163">
        <v>0.2</v>
      </c>
    </row>
    <row r="65" spans="1:4" x14ac:dyDescent="0.25">
      <c r="A65" s="3"/>
      <c r="B65" s="13"/>
      <c r="C65" s="7"/>
    </row>
    <row r="66" spans="1:4" x14ac:dyDescent="0.25">
      <c r="A66" s="3"/>
      <c r="B66" s="13"/>
      <c r="C66" s="7"/>
    </row>
    <row r="67" spans="1:4" ht="31.5" x14ac:dyDescent="0.25">
      <c r="A67" s="7">
        <v>10.17</v>
      </c>
      <c r="B67" s="13" t="s">
        <v>1305</v>
      </c>
      <c r="C67" s="7"/>
    </row>
    <row r="68" spans="1:4" ht="31.5" x14ac:dyDescent="0.25">
      <c r="A68" s="7" t="s">
        <v>1935</v>
      </c>
      <c r="B68" s="13" t="s">
        <v>1304</v>
      </c>
      <c r="C68" s="7" t="s">
        <v>2439</v>
      </c>
      <c r="D68" s="101">
        <v>4483</v>
      </c>
    </row>
    <row r="69" spans="1:4" x14ac:dyDescent="0.25">
      <c r="A69" s="7" t="s">
        <v>1936</v>
      </c>
      <c r="B69" s="13" t="s">
        <v>1626</v>
      </c>
      <c r="C69" s="7" t="s">
        <v>2439</v>
      </c>
      <c r="D69" s="101">
        <v>5841</v>
      </c>
    </row>
    <row r="70" spans="1:4" x14ac:dyDescent="0.25">
      <c r="A70" s="7" t="s">
        <v>1937</v>
      </c>
      <c r="B70" s="13" t="s">
        <v>1627</v>
      </c>
      <c r="C70" s="7" t="s">
        <v>2439</v>
      </c>
      <c r="D70" s="101">
        <v>4862</v>
      </c>
    </row>
    <row r="71" spans="1:4" x14ac:dyDescent="0.25">
      <c r="A71" s="3"/>
      <c r="B71" s="13"/>
      <c r="C71" s="7"/>
    </row>
    <row r="72" spans="1:4" ht="47.25" x14ac:dyDescent="0.25">
      <c r="A72" s="7">
        <v>10.18</v>
      </c>
      <c r="B72" s="13" t="s">
        <v>1303</v>
      </c>
      <c r="C72" s="7"/>
    </row>
    <row r="73" spans="1:4" x14ac:dyDescent="0.25">
      <c r="A73" s="7" t="s">
        <v>1938</v>
      </c>
      <c r="B73" s="13" t="s">
        <v>2268</v>
      </c>
      <c r="C73" s="7" t="s">
        <v>2437</v>
      </c>
      <c r="D73" s="101">
        <v>277</v>
      </c>
    </row>
    <row r="74" spans="1:4" x14ac:dyDescent="0.25">
      <c r="A74" s="7" t="s">
        <v>1939</v>
      </c>
      <c r="B74" s="13" t="s">
        <v>2269</v>
      </c>
      <c r="C74" s="7" t="s">
        <v>2437</v>
      </c>
      <c r="D74" s="101">
        <v>251</v>
      </c>
    </row>
    <row r="75" spans="1:4" x14ac:dyDescent="0.25">
      <c r="A75" s="3"/>
      <c r="B75" s="13"/>
      <c r="C75" s="7"/>
    </row>
    <row r="76" spans="1:4" ht="78.75" x14ac:dyDescent="0.25">
      <c r="A76" s="7">
        <v>10.19</v>
      </c>
      <c r="B76" s="13" t="s">
        <v>1308</v>
      </c>
      <c r="C76" s="7" t="s">
        <v>2437</v>
      </c>
      <c r="D76" s="101">
        <v>358</v>
      </c>
    </row>
    <row r="77" spans="1:4" x14ac:dyDescent="0.25">
      <c r="A77" s="7"/>
      <c r="B77" s="13"/>
      <c r="C77" s="7"/>
    </row>
    <row r="78" spans="1:4" ht="94.5" x14ac:dyDescent="0.25">
      <c r="A78" s="7">
        <v>10.199999999999999</v>
      </c>
      <c r="B78" s="13" t="s">
        <v>1307</v>
      </c>
      <c r="C78" s="7" t="s">
        <v>2437</v>
      </c>
      <c r="D78" s="101">
        <v>350</v>
      </c>
    </row>
    <row r="79" spans="1:4" x14ac:dyDescent="0.25">
      <c r="A79" s="7"/>
      <c r="B79" s="13"/>
      <c r="C79" s="7"/>
    </row>
    <row r="80" spans="1:4" ht="267.75" x14ac:dyDescent="0.25">
      <c r="A80" s="3">
        <v>10.210000000000001</v>
      </c>
      <c r="B80" s="13" t="s">
        <v>6421</v>
      </c>
      <c r="C80" s="7"/>
    </row>
    <row r="81" spans="1:4" x14ac:dyDescent="0.25">
      <c r="A81" s="7"/>
      <c r="B81" s="13"/>
      <c r="C81" s="7"/>
    </row>
    <row r="82" spans="1:4" x14ac:dyDescent="0.25">
      <c r="A82" s="7"/>
      <c r="B82" s="13"/>
      <c r="C82" s="7"/>
    </row>
    <row r="83" spans="1:4" ht="291" customHeight="1" x14ac:dyDescent="0.25">
      <c r="A83" s="6"/>
      <c r="B83" s="13" t="s">
        <v>6422</v>
      </c>
      <c r="C83" s="7" t="s">
        <v>2437</v>
      </c>
      <c r="D83" s="101">
        <v>473</v>
      </c>
    </row>
    <row r="84" spans="1:4" x14ac:dyDescent="0.25">
      <c r="A84" s="3"/>
      <c r="B84" s="13"/>
      <c r="C84" s="7"/>
    </row>
    <row r="85" spans="1:4" ht="80.25" customHeight="1" x14ac:dyDescent="0.25">
      <c r="A85" s="3">
        <v>10.220000000000001</v>
      </c>
      <c r="B85" s="13" t="s">
        <v>1302</v>
      </c>
      <c r="C85" s="7" t="s">
        <v>2453</v>
      </c>
      <c r="D85" s="101">
        <v>111</v>
      </c>
    </row>
    <row r="86" spans="1:4" x14ac:dyDescent="0.25">
      <c r="A86" s="3"/>
      <c r="B86" s="13"/>
      <c r="C86" s="7"/>
    </row>
    <row r="87" spans="1:4" ht="95.25" customHeight="1" x14ac:dyDescent="0.25">
      <c r="A87" s="3">
        <v>10.23</v>
      </c>
      <c r="B87" s="13" t="s">
        <v>2277</v>
      </c>
      <c r="C87" s="7" t="s">
        <v>4217</v>
      </c>
      <c r="D87" s="101">
        <v>154</v>
      </c>
    </row>
    <row r="88" spans="1:4" x14ac:dyDescent="0.25">
      <c r="A88" s="4"/>
      <c r="B88" s="13"/>
      <c r="C88" s="101"/>
    </row>
    <row r="89" spans="1:4" ht="135.75" customHeight="1" x14ac:dyDescent="0.25">
      <c r="A89" s="3">
        <v>10.24</v>
      </c>
      <c r="B89" s="13" t="s">
        <v>1309</v>
      </c>
      <c r="C89" s="101" t="s">
        <v>2437</v>
      </c>
      <c r="D89" s="101">
        <v>317</v>
      </c>
    </row>
    <row r="90" spans="1:4" x14ac:dyDescent="0.25">
      <c r="A90" s="4"/>
      <c r="B90" s="13"/>
      <c r="C90" s="101"/>
    </row>
    <row r="91" spans="1:4" x14ac:dyDescent="0.25">
      <c r="A91" s="4"/>
      <c r="B91" s="13"/>
      <c r="C91" s="101"/>
    </row>
    <row r="92" spans="1:4" x14ac:dyDescent="0.25">
      <c r="A92" s="4"/>
      <c r="B92" s="13"/>
      <c r="C92" s="101"/>
    </row>
    <row r="93" spans="1:4" ht="127.5" x14ac:dyDescent="0.25">
      <c r="A93" s="7">
        <v>10.25</v>
      </c>
      <c r="B93" s="209" t="s">
        <v>1940</v>
      </c>
      <c r="C93" s="7"/>
    </row>
    <row r="94" spans="1:4" x14ac:dyDescent="0.25">
      <c r="A94" s="3" t="s">
        <v>2283</v>
      </c>
      <c r="B94" s="209" t="s">
        <v>2286</v>
      </c>
      <c r="C94" s="7" t="s">
        <v>2437</v>
      </c>
      <c r="D94" s="101">
        <v>911</v>
      </c>
    </row>
    <row r="95" spans="1:4" x14ac:dyDescent="0.25">
      <c r="A95" s="3" t="s">
        <v>2284</v>
      </c>
      <c r="B95" s="209" t="s">
        <v>2287</v>
      </c>
      <c r="C95" s="7" t="s">
        <v>2437</v>
      </c>
      <c r="D95" s="101">
        <v>1231</v>
      </c>
    </row>
    <row r="96" spans="1:4" x14ac:dyDescent="0.25">
      <c r="A96" s="3" t="s">
        <v>1941</v>
      </c>
      <c r="B96" s="209" t="s">
        <v>2288</v>
      </c>
      <c r="C96" s="7" t="s">
        <v>2437</v>
      </c>
      <c r="D96" s="101">
        <v>1872</v>
      </c>
    </row>
    <row r="97" spans="1:4" x14ac:dyDescent="0.25">
      <c r="A97" s="4"/>
      <c r="B97" s="209"/>
      <c r="C97" s="7"/>
    </row>
    <row r="98" spans="1:4" ht="25.5" x14ac:dyDescent="0.25">
      <c r="A98" s="3">
        <v>10.26</v>
      </c>
      <c r="B98" s="209" t="s">
        <v>1313</v>
      </c>
      <c r="C98" s="7" t="s">
        <v>2437</v>
      </c>
      <c r="D98" s="163">
        <v>0.1</v>
      </c>
    </row>
    <row r="99" spans="1:4" x14ac:dyDescent="0.25">
      <c r="A99" s="3"/>
      <c r="B99" s="209"/>
      <c r="C99" s="7"/>
    </row>
    <row r="100" spans="1:4" x14ac:dyDescent="0.25">
      <c r="A100" s="8"/>
      <c r="B100" s="210" t="s">
        <v>2285</v>
      </c>
      <c r="C100" s="7"/>
    </row>
    <row r="101" spans="1:4" x14ac:dyDescent="0.25">
      <c r="A101" s="8"/>
      <c r="B101" s="210"/>
      <c r="C101" s="7"/>
    </row>
    <row r="102" spans="1:4" ht="408.75" customHeight="1" x14ac:dyDescent="0.25">
      <c r="A102" s="3">
        <v>10.27</v>
      </c>
      <c r="B102" s="209" t="s">
        <v>6423</v>
      </c>
      <c r="C102" s="7" t="s">
        <v>2437</v>
      </c>
      <c r="D102" s="101">
        <v>825</v>
      </c>
    </row>
    <row r="103" spans="1:4" x14ac:dyDescent="0.25">
      <c r="A103" s="3"/>
      <c r="B103" s="212"/>
      <c r="C103" s="7"/>
    </row>
    <row r="104" spans="1:4" x14ac:dyDescent="0.25">
      <c r="A104" s="4"/>
      <c r="B104" s="211"/>
    </row>
    <row r="105" spans="1:4" ht="318.75" x14ac:dyDescent="0.25">
      <c r="A105" s="7">
        <v>10.28</v>
      </c>
      <c r="B105" s="209" t="s">
        <v>4938</v>
      </c>
      <c r="C105" s="7" t="s">
        <v>2437</v>
      </c>
      <c r="D105" s="101">
        <v>1063</v>
      </c>
    </row>
    <row r="106" spans="1:4" x14ac:dyDescent="0.25">
      <c r="A106" s="3"/>
      <c r="B106" s="209"/>
      <c r="C106" s="3"/>
    </row>
    <row r="107" spans="1:4" ht="267.75" x14ac:dyDescent="0.25">
      <c r="A107" s="7">
        <v>10.29</v>
      </c>
      <c r="B107" s="209" t="s">
        <v>4939</v>
      </c>
      <c r="C107" s="7" t="s">
        <v>2437</v>
      </c>
      <c r="D107" s="101">
        <v>1365</v>
      </c>
    </row>
    <row r="108" spans="1:4" x14ac:dyDescent="0.25">
      <c r="A108" s="3"/>
      <c r="B108" s="13"/>
      <c r="C108" s="3"/>
    </row>
    <row r="109" spans="1:4" s="214" customFormat="1" ht="15" x14ac:dyDescent="0.25">
      <c r="A109" s="207">
        <v>10.3</v>
      </c>
      <c r="B109" s="273" t="s">
        <v>4940</v>
      </c>
      <c r="C109" s="207"/>
      <c r="D109" s="213"/>
    </row>
    <row r="110" spans="1:4" s="214" customFormat="1" ht="15" x14ac:dyDescent="0.25">
      <c r="A110" s="207"/>
      <c r="B110" s="273"/>
      <c r="C110" s="207"/>
      <c r="D110" s="213"/>
    </row>
    <row r="111" spans="1:4" s="214" customFormat="1" ht="15" x14ac:dyDescent="0.25">
      <c r="A111" s="207" t="s">
        <v>4287</v>
      </c>
      <c r="B111" s="202" t="s">
        <v>4288</v>
      </c>
      <c r="C111" s="207" t="s">
        <v>2437</v>
      </c>
      <c r="D111" s="215">
        <v>913</v>
      </c>
    </row>
    <row r="112" spans="1:4" s="214" customFormat="1" ht="15" x14ac:dyDescent="0.25">
      <c r="A112" s="207" t="s">
        <v>4289</v>
      </c>
      <c r="B112" s="202" t="s">
        <v>4290</v>
      </c>
      <c r="C112" s="207" t="s">
        <v>2437</v>
      </c>
      <c r="D112" s="215">
        <v>1025</v>
      </c>
    </row>
    <row r="113" spans="1:4" x14ac:dyDescent="0.25">
      <c r="A113" s="7"/>
      <c r="B113" s="13"/>
      <c r="C113" s="7"/>
    </row>
    <row r="114" spans="1:4" x14ac:dyDescent="0.25">
      <c r="A114" s="7"/>
      <c r="B114" s="13"/>
      <c r="C114" s="7"/>
    </row>
    <row r="115" spans="1:4" ht="408.75" customHeight="1" x14ac:dyDescent="0.25">
      <c r="A115" s="7">
        <v>10.31</v>
      </c>
      <c r="B115" s="202" t="s">
        <v>4941</v>
      </c>
      <c r="C115" s="7"/>
    </row>
    <row r="116" spans="1:4" x14ac:dyDescent="0.25">
      <c r="A116" s="7"/>
      <c r="B116" s="13"/>
      <c r="C116" s="7"/>
    </row>
    <row r="117" spans="1:4" x14ac:dyDescent="0.25">
      <c r="A117" s="7" t="s">
        <v>4291</v>
      </c>
      <c r="B117" s="13" t="s">
        <v>4288</v>
      </c>
      <c r="C117" s="7" t="s">
        <v>2437</v>
      </c>
      <c r="D117" s="101">
        <v>649</v>
      </c>
    </row>
    <row r="118" spans="1:4" x14ac:dyDescent="0.25">
      <c r="A118" s="7"/>
      <c r="B118" s="13"/>
      <c r="C118" s="7"/>
      <c r="D118" s="101"/>
    </row>
    <row r="119" spans="1:4" x14ac:dyDescent="0.25">
      <c r="A119" s="7" t="s">
        <v>4292</v>
      </c>
      <c r="B119" s="13" t="s">
        <v>4290</v>
      </c>
      <c r="C119" s="7" t="s">
        <v>2437</v>
      </c>
      <c r="D119" s="101">
        <v>745</v>
      </c>
    </row>
    <row r="120" spans="1:4" x14ac:dyDescent="0.25">
      <c r="A120" s="7"/>
      <c r="B120" s="13"/>
      <c r="C120" s="7"/>
    </row>
    <row r="121" spans="1:4" x14ac:dyDescent="0.25">
      <c r="A121" s="7"/>
      <c r="B121" s="13"/>
      <c r="C121" s="7"/>
    </row>
    <row r="122" spans="1:4" x14ac:dyDescent="0.25">
      <c r="A122" s="7">
        <v>10.32</v>
      </c>
      <c r="B122" s="272" t="s">
        <v>4942</v>
      </c>
      <c r="C122" s="7"/>
    </row>
    <row r="123" spans="1:4" x14ac:dyDescent="0.25">
      <c r="A123" s="7"/>
      <c r="B123" s="272"/>
      <c r="C123" s="7"/>
    </row>
    <row r="124" spans="1:4" x14ac:dyDescent="0.25">
      <c r="A124" s="7"/>
      <c r="B124" s="13"/>
      <c r="C124" s="7"/>
    </row>
    <row r="125" spans="1:4" x14ac:dyDescent="0.25">
      <c r="A125" s="7" t="s">
        <v>4293</v>
      </c>
      <c r="B125" s="13" t="s">
        <v>4288</v>
      </c>
      <c r="C125" s="7" t="s">
        <v>2437</v>
      </c>
      <c r="D125" s="101">
        <v>1178</v>
      </c>
    </row>
    <row r="126" spans="1:4" x14ac:dyDescent="0.25">
      <c r="A126" s="7"/>
      <c r="B126" s="13"/>
      <c r="C126" s="7"/>
      <c r="D126" s="101"/>
    </row>
    <row r="127" spans="1:4" x14ac:dyDescent="0.25">
      <c r="A127" s="7" t="s">
        <v>4294</v>
      </c>
      <c r="B127" s="13" t="s">
        <v>4290</v>
      </c>
      <c r="C127" s="7" t="s">
        <v>2437</v>
      </c>
      <c r="D127" s="101">
        <v>1317</v>
      </c>
    </row>
    <row r="128" spans="1:4" x14ac:dyDescent="0.25">
      <c r="A128" s="7"/>
      <c r="B128" s="13"/>
      <c r="C128" s="7"/>
      <c r="D128" s="101"/>
    </row>
    <row r="129" spans="1:6" x14ac:dyDescent="0.25">
      <c r="A129" s="7"/>
      <c r="B129" s="13"/>
      <c r="C129" s="7"/>
      <c r="D129" s="101"/>
    </row>
    <row r="130" spans="1:6" x14ac:dyDescent="0.25">
      <c r="A130" s="7"/>
      <c r="B130" s="13"/>
      <c r="C130" s="7"/>
      <c r="D130" s="101"/>
    </row>
    <row r="131" spans="1:6" x14ac:dyDescent="0.25">
      <c r="A131" s="7"/>
      <c r="B131" s="13"/>
      <c r="C131" s="7"/>
      <c r="D131" s="101"/>
    </row>
    <row r="132" spans="1:6" x14ac:dyDescent="0.25">
      <c r="A132" s="7"/>
      <c r="B132" s="13"/>
      <c r="C132" s="7"/>
      <c r="D132" s="101"/>
    </row>
    <row r="133" spans="1:6" x14ac:dyDescent="0.25">
      <c r="A133" s="7"/>
      <c r="B133" s="13"/>
      <c r="C133" s="7"/>
      <c r="D133" s="101"/>
    </row>
    <row r="134" spans="1:6" ht="393.75" x14ac:dyDescent="0.25">
      <c r="A134" s="7">
        <v>10.33</v>
      </c>
      <c r="B134" s="13" t="s">
        <v>4943</v>
      </c>
      <c r="C134" s="7"/>
    </row>
    <row r="135" spans="1:6" x14ac:dyDescent="0.25">
      <c r="A135" s="7" t="s">
        <v>4295</v>
      </c>
      <c r="B135" s="13" t="s">
        <v>4288</v>
      </c>
      <c r="C135" s="7" t="s">
        <v>2437</v>
      </c>
      <c r="D135" s="101">
        <v>855</v>
      </c>
    </row>
    <row r="136" spans="1:6" x14ac:dyDescent="0.25">
      <c r="A136" s="7" t="s">
        <v>4296</v>
      </c>
      <c r="B136" s="13" t="s">
        <v>4290</v>
      </c>
      <c r="C136" s="7" t="s">
        <v>2437</v>
      </c>
      <c r="D136" s="101">
        <v>989</v>
      </c>
    </row>
    <row r="137" spans="1:6" x14ac:dyDescent="0.25">
      <c r="A137" s="3"/>
      <c r="B137" s="13"/>
      <c r="C137" s="3"/>
    </row>
    <row r="138" spans="1:6" ht="236.25" x14ac:dyDescent="0.25">
      <c r="A138" s="7">
        <v>10.34</v>
      </c>
      <c r="B138" s="13" t="s">
        <v>6424</v>
      </c>
      <c r="C138" s="3"/>
    </row>
    <row r="139" spans="1:6" x14ac:dyDescent="0.25">
      <c r="A139" s="3"/>
      <c r="B139" s="13"/>
      <c r="C139" s="3"/>
    </row>
    <row r="140" spans="1:6" x14ac:dyDescent="0.25">
      <c r="A140" s="3"/>
      <c r="B140" s="13"/>
      <c r="C140" s="3"/>
    </row>
    <row r="141" spans="1:6" ht="315" x14ac:dyDescent="0.25">
      <c r="A141" s="6"/>
      <c r="B141" s="202" t="s">
        <v>6493</v>
      </c>
      <c r="C141" s="7" t="s">
        <v>2437</v>
      </c>
      <c r="D141" s="101">
        <v>1650</v>
      </c>
    </row>
    <row r="142" spans="1:6" x14ac:dyDescent="0.25">
      <c r="A142" s="7"/>
      <c r="B142" s="216"/>
      <c r="C142" s="7"/>
    </row>
    <row r="143" spans="1:6" ht="342.75" customHeight="1" x14ac:dyDescent="0.25">
      <c r="A143" s="7">
        <v>10.35</v>
      </c>
      <c r="B143" s="217" t="s">
        <v>6285</v>
      </c>
      <c r="C143" s="7"/>
      <c r="D143" s="101"/>
      <c r="E143" s="138"/>
      <c r="F143" s="122">
        <v>10.35</v>
      </c>
    </row>
    <row r="144" spans="1:6" x14ac:dyDescent="0.25">
      <c r="A144" s="7"/>
      <c r="B144" s="209"/>
      <c r="C144" s="7"/>
      <c r="D144" s="101"/>
      <c r="E144" s="138"/>
      <c r="F144" s="122"/>
    </row>
    <row r="145" spans="1:6" x14ac:dyDescent="0.25">
      <c r="A145" s="7"/>
      <c r="B145" s="209"/>
      <c r="C145" s="7"/>
      <c r="D145" s="101"/>
      <c r="E145" s="138"/>
      <c r="F145" s="122"/>
    </row>
    <row r="146" spans="1:6" ht="94.5" x14ac:dyDescent="0.25">
      <c r="A146" s="7" t="s">
        <v>6120</v>
      </c>
      <c r="B146" s="13" t="s">
        <v>4714</v>
      </c>
      <c r="C146" s="7" t="s">
        <v>2437</v>
      </c>
      <c r="D146" s="101">
        <v>1562</v>
      </c>
    </row>
    <row r="147" spans="1:6" x14ac:dyDescent="0.25">
      <c r="A147" s="4"/>
      <c r="B147" s="193"/>
      <c r="C147" s="10"/>
      <c r="D147" s="7"/>
    </row>
    <row r="148" spans="1:6" ht="141.75" x14ac:dyDescent="0.25">
      <c r="A148" s="7" t="s">
        <v>6121</v>
      </c>
      <c r="B148" s="13" t="s">
        <v>4715</v>
      </c>
      <c r="C148" s="7" t="s">
        <v>2437</v>
      </c>
      <c r="D148" s="101">
        <v>1690</v>
      </c>
    </row>
    <row r="149" spans="1:6" x14ac:dyDescent="0.25">
      <c r="A149" s="7"/>
      <c r="B149" s="13"/>
      <c r="C149" s="7"/>
      <c r="D149" s="101"/>
    </row>
    <row r="150" spans="1:6" ht="141.75" x14ac:dyDescent="0.25">
      <c r="A150" s="7" t="s">
        <v>6375</v>
      </c>
      <c r="B150" s="13" t="s">
        <v>6376</v>
      </c>
      <c r="C150" s="7" t="s">
        <v>2437</v>
      </c>
      <c r="D150" s="101">
        <v>1890</v>
      </c>
    </row>
    <row r="151" spans="1:6" x14ac:dyDescent="0.25">
      <c r="A151" s="7"/>
      <c r="B151" s="13"/>
      <c r="C151" s="7"/>
      <c r="D151" s="101"/>
    </row>
    <row r="152" spans="1:6" s="176" customFormat="1" ht="220.5" x14ac:dyDescent="0.25">
      <c r="A152" s="7" t="s">
        <v>6377</v>
      </c>
      <c r="B152" s="13" t="s">
        <v>6005</v>
      </c>
      <c r="C152" s="7" t="s">
        <v>2437</v>
      </c>
      <c r="D152" s="101">
        <v>1550</v>
      </c>
    </row>
    <row r="153" spans="1:6" x14ac:dyDescent="0.25">
      <c r="C153" s="3"/>
      <c r="D153" s="7"/>
    </row>
    <row r="154" spans="1:6" x14ac:dyDescent="0.25">
      <c r="A154" s="7">
        <v>10.36</v>
      </c>
      <c r="B154" s="272" t="s">
        <v>5644</v>
      </c>
      <c r="C154" s="7" t="s">
        <v>2680</v>
      </c>
      <c r="D154" s="101">
        <v>1717</v>
      </c>
    </row>
    <row r="155" spans="1:6" x14ac:dyDescent="0.25">
      <c r="A155" s="7"/>
      <c r="B155" s="272"/>
      <c r="C155" s="7"/>
      <c r="D155" s="101"/>
    </row>
    <row r="156" spans="1:6" x14ac:dyDescent="0.25">
      <c r="A156" s="7"/>
      <c r="B156" s="13"/>
      <c r="C156" s="7"/>
      <c r="D156" s="101"/>
    </row>
    <row r="157" spans="1:6" x14ac:dyDescent="0.25">
      <c r="A157" s="7">
        <v>10.37</v>
      </c>
      <c r="B157" s="272" t="s">
        <v>5645</v>
      </c>
      <c r="C157" s="271" t="s">
        <v>2680</v>
      </c>
      <c r="D157" s="101">
        <v>1627</v>
      </c>
    </row>
    <row r="158" spans="1:6" x14ac:dyDescent="0.25">
      <c r="A158" s="7"/>
      <c r="B158" s="272"/>
      <c r="C158" s="271"/>
      <c r="D158" s="7"/>
    </row>
    <row r="159" spans="1:6" x14ac:dyDescent="0.25">
      <c r="A159" s="3"/>
      <c r="B159" s="13"/>
      <c r="C159" s="3"/>
      <c r="D159" s="101"/>
    </row>
    <row r="160" spans="1:6" ht="285" x14ac:dyDescent="0.25">
      <c r="A160" s="3">
        <v>10.38</v>
      </c>
      <c r="B160" s="202" t="s">
        <v>6494</v>
      </c>
      <c r="C160" s="7" t="s">
        <v>2437</v>
      </c>
      <c r="D160" s="101">
        <v>4745</v>
      </c>
    </row>
    <row r="161" spans="1:4" x14ac:dyDescent="0.25">
      <c r="A161" s="3"/>
      <c r="B161" s="13"/>
      <c r="C161" s="3"/>
      <c r="D161" s="101"/>
    </row>
    <row r="162" spans="1:4" ht="330" x14ac:dyDescent="0.25">
      <c r="A162" s="7">
        <v>10.39</v>
      </c>
      <c r="B162" s="202" t="s">
        <v>6286</v>
      </c>
      <c r="C162" s="7" t="s">
        <v>2437</v>
      </c>
      <c r="D162" s="101">
        <v>3775</v>
      </c>
    </row>
    <row r="163" spans="1:4" x14ac:dyDescent="0.25">
      <c r="A163" s="7"/>
      <c r="B163" s="202"/>
      <c r="C163" s="7"/>
      <c r="D163" s="101"/>
    </row>
    <row r="164" spans="1:4" ht="126" x14ac:dyDescent="0.25">
      <c r="A164" s="7"/>
      <c r="B164" s="13" t="s">
        <v>5261</v>
      </c>
      <c r="C164" s="7"/>
      <c r="D164" s="101"/>
    </row>
    <row r="165" spans="1:4" x14ac:dyDescent="0.25">
      <c r="A165" s="3"/>
      <c r="B165" s="13"/>
      <c r="C165" s="3"/>
      <c r="D165" s="101"/>
    </row>
    <row r="166" spans="1:4" ht="395.25" customHeight="1" x14ac:dyDescent="0.25">
      <c r="A166" s="7">
        <v>10.4</v>
      </c>
      <c r="B166" s="13" t="s">
        <v>6287</v>
      </c>
      <c r="C166" s="7" t="s">
        <v>2437</v>
      </c>
      <c r="D166" s="101">
        <v>3186</v>
      </c>
    </row>
    <row r="167" spans="1:4" ht="127.5" customHeight="1" x14ac:dyDescent="0.25">
      <c r="A167" s="3"/>
      <c r="B167" s="13" t="s">
        <v>6122</v>
      </c>
      <c r="C167" s="3"/>
      <c r="D167" s="101"/>
    </row>
    <row r="168" spans="1:4" x14ac:dyDescent="0.25">
      <c r="A168" s="3"/>
      <c r="B168" s="13"/>
      <c r="C168" s="3"/>
      <c r="D168" s="101"/>
    </row>
    <row r="169" spans="1:4" x14ac:dyDescent="0.25">
      <c r="A169" s="3"/>
      <c r="B169" s="13"/>
      <c r="C169" s="3"/>
      <c r="D169" s="101"/>
    </row>
    <row r="170" spans="1:4" ht="297" x14ac:dyDescent="0.25">
      <c r="A170" s="3">
        <v>10.41</v>
      </c>
      <c r="B170" s="217" t="s">
        <v>6288</v>
      </c>
      <c r="C170" s="7" t="s">
        <v>2437</v>
      </c>
      <c r="D170" s="101">
        <v>4117</v>
      </c>
    </row>
    <row r="171" spans="1:4" ht="108" x14ac:dyDescent="0.25">
      <c r="A171" s="3"/>
      <c r="B171" s="217" t="s">
        <v>5258</v>
      </c>
      <c r="C171" s="7"/>
      <c r="D171" s="101"/>
    </row>
    <row r="172" spans="1:4" x14ac:dyDescent="0.25">
      <c r="A172" s="3"/>
      <c r="B172" s="13"/>
      <c r="C172" s="3"/>
      <c r="D172" s="101"/>
    </row>
    <row r="173" spans="1:4" ht="255" x14ac:dyDescent="0.25">
      <c r="A173" s="3">
        <v>10.42</v>
      </c>
      <c r="B173" s="209" t="s">
        <v>6123</v>
      </c>
      <c r="C173" s="7" t="s">
        <v>2437</v>
      </c>
      <c r="D173" s="101">
        <v>3375</v>
      </c>
    </row>
    <row r="174" spans="1:4" x14ac:dyDescent="0.25">
      <c r="A174" s="3"/>
      <c r="B174" s="209"/>
      <c r="C174" s="7"/>
      <c r="D174" s="101"/>
    </row>
    <row r="175" spans="1:4" x14ac:dyDescent="0.25">
      <c r="A175" s="3"/>
      <c r="B175" s="209"/>
      <c r="C175" s="7"/>
      <c r="D175" s="101"/>
    </row>
    <row r="176" spans="1:4" ht="105" x14ac:dyDescent="0.25">
      <c r="A176" s="3"/>
      <c r="B176" s="202" t="s">
        <v>6122</v>
      </c>
      <c r="C176" s="7"/>
      <c r="D176" s="101"/>
    </row>
    <row r="177" spans="1:4" x14ac:dyDescent="0.25">
      <c r="A177" s="3"/>
      <c r="B177" s="13"/>
      <c r="D177" s="101"/>
    </row>
    <row r="178" spans="1:4" ht="409.5" customHeight="1" x14ac:dyDescent="0.25">
      <c r="A178" s="7">
        <v>10.43</v>
      </c>
      <c r="B178" s="13" t="s">
        <v>6289</v>
      </c>
      <c r="C178" s="7" t="s">
        <v>2437</v>
      </c>
      <c r="D178" s="101">
        <v>2544</v>
      </c>
    </row>
    <row r="179" spans="1:4" ht="135" customHeight="1" x14ac:dyDescent="0.25">
      <c r="A179" s="7"/>
      <c r="B179" s="13" t="s">
        <v>6124</v>
      </c>
      <c r="C179" s="7"/>
      <c r="D179" s="101"/>
    </row>
    <row r="180" spans="1:4" x14ac:dyDescent="0.25">
      <c r="A180" s="3"/>
      <c r="B180" s="13"/>
      <c r="C180" s="3"/>
      <c r="D180" s="101"/>
    </row>
    <row r="181" spans="1:4" x14ac:dyDescent="0.25">
      <c r="A181" s="3"/>
      <c r="B181" s="13"/>
      <c r="C181" s="3"/>
      <c r="D181" s="101"/>
    </row>
    <row r="182" spans="1:4" ht="362.25" x14ac:dyDescent="0.25">
      <c r="A182" s="3">
        <v>10.44</v>
      </c>
      <c r="B182" s="13" t="s">
        <v>5604</v>
      </c>
      <c r="C182" s="7" t="s">
        <v>2437</v>
      </c>
      <c r="D182" s="101">
        <v>5253</v>
      </c>
    </row>
    <row r="183" spans="1:4" ht="312.75" customHeight="1" x14ac:dyDescent="0.25">
      <c r="A183" s="3"/>
      <c r="B183" s="13" t="s">
        <v>6290</v>
      </c>
      <c r="C183" s="7"/>
      <c r="D183" s="101"/>
    </row>
    <row r="184" spans="1:4" x14ac:dyDescent="0.25">
      <c r="A184" s="3"/>
      <c r="B184" s="13"/>
      <c r="C184" s="3"/>
      <c r="D184" s="101"/>
    </row>
    <row r="185" spans="1:4" x14ac:dyDescent="0.25">
      <c r="A185" s="3"/>
      <c r="B185" s="13"/>
      <c r="C185" s="3"/>
      <c r="D185" s="101"/>
    </row>
    <row r="186" spans="1:4" ht="362.25" x14ac:dyDescent="0.25">
      <c r="A186" s="3">
        <v>10.45</v>
      </c>
      <c r="B186" s="13" t="s">
        <v>5259</v>
      </c>
      <c r="C186" s="7" t="s">
        <v>2437</v>
      </c>
      <c r="D186" s="101">
        <v>5167</v>
      </c>
    </row>
    <row r="187" spans="1:4" ht="306" customHeight="1" x14ac:dyDescent="0.25">
      <c r="A187" s="3"/>
      <c r="B187" s="13" t="s">
        <v>6125</v>
      </c>
      <c r="C187" s="7"/>
      <c r="D187" s="101"/>
    </row>
    <row r="188" spans="1:4" x14ac:dyDescent="0.25">
      <c r="A188" s="3"/>
      <c r="B188" s="13"/>
      <c r="C188" s="3"/>
      <c r="D188" s="101"/>
    </row>
    <row r="189" spans="1:4" x14ac:dyDescent="0.25">
      <c r="A189" s="3"/>
      <c r="B189" s="13"/>
      <c r="C189" s="3"/>
      <c r="D189" s="101"/>
    </row>
    <row r="190" spans="1:4" ht="386.25" customHeight="1" x14ac:dyDescent="0.25">
      <c r="A190" s="3">
        <v>10.46</v>
      </c>
      <c r="B190" s="13" t="s">
        <v>5260</v>
      </c>
      <c r="C190" s="7" t="s">
        <v>2437</v>
      </c>
      <c r="D190" s="7">
        <v>4452</v>
      </c>
    </row>
    <row r="191" spans="1:4" ht="283.5" customHeight="1" x14ac:dyDescent="0.25">
      <c r="A191" s="3"/>
      <c r="B191" s="13" t="s">
        <v>6125</v>
      </c>
      <c r="C191" s="7"/>
      <c r="D191" s="101"/>
    </row>
    <row r="192" spans="1:4" x14ac:dyDescent="0.25">
      <c r="A192" s="3"/>
      <c r="B192" s="13"/>
      <c r="C192" s="7"/>
      <c r="D192" s="101"/>
    </row>
    <row r="193" spans="1:4" x14ac:dyDescent="0.25">
      <c r="A193" s="3"/>
      <c r="B193" s="13"/>
      <c r="C193" s="7"/>
      <c r="D193" s="101"/>
    </row>
    <row r="194" spans="1:4" s="176" customFormat="1" ht="63" x14ac:dyDescent="0.25">
      <c r="A194" s="187">
        <v>10.47</v>
      </c>
      <c r="B194" s="199" t="s">
        <v>5699</v>
      </c>
      <c r="C194" s="7"/>
      <c r="D194" s="101"/>
    </row>
    <row r="195" spans="1:4" s="176" customFormat="1" x14ac:dyDescent="0.25">
      <c r="A195" s="188" t="s">
        <v>1662</v>
      </c>
      <c r="B195" s="13" t="s">
        <v>5700</v>
      </c>
      <c r="C195" s="189" t="s">
        <v>2437</v>
      </c>
      <c r="D195" s="101">
        <v>1447</v>
      </c>
    </row>
    <row r="196" spans="1:4" s="176" customFormat="1" x14ac:dyDescent="0.25">
      <c r="A196" s="188" t="s">
        <v>1664</v>
      </c>
      <c r="B196" s="13" t="s">
        <v>5701</v>
      </c>
      <c r="C196" s="189" t="s">
        <v>2437</v>
      </c>
      <c r="D196" s="101">
        <v>1914</v>
      </c>
    </row>
    <row r="197" spans="1:4" x14ac:dyDescent="0.25">
      <c r="A197" s="187"/>
      <c r="B197" s="199"/>
      <c r="C197" s="7"/>
      <c r="D197" s="101">
        <f>SUM(D14:D196)</f>
        <v>96512.299999999988</v>
      </c>
    </row>
    <row r="198" spans="1:4" x14ac:dyDescent="0.25">
      <c r="A198" s="3"/>
      <c r="B198" s="13"/>
      <c r="C198" s="3"/>
    </row>
    <row r="199" spans="1:4" x14ac:dyDescent="0.25">
      <c r="A199" s="3"/>
      <c r="B199" s="13"/>
      <c r="C199" s="3"/>
    </row>
    <row r="200" spans="1:4" x14ac:dyDescent="0.25">
      <c r="A200" s="3"/>
      <c r="B200" s="13"/>
      <c r="C200" s="3"/>
    </row>
    <row r="201" spans="1:4" x14ac:dyDescent="0.25">
      <c r="A201" s="3"/>
      <c r="B201" s="13"/>
      <c r="C201" s="3"/>
    </row>
    <row r="202" spans="1:4" x14ac:dyDescent="0.25">
      <c r="A202" s="3"/>
      <c r="B202" s="13"/>
      <c r="C202" s="3"/>
    </row>
    <row r="203" spans="1:4" x14ac:dyDescent="0.25">
      <c r="A203" s="3"/>
      <c r="B203" s="13"/>
      <c r="C203" s="3"/>
    </row>
    <row r="204" spans="1:4" x14ac:dyDescent="0.25">
      <c r="A204" s="8"/>
      <c r="B204" s="196"/>
      <c r="C204" s="135"/>
    </row>
    <row r="205" spans="1:4" x14ac:dyDescent="0.25">
      <c r="A205" s="3"/>
      <c r="B205" s="13"/>
      <c r="C205" s="3"/>
    </row>
    <row r="206" spans="1:4" x14ac:dyDescent="0.25">
      <c r="A206" s="3"/>
      <c r="B206" s="13"/>
      <c r="C206" s="3"/>
    </row>
    <row r="207" spans="1:4" x14ac:dyDescent="0.25">
      <c r="A207" s="3"/>
      <c r="B207" s="13"/>
      <c r="C207" s="3"/>
    </row>
    <row r="208" spans="1:4" x14ac:dyDescent="0.25">
      <c r="A208" s="3"/>
      <c r="B208" s="13"/>
      <c r="C208" s="3"/>
    </row>
    <row r="209" spans="1:3" x14ac:dyDescent="0.25">
      <c r="A209" s="3"/>
      <c r="B209" s="13"/>
      <c r="C209" s="3"/>
    </row>
    <row r="210" spans="1:3" x14ac:dyDescent="0.25">
      <c r="A210" s="3"/>
      <c r="B210" s="13"/>
      <c r="C210" s="3"/>
    </row>
    <row r="211" spans="1:3" x14ac:dyDescent="0.25">
      <c r="A211" s="3"/>
      <c r="B211" s="13"/>
      <c r="C211" s="3"/>
    </row>
    <row r="212" spans="1:3" x14ac:dyDescent="0.25">
      <c r="A212" s="3"/>
      <c r="B212" s="13"/>
      <c r="C212" s="3"/>
    </row>
    <row r="213" spans="1:3" x14ac:dyDescent="0.25">
      <c r="A213" s="3"/>
      <c r="B213" s="13"/>
      <c r="C213" s="3"/>
    </row>
    <row r="214" spans="1:3" x14ac:dyDescent="0.25">
      <c r="A214" s="3"/>
      <c r="B214" s="13"/>
      <c r="C214" s="3"/>
    </row>
    <row r="215" spans="1:3" x14ac:dyDescent="0.25">
      <c r="A215" s="3"/>
      <c r="B215" s="13"/>
      <c r="C215" s="3"/>
    </row>
    <row r="216" spans="1:3" x14ac:dyDescent="0.25">
      <c r="A216" s="3"/>
      <c r="B216" s="13"/>
      <c r="C216" s="3"/>
    </row>
    <row r="217" spans="1:3" x14ac:dyDescent="0.25">
      <c r="A217" s="3"/>
      <c r="B217" s="13"/>
      <c r="C217" s="3"/>
    </row>
    <row r="218" spans="1:3" x14ac:dyDescent="0.25">
      <c r="A218" s="3"/>
      <c r="B218" s="13"/>
      <c r="C218" s="3"/>
    </row>
    <row r="219" spans="1:3" x14ac:dyDescent="0.25">
      <c r="A219" s="3"/>
      <c r="B219" s="13"/>
      <c r="C219" s="3"/>
    </row>
    <row r="220" spans="1:3" x14ac:dyDescent="0.25">
      <c r="A220" s="3"/>
      <c r="B220" s="13"/>
      <c r="C220" s="3"/>
    </row>
    <row r="221" spans="1:3" x14ac:dyDescent="0.25">
      <c r="A221" s="3"/>
      <c r="B221" s="13"/>
      <c r="C221" s="3"/>
    </row>
    <row r="222" spans="1:3" x14ac:dyDescent="0.25">
      <c r="A222" s="3"/>
      <c r="B222" s="13"/>
      <c r="C222" s="3"/>
    </row>
    <row r="223" spans="1:3" x14ac:dyDescent="0.25">
      <c r="A223" s="3"/>
      <c r="B223" s="13"/>
      <c r="C223" s="3"/>
    </row>
    <row r="224" spans="1:3" x14ac:dyDescent="0.25">
      <c r="A224" s="3"/>
      <c r="B224" s="13"/>
      <c r="C224" s="3"/>
    </row>
    <row r="225" spans="1:3" x14ac:dyDescent="0.25">
      <c r="A225" s="3"/>
      <c r="B225" s="13"/>
      <c r="C225" s="3"/>
    </row>
    <row r="226" spans="1:3" x14ac:dyDescent="0.25">
      <c r="A226" s="3"/>
      <c r="B226" s="13"/>
      <c r="C226" s="3"/>
    </row>
    <row r="227" spans="1:3" x14ac:dyDescent="0.25">
      <c r="A227" s="3"/>
      <c r="B227" s="13"/>
      <c r="C227" s="3"/>
    </row>
    <row r="228" spans="1:3" x14ac:dyDescent="0.25">
      <c r="A228" s="3"/>
      <c r="B228" s="13"/>
      <c r="C228" s="3"/>
    </row>
    <row r="229" spans="1:3" x14ac:dyDescent="0.25">
      <c r="A229" s="8"/>
      <c r="B229" s="196"/>
      <c r="C229" s="135"/>
    </row>
    <row r="230" spans="1:3" x14ac:dyDescent="0.25">
      <c r="A230" s="7"/>
      <c r="B230" s="13"/>
      <c r="C230" s="3"/>
    </row>
    <row r="231" spans="1:3" x14ac:dyDescent="0.25">
      <c r="A231" s="7"/>
      <c r="B231" s="13"/>
      <c r="C231" s="3"/>
    </row>
    <row r="232" spans="1:3" x14ac:dyDescent="0.25">
      <c r="A232" s="3"/>
      <c r="B232" s="13"/>
      <c r="C232" s="3"/>
    </row>
    <row r="233" spans="1:3" x14ac:dyDescent="0.25">
      <c r="A233" s="3"/>
      <c r="B233" s="13"/>
      <c r="C233" s="3"/>
    </row>
    <row r="234" spans="1:3" x14ac:dyDescent="0.25">
      <c r="A234" s="3"/>
      <c r="B234" s="13"/>
      <c r="C234" s="3"/>
    </row>
    <row r="235" spans="1:3" x14ac:dyDescent="0.25">
      <c r="A235" s="3"/>
      <c r="B235" s="13"/>
      <c r="C235" s="3"/>
    </row>
    <row r="236" spans="1:3" x14ac:dyDescent="0.25">
      <c r="A236" s="3"/>
      <c r="B236" s="13"/>
      <c r="C236" s="3"/>
    </row>
    <row r="237" spans="1:3" x14ac:dyDescent="0.25">
      <c r="A237" s="3"/>
      <c r="B237" s="13"/>
      <c r="C237" s="3"/>
    </row>
    <row r="238" spans="1:3" x14ac:dyDescent="0.25">
      <c r="A238" s="3"/>
      <c r="B238" s="13"/>
      <c r="C238" s="3"/>
    </row>
    <row r="239" spans="1:3" x14ac:dyDescent="0.25">
      <c r="A239" s="3"/>
      <c r="B239" s="13"/>
    </row>
    <row r="240" spans="1:3" x14ac:dyDescent="0.25">
      <c r="A240" s="3"/>
      <c r="B240" s="13"/>
      <c r="C240" s="3"/>
    </row>
    <row r="241" spans="1:3" x14ac:dyDescent="0.25">
      <c r="A241" s="3"/>
      <c r="B241" s="13"/>
      <c r="C241" s="3"/>
    </row>
    <row r="242" spans="1:3" x14ac:dyDescent="0.25">
      <c r="A242" s="3"/>
      <c r="B242" s="13"/>
      <c r="C242" s="3"/>
    </row>
    <row r="243" spans="1:3" x14ac:dyDescent="0.25">
      <c r="A243" s="3"/>
      <c r="B243" s="13"/>
      <c r="C243" s="3"/>
    </row>
    <row r="244" spans="1:3" x14ac:dyDescent="0.25">
      <c r="A244" s="3"/>
      <c r="B244" s="13"/>
      <c r="C244" s="3"/>
    </row>
    <row r="245" spans="1:3" x14ac:dyDescent="0.25">
      <c r="A245" s="3"/>
      <c r="B245" s="13"/>
      <c r="C245" s="3"/>
    </row>
    <row r="246" spans="1:3" x14ac:dyDescent="0.25">
      <c r="A246" s="3"/>
      <c r="B246" s="13"/>
      <c r="C246" s="3"/>
    </row>
    <row r="247" spans="1:3" x14ac:dyDescent="0.25">
      <c r="A247" s="3"/>
      <c r="B247" s="13"/>
      <c r="C247" s="3"/>
    </row>
    <row r="248" spans="1:3" x14ac:dyDescent="0.25">
      <c r="A248" s="3"/>
      <c r="B248" s="13"/>
      <c r="C248" s="3"/>
    </row>
    <row r="249" spans="1:3" x14ac:dyDescent="0.25">
      <c r="A249" s="3"/>
      <c r="B249" s="13"/>
      <c r="C249" s="3"/>
    </row>
    <row r="250" spans="1:3" x14ac:dyDescent="0.25">
      <c r="A250" s="3"/>
      <c r="B250" s="13"/>
      <c r="C250" s="3"/>
    </row>
    <row r="251" spans="1:3" x14ac:dyDescent="0.25">
      <c r="A251" s="3"/>
      <c r="B251" s="13"/>
      <c r="C251" s="3"/>
    </row>
    <row r="252" spans="1:3" x14ac:dyDescent="0.25">
      <c r="A252" s="3"/>
      <c r="B252" s="13"/>
      <c r="C252" s="3"/>
    </row>
    <row r="253" spans="1:3" x14ac:dyDescent="0.25">
      <c r="A253" s="3"/>
      <c r="B253" s="13"/>
      <c r="C253" s="3"/>
    </row>
    <row r="254" spans="1:3" x14ac:dyDescent="0.25">
      <c r="A254" s="3"/>
      <c r="B254" s="13"/>
      <c r="C254" s="3"/>
    </row>
    <row r="255" spans="1:3" x14ac:dyDescent="0.25">
      <c r="A255" s="3"/>
      <c r="B255" s="13"/>
      <c r="C255" s="3"/>
    </row>
    <row r="256" spans="1:3" x14ac:dyDescent="0.25">
      <c r="A256" s="3"/>
      <c r="B256" s="13"/>
      <c r="C256" s="3"/>
    </row>
    <row r="257" spans="1:3" x14ac:dyDescent="0.25">
      <c r="A257" s="3"/>
      <c r="B257" s="13"/>
      <c r="C257" s="3"/>
    </row>
    <row r="258" spans="1:3" x14ac:dyDescent="0.25">
      <c r="A258" s="8"/>
      <c r="B258" s="196"/>
      <c r="C258" s="135"/>
    </row>
    <row r="259" spans="1:3" x14ac:dyDescent="0.25">
      <c r="A259" s="3"/>
      <c r="B259" s="13"/>
      <c r="C259" s="3"/>
    </row>
    <row r="260" spans="1:3" x14ac:dyDescent="0.25">
      <c r="A260" s="3"/>
      <c r="B260" s="13"/>
      <c r="C260" s="3"/>
    </row>
    <row r="261" spans="1:3" x14ac:dyDescent="0.25">
      <c r="A261" s="3"/>
      <c r="B261" s="13"/>
      <c r="C261" s="3"/>
    </row>
    <row r="262" spans="1:3" x14ac:dyDescent="0.25">
      <c r="A262" s="3"/>
      <c r="B262" s="13"/>
      <c r="C262" s="3"/>
    </row>
    <row r="263" spans="1:3" x14ac:dyDescent="0.25">
      <c r="A263" s="3"/>
      <c r="B263" s="13"/>
      <c r="C263" s="3"/>
    </row>
    <row r="264" spans="1:3" x14ac:dyDescent="0.25">
      <c r="A264" s="3"/>
      <c r="B264" s="13"/>
      <c r="C264" s="3"/>
    </row>
    <row r="265" spans="1:3" x14ac:dyDescent="0.25">
      <c r="A265" s="3"/>
      <c r="B265" s="13"/>
      <c r="C265" s="3"/>
    </row>
    <row r="266" spans="1:3" x14ac:dyDescent="0.25">
      <c r="A266" s="3"/>
      <c r="B266" s="13"/>
      <c r="C266" s="3"/>
    </row>
    <row r="267" spans="1:3" x14ac:dyDescent="0.25">
      <c r="A267" s="3"/>
      <c r="B267" s="13"/>
      <c r="C267" s="3"/>
    </row>
    <row r="268" spans="1:3" x14ac:dyDescent="0.25">
      <c r="A268" s="3"/>
      <c r="B268" s="13"/>
      <c r="C268" s="3"/>
    </row>
    <row r="269" spans="1:3" x14ac:dyDescent="0.25">
      <c r="A269" s="3"/>
      <c r="C269" s="3"/>
    </row>
    <row r="270" spans="1:3" x14ac:dyDescent="0.25">
      <c r="A270" s="135"/>
      <c r="C270" s="136"/>
    </row>
    <row r="271" spans="1:3" x14ac:dyDescent="0.25">
      <c r="A271" s="3"/>
      <c r="B271" s="13"/>
      <c r="C271" s="3"/>
    </row>
    <row r="272" spans="1:3" x14ac:dyDescent="0.25">
      <c r="A272" s="3"/>
      <c r="B272" s="13"/>
      <c r="C272" s="3"/>
    </row>
    <row r="273" spans="1:3" x14ac:dyDescent="0.25">
      <c r="A273" s="3"/>
      <c r="B273" s="13"/>
      <c r="C273" s="3"/>
    </row>
    <row r="274" spans="1:3" x14ac:dyDescent="0.25">
      <c r="A274" s="3"/>
      <c r="B274" s="13"/>
      <c r="C274" s="3"/>
    </row>
    <row r="275" spans="1:3" x14ac:dyDescent="0.25">
      <c r="A275" s="3"/>
      <c r="B275" s="13"/>
      <c r="C275" s="3"/>
    </row>
    <row r="276" spans="1:3" x14ac:dyDescent="0.25">
      <c r="A276" s="3"/>
      <c r="B276" s="13"/>
      <c r="C276" s="3"/>
    </row>
    <row r="277" spans="1:3" x14ac:dyDescent="0.25">
      <c r="A277" s="3"/>
      <c r="B277" s="13"/>
      <c r="C277" s="3"/>
    </row>
    <row r="278" spans="1:3" x14ac:dyDescent="0.25">
      <c r="A278" s="3"/>
      <c r="B278" s="13"/>
      <c r="C278" s="3"/>
    </row>
    <row r="279" spans="1:3" x14ac:dyDescent="0.25">
      <c r="A279" s="3"/>
      <c r="B279" s="13"/>
      <c r="C279" s="3"/>
    </row>
    <row r="280" spans="1:3" x14ac:dyDescent="0.25">
      <c r="A280" s="3"/>
      <c r="B280" s="13"/>
      <c r="C280" s="3"/>
    </row>
    <row r="281" spans="1:3" x14ac:dyDescent="0.25">
      <c r="A281" s="3"/>
      <c r="C281" s="3"/>
    </row>
    <row r="282" spans="1:3" x14ac:dyDescent="0.25">
      <c r="C282" s="3"/>
    </row>
    <row r="283" spans="1:3" x14ac:dyDescent="0.25">
      <c r="A283" s="8"/>
      <c r="B283" s="196"/>
      <c r="C283" s="3"/>
    </row>
    <row r="284" spans="1:3" x14ac:dyDescent="0.25">
      <c r="A284" s="3"/>
      <c r="C284" s="3"/>
    </row>
    <row r="285" spans="1:3" x14ac:dyDescent="0.25">
      <c r="A285" s="3"/>
      <c r="C285" s="3"/>
    </row>
    <row r="286" spans="1:3" x14ac:dyDescent="0.25">
      <c r="A286" s="3"/>
      <c r="C286" s="3"/>
    </row>
    <row r="287" spans="1:3" x14ac:dyDescent="0.25">
      <c r="A287" s="3"/>
      <c r="C287" s="3"/>
    </row>
    <row r="288" spans="1:3" x14ac:dyDescent="0.25">
      <c r="A288" s="7"/>
      <c r="C288" s="3"/>
    </row>
    <row r="290" spans="1:3" x14ac:dyDescent="0.25">
      <c r="A290" s="3"/>
      <c r="C290" s="3"/>
    </row>
    <row r="291" spans="1:3" x14ac:dyDescent="0.25">
      <c r="C291" s="3"/>
    </row>
    <row r="292" spans="1:3" x14ac:dyDescent="0.25">
      <c r="C292" s="3"/>
    </row>
    <row r="293" spans="1:3" x14ac:dyDescent="0.25">
      <c r="C293" s="3"/>
    </row>
    <row r="294" spans="1:3" x14ac:dyDescent="0.25">
      <c r="C294" s="3"/>
    </row>
    <row r="295" spans="1:3" x14ac:dyDescent="0.25">
      <c r="C295" s="3"/>
    </row>
    <row r="296" spans="1:3" x14ac:dyDescent="0.25">
      <c r="C296" s="3"/>
    </row>
    <row r="297" spans="1:3" x14ac:dyDescent="0.25">
      <c r="C297" s="3"/>
    </row>
    <row r="298" spans="1:3" x14ac:dyDescent="0.25">
      <c r="C298" s="3"/>
    </row>
    <row r="299" spans="1:3" x14ac:dyDescent="0.25">
      <c r="C299" s="3"/>
    </row>
    <row r="300" spans="1:3" x14ac:dyDescent="0.25">
      <c r="C300" s="3"/>
    </row>
    <row r="301" spans="1:3" x14ac:dyDescent="0.25">
      <c r="C301" s="3"/>
    </row>
    <row r="302" spans="1:3" x14ac:dyDescent="0.25">
      <c r="C302" s="3"/>
    </row>
    <row r="303" spans="1:3" x14ac:dyDescent="0.25">
      <c r="C303" s="3"/>
    </row>
    <row r="304" spans="1:3" x14ac:dyDescent="0.25">
      <c r="C304" s="3"/>
    </row>
    <row r="305" spans="3:3" x14ac:dyDescent="0.25">
      <c r="C305" s="3"/>
    </row>
    <row r="306" spans="3:3" x14ac:dyDescent="0.25">
      <c r="C306" s="3"/>
    </row>
    <row r="307" spans="3:3" x14ac:dyDescent="0.25">
      <c r="C307" s="3"/>
    </row>
    <row r="308" spans="3:3" x14ac:dyDescent="0.25">
      <c r="C308" s="3"/>
    </row>
    <row r="309" spans="3:3" x14ac:dyDescent="0.25">
      <c r="C309" s="3"/>
    </row>
    <row r="310" spans="3:3" x14ac:dyDescent="0.25">
      <c r="C310" s="3"/>
    </row>
    <row r="311" spans="3:3" x14ac:dyDescent="0.25">
      <c r="C311" s="3"/>
    </row>
    <row r="312" spans="3:3" x14ac:dyDescent="0.25">
      <c r="C312" s="3"/>
    </row>
    <row r="313" spans="3:3" x14ac:dyDescent="0.25">
      <c r="C313" s="3"/>
    </row>
  </sheetData>
  <mergeCells count="7">
    <mergeCell ref="A2:D2"/>
    <mergeCell ref="A1:D1"/>
    <mergeCell ref="C157:C158"/>
    <mergeCell ref="B157:B158"/>
    <mergeCell ref="B122:B123"/>
    <mergeCell ref="B109:B110"/>
    <mergeCell ref="B154:B155"/>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tabColor rgb="FFFFFF00"/>
  </sheetPr>
  <dimension ref="A1:D1807"/>
  <sheetViews>
    <sheetView view="pageBreakPreview" zoomScaleNormal="100" zoomScaleSheetLayoutView="100" workbookViewId="0">
      <selection activeCell="B132" sqref="B132"/>
    </sheetView>
  </sheetViews>
  <sheetFormatPr defaultRowHeight="15.75" x14ac:dyDescent="0.25"/>
  <cols>
    <col min="1" max="1" width="10" style="5" customWidth="1"/>
    <col min="2" max="2" width="55.7109375" style="30" customWidth="1"/>
    <col min="3" max="3" width="9.7109375" style="5" customWidth="1"/>
    <col min="4" max="4" width="11.7109375" style="101" customWidth="1"/>
    <col min="5" max="16384" width="9.140625" style="6"/>
  </cols>
  <sheetData>
    <row r="1" spans="1:4" ht="22.5" x14ac:dyDescent="0.25">
      <c r="A1" s="269" t="s">
        <v>2108</v>
      </c>
      <c r="B1" s="269"/>
      <c r="C1" s="269"/>
      <c r="D1" s="269"/>
    </row>
    <row r="2" spans="1:4" ht="27" x14ac:dyDescent="0.25">
      <c r="A2" s="270" t="s">
        <v>2109</v>
      </c>
      <c r="B2" s="270"/>
      <c r="C2" s="270"/>
      <c r="D2" s="270"/>
    </row>
    <row r="4" spans="1:4" s="112" customFormat="1" ht="31.5" x14ac:dyDescent="0.2">
      <c r="A4" s="55" t="s">
        <v>6402</v>
      </c>
      <c r="B4" s="55" t="s">
        <v>2434</v>
      </c>
      <c r="C4" s="55" t="s">
        <v>2435</v>
      </c>
      <c r="D4" s="172" t="s">
        <v>18</v>
      </c>
    </row>
    <row r="5" spans="1:4" x14ac:dyDescent="0.25">
      <c r="A5" s="55">
        <v>1</v>
      </c>
      <c r="B5" s="55">
        <v>2</v>
      </c>
      <c r="C5" s="55">
        <v>3</v>
      </c>
      <c r="D5" s="45">
        <v>4</v>
      </c>
    </row>
    <row r="6" spans="1:4" x14ac:dyDescent="0.25">
      <c r="A6" s="11"/>
      <c r="B6" s="125"/>
      <c r="C6" s="11"/>
    </row>
    <row r="7" spans="1:4" s="179" customFormat="1" x14ac:dyDescent="0.2">
      <c r="A7" s="130"/>
      <c r="B7" s="140" t="s">
        <v>2118</v>
      </c>
      <c r="C7" s="130"/>
      <c r="D7" s="141"/>
    </row>
    <row r="8" spans="1:4" ht="47.25" x14ac:dyDescent="0.25">
      <c r="A8" s="3">
        <v>11.1</v>
      </c>
      <c r="B8" s="13" t="s">
        <v>2113</v>
      </c>
      <c r="C8" s="3"/>
    </row>
    <row r="9" spans="1:4" x14ac:dyDescent="0.25">
      <c r="A9" s="3" t="s">
        <v>2110</v>
      </c>
      <c r="B9" s="13" t="s">
        <v>2120</v>
      </c>
      <c r="C9" s="3" t="s">
        <v>2437</v>
      </c>
      <c r="D9" s="101">
        <v>510</v>
      </c>
    </row>
    <row r="10" spans="1:4" x14ac:dyDescent="0.25">
      <c r="A10" s="3"/>
      <c r="B10" s="13"/>
      <c r="C10" s="3"/>
    </row>
    <row r="11" spans="1:4" x14ac:dyDescent="0.25">
      <c r="A11" s="3" t="s">
        <v>2112</v>
      </c>
      <c r="B11" s="13" t="s">
        <v>2119</v>
      </c>
      <c r="C11" s="3" t="s">
        <v>2437</v>
      </c>
      <c r="D11" s="101">
        <v>487</v>
      </c>
    </row>
    <row r="12" spans="1:4" x14ac:dyDescent="0.25">
      <c r="A12" s="3"/>
      <c r="B12" s="13"/>
      <c r="C12" s="3"/>
    </row>
    <row r="13" spans="1:4" ht="47.25" x14ac:dyDescent="0.25">
      <c r="A13" s="3">
        <v>11.2</v>
      </c>
      <c r="B13" s="13" t="s">
        <v>2114</v>
      </c>
      <c r="C13" s="3" t="s">
        <v>2437</v>
      </c>
      <c r="D13" s="101">
        <v>450</v>
      </c>
    </row>
    <row r="14" spans="1:4" x14ac:dyDescent="0.25">
      <c r="A14" s="3"/>
      <c r="B14" s="13"/>
    </row>
    <row r="15" spans="1:4" x14ac:dyDescent="0.25">
      <c r="B15" s="140" t="s">
        <v>2121</v>
      </c>
      <c r="C15" s="130"/>
    </row>
    <row r="16" spans="1:4" x14ac:dyDescent="0.25">
      <c r="B16" s="140"/>
      <c r="C16" s="130"/>
    </row>
    <row r="17" spans="1:4" ht="78.75" x14ac:dyDescent="0.25">
      <c r="A17" s="3">
        <v>11.3</v>
      </c>
      <c r="B17" s="13" t="s">
        <v>2116</v>
      </c>
      <c r="C17" s="3"/>
    </row>
    <row r="18" spans="1:4" s="179" customFormat="1" x14ac:dyDescent="0.2">
      <c r="A18" s="3" t="s">
        <v>2115</v>
      </c>
      <c r="B18" s="13" t="s">
        <v>2122</v>
      </c>
      <c r="C18" s="3" t="s">
        <v>2437</v>
      </c>
      <c r="D18" s="101">
        <v>277</v>
      </c>
    </row>
    <row r="19" spans="1:4" s="179" customFormat="1" x14ac:dyDescent="0.2">
      <c r="A19" s="3"/>
      <c r="B19" s="13"/>
      <c r="C19" s="3"/>
      <c r="D19" s="101"/>
    </row>
    <row r="20" spans="1:4" x14ac:dyDescent="0.25">
      <c r="A20" s="3" t="s">
        <v>2117</v>
      </c>
      <c r="B20" s="13" t="s">
        <v>2123</v>
      </c>
      <c r="C20" s="3" t="s">
        <v>2437</v>
      </c>
      <c r="D20" s="101">
        <v>458</v>
      </c>
    </row>
    <row r="21" spans="1:4" x14ac:dyDescent="0.25">
      <c r="A21" s="3"/>
      <c r="B21" s="13"/>
      <c r="C21" s="3"/>
    </row>
    <row r="22" spans="1:4" ht="157.5" x14ac:dyDescent="0.25">
      <c r="A22" s="3">
        <v>11.4</v>
      </c>
      <c r="B22" s="13" t="s">
        <v>2124</v>
      </c>
      <c r="C22" s="3" t="s">
        <v>2437</v>
      </c>
      <c r="D22" s="101">
        <v>453</v>
      </c>
    </row>
    <row r="23" spans="1:4" x14ac:dyDescent="0.25">
      <c r="A23" s="3"/>
      <c r="B23" s="13"/>
      <c r="C23" s="3"/>
    </row>
    <row r="24" spans="1:4" ht="47.25" x14ac:dyDescent="0.25">
      <c r="A24" s="3">
        <v>11.5</v>
      </c>
      <c r="B24" s="13" t="s">
        <v>6131</v>
      </c>
      <c r="C24" s="3" t="s">
        <v>2437</v>
      </c>
      <c r="D24" s="101">
        <v>284</v>
      </c>
    </row>
    <row r="25" spans="1:4" x14ac:dyDescent="0.25">
      <c r="A25" s="3"/>
      <c r="B25" s="13"/>
      <c r="C25" s="3"/>
    </row>
    <row r="26" spans="1:4" x14ac:dyDescent="0.25">
      <c r="A26" s="3"/>
      <c r="B26" s="13"/>
      <c r="C26" s="3"/>
    </row>
    <row r="27" spans="1:4" x14ac:dyDescent="0.25">
      <c r="B27" s="140" t="s">
        <v>2130</v>
      </c>
      <c r="C27" s="130"/>
    </row>
    <row r="28" spans="1:4" x14ac:dyDescent="0.25">
      <c r="B28" s="140"/>
      <c r="C28" s="130"/>
    </row>
    <row r="29" spans="1:4" ht="120" x14ac:dyDescent="0.25">
      <c r="A29" s="3">
        <v>11.6</v>
      </c>
      <c r="B29" s="202" t="s">
        <v>2131</v>
      </c>
      <c r="C29" s="3"/>
    </row>
    <row r="30" spans="1:4" x14ac:dyDescent="0.25">
      <c r="A30" s="3" t="s">
        <v>2125</v>
      </c>
      <c r="B30" s="13" t="s">
        <v>2137</v>
      </c>
      <c r="C30" s="3" t="s">
        <v>2437</v>
      </c>
      <c r="D30" s="101">
        <v>485</v>
      </c>
    </row>
    <row r="31" spans="1:4" x14ac:dyDescent="0.25">
      <c r="A31" s="3" t="s">
        <v>2126</v>
      </c>
      <c r="B31" s="13" t="s">
        <v>2133</v>
      </c>
      <c r="C31" s="3" t="s">
        <v>2437</v>
      </c>
      <c r="D31" s="101">
        <v>707</v>
      </c>
    </row>
    <row r="32" spans="1:4" ht="31.5" x14ac:dyDescent="0.25">
      <c r="A32" s="3" t="s">
        <v>1875</v>
      </c>
      <c r="B32" s="13" t="s">
        <v>2134</v>
      </c>
      <c r="C32" s="3" t="s">
        <v>2437</v>
      </c>
      <c r="D32" s="101">
        <v>539</v>
      </c>
    </row>
    <row r="33" spans="1:4" x14ac:dyDescent="0.25">
      <c r="A33" s="3" t="s">
        <v>1876</v>
      </c>
      <c r="B33" s="13" t="s">
        <v>2135</v>
      </c>
      <c r="C33" s="3" t="s">
        <v>2437</v>
      </c>
      <c r="D33" s="101">
        <v>520</v>
      </c>
    </row>
    <row r="34" spans="1:4" x14ac:dyDescent="0.25">
      <c r="A34" s="3" t="s">
        <v>1877</v>
      </c>
      <c r="B34" s="13" t="s">
        <v>2136</v>
      </c>
      <c r="C34" s="3" t="s">
        <v>2437</v>
      </c>
      <c r="D34" s="101">
        <v>476</v>
      </c>
    </row>
    <row r="35" spans="1:4" x14ac:dyDescent="0.25">
      <c r="A35" s="3" t="s">
        <v>1878</v>
      </c>
      <c r="B35" s="13" t="s">
        <v>2132</v>
      </c>
      <c r="C35" s="3" t="s">
        <v>2437</v>
      </c>
      <c r="D35" s="101">
        <v>450</v>
      </c>
    </row>
    <row r="36" spans="1:4" x14ac:dyDescent="0.25">
      <c r="A36" s="3"/>
      <c r="B36" s="13"/>
      <c r="C36" s="3"/>
    </row>
    <row r="37" spans="1:4" ht="120" x14ac:dyDescent="0.25">
      <c r="A37" s="3">
        <v>11.7</v>
      </c>
      <c r="B37" s="202" t="s">
        <v>1851</v>
      </c>
      <c r="C37" s="3"/>
    </row>
    <row r="38" spans="1:4" x14ac:dyDescent="0.25">
      <c r="A38" s="3" t="s">
        <v>1882</v>
      </c>
      <c r="B38" s="13" t="s">
        <v>2137</v>
      </c>
      <c r="C38" s="3" t="s">
        <v>2437</v>
      </c>
      <c r="D38" s="101">
        <v>519</v>
      </c>
    </row>
    <row r="39" spans="1:4" x14ac:dyDescent="0.25">
      <c r="A39" s="3" t="s">
        <v>1880</v>
      </c>
      <c r="B39" s="13" t="s">
        <v>2133</v>
      </c>
      <c r="C39" s="3" t="s">
        <v>2437</v>
      </c>
      <c r="D39" s="101">
        <v>597</v>
      </c>
    </row>
    <row r="40" spans="1:4" ht="31.5" x14ac:dyDescent="0.25">
      <c r="A40" s="3" t="s">
        <v>1881</v>
      </c>
      <c r="B40" s="13" t="s">
        <v>2134</v>
      </c>
      <c r="C40" s="3" t="s">
        <v>2437</v>
      </c>
      <c r="D40" s="101">
        <v>569</v>
      </c>
    </row>
    <row r="41" spans="1:4" x14ac:dyDescent="0.25">
      <c r="A41" s="3" t="s">
        <v>1884</v>
      </c>
      <c r="B41" s="13" t="s">
        <v>2135</v>
      </c>
      <c r="C41" s="3" t="s">
        <v>2437</v>
      </c>
      <c r="D41" s="101">
        <v>562</v>
      </c>
    </row>
    <row r="42" spans="1:4" x14ac:dyDescent="0.25">
      <c r="A42" s="3" t="s">
        <v>1883</v>
      </c>
      <c r="B42" s="13" t="s">
        <v>2136</v>
      </c>
      <c r="C42" s="3" t="s">
        <v>2437</v>
      </c>
      <c r="D42" s="101">
        <v>586</v>
      </c>
    </row>
    <row r="43" spans="1:4" x14ac:dyDescent="0.25">
      <c r="A43" s="3" t="s">
        <v>1879</v>
      </c>
      <c r="B43" s="13" t="s">
        <v>2132</v>
      </c>
      <c r="C43" s="3" t="s">
        <v>2437</v>
      </c>
      <c r="D43" s="101">
        <v>469</v>
      </c>
    </row>
    <row r="44" spans="1:4" x14ac:dyDescent="0.25">
      <c r="A44" s="3"/>
      <c r="B44" s="13"/>
      <c r="C44" s="3"/>
    </row>
    <row r="45" spans="1:4" ht="118.5" x14ac:dyDescent="0.25">
      <c r="A45" s="3">
        <v>11.8</v>
      </c>
      <c r="B45" s="202" t="s">
        <v>6425</v>
      </c>
      <c r="C45" s="3"/>
    </row>
    <row r="46" spans="1:4" x14ac:dyDescent="0.25">
      <c r="A46" s="3" t="s">
        <v>1885</v>
      </c>
      <c r="B46" s="13" t="s">
        <v>2137</v>
      </c>
      <c r="C46" s="3" t="s">
        <v>2437</v>
      </c>
      <c r="D46" s="101">
        <v>625</v>
      </c>
    </row>
    <row r="47" spans="1:4" x14ac:dyDescent="0.25">
      <c r="A47" s="3" t="s">
        <v>1886</v>
      </c>
      <c r="B47" s="13" t="s">
        <v>2133</v>
      </c>
      <c r="C47" s="3" t="s">
        <v>2437</v>
      </c>
      <c r="D47" s="101">
        <v>667</v>
      </c>
    </row>
    <row r="48" spans="1:4" x14ac:dyDescent="0.25">
      <c r="A48" s="3"/>
      <c r="B48" s="13"/>
      <c r="C48" s="3"/>
    </row>
    <row r="49" spans="1:4" ht="31.5" x14ac:dyDescent="0.25">
      <c r="A49" s="3" t="s">
        <v>1887</v>
      </c>
      <c r="B49" s="13" t="s">
        <v>2134</v>
      </c>
      <c r="C49" s="3" t="s">
        <v>2437</v>
      </c>
      <c r="D49" s="101">
        <v>649</v>
      </c>
    </row>
    <row r="50" spans="1:4" x14ac:dyDescent="0.25">
      <c r="A50" s="3" t="s">
        <v>1888</v>
      </c>
      <c r="B50" s="13" t="s">
        <v>2135</v>
      </c>
      <c r="C50" s="3" t="s">
        <v>2437</v>
      </c>
      <c r="D50" s="101">
        <v>650</v>
      </c>
    </row>
    <row r="51" spans="1:4" x14ac:dyDescent="0.25">
      <c r="A51" s="3" t="s">
        <v>1889</v>
      </c>
      <c r="B51" s="13" t="s">
        <v>2136</v>
      </c>
      <c r="C51" s="3" t="s">
        <v>2437</v>
      </c>
      <c r="D51" s="101">
        <v>620</v>
      </c>
    </row>
    <row r="52" spans="1:4" x14ac:dyDescent="0.25">
      <c r="A52" s="3" t="s">
        <v>1890</v>
      </c>
      <c r="B52" s="13" t="s">
        <v>2132</v>
      </c>
      <c r="C52" s="3" t="s">
        <v>2437</v>
      </c>
      <c r="D52" s="101">
        <v>603</v>
      </c>
    </row>
    <row r="53" spans="1:4" x14ac:dyDescent="0.25">
      <c r="A53" s="3"/>
      <c r="B53" s="13"/>
      <c r="C53" s="3"/>
    </row>
    <row r="54" spans="1:4" ht="31.5" x14ac:dyDescent="0.25">
      <c r="A54" s="3">
        <v>11.9</v>
      </c>
      <c r="B54" s="13" t="s">
        <v>1892</v>
      </c>
      <c r="C54" s="3"/>
    </row>
    <row r="55" spans="1:4" x14ac:dyDescent="0.25">
      <c r="A55" s="3" t="s">
        <v>2128</v>
      </c>
      <c r="B55" s="13" t="s">
        <v>1853</v>
      </c>
      <c r="C55" s="3" t="s">
        <v>2453</v>
      </c>
      <c r="D55" s="101">
        <v>31</v>
      </c>
    </row>
    <row r="56" spans="1:4" x14ac:dyDescent="0.25">
      <c r="A56" s="3" t="s">
        <v>2129</v>
      </c>
      <c r="B56" s="13" t="s">
        <v>1856</v>
      </c>
      <c r="C56" s="3" t="s">
        <v>2453</v>
      </c>
      <c r="D56" s="101">
        <v>17</v>
      </c>
    </row>
    <row r="57" spans="1:4" x14ac:dyDescent="0.25">
      <c r="A57" s="3"/>
      <c r="B57" s="13"/>
      <c r="C57" s="3"/>
    </row>
    <row r="58" spans="1:4" ht="30" x14ac:dyDescent="0.25">
      <c r="A58" s="7">
        <v>11.1</v>
      </c>
      <c r="B58" s="202" t="s">
        <v>1893</v>
      </c>
      <c r="C58" s="3" t="s">
        <v>2437</v>
      </c>
      <c r="D58" s="101">
        <v>26</v>
      </c>
    </row>
    <row r="59" spans="1:4" x14ac:dyDescent="0.25">
      <c r="A59" s="3"/>
      <c r="B59" s="13"/>
    </row>
    <row r="60" spans="1:4" ht="31.5" x14ac:dyDescent="0.25">
      <c r="A60" s="7">
        <v>11.11</v>
      </c>
      <c r="B60" s="13" t="s">
        <v>1894</v>
      </c>
      <c r="C60" s="3" t="s">
        <v>2437</v>
      </c>
      <c r="D60" s="101">
        <v>14</v>
      </c>
    </row>
    <row r="61" spans="1:4" x14ac:dyDescent="0.25">
      <c r="A61" s="3"/>
      <c r="B61" s="13"/>
    </row>
    <row r="62" spans="1:4" ht="132" customHeight="1" x14ac:dyDescent="0.25">
      <c r="A62" s="3">
        <v>11.12</v>
      </c>
      <c r="B62" s="13" t="s">
        <v>4944</v>
      </c>
      <c r="C62" s="3" t="s">
        <v>2437</v>
      </c>
      <c r="D62" s="101">
        <v>579</v>
      </c>
    </row>
    <row r="63" spans="1:4" x14ac:dyDescent="0.25">
      <c r="A63" s="3"/>
      <c r="B63" s="13"/>
      <c r="C63" s="3"/>
    </row>
    <row r="64" spans="1:4" x14ac:dyDescent="0.25">
      <c r="B64" s="140" t="s">
        <v>1860</v>
      </c>
      <c r="C64" s="130"/>
    </row>
    <row r="65" spans="1:4" x14ac:dyDescent="0.25">
      <c r="B65" s="140"/>
      <c r="C65" s="130"/>
    </row>
    <row r="66" spans="1:4" ht="96.75" customHeight="1" x14ac:dyDescent="0.25">
      <c r="A66" s="7">
        <v>11.13</v>
      </c>
      <c r="B66" s="13" t="s">
        <v>1944</v>
      </c>
      <c r="C66" s="3"/>
    </row>
    <row r="67" spans="1:4" x14ac:dyDescent="0.25">
      <c r="A67" s="7" t="s">
        <v>1895</v>
      </c>
      <c r="B67" s="13" t="s">
        <v>1863</v>
      </c>
      <c r="C67" s="3" t="s">
        <v>2437</v>
      </c>
      <c r="D67" s="101">
        <v>542</v>
      </c>
    </row>
    <row r="68" spans="1:4" ht="31.5" x14ac:dyDescent="0.25">
      <c r="A68" s="7" t="s">
        <v>1896</v>
      </c>
      <c r="B68" s="13" t="s">
        <v>1862</v>
      </c>
      <c r="C68" s="3" t="s">
        <v>2437</v>
      </c>
      <c r="D68" s="101">
        <v>549</v>
      </c>
    </row>
    <row r="69" spans="1:4" x14ac:dyDescent="0.25">
      <c r="A69" s="7" t="s">
        <v>1897</v>
      </c>
      <c r="B69" s="13" t="s">
        <v>1861</v>
      </c>
      <c r="C69" s="3" t="s">
        <v>2437</v>
      </c>
      <c r="D69" s="101">
        <v>473</v>
      </c>
    </row>
    <row r="70" spans="1:4" x14ac:dyDescent="0.25">
      <c r="A70" s="7" t="s">
        <v>1898</v>
      </c>
      <c r="B70" s="13" t="s">
        <v>2132</v>
      </c>
      <c r="C70" s="3" t="s">
        <v>2437</v>
      </c>
      <c r="D70" s="101">
        <v>534</v>
      </c>
    </row>
    <row r="72" spans="1:4" ht="31.5" x14ac:dyDescent="0.25">
      <c r="A72" s="3">
        <v>11.14</v>
      </c>
      <c r="B72" s="13" t="s">
        <v>1899</v>
      </c>
      <c r="C72" s="3" t="s">
        <v>2437</v>
      </c>
      <c r="D72" s="101">
        <v>32</v>
      </c>
    </row>
    <row r="75" spans="1:4" ht="111" customHeight="1" x14ac:dyDescent="0.25">
      <c r="A75" s="3">
        <v>11.15</v>
      </c>
      <c r="B75" s="13" t="s">
        <v>1864</v>
      </c>
      <c r="C75" s="3"/>
    </row>
    <row r="76" spans="1:4" x14ac:dyDescent="0.25">
      <c r="A76" s="3"/>
      <c r="B76" s="13"/>
      <c r="C76" s="3"/>
    </row>
    <row r="77" spans="1:4" x14ac:dyDescent="0.25">
      <c r="A77" s="3" t="s">
        <v>1900</v>
      </c>
      <c r="B77" s="13" t="s">
        <v>1865</v>
      </c>
      <c r="C77" s="3" t="s">
        <v>2437</v>
      </c>
      <c r="D77" s="101">
        <v>690</v>
      </c>
    </row>
    <row r="78" spans="1:4" ht="31.5" x14ac:dyDescent="0.25">
      <c r="A78" s="3" t="s">
        <v>1901</v>
      </c>
      <c r="B78" s="13" t="s">
        <v>1862</v>
      </c>
      <c r="C78" s="3" t="s">
        <v>2437</v>
      </c>
      <c r="D78" s="101">
        <v>681</v>
      </c>
    </row>
    <row r="79" spans="1:4" x14ac:dyDescent="0.25">
      <c r="A79" s="3" t="s">
        <v>1902</v>
      </c>
      <c r="B79" s="13" t="s">
        <v>1861</v>
      </c>
      <c r="C79" s="3" t="s">
        <v>2437</v>
      </c>
      <c r="D79" s="101">
        <v>672</v>
      </c>
    </row>
    <row r="80" spans="1:4" x14ac:dyDescent="0.25">
      <c r="A80" s="3" t="s">
        <v>1903</v>
      </c>
      <c r="B80" s="13" t="s">
        <v>2132</v>
      </c>
      <c r="C80" s="3" t="s">
        <v>2437</v>
      </c>
      <c r="D80" s="101">
        <v>682</v>
      </c>
    </row>
    <row r="81" spans="1:4" x14ac:dyDescent="0.25">
      <c r="A81" s="3"/>
      <c r="B81" s="13"/>
    </row>
    <row r="82" spans="1:4" ht="99" customHeight="1" x14ac:dyDescent="0.25">
      <c r="A82" s="3">
        <v>11.16</v>
      </c>
      <c r="B82" s="13" t="s">
        <v>1866</v>
      </c>
      <c r="C82" s="3"/>
    </row>
    <row r="83" spans="1:4" x14ac:dyDescent="0.25">
      <c r="A83" s="3"/>
      <c r="B83" s="13"/>
      <c r="C83" s="3"/>
    </row>
    <row r="84" spans="1:4" x14ac:dyDescent="0.25">
      <c r="A84" s="3" t="s">
        <v>1852</v>
      </c>
      <c r="B84" s="13" t="s">
        <v>1867</v>
      </c>
      <c r="C84" s="3" t="s">
        <v>2437</v>
      </c>
      <c r="D84" s="101">
        <v>684</v>
      </c>
    </row>
    <row r="85" spans="1:4" ht="31.5" x14ac:dyDescent="0.25">
      <c r="A85" s="3" t="s">
        <v>1854</v>
      </c>
      <c r="B85" s="13" t="s">
        <v>1862</v>
      </c>
      <c r="C85" s="3" t="s">
        <v>2437</v>
      </c>
      <c r="D85" s="101">
        <v>683</v>
      </c>
    </row>
    <row r="86" spans="1:4" x14ac:dyDescent="0.25">
      <c r="A86" s="3" t="s">
        <v>1855</v>
      </c>
      <c r="B86" s="13" t="s">
        <v>1861</v>
      </c>
      <c r="C86" s="3" t="s">
        <v>2437</v>
      </c>
      <c r="D86" s="101">
        <v>618</v>
      </c>
    </row>
    <row r="87" spans="1:4" x14ac:dyDescent="0.25">
      <c r="A87" s="3" t="s">
        <v>1904</v>
      </c>
      <c r="B87" s="13" t="s">
        <v>2132</v>
      </c>
      <c r="C87" s="3" t="s">
        <v>2437</v>
      </c>
      <c r="D87" s="101">
        <v>569</v>
      </c>
    </row>
    <row r="88" spans="1:4" x14ac:dyDescent="0.25">
      <c r="A88" s="3" t="s">
        <v>703</v>
      </c>
      <c r="B88" s="13" t="s">
        <v>704</v>
      </c>
      <c r="C88" s="3" t="s">
        <v>2437</v>
      </c>
      <c r="D88" s="163">
        <v>0.1</v>
      </c>
    </row>
    <row r="89" spans="1:4" x14ac:dyDescent="0.25">
      <c r="A89" s="3"/>
      <c r="B89" s="13"/>
    </row>
    <row r="90" spans="1:4" ht="96" customHeight="1" x14ac:dyDescent="0.25">
      <c r="A90" s="3">
        <v>11.17</v>
      </c>
      <c r="B90" s="13" t="s">
        <v>1906</v>
      </c>
      <c r="C90" s="3"/>
    </row>
    <row r="91" spans="1:4" x14ac:dyDescent="0.25">
      <c r="A91" s="3"/>
      <c r="B91" s="13"/>
      <c r="C91" s="3"/>
    </row>
    <row r="92" spans="1:4" x14ac:dyDescent="0.25">
      <c r="A92" s="3" t="s">
        <v>1905</v>
      </c>
      <c r="B92" s="13" t="s">
        <v>1867</v>
      </c>
      <c r="C92" s="3" t="s">
        <v>2437</v>
      </c>
      <c r="D92" s="101">
        <v>571</v>
      </c>
    </row>
    <row r="93" spans="1:4" ht="31.5" x14ac:dyDescent="0.25">
      <c r="A93" s="3" t="s">
        <v>1909</v>
      </c>
      <c r="B93" s="13" t="s">
        <v>1862</v>
      </c>
      <c r="C93" s="3" t="s">
        <v>2437</v>
      </c>
      <c r="D93" s="101">
        <v>673</v>
      </c>
    </row>
    <row r="94" spans="1:4" x14ac:dyDescent="0.25">
      <c r="A94" s="3" t="s">
        <v>1908</v>
      </c>
      <c r="B94" s="13" t="s">
        <v>1861</v>
      </c>
      <c r="C94" s="3" t="s">
        <v>2437</v>
      </c>
      <c r="D94" s="101">
        <v>523</v>
      </c>
    </row>
    <row r="95" spans="1:4" x14ac:dyDescent="0.25">
      <c r="A95" s="3" t="s">
        <v>1907</v>
      </c>
      <c r="B95" s="13" t="s">
        <v>2132</v>
      </c>
      <c r="C95" s="3" t="s">
        <v>2437</v>
      </c>
      <c r="D95" s="101">
        <v>473</v>
      </c>
    </row>
    <row r="96" spans="1:4" ht="31.5" x14ac:dyDescent="0.25">
      <c r="A96" s="3" t="s">
        <v>4633</v>
      </c>
      <c r="B96" s="13" t="s">
        <v>4634</v>
      </c>
      <c r="C96" s="3"/>
      <c r="D96" s="142">
        <v>0.1</v>
      </c>
    </row>
    <row r="97" spans="1:4" x14ac:dyDescent="0.25">
      <c r="A97" s="3"/>
      <c r="B97" s="13"/>
      <c r="C97" s="3"/>
    </row>
    <row r="98" spans="1:4" x14ac:dyDescent="0.25">
      <c r="A98" s="3"/>
      <c r="B98" s="13"/>
      <c r="C98" s="3"/>
    </row>
    <row r="99" spans="1:4" x14ac:dyDescent="0.25">
      <c r="B99" s="140" t="s">
        <v>1868</v>
      </c>
      <c r="C99" s="130"/>
    </row>
    <row r="100" spans="1:4" x14ac:dyDescent="0.25">
      <c r="B100" s="140"/>
      <c r="C100" s="130"/>
    </row>
    <row r="101" spans="1:4" ht="78.75" x14ac:dyDescent="0.25">
      <c r="A101" s="3">
        <v>11.18</v>
      </c>
      <c r="B101" s="13" t="s">
        <v>1911</v>
      </c>
      <c r="C101" s="3"/>
    </row>
    <row r="102" spans="1:4" x14ac:dyDescent="0.25">
      <c r="A102" s="3" t="s">
        <v>1912</v>
      </c>
      <c r="B102" s="13" t="s">
        <v>1869</v>
      </c>
      <c r="C102" s="3" t="s">
        <v>2437</v>
      </c>
      <c r="D102" s="101">
        <v>950</v>
      </c>
    </row>
    <row r="103" spans="1:4" x14ac:dyDescent="0.25">
      <c r="A103" s="3" t="s">
        <v>1913</v>
      </c>
      <c r="B103" s="13" t="s">
        <v>1870</v>
      </c>
      <c r="C103" s="3" t="s">
        <v>2437</v>
      </c>
      <c r="D103" s="101">
        <v>1023</v>
      </c>
    </row>
    <row r="104" spans="1:4" x14ac:dyDescent="0.25">
      <c r="A104" s="3"/>
      <c r="B104" s="13"/>
    </row>
    <row r="105" spans="1:4" ht="78.75" x14ac:dyDescent="0.25">
      <c r="A105" s="3">
        <v>11.19</v>
      </c>
      <c r="B105" s="13" t="s">
        <v>1910</v>
      </c>
      <c r="C105" s="3"/>
    </row>
    <row r="106" spans="1:4" x14ac:dyDescent="0.25">
      <c r="A106" s="3" t="s">
        <v>1917</v>
      </c>
      <c r="B106" s="13" t="s">
        <v>1915</v>
      </c>
      <c r="C106" s="3" t="s">
        <v>2437</v>
      </c>
      <c r="D106" s="101">
        <v>912</v>
      </c>
    </row>
    <row r="107" spans="1:4" x14ac:dyDescent="0.25">
      <c r="A107" s="3" t="s">
        <v>1916</v>
      </c>
      <c r="B107" s="13" t="s">
        <v>1914</v>
      </c>
      <c r="C107" s="3" t="s">
        <v>2437</v>
      </c>
      <c r="D107" s="101">
        <v>1002</v>
      </c>
    </row>
    <row r="108" spans="1:4" x14ac:dyDescent="0.25">
      <c r="A108" s="3"/>
      <c r="B108" s="13"/>
    </row>
    <row r="109" spans="1:4" ht="75" x14ac:dyDescent="0.25">
      <c r="A109" s="7">
        <v>11.2</v>
      </c>
      <c r="B109" s="202" t="s">
        <v>1495</v>
      </c>
      <c r="C109" s="3" t="s">
        <v>2437</v>
      </c>
      <c r="D109" s="101">
        <v>627</v>
      </c>
    </row>
    <row r="110" spans="1:4" x14ac:dyDescent="0.25">
      <c r="A110" s="3"/>
      <c r="B110" s="13"/>
      <c r="C110" s="3"/>
    </row>
    <row r="111" spans="1:4" x14ac:dyDescent="0.25">
      <c r="B111" s="140" t="s">
        <v>1872</v>
      </c>
      <c r="C111" s="130"/>
    </row>
    <row r="112" spans="1:4" x14ac:dyDescent="0.25">
      <c r="B112" s="140"/>
      <c r="C112" s="130"/>
    </row>
    <row r="113" spans="1:4" ht="78.75" x14ac:dyDescent="0.25">
      <c r="A113" s="7">
        <v>11.21</v>
      </c>
      <c r="B113" s="13" t="s">
        <v>1494</v>
      </c>
      <c r="C113" s="3"/>
    </row>
    <row r="114" spans="1:4" x14ac:dyDescent="0.25">
      <c r="A114" s="7" t="s">
        <v>1918</v>
      </c>
      <c r="B114" s="13" t="s">
        <v>1922</v>
      </c>
      <c r="C114" s="3" t="s">
        <v>2437</v>
      </c>
      <c r="D114" s="101">
        <v>619</v>
      </c>
    </row>
    <row r="115" spans="1:4" x14ac:dyDescent="0.25">
      <c r="A115" s="7" t="s">
        <v>1919</v>
      </c>
      <c r="B115" s="13" t="s">
        <v>1923</v>
      </c>
      <c r="C115" s="3" t="s">
        <v>2437</v>
      </c>
      <c r="D115" s="101">
        <v>653</v>
      </c>
    </row>
    <row r="116" spans="1:4" x14ac:dyDescent="0.25">
      <c r="A116" s="7" t="s">
        <v>1496</v>
      </c>
      <c r="B116" s="13" t="s">
        <v>1925</v>
      </c>
      <c r="C116" s="3" t="s">
        <v>2437</v>
      </c>
      <c r="D116" s="101">
        <v>653</v>
      </c>
    </row>
    <row r="117" spans="1:4" x14ac:dyDescent="0.25">
      <c r="A117" s="7"/>
      <c r="B117" s="13"/>
      <c r="C117" s="3"/>
    </row>
    <row r="118" spans="1:4" ht="78.75" x14ac:dyDescent="0.25">
      <c r="A118" s="7">
        <v>11.22</v>
      </c>
      <c r="B118" s="13" t="s">
        <v>1498</v>
      </c>
      <c r="C118" s="3"/>
    </row>
    <row r="119" spans="1:4" x14ac:dyDescent="0.25">
      <c r="A119" s="7" t="s">
        <v>1920</v>
      </c>
      <c r="B119" s="13" t="s">
        <v>1922</v>
      </c>
      <c r="C119" s="3" t="s">
        <v>2437</v>
      </c>
      <c r="D119" s="101">
        <v>773</v>
      </c>
    </row>
    <row r="120" spans="1:4" x14ac:dyDescent="0.25">
      <c r="A120" s="7" t="s">
        <v>1921</v>
      </c>
      <c r="B120" s="13" t="s">
        <v>1923</v>
      </c>
      <c r="C120" s="3" t="s">
        <v>2437</v>
      </c>
      <c r="D120" s="101">
        <v>883</v>
      </c>
    </row>
    <row r="121" spans="1:4" x14ac:dyDescent="0.25">
      <c r="A121" s="7" t="s">
        <v>1924</v>
      </c>
      <c r="B121" s="13" t="s">
        <v>1925</v>
      </c>
      <c r="C121" s="3" t="s">
        <v>2437</v>
      </c>
      <c r="D121" s="101">
        <v>883</v>
      </c>
    </row>
    <row r="122" spans="1:4" x14ac:dyDescent="0.25">
      <c r="A122" s="3"/>
      <c r="B122" s="13"/>
      <c r="C122" s="3"/>
    </row>
    <row r="123" spans="1:4" ht="93" customHeight="1" x14ac:dyDescent="0.25">
      <c r="A123" s="7">
        <v>11.23</v>
      </c>
      <c r="B123" s="13" t="s">
        <v>1497</v>
      </c>
      <c r="C123" s="3"/>
    </row>
    <row r="124" spans="1:4" x14ac:dyDescent="0.25">
      <c r="A124" s="7" t="s">
        <v>1857</v>
      </c>
      <c r="B124" s="13" t="s">
        <v>1922</v>
      </c>
      <c r="C124" s="3" t="s">
        <v>2437</v>
      </c>
      <c r="D124" s="101">
        <v>825</v>
      </c>
    </row>
    <row r="125" spans="1:4" x14ac:dyDescent="0.25">
      <c r="A125" s="7" t="s">
        <v>1858</v>
      </c>
      <c r="B125" s="13" t="s">
        <v>1923</v>
      </c>
      <c r="C125" s="3" t="s">
        <v>2437</v>
      </c>
      <c r="D125" s="101">
        <v>937</v>
      </c>
    </row>
    <row r="126" spans="1:4" x14ac:dyDescent="0.25">
      <c r="A126" s="7" t="s">
        <v>1859</v>
      </c>
      <c r="B126" s="13" t="s">
        <v>1925</v>
      </c>
      <c r="C126" s="3" t="s">
        <v>2437</v>
      </c>
      <c r="D126" s="101">
        <v>937</v>
      </c>
    </row>
    <row r="127" spans="1:4" x14ac:dyDescent="0.25">
      <c r="A127" s="3"/>
      <c r="B127" s="13"/>
      <c r="C127" s="3"/>
    </row>
    <row r="128" spans="1:4" ht="31.5" x14ac:dyDescent="0.25">
      <c r="A128" s="7">
        <v>11.24</v>
      </c>
      <c r="B128" s="13" t="s">
        <v>1493</v>
      </c>
      <c r="C128" s="3" t="s">
        <v>2437</v>
      </c>
      <c r="D128" s="101">
        <v>72</v>
      </c>
    </row>
    <row r="129" spans="1:4" x14ac:dyDescent="0.25">
      <c r="A129" s="3"/>
      <c r="B129" s="13"/>
      <c r="C129" s="3"/>
    </row>
    <row r="130" spans="1:4" ht="31.5" x14ac:dyDescent="0.25">
      <c r="A130" s="3">
        <v>11.25</v>
      </c>
      <c r="B130" s="13" t="s">
        <v>1569</v>
      </c>
      <c r="C130" s="3" t="s">
        <v>2437</v>
      </c>
      <c r="D130" s="101">
        <v>121</v>
      </c>
    </row>
    <row r="131" spans="1:4" x14ac:dyDescent="0.25">
      <c r="A131" s="3"/>
      <c r="B131" s="13"/>
      <c r="C131" s="3"/>
    </row>
    <row r="132" spans="1:4" x14ac:dyDescent="0.25">
      <c r="A132" s="3">
        <v>11.26</v>
      </c>
      <c r="B132" s="13" t="s">
        <v>1871</v>
      </c>
      <c r="C132" s="3" t="s">
        <v>2439</v>
      </c>
      <c r="D132" s="101">
        <v>932</v>
      </c>
    </row>
    <row r="133" spans="1:4" x14ac:dyDescent="0.25">
      <c r="A133" s="3"/>
      <c r="B133" s="13"/>
      <c r="C133" s="3"/>
    </row>
    <row r="134" spans="1:4" ht="63" x14ac:dyDescent="0.25">
      <c r="A134" s="7">
        <v>11.27</v>
      </c>
      <c r="B134" s="13" t="s">
        <v>1570</v>
      </c>
      <c r="C134" s="3" t="s">
        <v>2439</v>
      </c>
      <c r="D134" s="101">
        <v>1775</v>
      </c>
    </row>
    <row r="135" spans="1:4" x14ac:dyDescent="0.25">
      <c r="A135" s="3"/>
      <c r="B135" s="13"/>
      <c r="C135" s="3"/>
    </row>
    <row r="136" spans="1:4" s="178" customFormat="1" ht="109.5" customHeight="1" x14ac:dyDescent="0.25">
      <c r="A136" s="3">
        <v>11.28</v>
      </c>
      <c r="B136" s="30" t="s">
        <v>6007</v>
      </c>
      <c r="C136" s="3" t="s">
        <v>2437</v>
      </c>
      <c r="D136" s="101">
        <v>1180</v>
      </c>
    </row>
    <row r="137" spans="1:4" x14ac:dyDescent="0.25">
      <c r="A137" s="3"/>
      <c r="B137" s="13"/>
      <c r="C137" s="3"/>
    </row>
    <row r="138" spans="1:4" ht="178.5" customHeight="1" x14ac:dyDescent="0.25">
      <c r="A138" s="7">
        <v>11.29</v>
      </c>
      <c r="B138" s="13" t="s">
        <v>1589</v>
      </c>
      <c r="C138" s="3" t="s">
        <v>2439</v>
      </c>
      <c r="D138" s="101">
        <v>6103</v>
      </c>
    </row>
    <row r="139" spans="1:4" x14ac:dyDescent="0.25">
      <c r="A139" s="3"/>
      <c r="B139" s="13"/>
      <c r="C139" s="3"/>
    </row>
    <row r="140" spans="1:4" x14ac:dyDescent="0.25">
      <c r="A140" s="3"/>
      <c r="B140" s="13"/>
      <c r="C140" s="3"/>
    </row>
    <row r="141" spans="1:4" ht="173.25" x14ac:dyDescent="0.25">
      <c r="A141" s="7">
        <v>11.3</v>
      </c>
      <c r="B141" s="13" t="s">
        <v>6426</v>
      </c>
      <c r="C141" s="3" t="s">
        <v>2439</v>
      </c>
      <c r="D141" s="101">
        <v>5514</v>
      </c>
    </row>
    <row r="142" spans="1:4" x14ac:dyDescent="0.25">
      <c r="A142" s="3"/>
      <c r="B142" s="13"/>
      <c r="C142" s="3"/>
    </row>
    <row r="143" spans="1:4" ht="31.5" x14ac:dyDescent="0.25">
      <c r="A143" s="5">
        <v>11.31</v>
      </c>
      <c r="B143" s="13" t="s">
        <v>1581</v>
      </c>
      <c r="C143" s="3" t="s">
        <v>2218</v>
      </c>
      <c r="D143" s="101">
        <v>101</v>
      </c>
    </row>
    <row r="144" spans="1:4" x14ac:dyDescent="0.25">
      <c r="A144" s="3"/>
    </row>
    <row r="145" spans="1:4" ht="63" x14ac:dyDescent="0.25">
      <c r="A145" s="5">
        <v>11.32</v>
      </c>
      <c r="B145" s="13" t="s">
        <v>1587</v>
      </c>
      <c r="C145" s="3"/>
    </row>
    <row r="146" spans="1:4" x14ac:dyDescent="0.25">
      <c r="A146" s="5" t="s">
        <v>5283</v>
      </c>
      <c r="B146" s="13" t="s">
        <v>709</v>
      </c>
      <c r="C146" s="3" t="s">
        <v>708</v>
      </c>
      <c r="D146" s="101">
        <v>46</v>
      </c>
    </row>
    <row r="147" spans="1:4" x14ac:dyDescent="0.25">
      <c r="A147" s="5" t="s">
        <v>5285</v>
      </c>
      <c r="B147" s="13" t="s">
        <v>705</v>
      </c>
      <c r="C147" s="3" t="s">
        <v>708</v>
      </c>
      <c r="D147" s="101">
        <v>94</v>
      </c>
    </row>
    <row r="148" spans="1:4" x14ac:dyDescent="0.25">
      <c r="A148" s="5" t="s">
        <v>5286</v>
      </c>
      <c r="B148" s="13" t="s">
        <v>706</v>
      </c>
      <c r="C148" s="3" t="s">
        <v>708</v>
      </c>
      <c r="D148" s="101">
        <v>140</v>
      </c>
    </row>
    <row r="149" spans="1:4" x14ac:dyDescent="0.25">
      <c r="A149" s="5" t="s">
        <v>5287</v>
      </c>
      <c r="B149" s="13" t="s">
        <v>707</v>
      </c>
      <c r="C149" s="3" t="s">
        <v>708</v>
      </c>
      <c r="D149" s="101">
        <v>187</v>
      </c>
    </row>
    <row r="150" spans="1:4" x14ac:dyDescent="0.25">
      <c r="B150" s="140"/>
      <c r="C150" s="3"/>
    </row>
    <row r="151" spans="1:4" x14ac:dyDescent="0.25">
      <c r="B151" s="140" t="s">
        <v>1873</v>
      </c>
      <c r="C151" s="130"/>
    </row>
    <row r="152" spans="1:4" x14ac:dyDescent="0.25">
      <c r="B152" s="140"/>
      <c r="C152" s="130"/>
    </row>
    <row r="153" spans="1:4" ht="47.25" x14ac:dyDescent="0.25">
      <c r="A153" s="3">
        <v>11.33</v>
      </c>
      <c r="B153" s="13" t="s">
        <v>1591</v>
      </c>
      <c r="C153" s="3" t="s">
        <v>2437</v>
      </c>
      <c r="D153" s="101">
        <v>2973</v>
      </c>
    </row>
    <row r="154" spans="1:4" x14ac:dyDescent="0.25">
      <c r="A154" s="3"/>
      <c r="B154" s="13"/>
      <c r="C154" s="3"/>
    </row>
    <row r="155" spans="1:4" ht="194.25" customHeight="1" x14ac:dyDescent="0.25">
      <c r="A155" s="3">
        <v>11.34</v>
      </c>
      <c r="B155" s="30" t="s">
        <v>1590</v>
      </c>
      <c r="C155" s="3" t="s">
        <v>2437</v>
      </c>
      <c r="D155" s="101">
        <v>2311</v>
      </c>
    </row>
    <row r="156" spans="1:4" x14ac:dyDescent="0.25">
      <c r="A156" s="3"/>
      <c r="C156" s="3"/>
    </row>
    <row r="157" spans="1:4" x14ac:dyDescent="0.25">
      <c r="A157" s="3"/>
      <c r="C157" s="3"/>
    </row>
    <row r="158" spans="1:4" ht="79.5" customHeight="1" x14ac:dyDescent="0.25">
      <c r="A158" s="7">
        <v>11.35</v>
      </c>
      <c r="B158" s="30" t="s">
        <v>6126</v>
      </c>
      <c r="C158" s="3" t="s">
        <v>2785</v>
      </c>
      <c r="D158" s="101">
        <v>979</v>
      </c>
    </row>
    <row r="160" spans="1:4" ht="47.25" x14ac:dyDescent="0.25">
      <c r="A160" s="3">
        <v>11.36</v>
      </c>
      <c r="B160" s="30" t="s">
        <v>1874</v>
      </c>
      <c r="C160" s="3" t="s">
        <v>2785</v>
      </c>
      <c r="D160" s="101">
        <v>906</v>
      </c>
    </row>
    <row r="161" spans="1:4" x14ac:dyDescent="0.25">
      <c r="C161" s="3"/>
    </row>
    <row r="162" spans="1:4" x14ac:dyDescent="0.25">
      <c r="B162" s="140" t="s">
        <v>1718</v>
      </c>
      <c r="C162" s="3"/>
    </row>
    <row r="163" spans="1:4" x14ac:dyDescent="0.25">
      <c r="C163" s="3"/>
    </row>
    <row r="164" spans="1:4" ht="75.75" customHeight="1" x14ac:dyDescent="0.25">
      <c r="A164" s="3">
        <v>11.37</v>
      </c>
      <c r="B164" s="13" t="s">
        <v>1719</v>
      </c>
      <c r="C164" s="3"/>
    </row>
    <row r="165" spans="1:4" x14ac:dyDescent="0.25">
      <c r="A165" s="3"/>
      <c r="B165" s="13"/>
      <c r="C165" s="3"/>
    </row>
    <row r="166" spans="1:4" x14ac:dyDescent="0.25">
      <c r="A166" s="3" t="s">
        <v>5284</v>
      </c>
      <c r="B166" s="13" t="s">
        <v>1720</v>
      </c>
      <c r="C166" s="3" t="s">
        <v>2437</v>
      </c>
      <c r="D166" s="101">
        <v>760</v>
      </c>
    </row>
    <row r="167" spans="1:4" x14ac:dyDescent="0.25">
      <c r="A167" s="3" t="s">
        <v>5288</v>
      </c>
      <c r="B167" s="13" t="s">
        <v>1721</v>
      </c>
      <c r="C167" s="3" t="s">
        <v>2437</v>
      </c>
      <c r="D167" s="101">
        <v>867</v>
      </c>
    </row>
    <row r="168" spans="1:4" x14ac:dyDescent="0.25">
      <c r="A168" s="3" t="s">
        <v>5289</v>
      </c>
      <c r="B168" s="13" t="s">
        <v>1722</v>
      </c>
      <c r="C168" s="3" t="s">
        <v>2437</v>
      </c>
      <c r="D168" s="101">
        <v>990</v>
      </c>
    </row>
    <row r="169" spans="1:4" x14ac:dyDescent="0.25">
      <c r="A169" s="3"/>
      <c r="B169" s="13"/>
      <c r="C169" s="3"/>
    </row>
    <row r="170" spans="1:4" ht="19.5" x14ac:dyDescent="0.25">
      <c r="B170" s="218" t="s">
        <v>4635</v>
      </c>
      <c r="C170" s="3"/>
    </row>
    <row r="171" spans="1:4" x14ac:dyDescent="0.25">
      <c r="B171" s="140"/>
      <c r="C171" s="3"/>
    </row>
    <row r="172" spans="1:4" ht="88.5" customHeight="1" x14ac:dyDescent="0.25">
      <c r="A172" s="3">
        <v>11.38</v>
      </c>
      <c r="B172" s="13" t="s">
        <v>4321</v>
      </c>
    </row>
    <row r="173" spans="1:4" ht="78.75" x14ac:dyDescent="0.25">
      <c r="A173" s="3" t="s">
        <v>1723</v>
      </c>
      <c r="B173" s="13" t="s">
        <v>6127</v>
      </c>
    </row>
    <row r="174" spans="1:4" ht="39" customHeight="1" x14ac:dyDescent="0.25">
      <c r="A174" s="5" t="s">
        <v>3754</v>
      </c>
      <c r="B174" s="13" t="s">
        <v>4324</v>
      </c>
      <c r="C174" s="3" t="s">
        <v>2437</v>
      </c>
      <c r="D174" s="101">
        <v>816</v>
      </c>
    </row>
    <row r="175" spans="1:4" ht="40.5" customHeight="1" x14ac:dyDescent="0.25">
      <c r="A175" s="5" t="s">
        <v>3752</v>
      </c>
      <c r="B175" s="13" t="s">
        <v>4331</v>
      </c>
      <c r="C175" s="3" t="s">
        <v>2437</v>
      </c>
      <c r="D175" s="101">
        <v>786</v>
      </c>
    </row>
    <row r="176" spans="1:4" ht="39" customHeight="1" x14ac:dyDescent="0.25">
      <c r="A176" s="5" t="s">
        <v>3755</v>
      </c>
      <c r="B176" s="13" t="s">
        <v>4322</v>
      </c>
      <c r="C176" s="3" t="s">
        <v>2437</v>
      </c>
      <c r="D176" s="101">
        <v>736</v>
      </c>
    </row>
    <row r="177" spans="1:4" x14ac:dyDescent="0.25">
      <c r="B177" s="13"/>
      <c r="C177" s="3"/>
    </row>
    <row r="178" spans="1:4" x14ac:dyDescent="0.25">
      <c r="B178" s="13"/>
      <c r="C178" s="3"/>
    </row>
    <row r="179" spans="1:4" ht="141.75" x14ac:dyDescent="0.25">
      <c r="A179" s="3" t="s">
        <v>1724</v>
      </c>
      <c r="B179" s="13" t="s">
        <v>4323</v>
      </c>
    </row>
    <row r="180" spans="1:4" ht="31.5" x14ac:dyDescent="0.25">
      <c r="A180" s="5" t="s">
        <v>3754</v>
      </c>
      <c r="B180" s="13" t="s">
        <v>4324</v>
      </c>
      <c r="C180" s="3" t="s">
        <v>2437</v>
      </c>
      <c r="D180" s="101">
        <v>961</v>
      </c>
    </row>
    <row r="181" spans="1:4" ht="31.5" x14ac:dyDescent="0.25">
      <c r="A181" s="5" t="s">
        <v>3752</v>
      </c>
      <c r="B181" s="13" t="s">
        <v>4325</v>
      </c>
      <c r="C181" s="3" t="s">
        <v>2437</v>
      </c>
      <c r="D181" s="101">
        <v>933</v>
      </c>
    </row>
    <row r="182" spans="1:4" ht="31.5" x14ac:dyDescent="0.25">
      <c r="A182" s="5" t="s">
        <v>3755</v>
      </c>
      <c r="B182" s="13" t="s">
        <v>4326</v>
      </c>
      <c r="C182" s="3" t="s">
        <v>2437</v>
      </c>
      <c r="D182" s="101">
        <v>850</v>
      </c>
    </row>
    <row r="183" spans="1:4" x14ac:dyDescent="0.25">
      <c r="B183" s="13"/>
      <c r="C183" s="3"/>
    </row>
    <row r="184" spans="1:4" ht="94.5" x14ac:dyDescent="0.25">
      <c r="A184" s="3" t="s">
        <v>1725</v>
      </c>
      <c r="B184" s="13" t="s">
        <v>4327</v>
      </c>
    </row>
    <row r="185" spans="1:4" ht="31.5" x14ac:dyDescent="0.25">
      <c r="A185" s="5" t="s">
        <v>3754</v>
      </c>
      <c r="B185" s="13" t="s">
        <v>4328</v>
      </c>
      <c r="C185" s="3" t="s">
        <v>2437</v>
      </c>
      <c r="D185" s="101">
        <v>1089</v>
      </c>
    </row>
    <row r="186" spans="1:4" ht="31.5" x14ac:dyDescent="0.25">
      <c r="A186" s="5" t="s">
        <v>3752</v>
      </c>
      <c r="B186" s="13" t="s">
        <v>4325</v>
      </c>
      <c r="C186" s="3" t="s">
        <v>2437</v>
      </c>
      <c r="D186" s="101">
        <v>1060</v>
      </c>
    </row>
    <row r="187" spans="1:4" ht="31.5" x14ac:dyDescent="0.25">
      <c r="A187" s="5" t="s">
        <v>3755</v>
      </c>
      <c r="B187" s="13" t="s">
        <v>4322</v>
      </c>
      <c r="C187" s="3" t="s">
        <v>2437</v>
      </c>
      <c r="D187" s="101">
        <v>1003</v>
      </c>
    </row>
    <row r="188" spans="1:4" x14ac:dyDescent="0.25">
      <c r="B188" s="13"/>
      <c r="C188" s="3"/>
    </row>
    <row r="189" spans="1:4" ht="115.5" customHeight="1" x14ac:dyDescent="0.25">
      <c r="A189" s="3" t="s">
        <v>5290</v>
      </c>
      <c r="B189" s="13" t="s">
        <v>4329</v>
      </c>
    </row>
    <row r="190" spans="1:4" ht="31.5" x14ac:dyDescent="0.25">
      <c r="A190" s="5" t="s">
        <v>3754</v>
      </c>
      <c r="B190" s="13" t="s">
        <v>4328</v>
      </c>
      <c r="C190" s="3" t="s">
        <v>2437</v>
      </c>
      <c r="D190" s="101">
        <v>1311</v>
      </c>
    </row>
    <row r="191" spans="1:4" ht="31.5" x14ac:dyDescent="0.25">
      <c r="A191" s="5" t="s">
        <v>3752</v>
      </c>
      <c r="B191" s="13" t="s">
        <v>4325</v>
      </c>
      <c r="C191" s="3" t="s">
        <v>2437</v>
      </c>
      <c r="D191" s="101">
        <v>1282</v>
      </c>
    </row>
    <row r="192" spans="1:4" ht="31.5" x14ac:dyDescent="0.25">
      <c r="A192" s="5" t="s">
        <v>3755</v>
      </c>
      <c r="B192" s="13" t="s">
        <v>4326</v>
      </c>
      <c r="C192" s="3" t="s">
        <v>2437</v>
      </c>
      <c r="D192" s="101">
        <v>1224</v>
      </c>
    </row>
    <row r="193" spans="1:4" x14ac:dyDescent="0.25">
      <c r="B193" s="13"/>
      <c r="C193" s="3"/>
    </row>
    <row r="194" spans="1:4" x14ac:dyDescent="0.25">
      <c r="B194" s="13"/>
      <c r="C194" s="3"/>
    </row>
    <row r="195" spans="1:4" ht="124.5" customHeight="1" x14ac:dyDescent="0.25">
      <c r="A195" s="7" t="s">
        <v>5291</v>
      </c>
      <c r="B195" s="13" t="s">
        <v>4330</v>
      </c>
    </row>
    <row r="196" spans="1:4" ht="31.5" x14ac:dyDescent="0.25">
      <c r="A196" s="5" t="s">
        <v>3754</v>
      </c>
      <c r="B196" s="13" t="s">
        <v>4328</v>
      </c>
      <c r="C196" s="3" t="s">
        <v>2437</v>
      </c>
      <c r="D196" s="101">
        <v>1521</v>
      </c>
    </row>
    <row r="197" spans="1:4" ht="31.5" x14ac:dyDescent="0.25">
      <c r="A197" s="5" t="s">
        <v>3752</v>
      </c>
      <c r="B197" s="13" t="s">
        <v>4331</v>
      </c>
      <c r="C197" s="3" t="s">
        <v>2437</v>
      </c>
      <c r="D197" s="101">
        <v>1492</v>
      </c>
    </row>
    <row r="198" spans="1:4" ht="31.5" x14ac:dyDescent="0.25">
      <c r="A198" s="5" t="s">
        <v>3755</v>
      </c>
      <c r="B198" s="13" t="s">
        <v>4322</v>
      </c>
      <c r="C198" s="3" t="s">
        <v>2437</v>
      </c>
      <c r="D198" s="101">
        <v>1434</v>
      </c>
    </row>
    <row r="199" spans="1:4" x14ac:dyDescent="0.25">
      <c r="B199" s="13"/>
      <c r="C199" s="3"/>
    </row>
    <row r="200" spans="1:4" ht="47.25" x14ac:dyDescent="0.25">
      <c r="A200" s="7">
        <v>11.388999999999999</v>
      </c>
      <c r="B200" s="13" t="s">
        <v>6128</v>
      </c>
      <c r="C200" s="3" t="s">
        <v>2437</v>
      </c>
      <c r="D200" s="163">
        <v>0.1</v>
      </c>
    </row>
    <row r="201" spans="1:4" x14ac:dyDescent="0.25">
      <c r="A201" s="7"/>
      <c r="B201" s="13"/>
      <c r="C201" s="3"/>
      <c r="D201" s="163"/>
    </row>
    <row r="202" spans="1:4" ht="31.5" x14ac:dyDescent="0.25">
      <c r="A202" s="7">
        <v>11.4</v>
      </c>
      <c r="B202" s="13" t="s">
        <v>6129</v>
      </c>
      <c r="C202" s="3" t="s">
        <v>2437</v>
      </c>
      <c r="D202" s="163">
        <v>0.2</v>
      </c>
    </row>
    <row r="203" spans="1:4" x14ac:dyDescent="0.25">
      <c r="A203" s="7"/>
      <c r="B203" s="13"/>
      <c r="C203" s="3"/>
    </row>
    <row r="204" spans="1:4" ht="125.25" customHeight="1" x14ac:dyDescent="0.25">
      <c r="A204" s="7">
        <v>11.41</v>
      </c>
      <c r="B204" s="13" t="s">
        <v>4332</v>
      </c>
      <c r="C204" s="3"/>
    </row>
    <row r="205" spans="1:4" x14ac:dyDescent="0.25">
      <c r="A205" s="5" t="s">
        <v>3754</v>
      </c>
      <c r="B205" s="13" t="s">
        <v>4333</v>
      </c>
      <c r="C205" s="3" t="s">
        <v>2437</v>
      </c>
      <c r="D205" s="101">
        <v>1509</v>
      </c>
    </row>
    <row r="206" spans="1:4" x14ac:dyDescent="0.25">
      <c r="A206" s="5" t="s">
        <v>3752</v>
      </c>
      <c r="B206" s="13" t="s">
        <v>4334</v>
      </c>
      <c r="C206" s="3" t="s">
        <v>2437</v>
      </c>
      <c r="D206" s="101">
        <v>1368</v>
      </c>
    </row>
    <row r="207" spans="1:4" x14ac:dyDescent="0.25">
      <c r="B207" s="13"/>
      <c r="C207" s="3"/>
    </row>
    <row r="208" spans="1:4" ht="31.5" x14ac:dyDescent="0.25">
      <c r="A208" s="3">
        <v>11.42</v>
      </c>
      <c r="B208" s="13" t="s">
        <v>6130</v>
      </c>
      <c r="C208" s="3" t="s">
        <v>2437</v>
      </c>
      <c r="D208" s="163">
        <v>0.2</v>
      </c>
    </row>
    <row r="210" spans="1:4" s="176" customFormat="1" ht="60.75" customHeight="1" x14ac:dyDescent="0.25">
      <c r="A210" s="5">
        <v>11.43</v>
      </c>
      <c r="B210" s="13" t="s">
        <v>5888</v>
      </c>
      <c r="C210" s="3"/>
      <c r="D210" s="101"/>
    </row>
    <row r="211" spans="1:4" s="176" customFormat="1" x14ac:dyDescent="0.25">
      <c r="A211" s="5" t="s">
        <v>5889</v>
      </c>
      <c r="B211" s="13" t="s">
        <v>5890</v>
      </c>
      <c r="C211" s="3" t="s">
        <v>2437</v>
      </c>
      <c r="D211" s="101">
        <v>513</v>
      </c>
    </row>
    <row r="212" spans="1:4" s="176" customFormat="1" x14ac:dyDescent="0.25">
      <c r="A212" s="5" t="s">
        <v>5891</v>
      </c>
      <c r="B212" s="13" t="s">
        <v>5892</v>
      </c>
      <c r="C212" s="3" t="s">
        <v>2437</v>
      </c>
      <c r="D212" s="101">
        <v>624</v>
      </c>
    </row>
    <row r="213" spans="1:4" s="176" customFormat="1" x14ac:dyDescent="0.25">
      <c r="A213" s="5"/>
      <c r="B213" s="30"/>
      <c r="C213" s="5"/>
      <c r="D213" s="101"/>
    </row>
    <row r="214" spans="1:4" s="176" customFormat="1" x14ac:dyDescent="0.25">
      <c r="A214" s="5"/>
      <c r="B214" s="30"/>
      <c r="C214" s="5"/>
      <c r="D214" s="101"/>
    </row>
    <row r="215" spans="1:4" s="176" customFormat="1" x14ac:dyDescent="0.25">
      <c r="A215" s="5"/>
      <c r="B215" s="30"/>
      <c r="C215" s="5"/>
      <c r="D215" s="101"/>
    </row>
    <row r="216" spans="1:4" s="176" customFormat="1" ht="153" customHeight="1" x14ac:dyDescent="0.25">
      <c r="A216" s="5">
        <v>11.44</v>
      </c>
      <c r="B216" s="13" t="s">
        <v>6132</v>
      </c>
      <c r="C216" s="3" t="s">
        <v>2437</v>
      </c>
      <c r="D216" s="101">
        <v>1284</v>
      </c>
    </row>
    <row r="217" spans="1:4" s="176" customFormat="1" x14ac:dyDescent="0.25">
      <c r="A217" s="5"/>
      <c r="B217" s="30"/>
      <c r="C217" s="5"/>
      <c r="D217" s="101">
        <f>SUM(D9:D216)</f>
        <v>83052.7</v>
      </c>
    </row>
    <row r="1664" spans="2:2" x14ac:dyDescent="0.25">
      <c r="B1664" s="29" t="s">
        <v>1573</v>
      </c>
    </row>
    <row r="1665" spans="2:3" x14ac:dyDescent="0.25">
      <c r="B1665" s="30" t="s">
        <v>3704</v>
      </c>
    </row>
    <row r="1666" spans="2:3" x14ac:dyDescent="0.25">
      <c r="B1666" s="30" t="s">
        <v>1578</v>
      </c>
      <c r="C1666" s="5" t="s">
        <v>4112</v>
      </c>
    </row>
    <row r="1667" spans="2:3" x14ac:dyDescent="0.25">
      <c r="B1667" s="30" t="s">
        <v>1574</v>
      </c>
      <c r="C1667" s="5" t="s">
        <v>1575</v>
      </c>
    </row>
    <row r="1668" spans="2:3" x14ac:dyDescent="0.25">
      <c r="B1668" s="30" t="s">
        <v>1579</v>
      </c>
      <c r="C1668" s="5" t="s">
        <v>3751</v>
      </c>
    </row>
    <row r="1669" spans="2:3" x14ac:dyDescent="0.25">
      <c r="B1669" s="30" t="s">
        <v>1576</v>
      </c>
      <c r="C1669" s="5" t="s">
        <v>1577</v>
      </c>
    </row>
    <row r="1671" spans="2:3" x14ac:dyDescent="0.25">
      <c r="B1671" s="30" t="s">
        <v>3744</v>
      </c>
      <c r="C1671" s="5" t="s">
        <v>3032</v>
      </c>
    </row>
    <row r="1672" spans="2:3" x14ac:dyDescent="0.25">
      <c r="C1672" s="5" t="s">
        <v>3032</v>
      </c>
    </row>
    <row r="1673" spans="2:3" x14ac:dyDescent="0.25">
      <c r="B1673" s="30" t="s">
        <v>4137</v>
      </c>
      <c r="C1673" s="5" t="s">
        <v>3032</v>
      </c>
    </row>
    <row r="1674" spans="2:3" x14ac:dyDescent="0.25">
      <c r="B1674" s="30" t="s">
        <v>1572</v>
      </c>
    </row>
    <row r="1679" spans="2:3" x14ac:dyDescent="0.25">
      <c r="B1679" s="30" t="s">
        <v>1580</v>
      </c>
    </row>
    <row r="1748" spans="2:2" x14ac:dyDescent="0.25">
      <c r="B1748" s="13"/>
    </row>
    <row r="1777" spans="2:2" x14ac:dyDescent="0.25">
      <c r="B1777" s="13"/>
    </row>
    <row r="1807" spans="2:2" x14ac:dyDescent="0.25">
      <c r="B1807" s="13"/>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rgb="FFFFFF00"/>
  </sheetPr>
  <dimension ref="A1:E288"/>
  <sheetViews>
    <sheetView view="pageBreakPreview" topLeftCell="A66" zoomScaleNormal="100" zoomScaleSheetLayoutView="100" workbookViewId="0">
      <selection activeCell="D134" sqref="D134"/>
    </sheetView>
  </sheetViews>
  <sheetFormatPr defaultRowHeight="15.75" x14ac:dyDescent="0.25"/>
  <cols>
    <col min="1" max="1" width="10" style="5" customWidth="1"/>
    <col min="2" max="2" width="55.7109375" style="30" customWidth="1"/>
    <col min="3" max="3" width="9.7109375" style="8" customWidth="1"/>
    <col min="4" max="4" width="11.7109375" style="8" customWidth="1"/>
    <col min="5" max="16384" width="9.140625" style="6"/>
  </cols>
  <sheetData>
    <row r="1" spans="1:5" ht="22.5" x14ac:dyDescent="0.25">
      <c r="A1" s="258" t="s">
        <v>1675</v>
      </c>
      <c r="B1" s="258"/>
      <c r="C1" s="258"/>
      <c r="D1" s="258"/>
    </row>
    <row r="2" spans="1:5" ht="27" x14ac:dyDescent="0.25">
      <c r="A2" s="274" t="s">
        <v>1676</v>
      </c>
      <c r="B2" s="274"/>
      <c r="C2" s="274"/>
      <c r="D2" s="274"/>
    </row>
    <row r="3" spans="1:5" x14ac:dyDescent="0.25">
      <c r="A3" s="8"/>
      <c r="B3" s="29"/>
      <c r="C3" s="126"/>
    </row>
    <row r="4" spans="1:5" x14ac:dyDescent="0.25">
      <c r="A4" s="130" t="s">
        <v>2432</v>
      </c>
      <c r="C4" s="126"/>
    </row>
    <row r="5" spans="1:5" ht="47.25" x14ac:dyDescent="0.25">
      <c r="A5" s="3">
        <v>1</v>
      </c>
      <c r="B5" s="30" t="s">
        <v>1803</v>
      </c>
      <c r="C5" s="126"/>
    </row>
    <row r="6" spans="1:5" ht="47.25" x14ac:dyDescent="0.25">
      <c r="A6" s="3">
        <v>2</v>
      </c>
      <c r="B6" s="30" t="s">
        <v>1801</v>
      </c>
      <c r="C6" s="126"/>
    </row>
    <row r="7" spans="1:5" ht="31.5" x14ac:dyDescent="0.25">
      <c r="A7" s="3">
        <v>3</v>
      </c>
      <c r="B7" s="30" t="s">
        <v>1804</v>
      </c>
      <c r="C7" s="126"/>
    </row>
    <row r="8" spans="1:5" x14ac:dyDescent="0.25">
      <c r="A8" s="3">
        <v>4</v>
      </c>
      <c r="B8" s="30" t="s">
        <v>1802</v>
      </c>
      <c r="C8" s="126"/>
    </row>
    <row r="9" spans="1:5" x14ac:dyDescent="0.25">
      <c r="A9" s="8"/>
      <c r="B9" s="29"/>
      <c r="C9" s="126"/>
    </row>
    <row r="10" spans="1:5" s="112" customFormat="1" ht="31.5" x14ac:dyDescent="0.2">
      <c r="A10" s="55" t="s">
        <v>6402</v>
      </c>
      <c r="B10" s="55" t="s">
        <v>2434</v>
      </c>
      <c r="C10" s="55" t="s">
        <v>2435</v>
      </c>
      <c r="D10" s="172" t="s">
        <v>18</v>
      </c>
    </row>
    <row r="11" spans="1:5" x14ac:dyDescent="0.25">
      <c r="A11" s="55">
        <v>1</v>
      </c>
      <c r="B11" s="55">
        <v>2</v>
      </c>
      <c r="C11" s="55">
        <v>3</v>
      </c>
      <c r="D11" s="45">
        <v>4</v>
      </c>
    </row>
    <row r="12" spans="1:5" x14ac:dyDescent="0.25">
      <c r="A12" s="3"/>
      <c r="C12" s="4"/>
    </row>
    <row r="13" spans="1:5" x14ac:dyDescent="0.25">
      <c r="A13" s="8"/>
      <c r="B13" s="140" t="s">
        <v>1693</v>
      </c>
      <c r="C13" s="21"/>
    </row>
    <row r="14" spans="1:5" x14ac:dyDescent="0.25">
      <c r="A14" s="8"/>
      <c r="B14" s="140"/>
      <c r="C14" s="21"/>
    </row>
    <row r="15" spans="1:5" ht="31.5" x14ac:dyDescent="0.25">
      <c r="A15" s="3">
        <v>12.1</v>
      </c>
      <c r="B15" s="30" t="s">
        <v>1694</v>
      </c>
      <c r="C15" s="3"/>
    </row>
    <row r="16" spans="1:5" x14ac:dyDescent="0.25">
      <c r="A16" s="3" t="s">
        <v>1677</v>
      </c>
      <c r="B16" s="30" t="s">
        <v>1695</v>
      </c>
      <c r="C16" s="3" t="s">
        <v>2606</v>
      </c>
      <c r="D16" s="101">
        <v>242</v>
      </c>
      <c r="E16" s="6" t="s">
        <v>6329</v>
      </c>
    </row>
    <row r="17" spans="1:4" x14ac:dyDescent="0.25">
      <c r="A17" s="3" t="s">
        <v>1678</v>
      </c>
      <c r="B17" s="30" t="s">
        <v>1696</v>
      </c>
      <c r="C17" s="3" t="s">
        <v>2437</v>
      </c>
      <c r="D17" s="101">
        <v>211</v>
      </c>
    </row>
    <row r="18" spans="1:4" x14ac:dyDescent="0.25">
      <c r="A18" s="3" t="s">
        <v>1679</v>
      </c>
      <c r="B18" s="30" t="s">
        <v>1697</v>
      </c>
      <c r="C18" s="3" t="s">
        <v>2437</v>
      </c>
      <c r="D18" s="101">
        <v>164</v>
      </c>
    </row>
    <row r="19" spans="1:4" x14ac:dyDescent="0.25">
      <c r="A19" s="3"/>
      <c r="C19" s="3"/>
    </row>
    <row r="20" spans="1:4" ht="31.5" x14ac:dyDescent="0.25">
      <c r="A20" s="3">
        <v>12.2</v>
      </c>
      <c r="B20" s="30" t="s">
        <v>1698</v>
      </c>
      <c r="C20" s="3"/>
    </row>
    <row r="21" spans="1:4" x14ac:dyDescent="0.25">
      <c r="A21" s="3" t="s">
        <v>1680</v>
      </c>
      <c r="B21" s="30" t="s">
        <v>1699</v>
      </c>
      <c r="C21" s="3" t="s">
        <v>2437</v>
      </c>
      <c r="D21" s="101">
        <v>227</v>
      </c>
    </row>
    <row r="22" spans="1:4" x14ac:dyDescent="0.25">
      <c r="A22" s="3" t="s">
        <v>1681</v>
      </c>
      <c r="B22" s="30" t="s">
        <v>1700</v>
      </c>
      <c r="C22" s="3" t="s">
        <v>2437</v>
      </c>
      <c r="D22" s="101">
        <v>202</v>
      </c>
    </row>
    <row r="23" spans="1:4" x14ac:dyDescent="0.25">
      <c r="A23" s="3" t="s">
        <v>1682</v>
      </c>
      <c r="B23" s="30" t="s">
        <v>1701</v>
      </c>
      <c r="C23" s="3" t="s">
        <v>2437</v>
      </c>
      <c r="D23" s="101">
        <v>163</v>
      </c>
    </row>
    <row r="24" spans="1:4" x14ac:dyDescent="0.25">
      <c r="A24" s="3"/>
      <c r="C24" s="3"/>
    </row>
    <row r="25" spans="1:4" ht="31.5" x14ac:dyDescent="0.25">
      <c r="A25" s="3">
        <v>12.3</v>
      </c>
      <c r="B25" s="30" t="s">
        <v>1702</v>
      </c>
      <c r="C25" s="3"/>
    </row>
    <row r="26" spans="1:4" x14ac:dyDescent="0.25">
      <c r="A26" s="3" t="s">
        <v>1683</v>
      </c>
      <c r="B26" s="30" t="s">
        <v>1695</v>
      </c>
      <c r="C26" s="3" t="s">
        <v>2437</v>
      </c>
      <c r="D26" s="101">
        <v>211</v>
      </c>
    </row>
    <row r="27" spans="1:4" x14ac:dyDescent="0.25">
      <c r="A27" s="3" t="s">
        <v>1684</v>
      </c>
      <c r="B27" s="30" t="s">
        <v>2127</v>
      </c>
      <c r="C27" s="3" t="s">
        <v>2437</v>
      </c>
      <c r="D27" s="101">
        <v>190</v>
      </c>
    </row>
    <row r="28" spans="1:4" x14ac:dyDescent="0.25">
      <c r="A28" s="3" t="s">
        <v>1685</v>
      </c>
      <c r="B28" s="30" t="s">
        <v>1703</v>
      </c>
      <c r="C28" s="3" t="s">
        <v>2437</v>
      </c>
      <c r="D28" s="101">
        <v>160</v>
      </c>
    </row>
    <row r="29" spans="1:4" x14ac:dyDescent="0.25">
      <c r="A29" s="3"/>
      <c r="C29" s="3"/>
    </row>
    <row r="30" spans="1:4" ht="31.5" x14ac:dyDescent="0.25">
      <c r="A30" s="103">
        <v>12.4</v>
      </c>
      <c r="B30" s="30" t="s">
        <v>1704</v>
      </c>
      <c r="C30" s="3"/>
    </row>
    <row r="31" spans="1:4" x14ac:dyDescent="0.25">
      <c r="A31" s="3" t="s">
        <v>1686</v>
      </c>
      <c r="B31" s="30" t="s">
        <v>1705</v>
      </c>
      <c r="C31" s="3" t="s">
        <v>2437</v>
      </c>
      <c r="D31" s="101">
        <v>176</v>
      </c>
    </row>
    <row r="32" spans="1:4" x14ac:dyDescent="0.25">
      <c r="A32" s="3" t="s">
        <v>1805</v>
      </c>
      <c r="B32" s="30" t="s">
        <v>2127</v>
      </c>
      <c r="C32" s="3" t="s">
        <v>2437</v>
      </c>
      <c r="D32" s="101">
        <v>164</v>
      </c>
    </row>
    <row r="33" spans="1:4" x14ac:dyDescent="0.25">
      <c r="A33" s="3" t="s">
        <v>1806</v>
      </c>
      <c r="B33" s="30" t="s">
        <v>1703</v>
      </c>
      <c r="C33" s="3" t="s">
        <v>2437</v>
      </c>
      <c r="D33" s="101">
        <v>140</v>
      </c>
    </row>
    <row r="34" spans="1:4" x14ac:dyDescent="0.25">
      <c r="A34" s="3"/>
      <c r="C34" s="3"/>
    </row>
    <row r="35" spans="1:4" ht="31.5" x14ac:dyDescent="0.25">
      <c r="A35" s="3">
        <v>12.5</v>
      </c>
      <c r="B35" s="30" t="s">
        <v>1709</v>
      </c>
      <c r="C35" s="3" t="s">
        <v>2606</v>
      </c>
      <c r="D35" s="101">
        <v>139</v>
      </c>
    </row>
    <row r="36" spans="1:4" x14ac:dyDescent="0.25">
      <c r="A36" s="3"/>
      <c r="D36" s="101"/>
    </row>
    <row r="37" spans="1:4" ht="63" x14ac:dyDescent="0.25">
      <c r="A37" s="3">
        <v>12.6</v>
      </c>
      <c r="B37" s="30" t="s">
        <v>4945</v>
      </c>
      <c r="C37" s="3" t="s">
        <v>2606</v>
      </c>
      <c r="D37" s="101">
        <v>163</v>
      </c>
    </row>
    <row r="38" spans="1:4" x14ac:dyDescent="0.25">
      <c r="A38" s="3"/>
      <c r="C38" s="3"/>
    </row>
    <row r="39" spans="1:4" x14ac:dyDescent="0.25">
      <c r="A39" s="3">
        <v>12.7</v>
      </c>
      <c r="B39" s="30" t="s">
        <v>1706</v>
      </c>
      <c r="C39" s="3" t="s">
        <v>2437</v>
      </c>
      <c r="D39" s="101">
        <v>36</v>
      </c>
    </row>
    <row r="40" spans="1:4" x14ac:dyDescent="0.25">
      <c r="A40" s="3"/>
      <c r="C40" s="3"/>
    </row>
    <row r="41" spans="1:4" ht="47.25" x14ac:dyDescent="0.25">
      <c r="A41" s="3">
        <v>12.8</v>
      </c>
      <c r="B41" s="30" t="s">
        <v>1807</v>
      </c>
      <c r="C41" s="3" t="s">
        <v>2650</v>
      </c>
      <c r="D41" s="101">
        <v>42</v>
      </c>
    </row>
    <row r="42" spans="1:4" x14ac:dyDescent="0.25">
      <c r="A42" s="3"/>
      <c r="C42" s="3"/>
    </row>
    <row r="43" spans="1:4" x14ac:dyDescent="0.25">
      <c r="A43" s="6"/>
      <c r="B43" s="140" t="s">
        <v>2040</v>
      </c>
      <c r="C43" s="3"/>
    </row>
    <row r="44" spans="1:4" x14ac:dyDescent="0.25">
      <c r="A44" s="6"/>
      <c r="B44" s="140"/>
      <c r="C44" s="3"/>
    </row>
    <row r="45" spans="1:4" ht="126" x14ac:dyDescent="0.25">
      <c r="A45" s="3">
        <v>12.9</v>
      </c>
      <c r="B45" s="30" t="s">
        <v>1822</v>
      </c>
      <c r="C45" s="3" t="s">
        <v>2437</v>
      </c>
      <c r="D45" s="101">
        <v>340</v>
      </c>
    </row>
    <row r="46" spans="1:4" x14ac:dyDescent="0.25">
      <c r="A46" s="3"/>
      <c r="C46" s="3"/>
    </row>
    <row r="47" spans="1:4" ht="110.25" x14ac:dyDescent="0.25">
      <c r="A47" s="7">
        <v>12.1</v>
      </c>
      <c r="B47" s="30" t="s">
        <v>1821</v>
      </c>
      <c r="C47" s="3" t="s">
        <v>2437</v>
      </c>
      <c r="D47" s="101">
        <v>323</v>
      </c>
    </row>
    <row r="48" spans="1:4" x14ac:dyDescent="0.25">
      <c r="A48" s="3"/>
      <c r="C48" s="6"/>
    </row>
    <row r="49" spans="1:4" ht="197.25" customHeight="1" x14ac:dyDescent="0.25">
      <c r="A49" s="3">
        <v>12.11</v>
      </c>
      <c r="B49" s="30" t="s">
        <v>1833</v>
      </c>
      <c r="C49" s="3" t="s">
        <v>2437</v>
      </c>
      <c r="D49" s="101">
        <v>510</v>
      </c>
    </row>
    <row r="50" spans="1:4" x14ac:dyDescent="0.25">
      <c r="A50" s="3"/>
      <c r="C50" s="3"/>
    </row>
    <row r="51" spans="1:4" x14ac:dyDescent="0.25">
      <c r="A51" s="3"/>
      <c r="C51" s="3"/>
    </row>
    <row r="52" spans="1:4" ht="94.5" x14ac:dyDescent="0.25">
      <c r="A52" s="3">
        <v>12.12</v>
      </c>
      <c r="B52" s="30" t="s">
        <v>1831</v>
      </c>
      <c r="C52" s="3" t="s">
        <v>2785</v>
      </c>
      <c r="D52" s="101">
        <v>25</v>
      </c>
    </row>
    <row r="53" spans="1:4" x14ac:dyDescent="0.25">
      <c r="A53" s="3"/>
      <c r="C53" s="3"/>
    </row>
    <row r="54" spans="1:4" ht="31.5" x14ac:dyDescent="0.25">
      <c r="A54" s="3">
        <v>12.13</v>
      </c>
      <c r="B54" s="30" t="s">
        <v>1832</v>
      </c>
      <c r="C54" s="3" t="s">
        <v>2437</v>
      </c>
      <c r="D54" s="101">
        <v>36</v>
      </c>
    </row>
    <row r="55" spans="1:4" x14ac:dyDescent="0.25">
      <c r="A55" s="3"/>
      <c r="C55" s="3"/>
    </row>
    <row r="56" spans="1:4" ht="47.25" x14ac:dyDescent="0.25">
      <c r="A56" s="3">
        <v>12.14</v>
      </c>
      <c r="B56" s="30" t="s">
        <v>1808</v>
      </c>
      <c r="C56" s="3" t="s">
        <v>2437</v>
      </c>
      <c r="D56" s="101">
        <v>34</v>
      </c>
    </row>
    <row r="57" spans="1:4" x14ac:dyDescent="0.25">
      <c r="A57" s="3"/>
      <c r="C57" s="3"/>
    </row>
    <row r="58" spans="1:4" ht="31.5" x14ac:dyDescent="0.25">
      <c r="A58" s="3">
        <v>12.15</v>
      </c>
      <c r="B58" s="30" t="s">
        <v>1809</v>
      </c>
      <c r="C58" s="3" t="s">
        <v>2437</v>
      </c>
      <c r="D58" s="101">
        <v>15</v>
      </c>
    </row>
    <row r="59" spans="1:4" x14ac:dyDescent="0.25">
      <c r="A59" s="3"/>
    </row>
    <row r="60" spans="1:4" ht="31.5" x14ac:dyDescent="0.25">
      <c r="A60" s="3">
        <v>12.16</v>
      </c>
      <c r="B60" s="30" t="s">
        <v>1810</v>
      </c>
      <c r="C60" s="3"/>
    </row>
    <row r="61" spans="1:4" x14ac:dyDescent="0.25">
      <c r="A61" s="3" t="s">
        <v>1818</v>
      </c>
      <c r="B61" s="30" t="s">
        <v>1811</v>
      </c>
      <c r="C61" s="3" t="s">
        <v>2437</v>
      </c>
      <c r="D61" s="101">
        <v>210</v>
      </c>
    </row>
    <row r="62" spans="1:4" x14ac:dyDescent="0.25">
      <c r="A62" s="3" t="s">
        <v>1820</v>
      </c>
      <c r="B62" s="30" t="s">
        <v>1812</v>
      </c>
      <c r="C62" s="3" t="s">
        <v>2437</v>
      </c>
      <c r="D62" s="101">
        <v>348</v>
      </c>
    </row>
    <row r="63" spans="1:4" x14ac:dyDescent="0.25">
      <c r="A63" s="3"/>
    </row>
    <row r="64" spans="1:4" x14ac:dyDescent="0.25">
      <c r="A64" s="3">
        <v>12.17</v>
      </c>
      <c r="B64" s="30" t="s">
        <v>1814</v>
      </c>
    </row>
    <row r="65" spans="1:4" x14ac:dyDescent="0.25">
      <c r="A65" s="3" t="s">
        <v>1834</v>
      </c>
      <c r="B65" s="30" t="s">
        <v>1813</v>
      </c>
      <c r="C65" s="3" t="s">
        <v>2437</v>
      </c>
      <c r="D65" s="101">
        <v>64</v>
      </c>
    </row>
    <row r="66" spans="1:4" x14ac:dyDescent="0.25">
      <c r="A66" s="3" t="s">
        <v>1835</v>
      </c>
      <c r="B66" s="30" t="s">
        <v>1816</v>
      </c>
      <c r="C66" s="3" t="s">
        <v>2437</v>
      </c>
      <c r="D66" s="101">
        <v>70</v>
      </c>
    </row>
    <row r="67" spans="1:4" x14ac:dyDescent="0.25">
      <c r="A67" s="3" t="s">
        <v>1836</v>
      </c>
      <c r="B67" s="30" t="s">
        <v>1815</v>
      </c>
      <c r="C67" s="3" t="s">
        <v>2437</v>
      </c>
      <c r="D67" s="101">
        <v>42</v>
      </c>
    </row>
    <row r="68" spans="1:4" x14ac:dyDescent="0.25">
      <c r="A68" s="3"/>
    </row>
    <row r="69" spans="1:4" ht="31.5" x14ac:dyDescent="0.25">
      <c r="A69" s="3">
        <v>12.18</v>
      </c>
      <c r="B69" s="30" t="s">
        <v>1817</v>
      </c>
      <c r="C69" s="3" t="s">
        <v>2437</v>
      </c>
      <c r="D69" s="101">
        <v>34</v>
      </c>
    </row>
    <row r="70" spans="1:4" x14ac:dyDescent="0.25">
      <c r="A70" s="3"/>
    </row>
    <row r="71" spans="1:4" ht="31.5" x14ac:dyDescent="0.25">
      <c r="A71" s="3">
        <v>12.19</v>
      </c>
      <c r="B71" s="13" t="s">
        <v>1707</v>
      </c>
      <c r="C71" s="3" t="s">
        <v>2785</v>
      </c>
      <c r="D71" s="101">
        <v>7</v>
      </c>
    </row>
    <row r="72" spans="1:4" x14ac:dyDescent="0.25">
      <c r="A72" s="3"/>
    </row>
    <row r="73" spans="1:4" ht="31.5" x14ac:dyDescent="0.25">
      <c r="A73" s="7">
        <v>12.2</v>
      </c>
      <c r="B73" s="13" t="s">
        <v>1708</v>
      </c>
      <c r="C73" s="3" t="s">
        <v>2785</v>
      </c>
      <c r="D73" s="101">
        <v>11</v>
      </c>
    </row>
    <row r="74" spans="1:4" x14ac:dyDescent="0.25">
      <c r="A74" s="3"/>
    </row>
    <row r="75" spans="1:4" ht="31.5" x14ac:dyDescent="0.25">
      <c r="A75" s="3">
        <v>12.21</v>
      </c>
      <c r="B75" s="13" t="s">
        <v>1819</v>
      </c>
      <c r="C75" s="3"/>
    </row>
    <row r="76" spans="1:4" x14ac:dyDescent="0.25">
      <c r="A76" s="3" t="s">
        <v>1824</v>
      </c>
      <c r="B76" s="30" t="s">
        <v>2036</v>
      </c>
      <c r="C76" s="3" t="s">
        <v>1730</v>
      </c>
      <c r="D76" s="101">
        <v>3</v>
      </c>
    </row>
    <row r="77" spans="1:4" x14ac:dyDescent="0.25">
      <c r="A77" s="3" t="s">
        <v>1825</v>
      </c>
      <c r="B77" s="30" t="s">
        <v>2038</v>
      </c>
      <c r="C77" s="3" t="s">
        <v>1730</v>
      </c>
      <c r="D77" s="101">
        <v>3</v>
      </c>
    </row>
    <row r="78" spans="1:4" x14ac:dyDescent="0.25">
      <c r="A78" s="3" t="s">
        <v>1837</v>
      </c>
      <c r="B78" s="197" t="s">
        <v>1729</v>
      </c>
      <c r="C78" s="3" t="s">
        <v>1730</v>
      </c>
      <c r="D78" s="101">
        <v>3</v>
      </c>
    </row>
    <row r="79" spans="1:4" x14ac:dyDescent="0.25">
      <c r="A79" s="3" t="s">
        <v>1838</v>
      </c>
      <c r="B79" s="30" t="s">
        <v>2039</v>
      </c>
      <c r="C79" s="3" t="s">
        <v>1730</v>
      </c>
      <c r="D79" s="101">
        <v>5</v>
      </c>
    </row>
    <row r="80" spans="1:4" x14ac:dyDescent="0.25">
      <c r="A80" s="3"/>
    </row>
    <row r="81" spans="1:4" x14ac:dyDescent="0.25">
      <c r="A81" s="3"/>
    </row>
    <row r="82" spans="1:4" x14ac:dyDescent="0.25">
      <c r="A82" s="3"/>
    </row>
    <row r="83" spans="1:4" ht="47.25" x14ac:dyDescent="0.25">
      <c r="A83" s="3">
        <v>12.22</v>
      </c>
      <c r="B83" s="13" t="s">
        <v>1731</v>
      </c>
      <c r="C83" s="100"/>
    </row>
    <row r="84" spans="1:4" x14ac:dyDescent="0.25">
      <c r="A84" s="3" t="s">
        <v>4590</v>
      </c>
      <c r="B84" s="13" t="s">
        <v>4978</v>
      </c>
      <c r="C84" s="3" t="s">
        <v>2437</v>
      </c>
      <c r="D84" s="101">
        <v>84</v>
      </c>
    </row>
    <row r="85" spans="1:4" x14ac:dyDescent="0.25">
      <c r="A85" s="3" t="s">
        <v>4591</v>
      </c>
      <c r="B85" s="13" t="s">
        <v>4979</v>
      </c>
      <c r="C85" s="3" t="s">
        <v>2437</v>
      </c>
      <c r="D85" s="101">
        <v>46</v>
      </c>
    </row>
    <row r="86" spans="1:4" x14ac:dyDescent="0.25">
      <c r="A86" s="3"/>
    </row>
    <row r="87" spans="1:4" ht="47.25" x14ac:dyDescent="0.25">
      <c r="A87" s="3">
        <v>12.23</v>
      </c>
      <c r="B87" s="13" t="s">
        <v>4354</v>
      </c>
      <c r="C87" s="3" t="s">
        <v>2437</v>
      </c>
      <c r="D87" s="101">
        <v>69</v>
      </c>
    </row>
    <row r="88" spans="1:4" x14ac:dyDescent="0.25">
      <c r="A88" s="3"/>
    </row>
    <row r="89" spans="1:4" ht="31.5" x14ac:dyDescent="0.25">
      <c r="A89" s="3">
        <v>12.24</v>
      </c>
      <c r="B89" s="13" t="s">
        <v>1687</v>
      </c>
    </row>
    <row r="90" spans="1:4" x14ac:dyDescent="0.25">
      <c r="A90" s="3" t="s">
        <v>1839</v>
      </c>
      <c r="B90" s="13" t="s">
        <v>1688</v>
      </c>
      <c r="C90" s="3" t="s">
        <v>2785</v>
      </c>
      <c r="D90" s="101">
        <v>61</v>
      </c>
    </row>
    <row r="91" spans="1:4" x14ac:dyDescent="0.25">
      <c r="A91" s="3" t="s">
        <v>1840</v>
      </c>
      <c r="B91" s="13" t="s">
        <v>1689</v>
      </c>
      <c r="C91" s="3" t="s">
        <v>2785</v>
      </c>
      <c r="D91" s="101">
        <v>72</v>
      </c>
    </row>
    <row r="92" spans="1:4" x14ac:dyDescent="0.25">
      <c r="A92" s="3"/>
    </row>
    <row r="93" spans="1:4" ht="47.25" x14ac:dyDescent="0.25">
      <c r="A93" s="3">
        <v>12.25</v>
      </c>
      <c r="B93" s="13" t="s">
        <v>1690</v>
      </c>
    </row>
    <row r="94" spans="1:4" x14ac:dyDescent="0.25">
      <c r="A94" s="3" t="s">
        <v>1841</v>
      </c>
      <c r="B94" s="13" t="s">
        <v>1691</v>
      </c>
      <c r="C94" s="3" t="s">
        <v>2785</v>
      </c>
      <c r="D94" s="101">
        <v>112</v>
      </c>
    </row>
    <row r="95" spans="1:4" x14ac:dyDescent="0.25">
      <c r="A95" s="3" t="s">
        <v>1842</v>
      </c>
      <c r="B95" s="13" t="s">
        <v>1692</v>
      </c>
      <c r="C95" s="3" t="s">
        <v>2785</v>
      </c>
      <c r="D95" s="101">
        <v>124</v>
      </c>
    </row>
    <row r="96" spans="1:4" x14ac:dyDescent="0.25">
      <c r="A96" s="3" t="s">
        <v>1843</v>
      </c>
      <c r="B96" s="13" t="s">
        <v>2267</v>
      </c>
      <c r="C96" s="3" t="s">
        <v>2785</v>
      </c>
      <c r="D96" s="101">
        <v>146</v>
      </c>
    </row>
    <row r="97" spans="1:4" x14ac:dyDescent="0.25">
      <c r="A97" s="3"/>
    </row>
    <row r="98" spans="1:4" ht="78.75" x14ac:dyDescent="0.25">
      <c r="A98" s="3">
        <v>12.26</v>
      </c>
      <c r="B98" s="30" t="s">
        <v>4305</v>
      </c>
      <c r="C98" s="3" t="s">
        <v>2437</v>
      </c>
      <c r="D98" s="101">
        <v>353</v>
      </c>
    </row>
    <row r="99" spans="1:4" x14ac:dyDescent="0.25">
      <c r="A99" s="3"/>
    </row>
    <row r="100" spans="1:4" ht="225.75" customHeight="1" x14ac:dyDescent="0.25">
      <c r="A100" s="3">
        <v>12.27</v>
      </c>
      <c r="B100" s="30" t="s">
        <v>710</v>
      </c>
      <c r="C100" s="3" t="s">
        <v>2437</v>
      </c>
      <c r="D100" s="101">
        <v>3681</v>
      </c>
    </row>
    <row r="101" spans="1:4" x14ac:dyDescent="0.25">
      <c r="A101" s="3"/>
      <c r="C101" s="3"/>
    </row>
    <row r="102" spans="1:4" x14ac:dyDescent="0.25">
      <c r="A102" s="3"/>
      <c r="C102" s="3"/>
    </row>
    <row r="103" spans="1:4" ht="63" x14ac:dyDescent="0.25">
      <c r="A103" s="3">
        <v>12.28</v>
      </c>
      <c r="B103" s="30" t="s">
        <v>713</v>
      </c>
      <c r="C103" s="3"/>
    </row>
    <row r="104" spans="1:4" x14ac:dyDescent="0.25">
      <c r="A104" s="3" t="s">
        <v>714</v>
      </c>
      <c r="B104" s="30" t="s">
        <v>711</v>
      </c>
      <c r="C104" s="3" t="s">
        <v>2437</v>
      </c>
      <c r="D104" s="101">
        <v>88</v>
      </c>
    </row>
    <row r="105" spans="1:4" x14ac:dyDescent="0.25">
      <c r="A105" s="3" t="s">
        <v>715</v>
      </c>
      <c r="B105" s="30" t="s">
        <v>712</v>
      </c>
      <c r="C105" s="3" t="s">
        <v>2437</v>
      </c>
      <c r="D105" s="101">
        <v>48</v>
      </c>
    </row>
    <row r="106" spans="1:4" x14ac:dyDescent="0.25">
      <c r="A106" s="3"/>
    </row>
    <row r="107" spans="1:4" ht="31.5" x14ac:dyDescent="0.25">
      <c r="A107" s="3">
        <v>12.29</v>
      </c>
      <c r="B107" s="30" t="s">
        <v>1733</v>
      </c>
      <c r="C107" s="3" t="s">
        <v>2437</v>
      </c>
      <c r="D107" s="163">
        <v>0.5</v>
      </c>
    </row>
    <row r="108" spans="1:4" x14ac:dyDescent="0.25">
      <c r="A108" s="3"/>
    </row>
    <row r="109" spans="1:4" x14ac:dyDescent="0.25">
      <c r="A109" s="6"/>
      <c r="B109" s="140" t="s">
        <v>2048</v>
      </c>
      <c r="C109" s="21"/>
    </row>
    <row r="110" spans="1:4" x14ac:dyDescent="0.25">
      <c r="A110" s="6"/>
      <c r="B110" s="140"/>
      <c r="C110" s="21"/>
    </row>
    <row r="111" spans="1:4" ht="47.25" x14ac:dyDescent="0.25">
      <c r="A111" s="7">
        <v>12.3</v>
      </c>
      <c r="B111" s="13" t="s">
        <v>1826</v>
      </c>
      <c r="C111" s="21"/>
    </row>
    <row r="112" spans="1:4" x14ac:dyDescent="0.25">
      <c r="A112" s="7" t="s">
        <v>1844</v>
      </c>
      <c r="B112" s="13" t="s">
        <v>1827</v>
      </c>
      <c r="C112" s="3" t="s">
        <v>2437</v>
      </c>
      <c r="D112" s="101">
        <v>80</v>
      </c>
    </row>
    <row r="113" spans="1:4" x14ac:dyDescent="0.25">
      <c r="A113" s="7" t="s">
        <v>1845</v>
      </c>
      <c r="B113" s="13" t="s">
        <v>1828</v>
      </c>
      <c r="C113" s="3" t="s">
        <v>2437</v>
      </c>
      <c r="D113" s="101">
        <v>133</v>
      </c>
    </row>
    <row r="114" spans="1:4" x14ac:dyDescent="0.25">
      <c r="A114" s="6"/>
      <c r="B114" s="140"/>
      <c r="C114" s="21"/>
    </row>
    <row r="115" spans="1:4" ht="31.5" x14ac:dyDescent="0.25">
      <c r="A115" s="7">
        <v>12.31</v>
      </c>
      <c r="B115" s="30" t="s">
        <v>2050</v>
      </c>
      <c r="C115" s="3"/>
    </row>
    <row r="116" spans="1:4" x14ac:dyDescent="0.25">
      <c r="A116" s="3" t="s">
        <v>2035</v>
      </c>
      <c r="B116" s="13" t="s">
        <v>1827</v>
      </c>
      <c r="C116" s="3" t="s">
        <v>2437</v>
      </c>
      <c r="D116" s="101">
        <v>124</v>
      </c>
    </row>
    <row r="117" spans="1:4" x14ac:dyDescent="0.25">
      <c r="A117" s="3" t="s">
        <v>2037</v>
      </c>
      <c r="B117" s="30" t="s">
        <v>2049</v>
      </c>
      <c r="C117" s="3" t="s">
        <v>2437</v>
      </c>
      <c r="D117" s="101">
        <v>233</v>
      </c>
    </row>
    <row r="118" spans="1:4" s="176" customFormat="1" x14ac:dyDescent="0.25">
      <c r="A118" s="3" t="s">
        <v>5702</v>
      </c>
      <c r="B118" s="30" t="s">
        <v>5703</v>
      </c>
      <c r="C118" s="3" t="s">
        <v>2437</v>
      </c>
      <c r="D118" s="101">
        <v>220</v>
      </c>
    </row>
    <row r="119" spans="1:4" x14ac:dyDescent="0.25">
      <c r="A119" s="3"/>
      <c r="C119" s="3"/>
    </row>
    <row r="120" spans="1:4" ht="47.25" x14ac:dyDescent="0.25">
      <c r="A120" s="7">
        <v>12.32</v>
      </c>
      <c r="B120" s="13" t="s">
        <v>1829</v>
      </c>
      <c r="C120" s="3" t="s">
        <v>2437</v>
      </c>
      <c r="D120" s="101">
        <v>78</v>
      </c>
    </row>
    <row r="121" spans="1:4" x14ac:dyDescent="0.25">
      <c r="A121" s="3"/>
      <c r="C121" s="3"/>
    </row>
    <row r="122" spans="1:4" ht="47.25" x14ac:dyDescent="0.25">
      <c r="A122" s="7">
        <v>12.33</v>
      </c>
      <c r="B122" s="13" t="s">
        <v>1830</v>
      </c>
      <c r="C122" s="3" t="s">
        <v>2437</v>
      </c>
      <c r="D122" s="101">
        <v>4</v>
      </c>
    </row>
    <row r="123" spans="1:4" x14ac:dyDescent="0.25">
      <c r="A123" s="3"/>
    </row>
    <row r="124" spans="1:4" x14ac:dyDescent="0.25">
      <c r="A124" s="3"/>
      <c r="B124" s="198" t="s">
        <v>1848</v>
      </c>
    </row>
    <row r="125" spans="1:4" x14ac:dyDescent="0.25">
      <c r="A125" s="3"/>
      <c r="B125" s="198"/>
    </row>
    <row r="126" spans="1:4" ht="47.25" x14ac:dyDescent="0.25">
      <c r="A126" s="3">
        <v>12.34</v>
      </c>
      <c r="B126" s="13" t="s">
        <v>1734</v>
      </c>
      <c r="C126" s="6"/>
    </row>
    <row r="127" spans="1:4" x14ac:dyDescent="0.25">
      <c r="A127" s="3" t="s">
        <v>5292</v>
      </c>
      <c r="B127" s="30" t="s">
        <v>2053</v>
      </c>
      <c r="C127" s="3" t="s">
        <v>2437</v>
      </c>
      <c r="D127" s="101">
        <v>11</v>
      </c>
    </row>
    <row r="128" spans="1:4" ht="31.5" x14ac:dyDescent="0.25">
      <c r="A128" s="3" t="s">
        <v>5293</v>
      </c>
      <c r="B128" s="30" t="s">
        <v>2054</v>
      </c>
      <c r="C128" s="3" t="s">
        <v>2437</v>
      </c>
      <c r="D128" s="101">
        <v>6</v>
      </c>
    </row>
    <row r="129" spans="1:4" ht="31.5" x14ac:dyDescent="0.25">
      <c r="A129" s="3" t="s">
        <v>5294</v>
      </c>
      <c r="B129" s="30" t="s">
        <v>2055</v>
      </c>
      <c r="C129" s="3" t="s">
        <v>2437</v>
      </c>
      <c r="D129" s="101">
        <v>3</v>
      </c>
    </row>
    <row r="130" spans="1:4" x14ac:dyDescent="0.25">
      <c r="A130" s="3"/>
      <c r="C130" s="3"/>
    </row>
    <row r="131" spans="1:4" x14ac:dyDescent="0.25">
      <c r="A131" s="3"/>
      <c r="C131" s="3"/>
    </row>
    <row r="132" spans="1:4" x14ac:dyDescent="0.25">
      <c r="A132" s="3"/>
      <c r="C132" s="3"/>
    </row>
    <row r="133" spans="1:4" ht="31.5" x14ac:dyDescent="0.25">
      <c r="A133" s="3">
        <v>12.35</v>
      </c>
      <c r="B133" s="30" t="s">
        <v>2056</v>
      </c>
      <c r="C133" s="3"/>
    </row>
    <row r="134" spans="1:4" ht="31.5" x14ac:dyDescent="0.25">
      <c r="A134" s="3" t="s">
        <v>2041</v>
      </c>
      <c r="B134" s="30" t="s">
        <v>2058</v>
      </c>
      <c r="C134" s="3" t="s">
        <v>2437</v>
      </c>
      <c r="D134" s="101">
        <v>14</v>
      </c>
    </row>
    <row r="135" spans="1:4" x14ac:dyDescent="0.25">
      <c r="A135" s="3" t="s">
        <v>2042</v>
      </c>
      <c r="B135" s="30" t="s">
        <v>2060</v>
      </c>
      <c r="C135" s="3" t="s">
        <v>2437</v>
      </c>
      <c r="D135" s="101">
        <v>15</v>
      </c>
    </row>
    <row r="136" spans="1:4" ht="31.5" x14ac:dyDescent="0.25">
      <c r="A136" s="3" t="s">
        <v>2044</v>
      </c>
      <c r="B136" s="30" t="s">
        <v>2061</v>
      </c>
      <c r="C136" s="3" t="s">
        <v>2437</v>
      </c>
      <c r="D136" s="101">
        <v>7</v>
      </c>
    </row>
    <row r="137" spans="1:4" ht="31.5" x14ac:dyDescent="0.25">
      <c r="A137" s="3" t="s">
        <v>5295</v>
      </c>
      <c r="B137" s="30" t="s">
        <v>2062</v>
      </c>
      <c r="C137" s="3" t="s">
        <v>2437</v>
      </c>
      <c r="D137" s="101">
        <v>6</v>
      </c>
    </row>
    <row r="138" spans="1:4" ht="31.5" x14ac:dyDescent="0.25">
      <c r="A138" s="3" t="s">
        <v>5296</v>
      </c>
      <c r="B138" s="30" t="s">
        <v>2063</v>
      </c>
      <c r="C138" s="3" t="s">
        <v>2437</v>
      </c>
      <c r="D138" s="101">
        <v>4</v>
      </c>
    </row>
    <row r="139" spans="1:4" ht="31.5" x14ac:dyDescent="0.25">
      <c r="A139" s="3" t="s">
        <v>5297</v>
      </c>
      <c r="B139" s="30" t="s">
        <v>2064</v>
      </c>
      <c r="C139" s="3" t="s">
        <v>2437</v>
      </c>
      <c r="D139" s="101">
        <v>4</v>
      </c>
    </row>
    <row r="140" spans="1:4" ht="63" x14ac:dyDescent="0.25">
      <c r="A140" s="3" t="s">
        <v>5298</v>
      </c>
      <c r="B140" s="30" t="s">
        <v>2065</v>
      </c>
      <c r="C140" s="3" t="s">
        <v>2437</v>
      </c>
      <c r="D140" s="101">
        <v>4</v>
      </c>
    </row>
    <row r="141" spans="1:4" x14ac:dyDescent="0.25">
      <c r="A141" s="126"/>
      <c r="C141" s="21"/>
    </row>
    <row r="142" spans="1:4" ht="63" x14ac:dyDescent="0.25">
      <c r="A142" s="7">
        <v>12.36</v>
      </c>
      <c r="B142" s="30" t="s">
        <v>2066</v>
      </c>
      <c r="C142" s="3" t="s">
        <v>2437</v>
      </c>
      <c r="D142" s="101">
        <v>53</v>
      </c>
    </row>
    <row r="143" spans="1:4" x14ac:dyDescent="0.25">
      <c r="A143" s="3"/>
    </row>
    <row r="144" spans="1:4" ht="47.25" x14ac:dyDescent="0.25">
      <c r="A144" s="3">
        <v>12.37</v>
      </c>
      <c r="B144" s="30" t="s">
        <v>2069</v>
      </c>
      <c r="C144" s="3"/>
    </row>
    <row r="145" spans="1:4" ht="31.5" x14ac:dyDescent="0.25">
      <c r="A145" s="3" t="s">
        <v>2051</v>
      </c>
      <c r="B145" s="30" t="s">
        <v>2070</v>
      </c>
      <c r="C145" s="3" t="s">
        <v>2437</v>
      </c>
      <c r="D145" s="101">
        <v>75</v>
      </c>
    </row>
    <row r="146" spans="1:4" ht="31.5" x14ac:dyDescent="0.25">
      <c r="A146" s="3" t="s">
        <v>2052</v>
      </c>
      <c r="B146" s="30" t="s">
        <v>2071</v>
      </c>
      <c r="C146" s="6"/>
    </row>
    <row r="147" spans="1:4" x14ac:dyDescent="0.25">
      <c r="A147" s="3" t="s">
        <v>1660</v>
      </c>
      <c r="B147" s="30" t="s">
        <v>1511</v>
      </c>
      <c r="C147" s="3" t="s">
        <v>2437</v>
      </c>
      <c r="D147" s="101">
        <v>15</v>
      </c>
    </row>
    <row r="148" spans="1:4" x14ac:dyDescent="0.25">
      <c r="A148" s="3" t="s">
        <v>1666</v>
      </c>
      <c r="B148" s="30" t="s">
        <v>1512</v>
      </c>
      <c r="C148" s="3" t="s">
        <v>2437</v>
      </c>
      <c r="D148" s="101">
        <v>11</v>
      </c>
    </row>
    <row r="149" spans="1:4" ht="63" x14ac:dyDescent="0.25">
      <c r="A149" s="3" t="s">
        <v>1510</v>
      </c>
      <c r="B149" s="30" t="s">
        <v>2075</v>
      </c>
      <c r="C149" s="3" t="s">
        <v>2437</v>
      </c>
      <c r="D149" s="101">
        <v>4</v>
      </c>
    </row>
    <row r="150" spans="1:4" x14ac:dyDescent="0.25">
      <c r="A150" s="3"/>
      <c r="C150" s="3"/>
    </row>
    <row r="151" spans="1:4" ht="94.5" x14ac:dyDescent="0.25">
      <c r="A151" s="7">
        <v>12.38</v>
      </c>
      <c r="B151" s="13" t="s">
        <v>1847</v>
      </c>
      <c r="C151" s="3" t="s">
        <v>2437</v>
      </c>
      <c r="D151" s="101">
        <v>43</v>
      </c>
    </row>
    <row r="152" spans="1:4" x14ac:dyDescent="0.25">
      <c r="A152" s="3"/>
      <c r="C152" s="3"/>
    </row>
    <row r="153" spans="1:4" x14ac:dyDescent="0.25">
      <c r="A153" s="3"/>
      <c r="C153" s="3"/>
    </row>
    <row r="154" spans="1:4" ht="31.5" x14ac:dyDescent="0.25">
      <c r="A154" s="7">
        <v>12.39</v>
      </c>
      <c r="B154" s="13" t="s">
        <v>1846</v>
      </c>
      <c r="C154" s="3" t="s">
        <v>2437</v>
      </c>
      <c r="D154" s="101">
        <v>14</v>
      </c>
    </row>
    <row r="155" spans="1:4" x14ac:dyDescent="0.25">
      <c r="A155" s="3"/>
      <c r="C155" s="3"/>
    </row>
    <row r="156" spans="1:4" ht="63" x14ac:dyDescent="0.25">
      <c r="A156" s="7">
        <v>12.4</v>
      </c>
      <c r="B156" s="13" t="s">
        <v>4313</v>
      </c>
      <c r="C156" s="6"/>
    </row>
    <row r="157" spans="1:4" ht="31.5" x14ac:dyDescent="0.25">
      <c r="A157" s="3" t="s">
        <v>5299</v>
      </c>
      <c r="B157" s="30" t="s">
        <v>4314</v>
      </c>
      <c r="C157" s="3" t="s">
        <v>2437</v>
      </c>
      <c r="D157" s="101">
        <v>80</v>
      </c>
    </row>
    <row r="158" spans="1:4" x14ac:dyDescent="0.25">
      <c r="A158" s="3" t="s">
        <v>5300</v>
      </c>
      <c r="B158" s="30" t="s">
        <v>4315</v>
      </c>
      <c r="C158" s="3" t="s">
        <v>2437</v>
      </c>
      <c r="D158" s="101">
        <v>40</v>
      </c>
    </row>
    <row r="159" spans="1:4" x14ac:dyDescent="0.25">
      <c r="A159" s="3"/>
      <c r="C159" s="3"/>
    </row>
    <row r="160" spans="1:4" x14ac:dyDescent="0.25">
      <c r="A160" s="3"/>
      <c r="B160" s="198" t="s">
        <v>1849</v>
      </c>
      <c r="C160" s="3"/>
    </row>
    <row r="161" spans="1:4" x14ac:dyDescent="0.25">
      <c r="A161" s="3"/>
      <c r="C161" s="3"/>
    </row>
    <row r="162" spans="1:4" ht="47.25" x14ac:dyDescent="0.25">
      <c r="A162" s="3">
        <v>12.41</v>
      </c>
      <c r="B162" s="30" t="s">
        <v>2073</v>
      </c>
      <c r="C162" s="3"/>
    </row>
    <row r="163" spans="1:4" x14ac:dyDescent="0.25">
      <c r="A163" s="3" t="s">
        <v>5301</v>
      </c>
      <c r="B163" s="30" t="s">
        <v>1735</v>
      </c>
      <c r="C163" s="3" t="s">
        <v>2437</v>
      </c>
      <c r="D163" s="101">
        <v>53</v>
      </c>
    </row>
    <row r="164" spans="1:4" x14ac:dyDescent="0.25">
      <c r="A164" s="3" t="s">
        <v>5302</v>
      </c>
      <c r="B164" s="30" t="s">
        <v>2074</v>
      </c>
      <c r="C164" s="3" t="s">
        <v>2437</v>
      </c>
      <c r="D164" s="101">
        <v>20</v>
      </c>
    </row>
    <row r="165" spans="1:4" x14ac:dyDescent="0.25">
      <c r="A165" s="3"/>
      <c r="C165" s="3"/>
    </row>
    <row r="166" spans="1:4" ht="78.75" x14ac:dyDescent="0.25">
      <c r="A166" s="7">
        <v>12.42</v>
      </c>
      <c r="B166" s="13" t="s">
        <v>1850</v>
      </c>
      <c r="C166" s="3" t="s">
        <v>2437</v>
      </c>
      <c r="D166" s="101">
        <v>86</v>
      </c>
    </row>
    <row r="167" spans="1:4" x14ac:dyDescent="0.25">
      <c r="A167" s="3"/>
      <c r="C167" s="3"/>
    </row>
    <row r="168" spans="1:4" ht="78.75" x14ac:dyDescent="0.25">
      <c r="A168" s="7">
        <v>12.43</v>
      </c>
      <c r="B168" s="13" t="s">
        <v>6133</v>
      </c>
      <c r="C168" s="3"/>
    </row>
    <row r="169" spans="1:4" x14ac:dyDescent="0.25">
      <c r="A169" s="7"/>
      <c r="B169" s="13"/>
      <c r="C169" s="3"/>
    </row>
    <row r="170" spans="1:4" x14ac:dyDescent="0.25">
      <c r="A170" s="7" t="s">
        <v>1736</v>
      </c>
      <c r="B170" s="13" t="s">
        <v>1793</v>
      </c>
      <c r="C170" s="3" t="s">
        <v>2437</v>
      </c>
      <c r="D170" s="101">
        <v>123</v>
      </c>
    </row>
    <row r="171" spans="1:4" x14ac:dyDescent="0.25">
      <c r="A171" s="7" t="s">
        <v>1513</v>
      </c>
      <c r="B171" s="13" t="s">
        <v>1518</v>
      </c>
      <c r="C171" s="3" t="s">
        <v>2437</v>
      </c>
      <c r="D171" s="101">
        <v>50</v>
      </c>
    </row>
    <row r="172" spans="1:4" x14ac:dyDescent="0.25">
      <c r="A172" s="3"/>
      <c r="C172" s="3"/>
    </row>
    <row r="173" spans="1:4" ht="63" x14ac:dyDescent="0.25">
      <c r="A173" s="7">
        <v>12.44</v>
      </c>
      <c r="B173" s="13" t="s">
        <v>6134</v>
      </c>
      <c r="C173" s="3"/>
    </row>
    <row r="174" spans="1:4" x14ac:dyDescent="0.25">
      <c r="A174" s="7"/>
      <c r="B174" s="13"/>
      <c r="C174" s="3"/>
    </row>
    <row r="175" spans="1:4" x14ac:dyDescent="0.25">
      <c r="A175" s="7" t="s">
        <v>5303</v>
      </c>
      <c r="B175" s="30" t="s">
        <v>2043</v>
      </c>
      <c r="C175" s="3" t="s">
        <v>2437</v>
      </c>
      <c r="D175" s="101">
        <v>171</v>
      </c>
    </row>
    <row r="176" spans="1:4" x14ac:dyDescent="0.25">
      <c r="A176" s="7" t="s">
        <v>5304</v>
      </c>
      <c r="B176" s="30" t="s">
        <v>2045</v>
      </c>
      <c r="C176" s="3" t="s">
        <v>2437</v>
      </c>
      <c r="D176" s="101">
        <v>347</v>
      </c>
    </row>
    <row r="177" spans="1:4" x14ac:dyDescent="0.25">
      <c r="A177" s="7" t="s">
        <v>5305</v>
      </c>
      <c r="B177" s="30" t="s">
        <v>2046</v>
      </c>
      <c r="C177" s="3" t="s">
        <v>2437</v>
      </c>
      <c r="D177" s="101">
        <v>404</v>
      </c>
    </row>
    <row r="178" spans="1:4" x14ac:dyDescent="0.25">
      <c r="A178" s="7" t="s">
        <v>5306</v>
      </c>
      <c r="B178" s="30" t="s">
        <v>2047</v>
      </c>
      <c r="C178" s="3" t="s">
        <v>2437</v>
      </c>
      <c r="D178" s="101">
        <v>473</v>
      </c>
    </row>
    <row r="179" spans="1:4" x14ac:dyDescent="0.25">
      <c r="A179" s="7"/>
      <c r="B179" s="13"/>
      <c r="C179" s="3"/>
    </row>
    <row r="180" spans="1:4" x14ac:dyDescent="0.25">
      <c r="A180" s="7"/>
      <c r="B180" s="13"/>
      <c r="C180" s="3"/>
    </row>
    <row r="181" spans="1:4" x14ac:dyDescent="0.25">
      <c r="A181" s="3"/>
      <c r="B181" s="198" t="s">
        <v>1481</v>
      </c>
      <c r="C181" s="3"/>
    </row>
    <row r="182" spans="1:4" x14ac:dyDescent="0.25">
      <c r="A182" s="3"/>
      <c r="B182" s="198"/>
      <c r="C182" s="3"/>
    </row>
    <row r="183" spans="1:4" x14ac:dyDescent="0.25">
      <c r="A183" s="7">
        <v>12.45</v>
      </c>
      <c r="B183" s="30" t="s">
        <v>2076</v>
      </c>
      <c r="C183" s="3"/>
    </row>
    <row r="184" spans="1:4" ht="31.5" x14ac:dyDescent="0.25">
      <c r="A184" s="7" t="s">
        <v>1516</v>
      </c>
      <c r="B184" s="30" t="s">
        <v>2078</v>
      </c>
      <c r="C184" s="3" t="s">
        <v>2437</v>
      </c>
      <c r="D184" s="101">
        <v>29</v>
      </c>
    </row>
    <row r="185" spans="1:4" ht="31.5" x14ac:dyDescent="0.25">
      <c r="A185" s="7" t="s">
        <v>1517</v>
      </c>
      <c r="B185" s="30" t="s">
        <v>2080</v>
      </c>
      <c r="C185" s="3" t="s">
        <v>2437</v>
      </c>
      <c r="D185" s="101">
        <v>29</v>
      </c>
    </row>
    <row r="186" spans="1:4" ht="47.25" x14ac:dyDescent="0.25">
      <c r="A186" s="7" t="s">
        <v>5307</v>
      </c>
      <c r="B186" s="13" t="s">
        <v>1482</v>
      </c>
      <c r="C186" s="3" t="s">
        <v>2437</v>
      </c>
      <c r="D186" s="101">
        <v>23</v>
      </c>
    </row>
    <row r="187" spans="1:4" ht="47.25" x14ac:dyDescent="0.25">
      <c r="A187" s="7" t="s">
        <v>5308</v>
      </c>
      <c r="B187" s="13" t="s">
        <v>1483</v>
      </c>
      <c r="C187" s="3" t="s">
        <v>2437</v>
      </c>
      <c r="D187" s="101">
        <v>12</v>
      </c>
    </row>
    <row r="188" spans="1:4" x14ac:dyDescent="0.25">
      <c r="A188" s="3"/>
      <c r="C188" s="3"/>
    </row>
    <row r="189" spans="1:4" ht="47.25" x14ac:dyDescent="0.25">
      <c r="A189" s="7">
        <v>12.46</v>
      </c>
      <c r="B189" s="13" t="s">
        <v>10</v>
      </c>
      <c r="C189" s="6"/>
    </row>
    <row r="190" spans="1:4" x14ac:dyDescent="0.25">
      <c r="A190" s="7" t="s">
        <v>1514</v>
      </c>
      <c r="B190" s="13" t="s">
        <v>11</v>
      </c>
      <c r="C190" s="3" t="s">
        <v>2437</v>
      </c>
      <c r="D190" s="101">
        <v>69</v>
      </c>
    </row>
    <row r="191" spans="1:4" x14ac:dyDescent="0.25">
      <c r="A191" s="7" t="s">
        <v>1515</v>
      </c>
      <c r="B191" s="30" t="s">
        <v>1781</v>
      </c>
      <c r="C191" s="3" t="s">
        <v>2437</v>
      </c>
      <c r="D191" s="101">
        <v>34</v>
      </c>
    </row>
    <row r="192" spans="1:4" x14ac:dyDescent="0.25">
      <c r="A192" s="3"/>
      <c r="C192" s="3"/>
    </row>
    <row r="193" spans="1:4" x14ac:dyDescent="0.25">
      <c r="A193" s="7">
        <v>12.47</v>
      </c>
      <c r="B193" s="30" t="s">
        <v>1789</v>
      </c>
      <c r="C193" s="3"/>
    </row>
    <row r="194" spans="1:4" ht="31.5" x14ac:dyDescent="0.25">
      <c r="A194" s="7" t="s">
        <v>2057</v>
      </c>
      <c r="B194" s="30" t="s">
        <v>1790</v>
      </c>
      <c r="C194" s="3" t="s">
        <v>2437</v>
      </c>
      <c r="D194" s="101">
        <v>89</v>
      </c>
    </row>
    <row r="195" spans="1:4" ht="31.5" x14ac:dyDescent="0.25">
      <c r="A195" s="7" t="s">
        <v>2059</v>
      </c>
      <c r="B195" s="13" t="s">
        <v>1486</v>
      </c>
      <c r="C195" s="3" t="s">
        <v>2437</v>
      </c>
      <c r="D195" s="101">
        <v>94</v>
      </c>
    </row>
    <row r="196" spans="1:4" x14ac:dyDescent="0.25">
      <c r="A196" s="3"/>
    </row>
    <row r="197" spans="1:4" x14ac:dyDescent="0.25">
      <c r="A197" s="7">
        <v>12.48</v>
      </c>
      <c r="B197" s="30" t="s">
        <v>1791</v>
      </c>
      <c r="C197" s="3"/>
    </row>
    <row r="198" spans="1:4" ht="31.5" x14ac:dyDescent="0.25">
      <c r="A198" s="7" t="s">
        <v>12</v>
      </c>
      <c r="B198" s="30" t="s">
        <v>1792</v>
      </c>
      <c r="C198" s="3" t="s">
        <v>2437</v>
      </c>
      <c r="D198" s="101">
        <v>167</v>
      </c>
    </row>
    <row r="199" spans="1:4" x14ac:dyDescent="0.25">
      <c r="A199" s="7" t="s">
        <v>13</v>
      </c>
      <c r="B199" s="30" t="s">
        <v>1781</v>
      </c>
      <c r="C199" s="3" t="s">
        <v>2437</v>
      </c>
      <c r="D199" s="101">
        <v>57</v>
      </c>
    </row>
    <row r="200" spans="1:4" x14ac:dyDescent="0.25">
      <c r="A200" s="3"/>
      <c r="C200" s="3"/>
    </row>
    <row r="201" spans="1:4" ht="31.5" x14ac:dyDescent="0.25">
      <c r="A201" s="7">
        <v>12.49</v>
      </c>
      <c r="B201" s="30" t="s">
        <v>1737</v>
      </c>
      <c r="C201" s="3"/>
    </row>
    <row r="202" spans="1:4" x14ac:dyDescent="0.25">
      <c r="A202" s="7" t="s">
        <v>1484</v>
      </c>
      <c r="B202" s="30" t="s">
        <v>1793</v>
      </c>
      <c r="C202" s="3" t="s">
        <v>2437</v>
      </c>
      <c r="D202" s="101">
        <v>69</v>
      </c>
    </row>
    <row r="203" spans="1:4" x14ac:dyDescent="0.25">
      <c r="A203" s="7" t="s">
        <v>1485</v>
      </c>
      <c r="B203" s="30" t="s">
        <v>1794</v>
      </c>
      <c r="C203" s="3" t="s">
        <v>2437</v>
      </c>
      <c r="D203" s="101">
        <v>29</v>
      </c>
    </row>
    <row r="204" spans="1:4" x14ac:dyDescent="0.25">
      <c r="A204" s="3"/>
      <c r="C204" s="3"/>
    </row>
    <row r="205" spans="1:4" ht="63" x14ac:dyDescent="0.25">
      <c r="A205" s="7">
        <v>12.5</v>
      </c>
      <c r="B205" s="30" t="s">
        <v>8</v>
      </c>
      <c r="C205" s="5"/>
    </row>
    <row r="206" spans="1:4" x14ac:dyDescent="0.25">
      <c r="A206" s="3" t="s">
        <v>2067</v>
      </c>
      <c r="B206" s="30" t="s">
        <v>1798</v>
      </c>
      <c r="C206" s="5" t="s">
        <v>2437</v>
      </c>
      <c r="D206" s="101">
        <v>887</v>
      </c>
    </row>
    <row r="207" spans="1:4" x14ac:dyDescent="0.25">
      <c r="A207" s="3" t="s">
        <v>2068</v>
      </c>
      <c r="B207" s="30" t="s">
        <v>1799</v>
      </c>
      <c r="C207" s="5" t="s">
        <v>2437</v>
      </c>
      <c r="D207" s="101">
        <v>606</v>
      </c>
    </row>
    <row r="208" spans="1:4" x14ac:dyDescent="0.25">
      <c r="A208" s="3"/>
      <c r="C208" s="3"/>
    </row>
    <row r="209" spans="1:4" x14ac:dyDescent="0.25">
      <c r="A209" s="3"/>
      <c r="C209" s="3"/>
    </row>
    <row r="210" spans="1:4" x14ac:dyDescent="0.25">
      <c r="A210" s="3"/>
      <c r="C210" s="3"/>
    </row>
    <row r="211" spans="1:4" ht="31.5" x14ac:dyDescent="0.25">
      <c r="A211" s="7">
        <v>12.51</v>
      </c>
      <c r="B211" s="30" t="s">
        <v>2083</v>
      </c>
      <c r="C211" s="3" t="s">
        <v>2437</v>
      </c>
      <c r="D211" s="101">
        <v>36</v>
      </c>
    </row>
    <row r="212" spans="1:4" x14ac:dyDescent="0.25">
      <c r="A212" s="3"/>
    </row>
    <row r="213" spans="1:4" ht="78.75" x14ac:dyDescent="0.25">
      <c r="A213" s="3">
        <v>12.52</v>
      </c>
      <c r="B213" s="30" t="s">
        <v>2085</v>
      </c>
      <c r="C213" s="3"/>
    </row>
    <row r="214" spans="1:4" x14ac:dyDescent="0.25">
      <c r="A214" s="3" t="s">
        <v>2072</v>
      </c>
      <c r="B214" s="30" t="s">
        <v>2087</v>
      </c>
      <c r="C214" s="3" t="s">
        <v>2453</v>
      </c>
      <c r="D214" s="101">
        <v>17</v>
      </c>
    </row>
    <row r="215" spans="1:4" x14ac:dyDescent="0.25">
      <c r="A215" s="3" t="s">
        <v>1738</v>
      </c>
      <c r="B215" s="30" t="s">
        <v>2088</v>
      </c>
      <c r="C215" s="3" t="s">
        <v>2453</v>
      </c>
      <c r="D215" s="101">
        <v>26</v>
      </c>
    </row>
    <row r="216" spans="1:4" x14ac:dyDescent="0.25">
      <c r="A216" s="3" t="s">
        <v>5309</v>
      </c>
      <c r="B216" s="30" t="s">
        <v>2089</v>
      </c>
      <c r="C216" s="3" t="s">
        <v>2453</v>
      </c>
      <c r="D216" s="101">
        <v>40</v>
      </c>
    </row>
    <row r="217" spans="1:4" x14ac:dyDescent="0.25">
      <c r="A217" s="3"/>
      <c r="C217" s="3"/>
    </row>
    <row r="218" spans="1:4" ht="63" x14ac:dyDescent="0.25">
      <c r="A218" s="3">
        <v>12.53</v>
      </c>
      <c r="B218" s="30" t="s">
        <v>1778</v>
      </c>
      <c r="C218" s="3"/>
    </row>
    <row r="219" spans="1:4" x14ac:dyDescent="0.25">
      <c r="A219" s="3" t="s">
        <v>5310</v>
      </c>
      <c r="B219" s="30" t="s">
        <v>2086</v>
      </c>
      <c r="C219" s="3" t="s">
        <v>2453</v>
      </c>
      <c r="D219" s="101">
        <v>3</v>
      </c>
    </row>
    <row r="220" spans="1:4" x14ac:dyDescent="0.25">
      <c r="A220" s="3" t="s">
        <v>5311</v>
      </c>
      <c r="B220" s="30" t="s">
        <v>2087</v>
      </c>
      <c r="C220" s="3" t="s">
        <v>2453</v>
      </c>
      <c r="D220" s="101">
        <v>5</v>
      </c>
    </row>
    <row r="221" spans="1:4" x14ac:dyDescent="0.25">
      <c r="A221" s="3" t="s">
        <v>5312</v>
      </c>
      <c r="B221" s="30" t="s">
        <v>2088</v>
      </c>
      <c r="C221" s="3" t="s">
        <v>2453</v>
      </c>
      <c r="D221" s="101">
        <v>7</v>
      </c>
    </row>
    <row r="222" spans="1:4" x14ac:dyDescent="0.25">
      <c r="A222" s="3" t="s">
        <v>5313</v>
      </c>
      <c r="B222" s="30" t="s">
        <v>2089</v>
      </c>
      <c r="C222" s="3" t="s">
        <v>2453</v>
      </c>
      <c r="D222" s="101">
        <v>10</v>
      </c>
    </row>
    <row r="223" spans="1:4" x14ac:dyDescent="0.25">
      <c r="A223" s="3"/>
      <c r="C223" s="3"/>
    </row>
    <row r="224" spans="1:4" ht="63" x14ac:dyDescent="0.25">
      <c r="A224" s="3">
        <v>12.54</v>
      </c>
      <c r="B224" s="13" t="s">
        <v>1488</v>
      </c>
      <c r="C224" s="3"/>
    </row>
    <row r="225" spans="1:4" x14ac:dyDescent="0.25">
      <c r="A225" s="3" t="s">
        <v>1739</v>
      </c>
      <c r="B225" s="30" t="s">
        <v>2087</v>
      </c>
      <c r="C225" s="3" t="s">
        <v>2453</v>
      </c>
      <c r="D225" s="101">
        <v>17</v>
      </c>
    </row>
    <row r="226" spans="1:4" x14ac:dyDescent="0.25">
      <c r="A226" s="3" t="s">
        <v>1740</v>
      </c>
      <c r="B226" s="30" t="s">
        <v>2088</v>
      </c>
      <c r="C226" s="3" t="s">
        <v>2453</v>
      </c>
      <c r="D226" s="101">
        <v>29</v>
      </c>
    </row>
    <row r="227" spans="1:4" x14ac:dyDescent="0.25">
      <c r="A227" s="3" t="s">
        <v>5314</v>
      </c>
      <c r="B227" s="30" t="s">
        <v>2089</v>
      </c>
      <c r="C227" s="3" t="s">
        <v>2453</v>
      </c>
      <c r="D227" s="101">
        <v>40</v>
      </c>
    </row>
    <row r="228" spans="1:4" x14ac:dyDescent="0.25">
      <c r="A228" s="3"/>
      <c r="C228" s="3"/>
    </row>
    <row r="229" spans="1:4" ht="63" x14ac:dyDescent="0.25">
      <c r="A229" s="3">
        <v>12.55</v>
      </c>
      <c r="B229" s="13" t="s">
        <v>4312</v>
      </c>
      <c r="C229" s="3"/>
    </row>
    <row r="230" spans="1:4" x14ac:dyDescent="0.25">
      <c r="A230" s="3" t="s">
        <v>2077</v>
      </c>
      <c r="B230" s="30" t="s">
        <v>2086</v>
      </c>
      <c r="C230" s="3" t="s">
        <v>2453</v>
      </c>
      <c r="D230" s="101">
        <v>3</v>
      </c>
    </row>
    <row r="231" spans="1:4" x14ac:dyDescent="0.25">
      <c r="A231" s="3" t="s">
        <v>2079</v>
      </c>
      <c r="B231" s="30" t="s">
        <v>2087</v>
      </c>
      <c r="C231" s="3" t="s">
        <v>2453</v>
      </c>
      <c r="D231" s="101">
        <v>5</v>
      </c>
    </row>
    <row r="232" spans="1:4" x14ac:dyDescent="0.25">
      <c r="A232" s="3" t="s">
        <v>1487</v>
      </c>
      <c r="B232" s="30" t="s">
        <v>2088</v>
      </c>
      <c r="C232" s="3" t="s">
        <v>2453</v>
      </c>
      <c r="D232" s="101">
        <v>7</v>
      </c>
    </row>
    <row r="233" spans="1:4" x14ac:dyDescent="0.25">
      <c r="A233" s="3" t="s">
        <v>5315</v>
      </c>
      <c r="B233" s="30" t="s">
        <v>2089</v>
      </c>
      <c r="C233" s="3" t="s">
        <v>2453</v>
      </c>
      <c r="D233" s="101">
        <v>8</v>
      </c>
    </row>
    <row r="234" spans="1:4" x14ac:dyDescent="0.25">
      <c r="A234" s="3"/>
      <c r="C234" s="3"/>
    </row>
    <row r="235" spans="1:4" ht="31.5" x14ac:dyDescent="0.25">
      <c r="A235" s="7">
        <v>12.56</v>
      </c>
      <c r="B235" s="30" t="s">
        <v>1779</v>
      </c>
      <c r="C235" s="3"/>
    </row>
    <row r="236" spans="1:4" x14ac:dyDescent="0.25">
      <c r="A236" s="7" t="s">
        <v>2081</v>
      </c>
      <c r="B236" s="30" t="s">
        <v>2084</v>
      </c>
      <c r="C236" s="3" t="s">
        <v>2437</v>
      </c>
      <c r="D236" s="101">
        <v>21</v>
      </c>
    </row>
    <row r="237" spans="1:4" x14ac:dyDescent="0.25">
      <c r="A237" s="7" t="s">
        <v>2082</v>
      </c>
      <c r="B237" s="30" t="s">
        <v>2074</v>
      </c>
      <c r="C237" s="3" t="s">
        <v>2437</v>
      </c>
      <c r="D237" s="101">
        <v>11</v>
      </c>
    </row>
    <row r="238" spans="1:4" x14ac:dyDescent="0.25">
      <c r="A238" s="3"/>
      <c r="C238" s="3"/>
    </row>
    <row r="239" spans="1:4" x14ac:dyDescent="0.25">
      <c r="A239" s="3"/>
      <c r="C239" s="3"/>
    </row>
    <row r="240" spans="1:4" x14ac:dyDescent="0.25">
      <c r="A240" s="3"/>
      <c r="C240" s="3"/>
    </row>
    <row r="241" spans="1:4" ht="96" customHeight="1" x14ac:dyDescent="0.25">
      <c r="A241" s="7">
        <v>12.57</v>
      </c>
      <c r="B241" s="13" t="s">
        <v>6135</v>
      </c>
      <c r="C241" s="3" t="s">
        <v>2437</v>
      </c>
      <c r="D241" s="101">
        <v>353</v>
      </c>
    </row>
    <row r="242" spans="1:4" x14ac:dyDescent="0.25">
      <c r="A242" s="3"/>
      <c r="C242" s="3"/>
    </row>
    <row r="243" spans="1:4" ht="31.5" x14ac:dyDescent="0.25">
      <c r="A243" s="7">
        <v>12.58</v>
      </c>
      <c r="B243" s="30" t="s">
        <v>1780</v>
      </c>
      <c r="C243" s="3" t="s">
        <v>2437</v>
      </c>
      <c r="D243" s="101">
        <v>23</v>
      </c>
    </row>
    <row r="244" spans="1:4" x14ac:dyDescent="0.25">
      <c r="A244" s="3"/>
    </row>
    <row r="245" spans="1:4" ht="31.5" x14ac:dyDescent="0.25">
      <c r="A245" s="7">
        <v>12.59</v>
      </c>
      <c r="B245" s="30" t="s">
        <v>1783</v>
      </c>
      <c r="C245" s="3"/>
    </row>
    <row r="246" spans="1:4" x14ac:dyDescent="0.25">
      <c r="A246" s="7" t="s">
        <v>4297</v>
      </c>
      <c r="B246" s="30" t="s">
        <v>1782</v>
      </c>
      <c r="C246" s="3" t="s">
        <v>2437</v>
      </c>
      <c r="D246" s="101">
        <v>53</v>
      </c>
    </row>
    <row r="247" spans="1:4" x14ac:dyDescent="0.25">
      <c r="A247" s="7" t="s">
        <v>4298</v>
      </c>
      <c r="B247" s="30" t="s">
        <v>1781</v>
      </c>
      <c r="C247" s="3" t="s">
        <v>2437</v>
      </c>
      <c r="D247" s="101">
        <v>17</v>
      </c>
    </row>
    <row r="248" spans="1:4" x14ac:dyDescent="0.25">
      <c r="A248" s="3"/>
      <c r="C248" s="3"/>
    </row>
    <row r="249" spans="1:4" ht="40.5" customHeight="1" x14ac:dyDescent="0.25">
      <c r="A249" s="7">
        <v>12.6</v>
      </c>
      <c r="B249" s="30" t="s">
        <v>1784</v>
      </c>
      <c r="C249" s="3"/>
    </row>
    <row r="250" spans="1:4" x14ac:dyDescent="0.25">
      <c r="A250" s="7" t="s">
        <v>5316</v>
      </c>
      <c r="B250" s="30" t="s">
        <v>1785</v>
      </c>
      <c r="C250" s="3" t="s">
        <v>2437</v>
      </c>
      <c r="D250" s="101">
        <v>54</v>
      </c>
    </row>
    <row r="251" spans="1:4" x14ac:dyDescent="0.25">
      <c r="A251" s="7" t="s">
        <v>5317</v>
      </c>
      <c r="B251" s="30" t="s">
        <v>1786</v>
      </c>
      <c r="C251" s="3" t="s">
        <v>2437</v>
      </c>
      <c r="D251" s="101">
        <v>26</v>
      </c>
    </row>
    <row r="252" spans="1:4" x14ac:dyDescent="0.25">
      <c r="A252" s="3"/>
      <c r="C252" s="3"/>
    </row>
    <row r="253" spans="1:4" ht="31.5" x14ac:dyDescent="0.25">
      <c r="A253" s="7">
        <v>12.61</v>
      </c>
      <c r="B253" s="30" t="s">
        <v>1787</v>
      </c>
      <c r="C253" s="3"/>
    </row>
    <row r="254" spans="1:4" x14ac:dyDescent="0.25">
      <c r="A254" s="7" t="s">
        <v>5318</v>
      </c>
      <c r="B254" s="30" t="s">
        <v>1782</v>
      </c>
      <c r="C254" s="3" t="s">
        <v>2437</v>
      </c>
      <c r="D254" s="101">
        <v>47</v>
      </c>
    </row>
    <row r="255" spans="1:4" x14ac:dyDescent="0.25">
      <c r="A255" s="7" t="s">
        <v>5319</v>
      </c>
      <c r="B255" s="30" t="s">
        <v>1788</v>
      </c>
      <c r="C255" s="3" t="s">
        <v>2437</v>
      </c>
      <c r="D255" s="101">
        <v>19</v>
      </c>
    </row>
    <row r="256" spans="1:4" x14ac:dyDescent="0.25">
      <c r="A256" s="3"/>
      <c r="C256" s="3"/>
    </row>
    <row r="257" spans="1:4" ht="38.25" x14ac:dyDescent="0.25">
      <c r="A257" s="7">
        <v>12.62</v>
      </c>
      <c r="B257" s="30" t="s">
        <v>1795</v>
      </c>
      <c r="C257" s="219" t="s">
        <v>1796</v>
      </c>
      <c r="D257" s="101">
        <v>2</v>
      </c>
    </row>
    <row r="258" spans="1:4" ht="38.25" x14ac:dyDescent="0.25">
      <c r="A258" s="3">
        <v>12.63</v>
      </c>
      <c r="B258" s="30" t="s">
        <v>1797</v>
      </c>
      <c r="C258" s="219" t="s">
        <v>1796</v>
      </c>
      <c r="D258" s="101">
        <v>1</v>
      </c>
    </row>
    <row r="259" spans="1:4" x14ac:dyDescent="0.25">
      <c r="A259" s="3"/>
      <c r="C259" s="3"/>
    </row>
    <row r="260" spans="1:4" ht="109.5" customHeight="1" x14ac:dyDescent="0.25">
      <c r="A260" s="7">
        <v>12.64</v>
      </c>
      <c r="B260" s="30" t="s">
        <v>6371</v>
      </c>
      <c r="C260" s="3"/>
    </row>
    <row r="261" spans="1:4" x14ac:dyDescent="0.25">
      <c r="A261" s="3" t="s">
        <v>4299</v>
      </c>
      <c r="B261" s="30" t="s">
        <v>4716</v>
      </c>
      <c r="C261" s="3" t="s">
        <v>2437</v>
      </c>
      <c r="D261" s="7">
        <v>246</v>
      </c>
    </row>
    <row r="262" spans="1:4" x14ac:dyDescent="0.25">
      <c r="A262" s="3" t="s">
        <v>4300</v>
      </c>
      <c r="B262" s="30" t="s">
        <v>4717</v>
      </c>
      <c r="C262" s="3" t="s">
        <v>2437</v>
      </c>
      <c r="D262" s="7">
        <v>162</v>
      </c>
    </row>
    <row r="263" spans="1:4" x14ac:dyDescent="0.25">
      <c r="A263" s="3"/>
      <c r="C263" s="3"/>
      <c r="D263" s="15"/>
    </row>
    <row r="264" spans="1:4" x14ac:dyDescent="0.25">
      <c r="A264" s="3"/>
      <c r="C264" s="3"/>
      <c r="D264" s="15"/>
    </row>
    <row r="265" spans="1:4" ht="78.75" x14ac:dyDescent="0.25">
      <c r="A265" s="3">
        <v>12.65</v>
      </c>
      <c r="B265" s="30" t="s">
        <v>5263</v>
      </c>
      <c r="C265" s="3" t="s">
        <v>2437</v>
      </c>
      <c r="D265" s="7">
        <v>1859</v>
      </c>
    </row>
    <row r="266" spans="1:4" x14ac:dyDescent="0.25">
      <c r="A266" s="3"/>
      <c r="C266" s="3"/>
      <c r="D266" s="15"/>
    </row>
    <row r="267" spans="1:4" s="176" customFormat="1" ht="47.25" x14ac:dyDescent="0.25">
      <c r="A267" s="3">
        <v>12.66</v>
      </c>
      <c r="B267" s="13" t="s">
        <v>6367</v>
      </c>
      <c r="C267" s="3" t="s">
        <v>2437</v>
      </c>
      <c r="D267" s="7">
        <v>304</v>
      </c>
    </row>
    <row r="268" spans="1:4" x14ac:dyDescent="0.25">
      <c r="A268" s="3"/>
      <c r="C268" s="3"/>
      <c r="D268" s="15"/>
    </row>
    <row r="269" spans="1:4" s="176" customFormat="1" ht="78.75" x14ac:dyDescent="0.25">
      <c r="A269" s="3">
        <v>12.67</v>
      </c>
      <c r="B269" s="13" t="s">
        <v>6427</v>
      </c>
      <c r="C269" s="3" t="s">
        <v>2437</v>
      </c>
      <c r="D269" s="7">
        <v>365</v>
      </c>
    </row>
    <row r="270" spans="1:4" x14ac:dyDescent="0.25">
      <c r="A270" s="3"/>
      <c r="C270" s="3"/>
      <c r="D270" s="15"/>
    </row>
    <row r="271" spans="1:4" s="176" customFormat="1" ht="94.5" x14ac:dyDescent="0.25">
      <c r="A271" s="3">
        <v>12.68</v>
      </c>
      <c r="B271" s="13" t="s">
        <v>5960</v>
      </c>
      <c r="C271" s="3" t="s">
        <v>2437</v>
      </c>
      <c r="D271" s="7">
        <v>43</v>
      </c>
    </row>
    <row r="272" spans="1:4" x14ac:dyDescent="0.25">
      <c r="A272" s="3"/>
      <c r="C272" s="3"/>
      <c r="D272" s="7"/>
    </row>
    <row r="273" spans="1:4" s="176" customFormat="1" ht="110.25" x14ac:dyDescent="0.25">
      <c r="A273" s="3">
        <v>12.69</v>
      </c>
      <c r="B273" s="13" t="s">
        <v>5961</v>
      </c>
      <c r="C273" s="3" t="s">
        <v>2437</v>
      </c>
      <c r="D273" s="7">
        <v>73</v>
      </c>
    </row>
    <row r="274" spans="1:4" x14ac:dyDescent="0.25">
      <c r="A274" s="3"/>
      <c r="C274" s="3"/>
      <c r="D274" s="10">
        <f>SUM(D16:D273)</f>
        <v>18731.5</v>
      </c>
    </row>
    <row r="275" spans="1:4" x14ac:dyDescent="0.25">
      <c r="A275" s="3"/>
      <c r="C275" s="3"/>
    </row>
    <row r="276" spans="1:4" x14ac:dyDescent="0.25">
      <c r="A276" s="3"/>
      <c r="C276" s="3"/>
    </row>
    <row r="277" spans="1:4" x14ac:dyDescent="0.25">
      <c r="A277" s="3"/>
      <c r="C277" s="3"/>
    </row>
    <row r="278" spans="1:4" x14ac:dyDescent="0.25">
      <c r="A278" s="3"/>
      <c r="C278" s="3"/>
    </row>
    <row r="279" spans="1:4" x14ac:dyDescent="0.25">
      <c r="A279" s="3"/>
      <c r="C279" s="3"/>
    </row>
    <row r="280" spans="1:4" x14ac:dyDescent="0.25">
      <c r="A280" s="3"/>
      <c r="C280" s="3"/>
    </row>
    <row r="281" spans="1:4" x14ac:dyDescent="0.25">
      <c r="A281" s="3"/>
      <c r="C281" s="3"/>
    </row>
    <row r="282" spans="1:4" x14ac:dyDescent="0.25">
      <c r="A282" s="3"/>
      <c r="C282" s="3"/>
    </row>
    <row r="283" spans="1:4" x14ac:dyDescent="0.25">
      <c r="A283" s="3"/>
      <c r="C283" s="3"/>
    </row>
    <row r="284" spans="1:4" x14ac:dyDescent="0.25">
      <c r="A284" s="3"/>
      <c r="C284" s="3"/>
    </row>
    <row r="285" spans="1:4" x14ac:dyDescent="0.25">
      <c r="A285" s="3"/>
      <c r="C285" s="3"/>
    </row>
    <row r="286" spans="1:4" x14ac:dyDescent="0.25">
      <c r="A286" s="3"/>
      <c r="C286" s="3"/>
    </row>
    <row r="287" spans="1:4" x14ac:dyDescent="0.25">
      <c r="A287" s="3"/>
      <c r="C287" s="3"/>
    </row>
    <row r="288" spans="1:4" x14ac:dyDescent="0.25">
      <c r="A288" s="3"/>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tabColor rgb="FFFFFF00"/>
  </sheetPr>
  <dimension ref="A1:E319"/>
  <sheetViews>
    <sheetView view="pageBreakPreview" zoomScaleNormal="100" zoomScaleSheetLayoutView="100" workbookViewId="0">
      <selection activeCell="B9" sqref="B9"/>
    </sheetView>
  </sheetViews>
  <sheetFormatPr defaultRowHeight="15.75" x14ac:dyDescent="0.25"/>
  <cols>
    <col min="1" max="1" width="10" style="5" customWidth="1"/>
    <col min="2" max="2" width="55.7109375" style="30" customWidth="1"/>
    <col min="3" max="3" width="9.7109375" style="8" customWidth="1"/>
    <col min="4" max="4" width="11.7109375" style="5" customWidth="1"/>
    <col min="5" max="5" width="9.5703125" style="6" bestFit="1" customWidth="1"/>
    <col min="6" max="16384" width="9.140625" style="6"/>
  </cols>
  <sheetData>
    <row r="1" spans="1:5" ht="22.5" x14ac:dyDescent="0.25">
      <c r="A1" s="258" t="s">
        <v>1643</v>
      </c>
      <c r="B1" s="258"/>
      <c r="C1" s="258"/>
      <c r="D1" s="258"/>
    </row>
    <row r="2" spans="1:5" ht="27" x14ac:dyDescent="0.25">
      <c r="A2" s="275" t="s">
        <v>1644</v>
      </c>
      <c r="B2" s="275"/>
      <c r="C2" s="275"/>
      <c r="D2" s="275"/>
    </row>
    <row r="4" spans="1:5" s="112" customFormat="1" ht="31.5" x14ac:dyDescent="0.2">
      <c r="A4" s="55" t="s">
        <v>6402</v>
      </c>
      <c r="B4" s="55" t="s">
        <v>2434</v>
      </c>
      <c r="C4" s="55" t="s">
        <v>2435</v>
      </c>
      <c r="D4" s="172" t="s">
        <v>18</v>
      </c>
    </row>
    <row r="5" spans="1:5" s="112" customFormat="1" x14ac:dyDescent="0.2">
      <c r="A5" s="55">
        <v>1</v>
      </c>
      <c r="B5" s="55">
        <v>2</v>
      </c>
      <c r="C5" s="55">
        <v>3</v>
      </c>
      <c r="D5" s="45">
        <v>4</v>
      </c>
      <c r="E5" s="109"/>
    </row>
    <row r="6" spans="1:5" s="112" customFormat="1" x14ac:dyDescent="0.2">
      <c r="A6" s="117"/>
      <c r="B6" s="125"/>
      <c r="C6" s="117"/>
      <c r="D6" s="5"/>
      <c r="E6" s="109"/>
    </row>
    <row r="7" spans="1:5" s="8" customFormat="1" ht="94.5" x14ac:dyDescent="0.25">
      <c r="A7" s="3">
        <v>13.1</v>
      </c>
      <c r="B7" s="13" t="s">
        <v>6428</v>
      </c>
      <c r="C7" s="3" t="s">
        <v>2437</v>
      </c>
      <c r="D7" s="101">
        <v>235</v>
      </c>
      <c r="E7" s="6"/>
    </row>
    <row r="8" spans="1:5" x14ac:dyDescent="0.25">
      <c r="A8" s="3"/>
      <c r="C8" s="3"/>
    </row>
    <row r="9" spans="1:5" ht="126" x14ac:dyDescent="0.25">
      <c r="A9" s="3">
        <v>13.2</v>
      </c>
      <c r="B9" s="30" t="s">
        <v>6291</v>
      </c>
      <c r="C9" s="3"/>
    </row>
    <row r="10" spans="1:5" x14ac:dyDescent="0.25">
      <c r="A10" s="3" t="s">
        <v>1645</v>
      </c>
      <c r="B10" s="30" t="s">
        <v>2476</v>
      </c>
      <c r="C10" s="3" t="s">
        <v>4217</v>
      </c>
      <c r="D10" s="101">
        <v>615</v>
      </c>
    </row>
    <row r="11" spans="1:5" x14ac:dyDescent="0.25">
      <c r="A11" s="3" t="s">
        <v>1646</v>
      </c>
      <c r="B11" s="30" t="s">
        <v>2477</v>
      </c>
      <c r="C11" s="3" t="s">
        <v>4217</v>
      </c>
      <c r="D11" s="101">
        <v>383</v>
      </c>
    </row>
    <row r="12" spans="1:5" x14ac:dyDescent="0.25">
      <c r="A12" s="3" t="s">
        <v>2479</v>
      </c>
      <c r="B12" s="30" t="s">
        <v>2478</v>
      </c>
      <c r="C12" s="3" t="s">
        <v>4217</v>
      </c>
      <c r="D12" s="101">
        <v>271</v>
      </c>
    </row>
    <row r="13" spans="1:5" x14ac:dyDescent="0.25">
      <c r="A13" s="3"/>
      <c r="C13" s="3"/>
    </row>
    <row r="14" spans="1:5" ht="78.75" x14ac:dyDescent="0.25">
      <c r="A14" s="3">
        <v>13.3</v>
      </c>
      <c r="B14" s="13" t="s">
        <v>6429</v>
      </c>
      <c r="C14" s="3" t="s">
        <v>2437</v>
      </c>
      <c r="D14" s="101">
        <v>447</v>
      </c>
    </row>
    <row r="15" spans="1:5" x14ac:dyDescent="0.25">
      <c r="A15" s="3"/>
      <c r="C15" s="3"/>
    </row>
    <row r="16" spans="1:5" x14ac:dyDescent="0.25">
      <c r="A16" s="3">
        <v>13.4</v>
      </c>
      <c r="B16" s="206" t="s">
        <v>6430</v>
      </c>
      <c r="C16" s="3"/>
    </row>
    <row r="17" spans="1:4" x14ac:dyDescent="0.25">
      <c r="A17" s="3" t="s">
        <v>2480</v>
      </c>
      <c r="B17" s="30" t="s">
        <v>2090</v>
      </c>
      <c r="C17" s="3" t="s">
        <v>2437</v>
      </c>
      <c r="D17" s="101">
        <v>617</v>
      </c>
    </row>
    <row r="18" spans="1:4" x14ac:dyDescent="0.25">
      <c r="A18" s="3" t="s">
        <v>2091</v>
      </c>
      <c r="B18" s="30" t="s">
        <v>4946</v>
      </c>
      <c r="C18" s="3" t="s">
        <v>2437</v>
      </c>
      <c r="D18" s="101">
        <v>763</v>
      </c>
    </row>
    <row r="19" spans="1:4" x14ac:dyDescent="0.25">
      <c r="A19" s="3"/>
      <c r="C19" s="3"/>
    </row>
    <row r="20" spans="1:4" ht="31.5" x14ac:dyDescent="0.25">
      <c r="A20" s="3">
        <v>13.5</v>
      </c>
      <c r="B20" s="13" t="s">
        <v>1650</v>
      </c>
      <c r="C20" s="3"/>
    </row>
    <row r="21" spans="1:4" x14ac:dyDescent="0.25">
      <c r="A21" s="3" t="s">
        <v>2092</v>
      </c>
      <c r="B21" s="13" t="s">
        <v>1649</v>
      </c>
      <c r="C21" s="3" t="s">
        <v>2437</v>
      </c>
      <c r="D21" s="101">
        <v>765</v>
      </c>
    </row>
    <row r="22" spans="1:4" x14ac:dyDescent="0.25">
      <c r="A22" s="3" t="s">
        <v>2093</v>
      </c>
      <c r="B22" s="13" t="s">
        <v>1713</v>
      </c>
      <c r="C22" s="3" t="s">
        <v>2437</v>
      </c>
      <c r="D22" s="101">
        <v>912</v>
      </c>
    </row>
    <row r="23" spans="1:4" x14ac:dyDescent="0.25">
      <c r="A23" s="3"/>
      <c r="B23" s="13"/>
      <c r="C23" s="3"/>
    </row>
    <row r="24" spans="1:4" x14ac:dyDescent="0.25">
      <c r="A24" s="3">
        <v>13.6</v>
      </c>
      <c r="B24" s="13" t="s">
        <v>1651</v>
      </c>
      <c r="C24" s="3"/>
    </row>
    <row r="25" spans="1:4" x14ac:dyDescent="0.25">
      <c r="A25" s="3" t="s">
        <v>2094</v>
      </c>
      <c r="B25" s="13" t="s">
        <v>1649</v>
      </c>
      <c r="C25" s="3" t="s">
        <v>2437</v>
      </c>
      <c r="D25" s="101">
        <v>636</v>
      </c>
    </row>
    <row r="26" spans="1:4" x14ac:dyDescent="0.25">
      <c r="A26" s="3" t="s">
        <v>1712</v>
      </c>
      <c r="B26" s="13" t="s">
        <v>1713</v>
      </c>
      <c r="C26" s="3" t="s">
        <v>2437</v>
      </c>
      <c r="D26" s="101">
        <v>780</v>
      </c>
    </row>
    <row r="27" spans="1:4" x14ac:dyDescent="0.25">
      <c r="A27" s="3"/>
      <c r="B27" s="13"/>
      <c r="C27" s="3"/>
    </row>
    <row r="28" spans="1:4" x14ac:dyDescent="0.25">
      <c r="A28" s="3"/>
      <c r="B28" s="13"/>
      <c r="C28" s="3"/>
    </row>
    <row r="29" spans="1:4" x14ac:dyDescent="0.25">
      <c r="A29" s="3"/>
      <c r="B29" s="13"/>
      <c r="C29" s="3"/>
    </row>
    <row r="30" spans="1:4" ht="31.5" x14ac:dyDescent="0.25">
      <c r="A30" s="3">
        <v>13.7</v>
      </c>
      <c r="B30" s="30" t="s">
        <v>2095</v>
      </c>
      <c r="C30" s="3" t="s">
        <v>2785</v>
      </c>
      <c r="D30" s="101">
        <v>29</v>
      </c>
    </row>
    <row r="31" spans="1:4" x14ac:dyDescent="0.25">
      <c r="A31" s="3"/>
      <c r="C31" s="3"/>
    </row>
    <row r="32" spans="1:4" x14ac:dyDescent="0.25">
      <c r="A32" s="103">
        <v>13.8</v>
      </c>
      <c r="B32" s="30" t="s">
        <v>2096</v>
      </c>
      <c r="C32" s="3" t="s">
        <v>2785</v>
      </c>
      <c r="D32" s="101">
        <v>18</v>
      </c>
    </row>
    <row r="33" spans="1:4" x14ac:dyDescent="0.25">
      <c r="A33" s="3"/>
      <c r="B33" s="13"/>
      <c r="C33" s="3"/>
    </row>
    <row r="34" spans="1:4" x14ac:dyDescent="0.25">
      <c r="A34" s="3">
        <v>13.9</v>
      </c>
      <c r="B34" s="30" t="s">
        <v>2097</v>
      </c>
      <c r="C34" s="3" t="s">
        <v>2437</v>
      </c>
      <c r="D34" s="101">
        <v>213</v>
      </c>
    </row>
    <row r="35" spans="1:4" x14ac:dyDescent="0.25">
      <c r="A35" s="3"/>
      <c r="B35" s="13"/>
      <c r="C35" s="3"/>
    </row>
    <row r="36" spans="1:4" ht="31.5" x14ac:dyDescent="0.25">
      <c r="A36" s="7">
        <v>13.1</v>
      </c>
      <c r="B36" s="13" t="s">
        <v>1652</v>
      </c>
      <c r="C36" s="3" t="s">
        <v>2437</v>
      </c>
      <c r="D36" s="101">
        <v>176</v>
      </c>
    </row>
    <row r="37" spans="1:4" x14ac:dyDescent="0.25">
      <c r="A37" s="3"/>
      <c r="B37" s="13"/>
    </row>
    <row r="38" spans="1:4" ht="63" x14ac:dyDescent="0.25">
      <c r="A38" s="3">
        <v>13.11</v>
      </c>
      <c r="B38" s="30" t="s">
        <v>2098</v>
      </c>
      <c r="C38" s="3" t="s">
        <v>4217</v>
      </c>
      <c r="D38" s="101">
        <v>215</v>
      </c>
    </row>
    <row r="39" spans="1:4" x14ac:dyDescent="0.25">
      <c r="A39" s="3"/>
      <c r="B39" s="13"/>
      <c r="C39" s="3"/>
    </row>
    <row r="40" spans="1:4" ht="31.5" x14ac:dyDescent="0.25">
      <c r="A40" s="3">
        <v>13.12</v>
      </c>
      <c r="B40" s="13" t="s">
        <v>2099</v>
      </c>
      <c r="C40" s="3" t="s">
        <v>2437</v>
      </c>
      <c r="D40" s="101">
        <v>318</v>
      </c>
    </row>
    <row r="41" spans="1:4" x14ac:dyDescent="0.25">
      <c r="A41" s="3"/>
      <c r="B41" s="13"/>
      <c r="C41" s="3"/>
    </row>
    <row r="42" spans="1:4" ht="31.5" x14ac:dyDescent="0.25">
      <c r="A42" s="3">
        <v>13.13</v>
      </c>
      <c r="B42" s="13" t="s">
        <v>2100</v>
      </c>
      <c r="C42" s="3" t="s">
        <v>2437</v>
      </c>
      <c r="D42" s="101">
        <v>354</v>
      </c>
    </row>
    <row r="43" spans="1:4" x14ac:dyDescent="0.25">
      <c r="A43" s="3"/>
      <c r="B43" s="13"/>
      <c r="C43" s="3"/>
    </row>
    <row r="44" spans="1:4" ht="47.25" x14ac:dyDescent="0.25">
      <c r="A44" s="3">
        <v>13.14</v>
      </c>
      <c r="B44" s="13" t="s">
        <v>2102</v>
      </c>
      <c r="C44" s="3"/>
    </row>
    <row r="45" spans="1:4" x14ac:dyDescent="0.25">
      <c r="A45" s="3" t="s">
        <v>1714</v>
      </c>
      <c r="B45" s="13" t="s">
        <v>2101</v>
      </c>
      <c r="C45" s="3" t="s">
        <v>2437</v>
      </c>
      <c r="D45" s="101">
        <v>288</v>
      </c>
    </row>
    <row r="46" spans="1:4" x14ac:dyDescent="0.25">
      <c r="A46" s="3" t="s">
        <v>1715</v>
      </c>
      <c r="B46" s="13" t="s">
        <v>2103</v>
      </c>
      <c r="C46" s="3" t="s">
        <v>2437</v>
      </c>
      <c r="D46" s="101">
        <v>459</v>
      </c>
    </row>
    <row r="47" spans="1:4" x14ac:dyDescent="0.25">
      <c r="A47" s="3"/>
      <c r="B47" s="13"/>
      <c r="C47" s="3"/>
    </row>
    <row r="48" spans="1:4" ht="47.25" x14ac:dyDescent="0.25">
      <c r="A48" s="3">
        <v>13.15</v>
      </c>
      <c r="B48" s="13" t="s">
        <v>1647</v>
      </c>
      <c r="C48" s="3" t="s">
        <v>2437</v>
      </c>
      <c r="D48" s="101">
        <v>317</v>
      </c>
    </row>
    <row r="49" spans="1:4" x14ac:dyDescent="0.25">
      <c r="A49" s="3"/>
      <c r="B49" s="13"/>
      <c r="C49" s="3"/>
    </row>
    <row r="50" spans="1:4" x14ac:dyDescent="0.25">
      <c r="A50" s="3">
        <v>13.16</v>
      </c>
      <c r="B50" s="13" t="s">
        <v>1648</v>
      </c>
      <c r="C50" s="3" t="s">
        <v>2437</v>
      </c>
      <c r="D50" s="101">
        <v>1</v>
      </c>
    </row>
    <row r="51" spans="1:4" x14ac:dyDescent="0.25">
      <c r="A51" s="3"/>
      <c r="B51" s="13"/>
      <c r="C51" s="3"/>
    </row>
    <row r="52" spans="1:4" ht="31.5" x14ac:dyDescent="0.25">
      <c r="A52" s="3">
        <v>13.17</v>
      </c>
      <c r="B52" s="13" t="s">
        <v>2104</v>
      </c>
      <c r="C52" s="3" t="s">
        <v>2437</v>
      </c>
      <c r="D52" s="101">
        <v>185</v>
      </c>
    </row>
    <row r="53" spans="1:4" x14ac:dyDescent="0.25">
      <c r="A53" s="3"/>
      <c r="B53" s="13"/>
      <c r="C53" s="3"/>
    </row>
    <row r="54" spans="1:4" ht="31.5" x14ac:dyDescent="0.25">
      <c r="A54" s="3">
        <v>13.18</v>
      </c>
      <c r="B54" s="13" t="s">
        <v>1653</v>
      </c>
      <c r="C54" s="3" t="s">
        <v>2437</v>
      </c>
      <c r="D54" s="101">
        <v>1844</v>
      </c>
    </row>
    <row r="55" spans="1:4" x14ac:dyDescent="0.25">
      <c r="A55" s="3"/>
      <c r="B55" s="13"/>
      <c r="C55" s="3"/>
    </row>
    <row r="56" spans="1:4" ht="31.5" x14ac:dyDescent="0.25">
      <c r="A56" s="3">
        <v>13.19</v>
      </c>
      <c r="B56" s="13" t="s">
        <v>1654</v>
      </c>
      <c r="C56" s="3" t="s">
        <v>4217</v>
      </c>
      <c r="D56" s="101">
        <v>182</v>
      </c>
    </row>
    <row r="57" spans="1:4" x14ac:dyDescent="0.25">
      <c r="A57" s="3"/>
      <c r="B57" s="13"/>
    </row>
    <row r="58" spans="1:4" x14ac:dyDescent="0.25">
      <c r="A58" s="3"/>
      <c r="B58" s="13"/>
    </row>
    <row r="59" spans="1:4" x14ac:dyDescent="0.25">
      <c r="A59" s="3"/>
      <c r="B59" s="13"/>
    </row>
    <row r="60" spans="1:4" x14ac:dyDescent="0.25">
      <c r="A60" s="3"/>
      <c r="B60" s="13"/>
    </row>
    <row r="61" spans="1:4" x14ac:dyDescent="0.25">
      <c r="A61" s="7">
        <v>13.2</v>
      </c>
      <c r="B61" s="13" t="s">
        <v>1655</v>
      </c>
      <c r="C61" s="3"/>
    </row>
    <row r="62" spans="1:4" ht="31.5" x14ac:dyDescent="0.25">
      <c r="A62" s="3" t="s">
        <v>1716</v>
      </c>
      <c r="B62" s="13" t="s">
        <v>1656</v>
      </c>
      <c r="C62" s="5" t="s">
        <v>2437</v>
      </c>
      <c r="D62" s="101">
        <v>69</v>
      </c>
    </row>
    <row r="63" spans="1:4" ht="31.5" x14ac:dyDescent="0.25">
      <c r="A63" s="3" t="s">
        <v>1717</v>
      </c>
      <c r="B63" s="13" t="s">
        <v>1657</v>
      </c>
      <c r="C63" s="5" t="s">
        <v>2437</v>
      </c>
      <c r="D63" s="101">
        <v>43</v>
      </c>
    </row>
    <row r="64" spans="1:4" x14ac:dyDescent="0.25">
      <c r="A64" s="3"/>
      <c r="B64" s="13"/>
      <c r="C64" s="3"/>
    </row>
    <row r="65" spans="1:4" ht="47.25" x14ac:dyDescent="0.25">
      <c r="A65" s="3">
        <v>13.21</v>
      </c>
      <c r="B65" s="13" t="s">
        <v>1658</v>
      </c>
      <c r="C65" s="3" t="s">
        <v>2437</v>
      </c>
      <c r="D65" s="101">
        <v>121</v>
      </c>
    </row>
    <row r="66" spans="1:4" x14ac:dyDescent="0.25">
      <c r="A66" s="3"/>
      <c r="B66" s="13"/>
      <c r="C66" s="3"/>
    </row>
    <row r="67" spans="1:4" ht="173.25" x14ac:dyDescent="0.25">
      <c r="A67" s="3">
        <v>13.22</v>
      </c>
      <c r="B67" s="13" t="s">
        <v>6292</v>
      </c>
      <c r="C67" s="3" t="s">
        <v>2606</v>
      </c>
      <c r="D67" s="101">
        <v>162</v>
      </c>
    </row>
    <row r="68" spans="1:4" x14ac:dyDescent="0.25">
      <c r="A68" s="3"/>
      <c r="C68" s="3"/>
    </row>
    <row r="69" spans="1:4" ht="63" x14ac:dyDescent="0.25">
      <c r="A69" s="7">
        <v>13.23</v>
      </c>
      <c r="B69" s="30" t="s">
        <v>2034</v>
      </c>
      <c r="C69" s="3" t="s">
        <v>2606</v>
      </c>
      <c r="D69" s="101">
        <v>332</v>
      </c>
    </row>
    <row r="70" spans="1:4" x14ac:dyDescent="0.25">
      <c r="A70" s="3"/>
      <c r="C70" s="3"/>
    </row>
    <row r="71" spans="1:4" ht="47.25" x14ac:dyDescent="0.25">
      <c r="A71" s="3">
        <v>13.24</v>
      </c>
      <c r="B71" s="13" t="s">
        <v>2031</v>
      </c>
      <c r="C71" s="3" t="s">
        <v>2606</v>
      </c>
      <c r="D71" s="101">
        <v>220</v>
      </c>
    </row>
    <row r="72" spans="1:4" x14ac:dyDescent="0.25">
      <c r="A72" s="3"/>
      <c r="C72" s="3"/>
    </row>
    <row r="73" spans="1:4" ht="47.25" x14ac:dyDescent="0.25">
      <c r="A73" s="3">
        <v>13.25</v>
      </c>
      <c r="B73" s="30" t="s">
        <v>2032</v>
      </c>
      <c r="C73" s="3" t="s">
        <v>2606</v>
      </c>
      <c r="D73" s="101">
        <v>256</v>
      </c>
    </row>
    <row r="74" spans="1:4" x14ac:dyDescent="0.25">
      <c r="A74" s="3"/>
      <c r="C74" s="3"/>
    </row>
    <row r="75" spans="1:4" ht="47.25" x14ac:dyDescent="0.25">
      <c r="A75" s="7">
        <v>13.26</v>
      </c>
      <c r="B75" s="30" t="s">
        <v>2033</v>
      </c>
      <c r="C75" s="3" t="s">
        <v>4217</v>
      </c>
      <c r="D75" s="101">
        <v>866</v>
      </c>
    </row>
    <row r="76" spans="1:4" x14ac:dyDescent="0.25">
      <c r="A76" s="3"/>
      <c r="C76" s="3"/>
    </row>
    <row r="77" spans="1:4" ht="31.5" x14ac:dyDescent="0.25">
      <c r="A77" s="7">
        <v>13.27</v>
      </c>
      <c r="B77" s="30" t="s">
        <v>6293</v>
      </c>
      <c r="C77" s="3" t="s">
        <v>4217</v>
      </c>
      <c r="D77" s="101">
        <v>606</v>
      </c>
    </row>
    <row r="78" spans="1:4" x14ac:dyDescent="0.25">
      <c r="A78" s="3"/>
      <c r="C78" s="3"/>
    </row>
    <row r="79" spans="1:4" x14ac:dyDescent="0.25">
      <c r="A79" s="3"/>
      <c r="C79" s="3"/>
    </row>
    <row r="80" spans="1:4" x14ac:dyDescent="0.25">
      <c r="A80" s="3"/>
      <c r="C80" s="3"/>
    </row>
    <row r="81" spans="1:5" x14ac:dyDescent="0.25">
      <c r="A81" s="3"/>
      <c r="C81" s="3"/>
    </row>
    <row r="82" spans="1:5" ht="47.25" x14ac:dyDescent="0.25">
      <c r="A82" s="3">
        <v>13.28</v>
      </c>
      <c r="B82" s="30" t="s">
        <v>718</v>
      </c>
      <c r="C82" s="3" t="s">
        <v>2634</v>
      </c>
      <c r="D82" s="101">
        <v>34</v>
      </c>
    </row>
    <row r="83" spans="1:5" x14ac:dyDescent="0.25">
      <c r="A83" s="3"/>
      <c r="C83" s="3"/>
    </row>
    <row r="84" spans="1:5" ht="31.5" x14ac:dyDescent="0.25">
      <c r="A84" s="3">
        <v>13.29</v>
      </c>
      <c r="B84" s="13" t="s">
        <v>6431</v>
      </c>
      <c r="C84" s="3" t="s">
        <v>2437</v>
      </c>
      <c r="D84" s="101">
        <v>1568</v>
      </c>
    </row>
    <row r="85" spans="1:5" ht="63" x14ac:dyDescent="0.25">
      <c r="A85" s="3" t="s">
        <v>1662</v>
      </c>
      <c r="B85" s="13" t="s">
        <v>6137</v>
      </c>
      <c r="C85" s="3"/>
      <c r="D85" s="101"/>
    </row>
    <row r="86" spans="1:5" x14ac:dyDescent="0.25">
      <c r="A86" s="3" t="s">
        <v>1664</v>
      </c>
      <c r="B86" s="13" t="s">
        <v>6138</v>
      </c>
      <c r="C86" s="3"/>
      <c r="D86" s="101"/>
    </row>
    <row r="87" spans="1:5" ht="47.25" x14ac:dyDescent="0.25">
      <c r="A87" s="3" t="s">
        <v>1670</v>
      </c>
      <c r="B87" s="13" t="s">
        <v>6139</v>
      </c>
      <c r="C87" s="3"/>
      <c r="D87" s="101"/>
    </row>
    <row r="88" spans="1:5" ht="31.5" x14ac:dyDescent="0.25">
      <c r="A88" s="3" t="s">
        <v>400</v>
      </c>
      <c r="B88" s="13" t="s">
        <v>6140</v>
      </c>
      <c r="C88" s="3"/>
      <c r="D88" s="101"/>
    </row>
    <row r="89" spans="1:5" ht="31.5" x14ac:dyDescent="0.25">
      <c r="A89" s="3" t="s">
        <v>401</v>
      </c>
      <c r="B89" s="13" t="s">
        <v>6141</v>
      </c>
      <c r="C89" s="3"/>
      <c r="D89" s="101"/>
    </row>
    <row r="90" spans="1:5" ht="31.5" x14ac:dyDescent="0.25">
      <c r="A90" s="3" t="s">
        <v>402</v>
      </c>
      <c r="B90" s="13" t="s">
        <v>6142</v>
      </c>
      <c r="C90" s="3"/>
      <c r="D90" s="101"/>
    </row>
    <row r="91" spans="1:5" x14ac:dyDescent="0.25">
      <c r="A91" s="3"/>
      <c r="C91" s="3"/>
    </row>
    <row r="92" spans="1:5" ht="78.75" x14ac:dyDescent="0.25">
      <c r="A92" s="7">
        <v>13.3</v>
      </c>
      <c r="B92" s="13" t="s">
        <v>6136</v>
      </c>
      <c r="C92" s="3" t="s">
        <v>2437</v>
      </c>
      <c r="D92" s="101">
        <v>2820</v>
      </c>
    </row>
    <row r="93" spans="1:5" s="100" customFormat="1" x14ac:dyDescent="0.25">
      <c r="A93" s="16" t="s">
        <v>4645</v>
      </c>
      <c r="B93" s="125" t="s">
        <v>4646</v>
      </c>
      <c r="C93" s="3" t="s">
        <v>2437</v>
      </c>
      <c r="D93" s="16">
        <v>264</v>
      </c>
      <c r="E93" s="6"/>
    </row>
    <row r="94" spans="1:5" x14ac:dyDescent="0.25">
      <c r="A94" s="3"/>
      <c r="C94" s="3"/>
    </row>
    <row r="95" spans="1:5" ht="78.75" x14ac:dyDescent="0.25">
      <c r="A95" s="3">
        <v>13.31</v>
      </c>
      <c r="B95" s="13" t="s">
        <v>418</v>
      </c>
      <c r="C95" s="3" t="s">
        <v>2437</v>
      </c>
      <c r="D95" s="101">
        <v>633</v>
      </c>
    </row>
    <row r="96" spans="1:5" x14ac:dyDescent="0.25">
      <c r="A96" s="3"/>
      <c r="C96" s="3"/>
    </row>
    <row r="97" spans="1:4" ht="31.5" x14ac:dyDescent="0.25">
      <c r="A97" s="3">
        <v>13.32</v>
      </c>
      <c r="B97" s="13" t="s">
        <v>6147</v>
      </c>
      <c r="C97" s="3"/>
    </row>
    <row r="98" spans="1:4" x14ac:dyDescent="0.25">
      <c r="A98" s="3" t="s">
        <v>1662</v>
      </c>
      <c r="B98" s="13" t="s">
        <v>6148</v>
      </c>
      <c r="C98" s="3"/>
    </row>
    <row r="99" spans="1:4" ht="31.5" x14ac:dyDescent="0.25">
      <c r="A99" s="3" t="s">
        <v>1664</v>
      </c>
      <c r="B99" s="13" t="s">
        <v>6143</v>
      </c>
      <c r="C99" s="3"/>
    </row>
    <row r="100" spans="1:4" ht="47.25" x14ac:dyDescent="0.25">
      <c r="A100" s="3" t="s">
        <v>1670</v>
      </c>
      <c r="B100" s="13" t="s">
        <v>6144</v>
      </c>
      <c r="C100" s="3"/>
    </row>
    <row r="101" spans="1:4" ht="31.5" x14ac:dyDescent="0.25">
      <c r="A101" s="3" t="s">
        <v>400</v>
      </c>
      <c r="B101" s="13" t="s">
        <v>6294</v>
      </c>
      <c r="C101" s="3"/>
    </row>
    <row r="102" spans="1:4" x14ac:dyDescent="0.25">
      <c r="A102" s="3"/>
      <c r="B102" s="13"/>
      <c r="C102" s="3"/>
    </row>
    <row r="103" spans="1:4" ht="78.75" x14ac:dyDescent="0.25">
      <c r="A103" s="3" t="s">
        <v>401</v>
      </c>
      <c r="B103" s="13" t="s">
        <v>6145</v>
      </c>
      <c r="C103" s="3"/>
    </row>
    <row r="104" spans="1:4" ht="31.5" x14ac:dyDescent="0.25">
      <c r="A104" s="3" t="s">
        <v>402</v>
      </c>
      <c r="B104" s="13" t="s">
        <v>6146</v>
      </c>
      <c r="C104" s="3"/>
    </row>
    <row r="105" spans="1:4" x14ac:dyDescent="0.25">
      <c r="A105" s="3" t="s">
        <v>4649</v>
      </c>
      <c r="B105" s="29" t="s">
        <v>4650</v>
      </c>
      <c r="C105" s="11" t="s">
        <v>3208</v>
      </c>
      <c r="D105" s="16">
        <v>0.4</v>
      </c>
    </row>
    <row r="106" spans="1:4" x14ac:dyDescent="0.25">
      <c r="A106" s="3" t="s">
        <v>4647</v>
      </c>
      <c r="B106" s="29" t="s">
        <v>4651</v>
      </c>
      <c r="C106" s="11" t="s">
        <v>3208</v>
      </c>
      <c r="D106" s="16">
        <v>0.35</v>
      </c>
    </row>
    <row r="107" spans="1:4" x14ac:dyDescent="0.25">
      <c r="A107" s="3" t="s">
        <v>4648</v>
      </c>
      <c r="B107" s="29" t="s">
        <v>4652</v>
      </c>
      <c r="C107" s="11" t="s">
        <v>3208</v>
      </c>
      <c r="D107" s="16">
        <v>0.3</v>
      </c>
    </row>
    <row r="108" spans="1:4" x14ac:dyDescent="0.25">
      <c r="A108" s="3"/>
      <c r="C108" s="3"/>
    </row>
    <row r="109" spans="1:4" ht="31.5" x14ac:dyDescent="0.25">
      <c r="A109" s="7">
        <v>13.33</v>
      </c>
      <c r="B109" s="13" t="s">
        <v>1659</v>
      </c>
      <c r="C109" s="3"/>
    </row>
    <row r="110" spans="1:4" x14ac:dyDescent="0.25">
      <c r="A110" s="5" t="s">
        <v>1660</v>
      </c>
      <c r="B110" s="13" t="s">
        <v>1661</v>
      </c>
      <c r="C110" s="3"/>
    </row>
    <row r="111" spans="1:4" x14ac:dyDescent="0.25">
      <c r="A111" s="5" t="s">
        <v>1662</v>
      </c>
      <c r="B111" s="13" t="s">
        <v>1663</v>
      </c>
      <c r="C111" s="7" t="s">
        <v>2356</v>
      </c>
      <c r="D111" s="101">
        <v>266</v>
      </c>
    </row>
    <row r="112" spans="1:4" x14ac:dyDescent="0.25">
      <c r="A112" s="5" t="s">
        <v>1664</v>
      </c>
      <c r="B112" s="13" t="s">
        <v>1665</v>
      </c>
      <c r="C112" s="7" t="s">
        <v>2356</v>
      </c>
      <c r="D112" s="101">
        <v>367</v>
      </c>
    </row>
    <row r="113" spans="1:4" x14ac:dyDescent="0.25">
      <c r="C113" s="3"/>
    </row>
    <row r="114" spans="1:4" x14ac:dyDescent="0.25">
      <c r="A114" s="5" t="s">
        <v>1666</v>
      </c>
      <c r="B114" s="13" t="s">
        <v>1667</v>
      </c>
      <c r="C114" s="3"/>
    </row>
    <row r="115" spans="1:4" x14ac:dyDescent="0.25">
      <c r="A115" s="5" t="s">
        <v>1662</v>
      </c>
      <c r="B115" s="13" t="s">
        <v>1668</v>
      </c>
      <c r="C115" s="7" t="s">
        <v>2606</v>
      </c>
      <c r="D115" s="101">
        <v>598</v>
      </c>
    </row>
    <row r="116" spans="1:4" x14ac:dyDescent="0.25">
      <c r="A116" s="5" t="s">
        <v>1664</v>
      </c>
      <c r="B116" s="13" t="s">
        <v>1669</v>
      </c>
      <c r="C116" s="7" t="s">
        <v>2606</v>
      </c>
      <c r="D116" s="101">
        <v>534</v>
      </c>
    </row>
    <row r="117" spans="1:4" x14ac:dyDescent="0.25">
      <c r="A117" s="5" t="s">
        <v>1670</v>
      </c>
      <c r="B117" s="13" t="s">
        <v>1671</v>
      </c>
      <c r="C117" s="7" t="s">
        <v>2606</v>
      </c>
      <c r="D117" s="101">
        <v>431</v>
      </c>
    </row>
    <row r="118" spans="1:4" x14ac:dyDescent="0.25">
      <c r="B118" s="13"/>
      <c r="C118" s="3"/>
    </row>
    <row r="119" spans="1:4" x14ac:dyDescent="0.25">
      <c r="A119" s="5" t="s">
        <v>1672</v>
      </c>
      <c r="B119" s="13" t="s">
        <v>1673</v>
      </c>
      <c r="C119" s="3"/>
    </row>
    <row r="120" spans="1:4" x14ac:dyDescent="0.25">
      <c r="A120" s="5" t="s">
        <v>1662</v>
      </c>
      <c r="B120" s="13" t="s">
        <v>2013</v>
      </c>
      <c r="C120" s="7" t="s">
        <v>4217</v>
      </c>
      <c r="D120" s="101">
        <v>147</v>
      </c>
    </row>
    <row r="121" spans="1:4" x14ac:dyDescent="0.25">
      <c r="A121" s="5" t="s">
        <v>1664</v>
      </c>
      <c r="B121" s="13" t="s">
        <v>2014</v>
      </c>
      <c r="C121" s="7" t="s">
        <v>4217</v>
      </c>
      <c r="D121" s="101">
        <v>106</v>
      </c>
    </row>
    <row r="122" spans="1:4" x14ac:dyDescent="0.25">
      <c r="C122" s="3"/>
    </row>
    <row r="123" spans="1:4" x14ac:dyDescent="0.25">
      <c r="A123" s="5" t="s">
        <v>2015</v>
      </c>
      <c r="B123" s="13" t="s">
        <v>2016</v>
      </c>
      <c r="C123" s="3"/>
    </row>
    <row r="124" spans="1:4" x14ac:dyDescent="0.25">
      <c r="A124" s="5" t="s">
        <v>1662</v>
      </c>
      <c r="B124" s="13" t="s">
        <v>2017</v>
      </c>
      <c r="C124" s="7" t="s">
        <v>4217</v>
      </c>
      <c r="D124" s="101">
        <v>33</v>
      </c>
    </row>
    <row r="125" spans="1:4" x14ac:dyDescent="0.25">
      <c r="A125" s="5" t="s">
        <v>1664</v>
      </c>
      <c r="B125" s="13" t="s">
        <v>2018</v>
      </c>
      <c r="C125" s="7" t="s">
        <v>4217</v>
      </c>
      <c r="D125" s="101">
        <v>47</v>
      </c>
    </row>
    <row r="126" spans="1:4" x14ac:dyDescent="0.25">
      <c r="C126" s="3"/>
    </row>
    <row r="127" spans="1:4" x14ac:dyDescent="0.25">
      <c r="A127" s="5" t="s">
        <v>2019</v>
      </c>
      <c r="B127" s="13" t="s">
        <v>2020</v>
      </c>
      <c r="C127" s="7" t="s">
        <v>4217</v>
      </c>
      <c r="D127" s="101">
        <v>160</v>
      </c>
    </row>
    <row r="128" spans="1:4" x14ac:dyDescent="0.25">
      <c r="C128" s="3"/>
    </row>
    <row r="129" spans="1:4" x14ac:dyDescent="0.25">
      <c r="A129" s="5" t="s">
        <v>2021</v>
      </c>
      <c r="B129" s="13" t="s">
        <v>2022</v>
      </c>
      <c r="C129" s="3"/>
    </row>
    <row r="130" spans="1:4" x14ac:dyDescent="0.25">
      <c r="A130" s="5" t="s">
        <v>1662</v>
      </c>
      <c r="B130" s="13" t="s">
        <v>2023</v>
      </c>
      <c r="C130" s="7" t="s">
        <v>4217</v>
      </c>
      <c r="D130" s="101">
        <v>24</v>
      </c>
    </row>
    <row r="131" spans="1:4" x14ac:dyDescent="0.25">
      <c r="A131" s="5" t="s">
        <v>1664</v>
      </c>
      <c r="B131" s="13" t="s">
        <v>2024</v>
      </c>
      <c r="C131" s="7" t="s">
        <v>4217</v>
      </c>
      <c r="D131" s="101">
        <v>34</v>
      </c>
    </row>
    <row r="132" spans="1:4" x14ac:dyDescent="0.25">
      <c r="A132" s="5" t="s">
        <v>1670</v>
      </c>
      <c r="B132" s="13" t="s">
        <v>2025</v>
      </c>
      <c r="C132" s="7" t="s">
        <v>4217</v>
      </c>
      <c r="D132" s="101">
        <v>29</v>
      </c>
    </row>
    <row r="133" spans="1:4" x14ac:dyDescent="0.25">
      <c r="C133" s="3"/>
    </row>
    <row r="134" spans="1:4" x14ac:dyDescent="0.25">
      <c r="A134" s="5" t="s">
        <v>2026</v>
      </c>
      <c r="B134" s="13" t="s">
        <v>2027</v>
      </c>
      <c r="C134" s="7" t="s">
        <v>4217</v>
      </c>
      <c r="D134" s="101">
        <v>39</v>
      </c>
    </row>
    <row r="135" spans="1:4" x14ac:dyDescent="0.25">
      <c r="C135" s="3"/>
    </row>
    <row r="136" spans="1:4" x14ac:dyDescent="0.25">
      <c r="A136" s="5" t="s">
        <v>2028</v>
      </c>
      <c r="B136" s="13" t="s">
        <v>2029</v>
      </c>
      <c r="C136" s="7" t="s">
        <v>4217</v>
      </c>
      <c r="D136" s="101">
        <v>53</v>
      </c>
    </row>
    <row r="137" spans="1:4" x14ac:dyDescent="0.25">
      <c r="A137" s="5" t="s">
        <v>1662</v>
      </c>
      <c r="B137" s="13" t="s">
        <v>2030</v>
      </c>
      <c r="C137" s="7" t="s">
        <v>4217</v>
      </c>
      <c r="D137" s="101">
        <v>24</v>
      </c>
    </row>
    <row r="138" spans="1:4" x14ac:dyDescent="0.25">
      <c r="C138" s="3"/>
    </row>
    <row r="139" spans="1:4" x14ac:dyDescent="0.25">
      <c r="C139" s="3"/>
    </row>
    <row r="140" spans="1:4" x14ac:dyDescent="0.25">
      <c r="C140" s="3"/>
    </row>
    <row r="141" spans="1:4" x14ac:dyDescent="0.25">
      <c r="C141" s="3"/>
    </row>
    <row r="142" spans="1:4" ht="47.25" x14ac:dyDescent="0.25">
      <c r="A142" s="5">
        <v>13.34</v>
      </c>
      <c r="B142" s="13" t="s">
        <v>4719</v>
      </c>
      <c r="C142" s="4"/>
    </row>
    <row r="143" spans="1:4" x14ac:dyDescent="0.25">
      <c r="A143" s="5" t="s">
        <v>4718</v>
      </c>
      <c r="B143" s="13" t="s">
        <v>4720</v>
      </c>
      <c r="C143" s="122" t="s">
        <v>3420</v>
      </c>
      <c r="D143" s="7">
        <v>1107</v>
      </c>
    </row>
    <row r="144" spans="1:4" x14ac:dyDescent="0.25">
      <c r="A144" s="5" t="s">
        <v>4808</v>
      </c>
      <c r="B144" s="13" t="s">
        <v>4721</v>
      </c>
      <c r="C144" s="122" t="s">
        <v>3420</v>
      </c>
      <c r="D144" s="7">
        <v>1663</v>
      </c>
    </row>
    <row r="145" spans="1:4" x14ac:dyDescent="0.25">
      <c r="B145" s="13"/>
      <c r="C145" s="7"/>
      <c r="D145" s="101">
        <f>SUM(D7:D144)</f>
        <v>24680.05</v>
      </c>
    </row>
    <row r="146" spans="1:4" x14ac:dyDescent="0.25">
      <c r="B146" s="13"/>
      <c r="C146" s="7"/>
    </row>
    <row r="147" spans="1:4" x14ac:dyDescent="0.25">
      <c r="B147" s="13"/>
      <c r="C147" s="7"/>
    </row>
    <row r="148" spans="1:4" x14ac:dyDescent="0.25">
      <c r="B148" s="13"/>
      <c r="C148" s="7"/>
    </row>
    <row r="149" spans="1:4" x14ac:dyDescent="0.25">
      <c r="B149" s="13"/>
      <c r="C149" s="7"/>
    </row>
    <row r="150" spans="1:4" x14ac:dyDescent="0.25">
      <c r="B150" s="13"/>
      <c r="C150" s="7"/>
    </row>
    <row r="151" spans="1:4" x14ac:dyDescent="0.25">
      <c r="A151" s="3"/>
      <c r="C151" s="3"/>
    </row>
    <row r="152" spans="1:4" x14ac:dyDescent="0.25">
      <c r="A152" s="3"/>
    </row>
    <row r="153" spans="1:4" x14ac:dyDescent="0.25">
      <c r="A153" s="7"/>
      <c r="C153" s="3"/>
    </row>
    <row r="154" spans="1:4" x14ac:dyDescent="0.25">
      <c r="A154" s="3"/>
      <c r="C154" s="3"/>
    </row>
    <row r="155" spans="1:4" x14ac:dyDescent="0.25">
      <c r="A155" s="3"/>
      <c r="C155" s="3"/>
    </row>
    <row r="156" spans="1:4" x14ac:dyDescent="0.25">
      <c r="C156" s="3"/>
    </row>
    <row r="157" spans="1:4" x14ac:dyDescent="0.25">
      <c r="A157" s="7"/>
      <c r="C157" s="3"/>
    </row>
    <row r="158" spans="1:4" x14ac:dyDescent="0.25">
      <c r="A158" s="3"/>
      <c r="C158" s="3"/>
    </row>
    <row r="159" spans="1:4" x14ac:dyDescent="0.25">
      <c r="A159" s="7"/>
      <c r="B159" s="13"/>
      <c r="C159" s="3"/>
    </row>
    <row r="160" spans="1:4" x14ac:dyDescent="0.25">
      <c r="A160" s="7"/>
      <c r="B160" s="13"/>
      <c r="C160" s="3"/>
    </row>
    <row r="161" spans="1:3" x14ac:dyDescent="0.25">
      <c r="A161" s="7"/>
      <c r="B161" s="13"/>
      <c r="C161" s="3"/>
    </row>
    <row r="162" spans="1:3" x14ac:dyDescent="0.25">
      <c r="C162" s="3"/>
    </row>
    <row r="163" spans="1:3" x14ac:dyDescent="0.25">
      <c r="C163" s="3"/>
    </row>
    <row r="164" spans="1:3" x14ac:dyDescent="0.25">
      <c r="C164" s="3"/>
    </row>
    <row r="165" spans="1:3" x14ac:dyDescent="0.25">
      <c r="C165" s="3"/>
    </row>
    <row r="166" spans="1:3" x14ac:dyDescent="0.25">
      <c r="C166" s="3"/>
    </row>
    <row r="167" spans="1:3" x14ac:dyDescent="0.25">
      <c r="C167" s="3"/>
    </row>
    <row r="168" spans="1:3" x14ac:dyDescent="0.25">
      <c r="C168" s="3"/>
    </row>
    <row r="169" spans="1:3" x14ac:dyDescent="0.25">
      <c r="C169" s="3"/>
    </row>
    <row r="170" spans="1:3" x14ac:dyDescent="0.25">
      <c r="C170" s="3"/>
    </row>
    <row r="171" spans="1:3" x14ac:dyDescent="0.25">
      <c r="C171" s="3"/>
    </row>
    <row r="172" spans="1:3" x14ac:dyDescent="0.25">
      <c r="C172" s="3"/>
    </row>
    <row r="173" spans="1:3" x14ac:dyDescent="0.25">
      <c r="C173" s="3"/>
    </row>
    <row r="174" spans="1:3" x14ac:dyDescent="0.25">
      <c r="C174" s="3"/>
    </row>
    <row r="175" spans="1:3" x14ac:dyDescent="0.25">
      <c r="C175" s="3"/>
    </row>
    <row r="176" spans="1:3" x14ac:dyDescent="0.25">
      <c r="C176" s="3"/>
    </row>
    <row r="177" spans="3:3" x14ac:dyDescent="0.25">
      <c r="C177" s="3"/>
    </row>
    <row r="178" spans="3:3" x14ac:dyDescent="0.25">
      <c r="C178" s="3"/>
    </row>
    <row r="179" spans="3:3" x14ac:dyDescent="0.25">
      <c r="C179" s="3"/>
    </row>
    <row r="180" spans="3:3" x14ac:dyDescent="0.25">
      <c r="C180" s="3"/>
    </row>
    <row r="181" spans="3:3" x14ac:dyDescent="0.25">
      <c r="C181" s="3"/>
    </row>
    <row r="182" spans="3:3" x14ac:dyDescent="0.25">
      <c r="C182" s="3"/>
    </row>
    <row r="183" spans="3:3" x14ac:dyDescent="0.25">
      <c r="C183" s="3"/>
    </row>
    <row r="184" spans="3:3" x14ac:dyDescent="0.25">
      <c r="C184" s="3"/>
    </row>
    <row r="185" spans="3:3" x14ac:dyDescent="0.25">
      <c r="C185" s="3"/>
    </row>
    <row r="186" spans="3:3" x14ac:dyDescent="0.25">
      <c r="C186" s="3"/>
    </row>
    <row r="187" spans="3:3" x14ac:dyDescent="0.25">
      <c r="C187" s="3"/>
    </row>
    <row r="188" spans="3:3" x14ac:dyDescent="0.25">
      <c r="C188" s="3"/>
    </row>
    <row r="189" spans="3:3" x14ac:dyDescent="0.25">
      <c r="C189" s="3"/>
    </row>
    <row r="190" spans="3:3" x14ac:dyDescent="0.25">
      <c r="C190" s="3"/>
    </row>
    <row r="191" spans="3:3" x14ac:dyDescent="0.25">
      <c r="C191" s="3"/>
    </row>
    <row r="192" spans="3:3" x14ac:dyDescent="0.25">
      <c r="C192" s="3"/>
    </row>
    <row r="193" spans="3:3" x14ac:dyDescent="0.25">
      <c r="C193" s="3"/>
    </row>
    <row r="194" spans="3:3" x14ac:dyDescent="0.25">
      <c r="C194" s="3"/>
    </row>
    <row r="195" spans="3:3" x14ac:dyDescent="0.25">
      <c r="C195" s="3"/>
    </row>
    <row r="196" spans="3:3" x14ac:dyDescent="0.25">
      <c r="C196" s="3"/>
    </row>
    <row r="197" spans="3:3" x14ac:dyDescent="0.25">
      <c r="C197" s="3"/>
    </row>
    <row r="198" spans="3:3" x14ac:dyDescent="0.25">
      <c r="C198" s="3"/>
    </row>
    <row r="199" spans="3:3" x14ac:dyDescent="0.25">
      <c r="C199" s="3"/>
    </row>
    <row r="200" spans="3:3" x14ac:dyDescent="0.25">
      <c r="C200" s="3"/>
    </row>
    <row r="201" spans="3:3" x14ac:dyDescent="0.25">
      <c r="C201" s="3"/>
    </row>
    <row r="202" spans="3:3" x14ac:dyDescent="0.25">
      <c r="C202" s="3"/>
    </row>
    <row r="203" spans="3:3" x14ac:dyDescent="0.25">
      <c r="C203" s="3"/>
    </row>
    <row r="204" spans="3:3" x14ac:dyDescent="0.25">
      <c r="C204" s="3"/>
    </row>
    <row r="205" spans="3:3" x14ac:dyDescent="0.25">
      <c r="C205" s="3"/>
    </row>
    <row r="206" spans="3:3" x14ac:dyDescent="0.25">
      <c r="C206" s="3"/>
    </row>
    <row r="207" spans="3:3" x14ac:dyDescent="0.25">
      <c r="C207" s="3"/>
    </row>
    <row r="208" spans="3:3" x14ac:dyDescent="0.25">
      <c r="C208" s="3"/>
    </row>
    <row r="209" spans="3:3" x14ac:dyDescent="0.25">
      <c r="C209" s="3"/>
    </row>
    <row r="210" spans="3:3" x14ac:dyDescent="0.25">
      <c r="C210" s="3"/>
    </row>
    <row r="211" spans="3:3" x14ac:dyDescent="0.25">
      <c r="C211" s="3"/>
    </row>
    <row r="212" spans="3:3" x14ac:dyDescent="0.25">
      <c r="C212" s="3"/>
    </row>
    <row r="213" spans="3:3" x14ac:dyDescent="0.25">
      <c r="C213" s="3"/>
    </row>
    <row r="214" spans="3:3" x14ac:dyDescent="0.25">
      <c r="C214" s="3"/>
    </row>
    <row r="215" spans="3:3" x14ac:dyDescent="0.25">
      <c r="C215" s="3"/>
    </row>
    <row r="216" spans="3:3" x14ac:dyDescent="0.25">
      <c r="C216" s="3"/>
    </row>
    <row r="217" spans="3:3" x14ac:dyDescent="0.25">
      <c r="C217" s="3"/>
    </row>
    <row r="218" spans="3:3" x14ac:dyDescent="0.25">
      <c r="C218" s="3"/>
    </row>
    <row r="219" spans="3:3" x14ac:dyDescent="0.25">
      <c r="C219" s="3"/>
    </row>
    <row r="220" spans="3:3" x14ac:dyDescent="0.25">
      <c r="C220" s="3"/>
    </row>
    <row r="221" spans="3:3" x14ac:dyDescent="0.25">
      <c r="C221" s="3"/>
    </row>
    <row r="222" spans="3:3" x14ac:dyDescent="0.25">
      <c r="C222" s="3"/>
    </row>
    <row r="223" spans="3:3" x14ac:dyDescent="0.25">
      <c r="C223" s="3"/>
    </row>
    <row r="224" spans="3:3" x14ac:dyDescent="0.25">
      <c r="C224" s="3"/>
    </row>
    <row r="225" spans="3:3" x14ac:dyDescent="0.25">
      <c r="C225" s="3"/>
    </row>
    <row r="226" spans="3:3" x14ac:dyDescent="0.25">
      <c r="C226" s="3"/>
    </row>
    <row r="227" spans="3:3" x14ac:dyDescent="0.25">
      <c r="C227" s="3"/>
    </row>
    <row r="228" spans="3:3" x14ac:dyDescent="0.25">
      <c r="C228" s="3"/>
    </row>
    <row r="229" spans="3:3" x14ac:dyDescent="0.25">
      <c r="C229" s="3"/>
    </row>
    <row r="230" spans="3:3" x14ac:dyDescent="0.25">
      <c r="C230" s="3"/>
    </row>
    <row r="231" spans="3:3" x14ac:dyDescent="0.25">
      <c r="C231" s="3"/>
    </row>
    <row r="232" spans="3:3" x14ac:dyDescent="0.25">
      <c r="C232" s="3"/>
    </row>
    <row r="233" spans="3:3" x14ac:dyDescent="0.25">
      <c r="C233" s="3"/>
    </row>
    <row r="234" spans="3:3" x14ac:dyDescent="0.25">
      <c r="C234" s="3"/>
    </row>
    <row r="235" spans="3:3" x14ac:dyDescent="0.25">
      <c r="C235" s="3"/>
    </row>
    <row r="236" spans="3:3" x14ac:dyDescent="0.25">
      <c r="C236" s="3"/>
    </row>
    <row r="237" spans="3:3" x14ac:dyDescent="0.25">
      <c r="C237" s="3"/>
    </row>
    <row r="238" spans="3:3" x14ac:dyDescent="0.25">
      <c r="C238" s="3"/>
    </row>
    <row r="239" spans="3:3" x14ac:dyDescent="0.25">
      <c r="C239" s="3"/>
    </row>
    <row r="240" spans="3:3" x14ac:dyDescent="0.25">
      <c r="C240" s="3"/>
    </row>
    <row r="241" spans="3:3" x14ac:dyDescent="0.25">
      <c r="C241" s="3"/>
    </row>
    <row r="242" spans="3:3" x14ac:dyDescent="0.25">
      <c r="C242" s="3"/>
    </row>
    <row r="243" spans="3:3" x14ac:dyDescent="0.25">
      <c r="C243" s="3"/>
    </row>
    <row r="244" spans="3:3" x14ac:dyDescent="0.25">
      <c r="C244" s="3"/>
    </row>
    <row r="245" spans="3:3" x14ac:dyDescent="0.25">
      <c r="C245" s="3"/>
    </row>
    <row r="246" spans="3:3" x14ac:dyDescent="0.25">
      <c r="C246" s="3"/>
    </row>
    <row r="247" spans="3:3" x14ac:dyDescent="0.25">
      <c r="C247" s="3"/>
    </row>
    <row r="248" spans="3:3" x14ac:dyDescent="0.25">
      <c r="C248" s="3"/>
    </row>
    <row r="249" spans="3:3" x14ac:dyDescent="0.25">
      <c r="C249" s="3"/>
    </row>
    <row r="250" spans="3:3" x14ac:dyDescent="0.25">
      <c r="C250" s="3"/>
    </row>
    <row r="251" spans="3:3" x14ac:dyDescent="0.25">
      <c r="C251" s="3"/>
    </row>
    <row r="252" spans="3:3" x14ac:dyDescent="0.25">
      <c r="C252" s="3"/>
    </row>
    <row r="253" spans="3:3" x14ac:dyDescent="0.25">
      <c r="C253" s="3"/>
    </row>
    <row r="254" spans="3:3" x14ac:dyDescent="0.25">
      <c r="C254" s="3"/>
    </row>
    <row r="255" spans="3:3" x14ac:dyDescent="0.25">
      <c r="C255" s="3"/>
    </row>
    <row r="256" spans="3:3" x14ac:dyDescent="0.25">
      <c r="C256" s="3"/>
    </row>
    <row r="257" spans="3:3" x14ac:dyDescent="0.25">
      <c r="C257" s="3"/>
    </row>
    <row r="258" spans="3:3" x14ac:dyDescent="0.25">
      <c r="C258" s="3"/>
    </row>
    <row r="259" spans="3:3" x14ac:dyDescent="0.25">
      <c r="C259" s="3"/>
    </row>
    <row r="260" spans="3:3" x14ac:dyDescent="0.25">
      <c r="C260" s="3"/>
    </row>
    <row r="261" spans="3:3" x14ac:dyDescent="0.25">
      <c r="C261" s="3"/>
    </row>
    <row r="262" spans="3:3" x14ac:dyDescent="0.25">
      <c r="C262" s="3"/>
    </row>
    <row r="263" spans="3:3" x14ac:dyDescent="0.25">
      <c r="C263" s="3"/>
    </row>
    <row r="264" spans="3:3" x14ac:dyDescent="0.25">
      <c r="C264" s="3"/>
    </row>
    <row r="265" spans="3:3" x14ac:dyDescent="0.25">
      <c r="C265" s="3"/>
    </row>
    <row r="266" spans="3:3" x14ac:dyDescent="0.25">
      <c r="C266" s="3"/>
    </row>
    <row r="267" spans="3:3" x14ac:dyDescent="0.25">
      <c r="C267" s="3"/>
    </row>
    <row r="268" spans="3:3" x14ac:dyDescent="0.25">
      <c r="C268" s="3"/>
    </row>
    <row r="269" spans="3:3" x14ac:dyDescent="0.25">
      <c r="C269" s="3"/>
    </row>
    <row r="270" spans="3:3" x14ac:dyDescent="0.25">
      <c r="C270" s="3"/>
    </row>
    <row r="271" spans="3:3" x14ac:dyDescent="0.25">
      <c r="C271" s="3"/>
    </row>
    <row r="272" spans="3:3" x14ac:dyDescent="0.25">
      <c r="C272" s="3"/>
    </row>
    <row r="273" spans="3:3" x14ac:dyDescent="0.25">
      <c r="C273" s="3"/>
    </row>
    <row r="274" spans="3:3" x14ac:dyDescent="0.25">
      <c r="C274" s="3"/>
    </row>
    <row r="275" spans="3:3" x14ac:dyDescent="0.25">
      <c r="C275" s="3"/>
    </row>
    <row r="276" spans="3:3" x14ac:dyDescent="0.25">
      <c r="C276" s="3"/>
    </row>
    <row r="277" spans="3:3" x14ac:dyDescent="0.25">
      <c r="C277" s="3"/>
    </row>
    <row r="278" spans="3:3" x14ac:dyDescent="0.25">
      <c r="C278" s="3"/>
    </row>
    <row r="279" spans="3:3" x14ac:dyDescent="0.25">
      <c r="C279" s="3"/>
    </row>
    <row r="280" spans="3:3" x14ac:dyDescent="0.25">
      <c r="C280" s="3"/>
    </row>
    <row r="281" spans="3:3" x14ac:dyDescent="0.25">
      <c r="C281" s="3"/>
    </row>
    <row r="282" spans="3:3" x14ac:dyDescent="0.25">
      <c r="C282" s="3"/>
    </row>
    <row r="283" spans="3:3" x14ac:dyDescent="0.25">
      <c r="C283" s="3"/>
    </row>
    <row r="284" spans="3:3" x14ac:dyDescent="0.25">
      <c r="C284" s="3"/>
    </row>
    <row r="285" spans="3:3" x14ac:dyDescent="0.25">
      <c r="C285" s="3"/>
    </row>
    <row r="286" spans="3:3" x14ac:dyDescent="0.25">
      <c r="C286" s="3"/>
    </row>
    <row r="287" spans="3:3" x14ac:dyDescent="0.25">
      <c r="C287" s="3"/>
    </row>
    <row r="288" spans="3:3" x14ac:dyDescent="0.25">
      <c r="C288" s="3"/>
    </row>
    <row r="289" spans="3:3" x14ac:dyDescent="0.25">
      <c r="C289" s="3"/>
    </row>
    <row r="290" spans="3:3" x14ac:dyDescent="0.25">
      <c r="C290" s="3"/>
    </row>
    <row r="291" spans="3:3" x14ac:dyDescent="0.25">
      <c r="C291" s="3"/>
    </row>
    <row r="292" spans="3:3" x14ac:dyDescent="0.25">
      <c r="C292" s="3"/>
    </row>
    <row r="293" spans="3:3" x14ac:dyDescent="0.25">
      <c r="C293" s="3"/>
    </row>
    <row r="294" spans="3:3" x14ac:dyDescent="0.25">
      <c r="C294" s="3"/>
    </row>
    <row r="295" spans="3:3" x14ac:dyDescent="0.25">
      <c r="C295" s="3"/>
    </row>
    <row r="296" spans="3:3" x14ac:dyDescent="0.25">
      <c r="C296" s="3"/>
    </row>
    <row r="297" spans="3:3" x14ac:dyDescent="0.25">
      <c r="C297" s="3"/>
    </row>
    <row r="298" spans="3:3" x14ac:dyDescent="0.25">
      <c r="C298" s="3"/>
    </row>
    <row r="299" spans="3:3" x14ac:dyDescent="0.25">
      <c r="C299" s="3"/>
    </row>
    <row r="300" spans="3:3" x14ac:dyDescent="0.25">
      <c r="C300" s="3"/>
    </row>
    <row r="301" spans="3:3" x14ac:dyDescent="0.25">
      <c r="C301" s="3"/>
    </row>
    <row r="302" spans="3:3" x14ac:dyDescent="0.25">
      <c r="C302" s="3"/>
    </row>
    <row r="303" spans="3:3" x14ac:dyDescent="0.25">
      <c r="C303" s="3"/>
    </row>
    <row r="304" spans="3:3" x14ac:dyDescent="0.25">
      <c r="C304" s="3"/>
    </row>
    <row r="305" spans="3:3" x14ac:dyDescent="0.25">
      <c r="C305" s="3"/>
    </row>
    <row r="306" spans="3:3" x14ac:dyDescent="0.25">
      <c r="C306" s="3"/>
    </row>
    <row r="307" spans="3:3" x14ac:dyDescent="0.25">
      <c r="C307" s="3"/>
    </row>
    <row r="308" spans="3:3" x14ac:dyDescent="0.25">
      <c r="C308" s="3"/>
    </row>
    <row r="309" spans="3:3" x14ac:dyDescent="0.25">
      <c r="C309" s="3"/>
    </row>
    <row r="310" spans="3:3" x14ac:dyDescent="0.25">
      <c r="C310" s="3"/>
    </row>
    <row r="311" spans="3:3" x14ac:dyDescent="0.25">
      <c r="C311" s="3"/>
    </row>
    <row r="312" spans="3:3" x14ac:dyDescent="0.25">
      <c r="C312" s="3"/>
    </row>
    <row r="313" spans="3:3" x14ac:dyDescent="0.25">
      <c r="C313" s="3"/>
    </row>
    <row r="314" spans="3:3" x14ac:dyDescent="0.25">
      <c r="C314" s="3"/>
    </row>
    <row r="315" spans="3:3" x14ac:dyDescent="0.25">
      <c r="C315" s="3"/>
    </row>
    <row r="316" spans="3:3" x14ac:dyDescent="0.25">
      <c r="C316" s="3"/>
    </row>
    <row r="317" spans="3:3" x14ac:dyDescent="0.25">
      <c r="C317" s="3"/>
    </row>
    <row r="318" spans="3:3" x14ac:dyDescent="0.25">
      <c r="C318" s="3"/>
    </row>
    <row r="319" spans="3:3" x14ac:dyDescent="0.25">
      <c r="C319" s="3"/>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tabColor rgb="FFFFFF00"/>
  </sheetPr>
  <dimension ref="A1:G355"/>
  <sheetViews>
    <sheetView view="pageBreakPreview" topLeftCell="A124" zoomScale="90" zoomScaleNormal="100" zoomScaleSheetLayoutView="90" workbookViewId="0">
      <selection activeCell="B139" sqref="B139"/>
    </sheetView>
  </sheetViews>
  <sheetFormatPr defaultRowHeight="15.75" x14ac:dyDescent="0.25"/>
  <cols>
    <col min="1" max="1" width="10" style="5" customWidth="1"/>
    <col min="2" max="2" width="55.7109375" style="30" customWidth="1"/>
    <col min="3" max="3" width="9.7109375" style="8" customWidth="1"/>
    <col min="4" max="4" width="11.7109375" style="8" customWidth="1"/>
    <col min="5" max="5" width="9.140625" style="6"/>
    <col min="6" max="7" width="9.140625" style="186"/>
    <col min="8" max="16384" width="9.140625" style="6"/>
  </cols>
  <sheetData>
    <row r="1" spans="1:7" s="14" customFormat="1" ht="22.5" x14ac:dyDescent="0.2">
      <c r="A1" s="258" t="s">
        <v>2530</v>
      </c>
      <c r="B1" s="258"/>
      <c r="C1" s="258"/>
      <c r="D1" s="258"/>
      <c r="F1" s="185"/>
      <c r="G1" s="185"/>
    </row>
    <row r="2" spans="1:7" s="14" customFormat="1" ht="27" x14ac:dyDescent="0.2">
      <c r="A2" s="275" t="s">
        <v>6432</v>
      </c>
      <c r="B2" s="275"/>
      <c r="C2" s="275"/>
      <c r="D2" s="275"/>
      <c r="F2" s="185"/>
      <c r="G2" s="185"/>
    </row>
    <row r="3" spans="1:7" x14ac:dyDescent="0.25">
      <c r="A3" s="184"/>
      <c r="B3" s="194"/>
      <c r="C3" s="184"/>
      <c r="D3" s="184"/>
    </row>
    <row r="4" spans="1:7" ht="47.25" x14ac:dyDescent="0.25">
      <c r="A4" s="19" t="s">
        <v>2432</v>
      </c>
      <c r="B4" s="30" t="s">
        <v>6150</v>
      </c>
    </row>
    <row r="5" spans="1:7" x14ac:dyDescent="0.25">
      <c r="A5" s="19"/>
    </row>
    <row r="6" spans="1:7" s="112" customFormat="1" ht="31.5" x14ac:dyDescent="0.2">
      <c r="A6" s="55" t="s">
        <v>6402</v>
      </c>
      <c r="B6" s="55" t="s">
        <v>2434</v>
      </c>
      <c r="C6" s="55" t="s">
        <v>2435</v>
      </c>
      <c r="D6" s="172" t="s">
        <v>18</v>
      </c>
    </row>
    <row r="7" spans="1:7" x14ac:dyDescent="0.25">
      <c r="A7" s="55">
        <v>1</v>
      </c>
      <c r="B7" s="55">
        <v>2</v>
      </c>
      <c r="C7" s="55">
        <v>3</v>
      </c>
      <c r="D7" s="45">
        <v>4</v>
      </c>
      <c r="E7" s="173"/>
    </row>
    <row r="8" spans="1:7" x14ac:dyDescent="0.25">
      <c r="A8" s="3"/>
      <c r="C8" s="4"/>
      <c r="E8" s="173"/>
    </row>
    <row r="9" spans="1:7" s="179" customFormat="1" ht="47.25" x14ac:dyDescent="0.25">
      <c r="A9" s="3">
        <v>14.1</v>
      </c>
      <c r="B9" s="13" t="s">
        <v>1926</v>
      </c>
      <c r="C9" s="3" t="s">
        <v>2439</v>
      </c>
      <c r="D9" s="101">
        <v>254</v>
      </c>
      <c r="E9" s="6"/>
    </row>
    <row r="10" spans="1:7" x14ac:dyDescent="0.25">
      <c r="A10" s="3"/>
    </row>
    <row r="11" spans="1:7" ht="47.25" x14ac:dyDescent="0.25">
      <c r="A11" s="3">
        <v>14.2</v>
      </c>
      <c r="B11" s="13" t="s">
        <v>1929</v>
      </c>
      <c r="C11" s="3"/>
    </row>
    <row r="12" spans="1:7" x14ac:dyDescent="0.25">
      <c r="A12" s="3" t="s">
        <v>2531</v>
      </c>
      <c r="B12" s="30" t="s">
        <v>2532</v>
      </c>
      <c r="C12" s="3" t="s">
        <v>2439</v>
      </c>
      <c r="D12" s="101">
        <v>637</v>
      </c>
    </row>
    <row r="13" spans="1:7" x14ac:dyDescent="0.25">
      <c r="A13" s="3" t="s">
        <v>2533</v>
      </c>
      <c r="B13" s="30" t="s">
        <v>2534</v>
      </c>
      <c r="C13" s="3" t="s">
        <v>2439</v>
      </c>
      <c r="D13" s="101">
        <v>393</v>
      </c>
    </row>
    <row r="14" spans="1:7" x14ac:dyDescent="0.25">
      <c r="A14" s="3"/>
      <c r="C14" s="3"/>
    </row>
    <row r="15" spans="1:7" ht="63" x14ac:dyDescent="0.25">
      <c r="A15" s="3">
        <v>14.3</v>
      </c>
      <c r="B15" s="13" t="s">
        <v>1927</v>
      </c>
      <c r="C15" s="3" t="s">
        <v>2439</v>
      </c>
      <c r="D15" s="101">
        <v>930</v>
      </c>
    </row>
    <row r="16" spans="1:7" x14ac:dyDescent="0.25">
      <c r="A16" s="3"/>
    </row>
    <row r="17" spans="1:5" ht="63" x14ac:dyDescent="0.25">
      <c r="A17" s="3">
        <v>14.4</v>
      </c>
      <c r="B17" s="13" t="s">
        <v>1928</v>
      </c>
      <c r="C17" s="3" t="s">
        <v>2439</v>
      </c>
      <c r="D17" s="101">
        <v>832</v>
      </c>
    </row>
    <row r="18" spans="1:5" x14ac:dyDescent="0.25">
      <c r="A18" s="3"/>
    </row>
    <row r="19" spans="1:5" ht="63" x14ac:dyDescent="0.25">
      <c r="A19" s="3">
        <v>14.5</v>
      </c>
      <c r="B19" s="13" t="s">
        <v>1930</v>
      </c>
      <c r="C19" s="3" t="s">
        <v>2437</v>
      </c>
      <c r="D19" s="101">
        <v>317</v>
      </c>
    </row>
    <row r="20" spans="1:5" x14ac:dyDescent="0.25">
      <c r="A20" s="3"/>
    </row>
    <row r="21" spans="1:5" ht="31.5" x14ac:dyDescent="0.25">
      <c r="A21" s="3">
        <v>14.6</v>
      </c>
      <c r="B21" s="13" t="s">
        <v>1931</v>
      </c>
      <c r="C21" s="3" t="s">
        <v>2634</v>
      </c>
      <c r="D21" s="101">
        <v>2</v>
      </c>
    </row>
    <row r="22" spans="1:5" x14ac:dyDescent="0.25">
      <c r="A22" s="3"/>
    </row>
    <row r="23" spans="1:5" s="179" customFormat="1" ht="63" x14ac:dyDescent="0.25">
      <c r="A23" s="3">
        <v>14.7</v>
      </c>
      <c r="B23" s="13" t="s">
        <v>2296</v>
      </c>
      <c r="C23" s="3"/>
      <c r="D23" s="126"/>
      <c r="E23" s="6"/>
    </row>
    <row r="24" spans="1:5" s="179" customFormat="1" x14ac:dyDescent="0.25">
      <c r="A24" s="3" t="s">
        <v>2535</v>
      </c>
      <c r="B24" s="30" t="s">
        <v>2536</v>
      </c>
      <c r="C24" s="3" t="s">
        <v>2439</v>
      </c>
      <c r="D24" s="101">
        <v>185</v>
      </c>
      <c r="E24" s="6"/>
    </row>
    <row r="25" spans="1:5" x14ac:dyDescent="0.25">
      <c r="A25" s="3" t="s">
        <v>2537</v>
      </c>
      <c r="B25" s="30" t="s">
        <v>2538</v>
      </c>
      <c r="C25" s="3" t="s">
        <v>2439</v>
      </c>
      <c r="D25" s="101">
        <v>221</v>
      </c>
    </row>
    <row r="26" spans="1:5" x14ac:dyDescent="0.25">
      <c r="A26" s="3" t="s">
        <v>2539</v>
      </c>
      <c r="B26" s="30" t="s">
        <v>2540</v>
      </c>
      <c r="C26" s="3" t="s">
        <v>2439</v>
      </c>
      <c r="D26" s="101">
        <v>538</v>
      </c>
    </row>
    <row r="27" spans="1:5" x14ac:dyDescent="0.25">
      <c r="A27" s="3"/>
      <c r="C27" s="3"/>
    </row>
    <row r="28" spans="1:5" ht="47.25" x14ac:dyDescent="0.25">
      <c r="A28" s="3">
        <v>14.8</v>
      </c>
      <c r="B28" s="30" t="s">
        <v>2541</v>
      </c>
      <c r="C28" s="3"/>
    </row>
    <row r="29" spans="1:5" ht="31.5" x14ac:dyDescent="0.25">
      <c r="A29" s="3" t="s">
        <v>2542</v>
      </c>
      <c r="B29" s="30" t="s">
        <v>2543</v>
      </c>
      <c r="C29" s="3" t="s">
        <v>2544</v>
      </c>
      <c r="D29" s="101">
        <v>1247</v>
      </c>
    </row>
    <row r="30" spans="1:5" ht="31.5" x14ac:dyDescent="0.25">
      <c r="A30" s="3" t="s">
        <v>2545</v>
      </c>
      <c r="B30" s="30" t="s">
        <v>2546</v>
      </c>
      <c r="C30" s="3" t="s">
        <v>2544</v>
      </c>
      <c r="D30" s="101">
        <v>1467</v>
      </c>
    </row>
    <row r="31" spans="1:5" ht="31.5" x14ac:dyDescent="0.25">
      <c r="A31" s="3" t="s">
        <v>2547</v>
      </c>
      <c r="B31" s="30" t="s">
        <v>2548</v>
      </c>
      <c r="C31" s="3" t="s">
        <v>2544</v>
      </c>
      <c r="D31" s="101">
        <v>1854</v>
      </c>
    </row>
    <row r="32" spans="1:5" x14ac:dyDescent="0.25">
      <c r="A32" s="3"/>
      <c r="C32" s="3"/>
    </row>
    <row r="33" spans="1:4" ht="63" x14ac:dyDescent="0.25">
      <c r="A33" s="3">
        <v>14.9</v>
      </c>
      <c r="B33" s="13" t="s">
        <v>1932</v>
      </c>
      <c r="C33" s="3"/>
    </row>
    <row r="34" spans="1:4" x14ac:dyDescent="0.25">
      <c r="A34" s="3" t="s">
        <v>2549</v>
      </c>
      <c r="B34" s="30" t="s">
        <v>2538</v>
      </c>
      <c r="C34" s="3" t="s">
        <v>2439</v>
      </c>
      <c r="D34" s="101">
        <v>303</v>
      </c>
    </row>
    <row r="35" spans="1:4" x14ac:dyDescent="0.25">
      <c r="A35" s="3" t="s">
        <v>2550</v>
      </c>
      <c r="B35" s="30" t="s">
        <v>2540</v>
      </c>
      <c r="C35" s="3" t="s">
        <v>2439</v>
      </c>
      <c r="D35" s="101">
        <v>641</v>
      </c>
    </row>
    <row r="36" spans="1:4" x14ac:dyDescent="0.25">
      <c r="A36" s="3" t="s">
        <v>2297</v>
      </c>
      <c r="B36" s="30" t="s">
        <v>2299</v>
      </c>
      <c r="C36" s="3" t="s">
        <v>2439</v>
      </c>
      <c r="D36" s="101">
        <v>179</v>
      </c>
    </row>
    <row r="37" spans="1:4" x14ac:dyDescent="0.25">
      <c r="A37" s="3" t="s">
        <v>2298</v>
      </c>
      <c r="B37" s="30" t="s">
        <v>2300</v>
      </c>
      <c r="C37" s="3" t="s">
        <v>2439</v>
      </c>
      <c r="D37" s="101">
        <v>153</v>
      </c>
    </row>
    <row r="38" spans="1:4" x14ac:dyDescent="0.25">
      <c r="A38" s="3"/>
      <c r="C38" s="3"/>
    </row>
    <row r="39" spans="1:4" ht="78.75" x14ac:dyDescent="0.25">
      <c r="A39" s="7">
        <v>14.1</v>
      </c>
      <c r="B39" s="13" t="s">
        <v>1933</v>
      </c>
      <c r="C39" s="3"/>
    </row>
    <row r="40" spans="1:4" x14ac:dyDescent="0.25">
      <c r="A40" s="3" t="s">
        <v>2551</v>
      </c>
      <c r="B40" s="30" t="s">
        <v>2538</v>
      </c>
      <c r="C40" s="3" t="s">
        <v>2439</v>
      </c>
      <c r="D40" s="101">
        <v>383</v>
      </c>
    </row>
    <row r="41" spans="1:4" x14ac:dyDescent="0.25">
      <c r="A41" s="3" t="s">
        <v>2552</v>
      </c>
      <c r="B41" s="30" t="s">
        <v>2540</v>
      </c>
      <c r="C41" s="3" t="s">
        <v>2439</v>
      </c>
      <c r="D41" s="101">
        <v>751</v>
      </c>
    </row>
    <row r="42" spans="1:4" x14ac:dyDescent="0.25">
      <c r="A42" s="3"/>
      <c r="C42" s="3"/>
    </row>
    <row r="43" spans="1:4" ht="47.25" x14ac:dyDescent="0.25">
      <c r="A43" s="3">
        <v>14.11</v>
      </c>
      <c r="B43" s="30" t="s">
        <v>2553</v>
      </c>
      <c r="C43" s="3"/>
    </row>
    <row r="44" spans="1:4" x14ac:dyDescent="0.25">
      <c r="A44" s="3" t="s">
        <v>2554</v>
      </c>
      <c r="B44" s="30" t="s">
        <v>2555</v>
      </c>
      <c r="C44" s="3" t="s">
        <v>2439</v>
      </c>
      <c r="D44" s="101">
        <v>128</v>
      </c>
    </row>
    <row r="45" spans="1:4" x14ac:dyDescent="0.25">
      <c r="A45" s="3" t="s">
        <v>2556</v>
      </c>
      <c r="B45" s="30" t="s">
        <v>2557</v>
      </c>
      <c r="C45" s="3" t="s">
        <v>2439</v>
      </c>
      <c r="D45" s="101">
        <v>185</v>
      </c>
    </row>
    <row r="46" spans="1:4" x14ac:dyDescent="0.25">
      <c r="A46" s="3"/>
      <c r="C46" s="3"/>
    </row>
    <row r="47" spans="1:4" ht="47.25" x14ac:dyDescent="0.25">
      <c r="A47" s="3">
        <v>14.12</v>
      </c>
      <c r="B47" s="30" t="s">
        <v>2558</v>
      </c>
      <c r="C47" s="3"/>
    </row>
    <row r="48" spans="1:4" x14ac:dyDescent="0.25">
      <c r="A48" s="3" t="s">
        <v>2559</v>
      </c>
      <c r="B48" s="30" t="s">
        <v>2560</v>
      </c>
      <c r="C48" s="3" t="s">
        <v>4217</v>
      </c>
      <c r="D48" s="101">
        <v>105</v>
      </c>
    </row>
    <row r="49" spans="1:4" x14ac:dyDescent="0.25">
      <c r="A49" s="3" t="s">
        <v>2561</v>
      </c>
      <c r="B49" s="30" t="s">
        <v>2562</v>
      </c>
      <c r="C49" s="3" t="s">
        <v>4217</v>
      </c>
      <c r="D49" s="101">
        <v>144</v>
      </c>
    </row>
    <row r="50" spans="1:4" x14ac:dyDescent="0.25">
      <c r="A50" s="3"/>
      <c r="C50" s="3"/>
    </row>
    <row r="51" spans="1:4" ht="31.5" x14ac:dyDescent="0.25">
      <c r="A51" s="3">
        <v>14.13</v>
      </c>
      <c r="B51" s="30" t="s">
        <v>2563</v>
      </c>
      <c r="C51" s="3"/>
    </row>
    <row r="52" spans="1:4" x14ac:dyDescent="0.25">
      <c r="A52" s="3" t="s">
        <v>2564</v>
      </c>
      <c r="B52" s="30" t="s">
        <v>2560</v>
      </c>
      <c r="C52" s="3" t="s">
        <v>4217</v>
      </c>
      <c r="D52" s="101">
        <v>42</v>
      </c>
    </row>
    <row r="53" spans="1:4" x14ac:dyDescent="0.25">
      <c r="A53" s="3" t="s">
        <v>2565</v>
      </c>
      <c r="B53" s="30" t="s">
        <v>2562</v>
      </c>
      <c r="C53" s="3" t="s">
        <v>4217</v>
      </c>
      <c r="D53" s="101">
        <v>55</v>
      </c>
    </row>
    <row r="54" spans="1:4" x14ac:dyDescent="0.25">
      <c r="A54" s="3"/>
      <c r="C54" s="3"/>
    </row>
    <row r="55" spans="1:4" x14ac:dyDescent="0.25">
      <c r="A55" s="3"/>
      <c r="C55" s="3"/>
    </row>
    <row r="56" spans="1:4" ht="47.25" x14ac:dyDescent="0.25">
      <c r="A56" s="3">
        <v>14.14</v>
      </c>
      <c r="B56" s="30" t="s">
        <v>2566</v>
      </c>
      <c r="C56" s="3"/>
    </row>
    <row r="57" spans="1:4" x14ac:dyDescent="0.25">
      <c r="A57" s="3" t="s">
        <v>2567</v>
      </c>
      <c r="B57" s="30" t="s">
        <v>2568</v>
      </c>
      <c r="C57" s="3" t="s">
        <v>2439</v>
      </c>
      <c r="D57" s="101">
        <v>1368</v>
      </c>
    </row>
    <row r="58" spans="1:4" x14ac:dyDescent="0.25">
      <c r="A58" s="3" t="s">
        <v>2569</v>
      </c>
      <c r="B58" s="30" t="s">
        <v>2570</v>
      </c>
      <c r="C58" s="3" t="s">
        <v>2453</v>
      </c>
      <c r="D58" s="101">
        <v>6</v>
      </c>
    </row>
    <row r="59" spans="1:4" x14ac:dyDescent="0.25">
      <c r="A59" s="3"/>
      <c r="C59" s="3"/>
    </row>
    <row r="60" spans="1:4" ht="47.25" x14ac:dyDescent="0.25">
      <c r="A60" s="3">
        <v>14.15</v>
      </c>
      <c r="B60" s="13" t="s">
        <v>2244</v>
      </c>
      <c r="C60" s="3"/>
    </row>
    <row r="61" spans="1:4" ht="25.5" x14ac:dyDescent="0.25">
      <c r="A61" s="3" t="s">
        <v>2571</v>
      </c>
      <c r="B61" s="30" t="s">
        <v>2572</v>
      </c>
      <c r="C61" s="219" t="s">
        <v>2573</v>
      </c>
      <c r="D61" s="101">
        <v>167</v>
      </c>
    </row>
    <row r="62" spans="1:4" ht="25.5" x14ac:dyDescent="0.25">
      <c r="A62" s="3" t="s">
        <v>2574</v>
      </c>
      <c r="B62" s="30" t="s">
        <v>2575</v>
      </c>
      <c r="C62" s="219" t="s">
        <v>2576</v>
      </c>
      <c r="D62" s="101">
        <v>1</v>
      </c>
    </row>
    <row r="63" spans="1:4" x14ac:dyDescent="0.25">
      <c r="A63" s="3"/>
      <c r="C63" s="3"/>
    </row>
    <row r="64" spans="1:4" ht="47.25" x14ac:dyDescent="0.25">
      <c r="A64" s="3">
        <v>14.16</v>
      </c>
      <c r="B64" s="13" t="s">
        <v>2245</v>
      </c>
      <c r="C64" s="3"/>
    </row>
    <row r="65" spans="1:4" ht="25.5" x14ac:dyDescent="0.25">
      <c r="A65" s="3" t="s">
        <v>2577</v>
      </c>
      <c r="B65" s="30" t="s">
        <v>2572</v>
      </c>
      <c r="C65" s="219" t="s">
        <v>2573</v>
      </c>
      <c r="D65" s="101">
        <v>238</v>
      </c>
    </row>
    <row r="66" spans="1:4" ht="25.5" x14ac:dyDescent="0.25">
      <c r="A66" s="3" t="s">
        <v>2578</v>
      </c>
      <c r="B66" s="30" t="s">
        <v>2575</v>
      </c>
      <c r="C66" s="219" t="s">
        <v>2579</v>
      </c>
      <c r="D66" s="101">
        <v>1</v>
      </c>
    </row>
    <row r="67" spans="1:4" x14ac:dyDescent="0.25">
      <c r="A67" s="3"/>
      <c r="C67" s="3"/>
    </row>
    <row r="68" spans="1:4" ht="31.5" x14ac:dyDescent="0.25">
      <c r="A68" s="3">
        <v>14.17</v>
      </c>
      <c r="B68" s="30" t="s">
        <v>2138</v>
      </c>
      <c r="C68" s="3"/>
    </row>
    <row r="69" spans="1:4" x14ac:dyDescent="0.25">
      <c r="A69" s="3" t="s">
        <v>2139</v>
      </c>
      <c r="B69" s="30" t="s">
        <v>2140</v>
      </c>
      <c r="C69" s="3" t="s">
        <v>2634</v>
      </c>
      <c r="D69" s="101">
        <v>1</v>
      </c>
    </row>
    <row r="70" spans="1:4" x14ac:dyDescent="0.25">
      <c r="A70" s="3" t="s">
        <v>2141</v>
      </c>
      <c r="B70" s="30" t="s">
        <v>2142</v>
      </c>
      <c r="C70" s="3" t="s">
        <v>2634</v>
      </c>
      <c r="D70" s="101">
        <v>1</v>
      </c>
    </row>
    <row r="71" spans="1:4" x14ac:dyDescent="0.25">
      <c r="A71" s="3"/>
      <c r="C71" s="3"/>
    </row>
    <row r="72" spans="1:4" ht="63" x14ac:dyDescent="0.25">
      <c r="A72" s="3">
        <v>14.18</v>
      </c>
      <c r="B72" s="13" t="s">
        <v>2246</v>
      </c>
      <c r="C72" s="3" t="s">
        <v>2634</v>
      </c>
      <c r="D72" s="101">
        <v>2</v>
      </c>
    </row>
    <row r="73" spans="1:4" x14ac:dyDescent="0.25">
      <c r="A73" s="3"/>
    </row>
    <row r="74" spans="1:4" ht="47.25" x14ac:dyDescent="0.25">
      <c r="A74" s="3">
        <v>14.19</v>
      </c>
      <c r="B74" s="13" t="s">
        <v>2247</v>
      </c>
      <c r="C74" s="3" t="s">
        <v>2634</v>
      </c>
      <c r="D74" s="101">
        <v>1</v>
      </c>
    </row>
    <row r="75" spans="1:4" x14ac:dyDescent="0.25">
      <c r="A75" s="3"/>
    </row>
    <row r="76" spans="1:4" ht="47.25" x14ac:dyDescent="0.25">
      <c r="A76" s="7">
        <v>14.2</v>
      </c>
      <c r="B76" s="13" t="s">
        <v>2248</v>
      </c>
      <c r="C76" s="3" t="s">
        <v>2301</v>
      </c>
      <c r="D76" s="101">
        <v>0.5</v>
      </c>
    </row>
    <row r="77" spans="1:4" x14ac:dyDescent="0.25">
      <c r="A77" s="3"/>
    </row>
    <row r="78" spans="1:4" ht="47.25" x14ac:dyDescent="0.25">
      <c r="A78" s="3">
        <v>14.21</v>
      </c>
      <c r="B78" s="13" t="s">
        <v>2249</v>
      </c>
      <c r="C78" s="3" t="s">
        <v>2301</v>
      </c>
      <c r="D78" s="101">
        <v>0.5</v>
      </c>
    </row>
    <row r="79" spans="1:4" x14ac:dyDescent="0.25">
      <c r="A79" s="3"/>
    </row>
    <row r="80" spans="1:4" x14ac:dyDescent="0.25">
      <c r="A80" s="3"/>
    </row>
    <row r="81" spans="1:4" x14ac:dyDescent="0.25">
      <c r="A81" s="3"/>
    </row>
    <row r="82" spans="1:4" ht="31.5" x14ac:dyDescent="0.25">
      <c r="A82" s="3">
        <v>14.22</v>
      </c>
      <c r="B82" s="30" t="s">
        <v>2143</v>
      </c>
      <c r="C82" s="3" t="s">
        <v>2634</v>
      </c>
      <c r="D82" s="101">
        <v>2</v>
      </c>
    </row>
    <row r="83" spans="1:4" x14ac:dyDescent="0.25">
      <c r="A83" s="3"/>
    </row>
    <row r="84" spans="1:4" ht="47.25" x14ac:dyDescent="0.25">
      <c r="A84" s="3">
        <v>14.23</v>
      </c>
      <c r="B84" s="30" t="s">
        <v>2144</v>
      </c>
      <c r="C84" s="3"/>
    </row>
    <row r="85" spans="1:4" x14ac:dyDescent="0.25">
      <c r="A85" s="3" t="s">
        <v>2145</v>
      </c>
      <c r="B85" s="30" t="s">
        <v>2146</v>
      </c>
      <c r="C85" s="3" t="s">
        <v>2437</v>
      </c>
      <c r="D85" s="101">
        <v>20</v>
      </c>
    </row>
    <row r="86" spans="1:4" x14ac:dyDescent="0.25">
      <c r="A86" s="3" t="s">
        <v>2147</v>
      </c>
      <c r="B86" s="30" t="s">
        <v>2148</v>
      </c>
      <c r="C86" s="3" t="s">
        <v>2437</v>
      </c>
      <c r="D86" s="101">
        <v>34</v>
      </c>
    </row>
    <row r="87" spans="1:4" x14ac:dyDescent="0.25">
      <c r="A87" s="3"/>
      <c r="C87" s="3"/>
    </row>
    <row r="88" spans="1:4" ht="47.25" x14ac:dyDescent="0.25">
      <c r="A88" s="3">
        <v>14.24</v>
      </c>
      <c r="B88" s="30" t="s">
        <v>2149</v>
      </c>
      <c r="C88" s="3" t="s">
        <v>2439</v>
      </c>
      <c r="D88" s="101">
        <v>343</v>
      </c>
    </row>
    <row r="89" spans="1:4" x14ac:dyDescent="0.25">
      <c r="A89" s="3"/>
    </row>
    <row r="90" spans="1:4" ht="47.25" x14ac:dyDescent="0.25">
      <c r="A90" s="3">
        <v>14.25</v>
      </c>
      <c r="B90" s="30" t="s">
        <v>2151</v>
      </c>
      <c r="C90" s="3" t="s">
        <v>2437</v>
      </c>
      <c r="D90" s="101">
        <v>80</v>
      </c>
    </row>
    <row r="91" spans="1:4" x14ac:dyDescent="0.25">
      <c r="A91" s="3"/>
    </row>
    <row r="92" spans="1:4" ht="47.25" x14ac:dyDescent="0.25">
      <c r="A92" s="3">
        <v>14.26</v>
      </c>
      <c r="B92" s="30" t="s">
        <v>2150</v>
      </c>
      <c r="C92" s="3" t="s">
        <v>2437</v>
      </c>
      <c r="D92" s="101">
        <v>34</v>
      </c>
    </row>
    <row r="93" spans="1:4" x14ac:dyDescent="0.25">
      <c r="A93" s="3"/>
    </row>
    <row r="94" spans="1:4" ht="31.5" x14ac:dyDescent="0.25">
      <c r="A94" s="3">
        <v>14.27</v>
      </c>
      <c r="B94" s="30" t="s">
        <v>2302</v>
      </c>
      <c r="C94" s="3" t="s">
        <v>2439</v>
      </c>
      <c r="D94" s="101">
        <v>285</v>
      </c>
    </row>
    <row r="95" spans="1:4" x14ac:dyDescent="0.25">
      <c r="A95" s="3"/>
    </row>
    <row r="96" spans="1:4" ht="31.5" x14ac:dyDescent="0.25">
      <c r="A96" s="3">
        <v>14.28</v>
      </c>
      <c r="B96" s="30" t="s">
        <v>2303</v>
      </c>
      <c r="C96" s="3"/>
    </row>
    <row r="97" spans="1:4" x14ac:dyDescent="0.25">
      <c r="A97" s="3" t="s">
        <v>2152</v>
      </c>
      <c r="B97" s="30" t="s">
        <v>2153</v>
      </c>
      <c r="C97" s="3" t="s">
        <v>2437</v>
      </c>
      <c r="D97" s="101">
        <v>48</v>
      </c>
    </row>
    <row r="98" spans="1:4" x14ac:dyDescent="0.25">
      <c r="A98" s="3" t="s">
        <v>2154</v>
      </c>
      <c r="B98" s="30" t="s">
        <v>2155</v>
      </c>
      <c r="C98" s="3" t="s">
        <v>2437</v>
      </c>
      <c r="D98" s="101">
        <v>23</v>
      </c>
    </row>
    <row r="99" spans="1:4" x14ac:dyDescent="0.25">
      <c r="A99" s="3"/>
      <c r="C99" s="3"/>
    </row>
    <row r="100" spans="1:4" ht="63" x14ac:dyDescent="0.25">
      <c r="A100" s="3">
        <v>14.29</v>
      </c>
      <c r="B100" s="30" t="s">
        <v>2156</v>
      </c>
      <c r="C100" s="3" t="s">
        <v>2439</v>
      </c>
      <c r="D100" s="101">
        <v>700</v>
      </c>
    </row>
    <row r="101" spans="1:4" x14ac:dyDescent="0.25">
      <c r="A101" s="3"/>
    </row>
    <row r="102" spans="1:4" ht="47.25" x14ac:dyDescent="0.25">
      <c r="A102" s="7">
        <v>14.3</v>
      </c>
      <c r="B102" s="30" t="s">
        <v>2157</v>
      </c>
      <c r="C102" s="3" t="s">
        <v>2437</v>
      </c>
      <c r="D102" s="101">
        <v>65</v>
      </c>
    </row>
    <row r="103" spans="1:4" x14ac:dyDescent="0.25">
      <c r="A103" s="3"/>
    </row>
    <row r="104" spans="1:4" ht="47.25" x14ac:dyDescent="0.25">
      <c r="A104" s="3">
        <v>14.31</v>
      </c>
      <c r="B104" s="30" t="s">
        <v>2158</v>
      </c>
      <c r="C104" s="3" t="s">
        <v>2437</v>
      </c>
      <c r="D104" s="101">
        <v>54</v>
      </c>
    </row>
    <row r="105" spans="1:4" x14ac:dyDescent="0.25">
      <c r="A105" s="3"/>
    </row>
    <row r="106" spans="1:4" x14ac:dyDescent="0.25">
      <c r="A106" s="3"/>
    </row>
    <row r="107" spans="1:4" x14ac:dyDescent="0.25">
      <c r="A107" s="3"/>
    </row>
    <row r="108" spans="1:4" x14ac:dyDescent="0.25">
      <c r="A108" s="3"/>
    </row>
    <row r="109" spans="1:4" ht="47.25" x14ac:dyDescent="0.25">
      <c r="A109" s="3">
        <v>14.32</v>
      </c>
      <c r="B109" s="30" t="s">
        <v>2160</v>
      </c>
      <c r="C109" s="3" t="s">
        <v>2437</v>
      </c>
      <c r="D109" s="101">
        <v>14</v>
      </c>
    </row>
    <row r="110" spans="1:4" x14ac:dyDescent="0.25">
      <c r="A110" s="3"/>
    </row>
    <row r="111" spans="1:4" ht="31.5" x14ac:dyDescent="0.25">
      <c r="A111" s="3">
        <v>14.33</v>
      </c>
      <c r="B111" s="30" t="s">
        <v>2161</v>
      </c>
      <c r="C111" s="3" t="s">
        <v>2453</v>
      </c>
      <c r="D111" s="101">
        <v>6</v>
      </c>
    </row>
    <row r="112" spans="1:4" x14ac:dyDescent="0.25">
      <c r="A112" s="3"/>
    </row>
    <row r="113" spans="1:4" ht="47.25" x14ac:dyDescent="0.25">
      <c r="A113" s="3">
        <v>14.34</v>
      </c>
      <c r="B113" s="30" t="s">
        <v>2162</v>
      </c>
      <c r="C113" s="3"/>
    </row>
    <row r="114" spans="1:4" x14ac:dyDescent="0.25">
      <c r="A114" s="3" t="s">
        <v>2163</v>
      </c>
      <c r="B114" s="30" t="s">
        <v>2164</v>
      </c>
      <c r="C114" s="3" t="s">
        <v>4217</v>
      </c>
      <c r="D114" s="101">
        <v>72</v>
      </c>
    </row>
    <row r="115" spans="1:4" x14ac:dyDescent="0.25">
      <c r="A115" s="3"/>
      <c r="C115" s="3"/>
      <c r="D115" s="101"/>
    </row>
    <row r="116" spans="1:4" x14ac:dyDescent="0.25">
      <c r="A116" s="3" t="s">
        <v>2165</v>
      </c>
      <c r="B116" s="30" t="s">
        <v>2166</v>
      </c>
      <c r="C116" s="3" t="s">
        <v>4217</v>
      </c>
      <c r="D116" s="101">
        <v>80</v>
      </c>
    </row>
    <row r="117" spans="1:4" x14ac:dyDescent="0.25">
      <c r="A117" s="3"/>
      <c r="C117" s="3"/>
    </row>
    <row r="118" spans="1:4" ht="47.25" x14ac:dyDescent="0.25">
      <c r="A118" s="3">
        <v>14.35</v>
      </c>
      <c r="B118" s="30" t="s">
        <v>2167</v>
      </c>
      <c r="C118" s="3" t="s">
        <v>4217</v>
      </c>
      <c r="D118" s="101">
        <v>7</v>
      </c>
    </row>
    <row r="119" spans="1:4" x14ac:dyDescent="0.25">
      <c r="A119" s="3"/>
      <c r="C119" s="3"/>
    </row>
    <row r="120" spans="1:4" ht="31.5" x14ac:dyDescent="0.25">
      <c r="A120" s="3">
        <v>14.36</v>
      </c>
      <c r="B120" s="30" t="s">
        <v>2168</v>
      </c>
      <c r="C120" s="3" t="s">
        <v>2634</v>
      </c>
      <c r="D120" s="101">
        <v>10</v>
      </c>
    </row>
    <row r="121" spans="1:4" x14ac:dyDescent="0.25">
      <c r="A121" s="3"/>
    </row>
    <row r="122" spans="1:4" ht="47.25" x14ac:dyDescent="0.25">
      <c r="A122" s="3">
        <v>14.37</v>
      </c>
      <c r="B122" s="30" t="s">
        <v>2169</v>
      </c>
      <c r="C122" s="3" t="s">
        <v>2437</v>
      </c>
      <c r="D122" s="101">
        <v>17</v>
      </c>
    </row>
    <row r="123" spans="1:4" x14ac:dyDescent="0.25">
      <c r="A123" s="3"/>
    </row>
    <row r="124" spans="1:4" ht="47.25" x14ac:dyDescent="0.25">
      <c r="A124" s="3">
        <v>14.38</v>
      </c>
      <c r="B124" s="30" t="s">
        <v>2170</v>
      </c>
      <c r="C124" s="3" t="s">
        <v>2437</v>
      </c>
      <c r="D124" s="101">
        <v>21</v>
      </c>
    </row>
    <row r="125" spans="1:4" x14ac:dyDescent="0.25">
      <c r="A125" s="3"/>
    </row>
    <row r="126" spans="1:4" ht="47.25" x14ac:dyDescent="0.25">
      <c r="A126" s="3">
        <v>14.39</v>
      </c>
      <c r="B126" s="30" t="s">
        <v>2171</v>
      </c>
      <c r="C126" s="3"/>
    </row>
    <row r="127" spans="1:4" x14ac:dyDescent="0.25">
      <c r="A127" s="3" t="s">
        <v>2172</v>
      </c>
      <c r="B127" s="30" t="s">
        <v>2173</v>
      </c>
      <c r="C127" s="3" t="s">
        <v>2437</v>
      </c>
      <c r="D127" s="101">
        <v>17</v>
      </c>
    </row>
    <row r="128" spans="1:4" x14ac:dyDescent="0.25">
      <c r="A128" s="3"/>
      <c r="C128" s="3"/>
      <c r="D128" s="101"/>
    </row>
    <row r="129" spans="1:4" x14ac:dyDescent="0.25">
      <c r="A129" s="3" t="s">
        <v>2174</v>
      </c>
      <c r="B129" s="30" t="s">
        <v>2175</v>
      </c>
      <c r="C129" s="3" t="s">
        <v>2437</v>
      </c>
      <c r="D129" s="101">
        <v>25</v>
      </c>
    </row>
    <row r="130" spans="1:4" x14ac:dyDescent="0.25">
      <c r="A130" s="3"/>
      <c r="C130" s="3"/>
      <c r="D130" s="101"/>
    </row>
    <row r="131" spans="1:4" x14ac:dyDescent="0.25">
      <c r="A131" s="3" t="s">
        <v>2176</v>
      </c>
      <c r="B131" s="30" t="s">
        <v>2177</v>
      </c>
      <c r="C131" s="3" t="s">
        <v>2437</v>
      </c>
      <c r="D131" s="101">
        <v>36</v>
      </c>
    </row>
    <row r="132" spans="1:4" x14ac:dyDescent="0.25">
      <c r="A132" s="3"/>
      <c r="C132" s="3"/>
    </row>
    <row r="133" spans="1:4" ht="31.5" x14ac:dyDescent="0.25">
      <c r="A133" s="7">
        <v>14.4</v>
      </c>
      <c r="B133" s="30" t="s">
        <v>2304</v>
      </c>
      <c r="C133" s="3"/>
    </row>
    <row r="134" spans="1:4" x14ac:dyDescent="0.25">
      <c r="A134" s="3" t="s">
        <v>2178</v>
      </c>
      <c r="B134" s="30" t="s">
        <v>2179</v>
      </c>
      <c r="C134" s="3" t="s">
        <v>2437</v>
      </c>
      <c r="D134" s="101">
        <v>77</v>
      </c>
    </row>
    <row r="135" spans="1:4" x14ac:dyDescent="0.25">
      <c r="A135" s="3"/>
      <c r="C135" s="3"/>
      <c r="D135" s="101"/>
    </row>
    <row r="136" spans="1:4" x14ac:dyDescent="0.25">
      <c r="A136" s="3" t="s">
        <v>2180</v>
      </c>
      <c r="B136" s="30" t="s">
        <v>2181</v>
      </c>
      <c r="C136" s="3" t="s">
        <v>2437</v>
      </c>
      <c r="D136" s="101">
        <v>117</v>
      </c>
    </row>
    <row r="137" spans="1:4" x14ac:dyDescent="0.25">
      <c r="A137" s="3"/>
    </row>
    <row r="138" spans="1:4" x14ac:dyDescent="0.25">
      <c r="A138" s="3"/>
    </row>
    <row r="139" spans="1:4" ht="31.5" x14ac:dyDescent="0.25">
      <c r="A139" s="3">
        <v>14.41</v>
      </c>
      <c r="B139" s="30" t="s">
        <v>2305</v>
      </c>
      <c r="C139" s="3"/>
    </row>
    <row r="140" spans="1:4" x14ac:dyDescent="0.25">
      <c r="A140" s="3" t="s">
        <v>5320</v>
      </c>
      <c r="B140" s="30" t="s">
        <v>2182</v>
      </c>
      <c r="C140" s="3" t="s">
        <v>2453</v>
      </c>
      <c r="D140" s="101">
        <v>19</v>
      </c>
    </row>
    <row r="141" spans="1:4" x14ac:dyDescent="0.25">
      <c r="A141" s="3" t="s">
        <v>5321</v>
      </c>
      <c r="B141" s="30" t="s">
        <v>2183</v>
      </c>
      <c r="C141" s="3" t="s">
        <v>2453</v>
      </c>
      <c r="D141" s="101">
        <v>19</v>
      </c>
    </row>
    <row r="142" spans="1:4" x14ac:dyDescent="0.25">
      <c r="A142" s="3" t="s">
        <v>5322</v>
      </c>
      <c r="B142" s="30" t="s">
        <v>2184</v>
      </c>
      <c r="C142" s="3" t="s">
        <v>2453</v>
      </c>
      <c r="D142" s="101">
        <v>20</v>
      </c>
    </row>
    <row r="143" spans="1:4" x14ac:dyDescent="0.25">
      <c r="A143" s="3"/>
      <c r="C143" s="3"/>
    </row>
    <row r="144" spans="1:4" ht="47.25" x14ac:dyDescent="0.25">
      <c r="A144" s="3">
        <v>14.42</v>
      </c>
      <c r="B144" s="30" t="s">
        <v>2159</v>
      </c>
      <c r="C144" s="3" t="s">
        <v>2437</v>
      </c>
      <c r="D144" s="101">
        <v>23</v>
      </c>
    </row>
    <row r="145" spans="1:4" x14ac:dyDescent="0.25">
      <c r="A145" s="3"/>
      <c r="C145" s="3"/>
    </row>
    <row r="146" spans="1:4" ht="47.25" x14ac:dyDescent="0.25">
      <c r="A146" s="3">
        <v>14.43</v>
      </c>
      <c r="B146" s="30" t="s">
        <v>2185</v>
      </c>
      <c r="C146" s="3"/>
    </row>
    <row r="147" spans="1:4" x14ac:dyDescent="0.25">
      <c r="A147" s="3" t="s">
        <v>5323</v>
      </c>
      <c r="B147" s="30" t="s">
        <v>2186</v>
      </c>
      <c r="C147" s="3" t="s">
        <v>2453</v>
      </c>
      <c r="D147" s="101">
        <v>41</v>
      </c>
    </row>
    <row r="148" spans="1:4" x14ac:dyDescent="0.25">
      <c r="A148" s="3" t="s">
        <v>5324</v>
      </c>
      <c r="B148" s="30" t="s">
        <v>2187</v>
      </c>
      <c r="C148" s="3" t="s">
        <v>2453</v>
      </c>
      <c r="D148" s="101">
        <v>47</v>
      </c>
    </row>
    <row r="149" spans="1:4" x14ac:dyDescent="0.25">
      <c r="A149" s="3"/>
      <c r="C149" s="3"/>
    </row>
    <row r="150" spans="1:4" ht="63" x14ac:dyDescent="0.25">
      <c r="A150" s="3">
        <v>14.44</v>
      </c>
      <c r="B150" s="30" t="s">
        <v>2188</v>
      </c>
      <c r="C150" s="3"/>
    </row>
    <row r="151" spans="1:4" x14ac:dyDescent="0.25">
      <c r="A151" s="3" t="s">
        <v>2189</v>
      </c>
      <c r="B151" s="30" t="s">
        <v>2190</v>
      </c>
      <c r="C151" s="3" t="s">
        <v>2453</v>
      </c>
      <c r="D151" s="101">
        <v>109</v>
      </c>
    </row>
    <row r="152" spans="1:4" x14ac:dyDescent="0.25">
      <c r="A152" s="3" t="s">
        <v>2191</v>
      </c>
      <c r="B152" s="30" t="s">
        <v>2192</v>
      </c>
      <c r="C152" s="3" t="s">
        <v>2453</v>
      </c>
      <c r="D152" s="101">
        <v>147</v>
      </c>
    </row>
    <row r="153" spans="1:4" x14ac:dyDescent="0.25">
      <c r="A153" s="3" t="s">
        <v>5325</v>
      </c>
      <c r="B153" s="30" t="s">
        <v>2193</v>
      </c>
      <c r="C153" s="3" t="s">
        <v>2453</v>
      </c>
      <c r="D153" s="101">
        <v>197</v>
      </c>
    </row>
    <row r="154" spans="1:4" x14ac:dyDescent="0.25">
      <c r="A154" s="3"/>
      <c r="C154" s="3"/>
    </row>
    <row r="155" spans="1:4" ht="78.75" x14ac:dyDescent="0.25">
      <c r="A155" s="3">
        <v>14.45</v>
      </c>
      <c r="B155" s="30" t="s">
        <v>2194</v>
      </c>
      <c r="C155" s="3"/>
    </row>
    <row r="156" spans="1:4" x14ac:dyDescent="0.25">
      <c r="A156" s="3" t="s">
        <v>2195</v>
      </c>
      <c r="B156" s="30" t="s">
        <v>2196</v>
      </c>
      <c r="C156" s="3" t="s">
        <v>2453</v>
      </c>
      <c r="D156" s="101">
        <v>197</v>
      </c>
    </row>
    <row r="157" spans="1:4" x14ac:dyDescent="0.25">
      <c r="A157" s="3" t="s">
        <v>2197</v>
      </c>
      <c r="B157" s="30" t="s">
        <v>2198</v>
      </c>
      <c r="C157" s="3" t="s">
        <v>2453</v>
      </c>
      <c r="D157" s="101">
        <v>497</v>
      </c>
    </row>
    <row r="158" spans="1:4" x14ac:dyDescent="0.25">
      <c r="A158" s="3"/>
      <c r="C158" s="3"/>
    </row>
    <row r="159" spans="1:4" ht="47.25" x14ac:dyDescent="0.25">
      <c r="A159" s="3">
        <v>14.46</v>
      </c>
      <c r="B159" s="30" t="s">
        <v>2199</v>
      </c>
      <c r="C159" s="3"/>
    </row>
    <row r="160" spans="1:4" x14ac:dyDescent="0.25">
      <c r="A160" s="3" t="s">
        <v>2200</v>
      </c>
      <c r="B160" s="30" t="s">
        <v>2201</v>
      </c>
      <c r="C160" s="3" t="s">
        <v>2453</v>
      </c>
      <c r="D160" s="101">
        <v>86</v>
      </c>
    </row>
    <row r="161" spans="1:4" x14ac:dyDescent="0.25">
      <c r="A161" s="3" t="s">
        <v>2202</v>
      </c>
      <c r="B161" s="30" t="s">
        <v>2203</v>
      </c>
      <c r="C161" s="3" t="s">
        <v>2453</v>
      </c>
      <c r="D161" s="101">
        <v>105</v>
      </c>
    </row>
    <row r="162" spans="1:4" x14ac:dyDescent="0.25">
      <c r="A162" s="3"/>
      <c r="C162" s="3"/>
    </row>
    <row r="163" spans="1:4" ht="78.75" x14ac:dyDescent="0.25">
      <c r="A163" s="3">
        <v>14.47</v>
      </c>
      <c r="B163" s="30" t="s">
        <v>2204</v>
      </c>
      <c r="C163" s="3" t="s">
        <v>4217</v>
      </c>
      <c r="D163" s="101">
        <v>187</v>
      </c>
    </row>
    <row r="164" spans="1:4" x14ac:dyDescent="0.25">
      <c r="A164" s="3"/>
    </row>
    <row r="165" spans="1:4" x14ac:dyDescent="0.25">
      <c r="A165" s="3"/>
    </row>
    <row r="166" spans="1:4" ht="89.25" customHeight="1" x14ac:dyDescent="0.25">
      <c r="A166" s="3">
        <v>14.48</v>
      </c>
      <c r="B166" s="30" t="s">
        <v>2205</v>
      </c>
      <c r="C166" s="3" t="s">
        <v>4217</v>
      </c>
      <c r="D166" s="101">
        <v>110</v>
      </c>
    </row>
    <row r="167" spans="1:4" x14ac:dyDescent="0.25">
      <c r="A167" s="3"/>
    </row>
    <row r="168" spans="1:4" ht="73.5" customHeight="1" x14ac:dyDescent="0.25">
      <c r="A168" s="7">
        <v>14.49</v>
      </c>
      <c r="B168" s="30" t="s">
        <v>2206</v>
      </c>
      <c r="C168" s="3" t="s">
        <v>4217</v>
      </c>
      <c r="D168" s="101">
        <v>1271</v>
      </c>
    </row>
    <row r="169" spans="1:4" x14ac:dyDescent="0.25">
      <c r="A169" s="3"/>
    </row>
    <row r="170" spans="1:4" ht="75.75" customHeight="1" x14ac:dyDescent="0.25">
      <c r="A170" s="7">
        <v>14.5</v>
      </c>
      <c r="B170" s="30" t="s">
        <v>2207</v>
      </c>
      <c r="C170" s="3" t="s">
        <v>4217</v>
      </c>
      <c r="D170" s="101">
        <v>255</v>
      </c>
    </row>
    <row r="171" spans="1:4" x14ac:dyDescent="0.25">
      <c r="A171" s="3"/>
    </row>
    <row r="172" spans="1:4" ht="57" customHeight="1" x14ac:dyDescent="0.25">
      <c r="A172" s="3">
        <v>14.51</v>
      </c>
      <c r="B172" s="30" t="s">
        <v>2208</v>
      </c>
      <c r="C172" s="3" t="s">
        <v>4217</v>
      </c>
      <c r="D172" s="101">
        <v>277</v>
      </c>
    </row>
    <row r="173" spans="1:4" x14ac:dyDescent="0.25">
      <c r="A173" s="3"/>
    </row>
    <row r="174" spans="1:4" ht="31.5" x14ac:dyDescent="0.25">
      <c r="A174" s="3">
        <v>14.52</v>
      </c>
      <c r="B174" s="30" t="s">
        <v>2209</v>
      </c>
      <c r="C174" s="3"/>
    </row>
    <row r="175" spans="1:4" x14ac:dyDescent="0.25">
      <c r="A175" s="3" t="s">
        <v>5326</v>
      </c>
      <c r="B175" s="30" t="s">
        <v>2190</v>
      </c>
      <c r="C175" s="3" t="s">
        <v>4217</v>
      </c>
      <c r="D175" s="101">
        <v>99</v>
      </c>
    </row>
    <row r="176" spans="1:4" x14ac:dyDescent="0.25">
      <c r="A176" s="3" t="s">
        <v>5327</v>
      </c>
      <c r="B176" s="30" t="s">
        <v>2210</v>
      </c>
      <c r="C176" s="3" t="s">
        <v>4217</v>
      </c>
      <c r="D176" s="101">
        <v>353</v>
      </c>
    </row>
    <row r="177" spans="1:4" x14ac:dyDescent="0.25">
      <c r="A177" s="3"/>
      <c r="C177" s="3"/>
    </row>
    <row r="178" spans="1:4" ht="31.5" x14ac:dyDescent="0.25">
      <c r="A178" s="3">
        <v>14.53</v>
      </c>
      <c r="B178" s="30" t="s">
        <v>2211</v>
      </c>
      <c r="C178" s="3" t="s">
        <v>4217</v>
      </c>
      <c r="D178" s="101">
        <v>213</v>
      </c>
    </row>
    <row r="179" spans="1:4" x14ac:dyDescent="0.25">
      <c r="A179" s="3"/>
      <c r="C179" s="3"/>
    </row>
    <row r="180" spans="1:4" ht="72" customHeight="1" x14ac:dyDescent="0.25">
      <c r="A180" s="7">
        <v>14.54</v>
      </c>
      <c r="B180" s="13" t="s">
        <v>2826</v>
      </c>
    </row>
    <row r="181" spans="1:4" x14ac:dyDescent="0.25">
      <c r="A181" s="7" t="s">
        <v>5328</v>
      </c>
      <c r="B181" s="13" t="s">
        <v>4653</v>
      </c>
      <c r="C181" s="3" t="s">
        <v>2437</v>
      </c>
      <c r="D181" s="101">
        <v>311</v>
      </c>
    </row>
    <row r="182" spans="1:4" x14ac:dyDescent="0.25">
      <c r="A182" s="7" t="s">
        <v>5329</v>
      </c>
      <c r="B182" s="13" t="s">
        <v>4654</v>
      </c>
      <c r="C182" s="3" t="s">
        <v>2437</v>
      </c>
      <c r="D182" s="101">
        <v>462</v>
      </c>
    </row>
    <row r="183" spans="1:4" x14ac:dyDescent="0.25">
      <c r="A183" s="7" t="s">
        <v>5330</v>
      </c>
      <c r="B183" s="13" t="s">
        <v>4655</v>
      </c>
      <c r="C183" s="3" t="s">
        <v>2437</v>
      </c>
      <c r="D183" s="101">
        <v>693</v>
      </c>
    </row>
    <row r="184" spans="1:4" x14ac:dyDescent="0.25">
      <c r="A184" s="3"/>
    </row>
    <row r="185" spans="1:4" ht="47.25" x14ac:dyDescent="0.25">
      <c r="A185" s="3">
        <v>14.55</v>
      </c>
      <c r="B185" s="30" t="s">
        <v>2212</v>
      </c>
      <c r="C185" s="3" t="s">
        <v>2437</v>
      </c>
      <c r="D185" s="101">
        <v>15</v>
      </c>
    </row>
    <row r="186" spans="1:4" x14ac:dyDescent="0.25">
      <c r="A186" s="3"/>
    </row>
    <row r="187" spans="1:4" x14ac:dyDescent="0.25">
      <c r="A187" s="3"/>
    </row>
    <row r="188" spans="1:4" ht="78.75" x14ac:dyDescent="0.25">
      <c r="A188" s="3">
        <v>14.56</v>
      </c>
      <c r="B188" s="30" t="s">
        <v>2306</v>
      </c>
      <c r="C188" s="3" t="s">
        <v>2437</v>
      </c>
      <c r="D188" s="101">
        <v>80</v>
      </c>
    </row>
    <row r="189" spans="1:4" x14ac:dyDescent="0.25">
      <c r="A189" s="3"/>
    </row>
    <row r="190" spans="1:4" ht="63" x14ac:dyDescent="0.25">
      <c r="A190" s="3">
        <v>14.57</v>
      </c>
      <c r="B190" s="30" t="s">
        <v>6149</v>
      </c>
      <c r="C190" s="3" t="s">
        <v>2437</v>
      </c>
      <c r="D190" s="101">
        <v>17</v>
      </c>
    </row>
    <row r="191" spans="1:4" x14ac:dyDescent="0.25">
      <c r="A191" s="3"/>
      <c r="C191" s="3"/>
    </row>
    <row r="192" spans="1:4" ht="47.25" x14ac:dyDescent="0.25">
      <c r="A192" s="7">
        <v>14.58</v>
      </c>
      <c r="B192" s="30" t="s">
        <v>2213</v>
      </c>
      <c r="C192" s="3"/>
    </row>
    <row r="193" spans="1:4" x14ac:dyDescent="0.25">
      <c r="A193" s="3" t="s">
        <v>5331</v>
      </c>
      <c r="B193" s="30" t="s">
        <v>2214</v>
      </c>
      <c r="C193" s="3" t="s">
        <v>4217</v>
      </c>
      <c r="D193" s="101">
        <v>176</v>
      </c>
    </row>
    <row r="194" spans="1:4" x14ac:dyDescent="0.25">
      <c r="A194" s="3" t="s">
        <v>5332</v>
      </c>
      <c r="B194" s="30" t="s">
        <v>2215</v>
      </c>
      <c r="C194" s="3" t="s">
        <v>4217</v>
      </c>
      <c r="D194" s="101">
        <v>270</v>
      </c>
    </row>
    <row r="195" spans="1:4" x14ac:dyDescent="0.25">
      <c r="C195" s="3"/>
    </row>
    <row r="196" spans="1:4" ht="47.25" x14ac:dyDescent="0.25">
      <c r="A196" s="7">
        <v>14.59</v>
      </c>
      <c r="B196" s="13" t="s">
        <v>2827</v>
      </c>
      <c r="C196" s="3"/>
    </row>
    <row r="197" spans="1:4" x14ac:dyDescent="0.25">
      <c r="A197" s="7" t="s">
        <v>5333</v>
      </c>
      <c r="B197" s="13" t="s">
        <v>2307</v>
      </c>
      <c r="C197" s="3" t="s">
        <v>2437</v>
      </c>
      <c r="D197" s="101">
        <v>69</v>
      </c>
    </row>
    <row r="198" spans="1:4" x14ac:dyDescent="0.25">
      <c r="A198" s="7" t="s">
        <v>5334</v>
      </c>
      <c r="B198" s="13" t="s">
        <v>2308</v>
      </c>
      <c r="C198" s="3" t="s">
        <v>2437</v>
      </c>
      <c r="D198" s="101">
        <v>134</v>
      </c>
    </row>
    <row r="199" spans="1:4" x14ac:dyDescent="0.25">
      <c r="C199" s="3"/>
      <c r="D199" s="10">
        <f>SUM(D9:D198)</f>
        <v>22419</v>
      </c>
    </row>
    <row r="200" spans="1:4" x14ac:dyDescent="0.25">
      <c r="C200" s="3"/>
    </row>
    <row r="201" spans="1:4" x14ac:dyDescent="0.25">
      <c r="C201" s="3"/>
    </row>
    <row r="202" spans="1:4" x14ac:dyDescent="0.25">
      <c r="C202" s="3"/>
    </row>
    <row r="203" spans="1:4" x14ac:dyDescent="0.25">
      <c r="C203" s="3"/>
    </row>
    <row r="204" spans="1:4" x14ac:dyDescent="0.25">
      <c r="C204" s="3"/>
    </row>
    <row r="205" spans="1:4" x14ac:dyDescent="0.25">
      <c r="C205" s="3"/>
    </row>
    <row r="206" spans="1:4" x14ac:dyDescent="0.25">
      <c r="C206" s="3"/>
    </row>
    <row r="207" spans="1:4" x14ac:dyDescent="0.25">
      <c r="C207" s="3"/>
    </row>
    <row r="208" spans="1:4" x14ac:dyDescent="0.25">
      <c r="C208" s="3"/>
    </row>
    <row r="209" spans="3:3" x14ac:dyDescent="0.25">
      <c r="C209" s="3"/>
    </row>
    <row r="210" spans="3:3" x14ac:dyDescent="0.25">
      <c r="C210" s="3"/>
    </row>
    <row r="211" spans="3:3" x14ac:dyDescent="0.25">
      <c r="C211" s="3"/>
    </row>
    <row r="212" spans="3:3" x14ac:dyDescent="0.25">
      <c r="C212" s="3"/>
    </row>
    <row r="213" spans="3:3" x14ac:dyDescent="0.25">
      <c r="C213" s="3"/>
    </row>
    <row r="214" spans="3:3" x14ac:dyDescent="0.25">
      <c r="C214" s="3"/>
    </row>
    <row r="215" spans="3:3" x14ac:dyDescent="0.25">
      <c r="C215" s="3"/>
    </row>
    <row r="216" spans="3:3" x14ac:dyDescent="0.25">
      <c r="C216" s="3"/>
    </row>
    <row r="217" spans="3:3" x14ac:dyDescent="0.25">
      <c r="C217" s="3"/>
    </row>
    <row r="218" spans="3:3" x14ac:dyDescent="0.25">
      <c r="C218" s="3"/>
    </row>
    <row r="219" spans="3:3" x14ac:dyDescent="0.25">
      <c r="C219" s="3"/>
    </row>
    <row r="220" spans="3:3" x14ac:dyDescent="0.25">
      <c r="C220" s="3"/>
    </row>
    <row r="221" spans="3:3" x14ac:dyDescent="0.25">
      <c r="C221" s="3"/>
    </row>
    <row r="222" spans="3:3" x14ac:dyDescent="0.25">
      <c r="C222" s="3"/>
    </row>
    <row r="223" spans="3:3" x14ac:dyDescent="0.25">
      <c r="C223" s="3"/>
    </row>
    <row r="224" spans="3:3" x14ac:dyDescent="0.25">
      <c r="C224" s="3"/>
    </row>
    <row r="225" spans="3:3" x14ac:dyDescent="0.25">
      <c r="C225" s="3"/>
    </row>
    <row r="226" spans="3:3" x14ac:dyDescent="0.25">
      <c r="C226" s="3"/>
    </row>
    <row r="227" spans="3:3" x14ac:dyDescent="0.25">
      <c r="C227" s="3"/>
    </row>
    <row r="228" spans="3:3" x14ac:dyDescent="0.25">
      <c r="C228" s="3"/>
    </row>
    <row r="229" spans="3:3" x14ac:dyDescent="0.25">
      <c r="C229" s="3"/>
    </row>
    <row r="230" spans="3:3" x14ac:dyDescent="0.25">
      <c r="C230" s="3"/>
    </row>
    <row r="231" spans="3:3" x14ac:dyDescent="0.25">
      <c r="C231" s="3"/>
    </row>
    <row r="232" spans="3:3" x14ac:dyDescent="0.25">
      <c r="C232" s="3"/>
    </row>
    <row r="233" spans="3:3" x14ac:dyDescent="0.25">
      <c r="C233" s="3"/>
    </row>
    <row r="234" spans="3:3" x14ac:dyDescent="0.25">
      <c r="C234" s="3"/>
    </row>
    <row r="235" spans="3:3" x14ac:dyDescent="0.25">
      <c r="C235" s="3"/>
    </row>
    <row r="236" spans="3:3" x14ac:dyDescent="0.25">
      <c r="C236" s="3"/>
    </row>
    <row r="237" spans="3:3" x14ac:dyDescent="0.25">
      <c r="C237" s="3"/>
    </row>
    <row r="238" spans="3:3" x14ac:dyDescent="0.25">
      <c r="C238" s="3"/>
    </row>
    <row r="239" spans="3:3" x14ac:dyDescent="0.25">
      <c r="C239" s="3"/>
    </row>
    <row r="240" spans="3:3" x14ac:dyDescent="0.25">
      <c r="C240" s="3"/>
    </row>
    <row r="241" spans="3:3" x14ac:dyDescent="0.25">
      <c r="C241" s="3"/>
    </row>
    <row r="242" spans="3:3" x14ac:dyDescent="0.25">
      <c r="C242" s="3"/>
    </row>
    <row r="243" spans="3:3" x14ac:dyDescent="0.25">
      <c r="C243" s="3"/>
    </row>
    <row r="244" spans="3:3" x14ac:dyDescent="0.25">
      <c r="C244" s="3"/>
    </row>
    <row r="245" spans="3:3" x14ac:dyDescent="0.25">
      <c r="C245" s="3"/>
    </row>
    <row r="246" spans="3:3" x14ac:dyDescent="0.25">
      <c r="C246" s="3"/>
    </row>
    <row r="247" spans="3:3" x14ac:dyDescent="0.25">
      <c r="C247" s="3"/>
    </row>
    <row r="248" spans="3:3" x14ac:dyDescent="0.25">
      <c r="C248" s="3"/>
    </row>
    <row r="249" spans="3:3" x14ac:dyDescent="0.25">
      <c r="C249" s="3"/>
    </row>
    <row r="250" spans="3:3" x14ac:dyDescent="0.25">
      <c r="C250" s="3"/>
    </row>
    <row r="251" spans="3:3" x14ac:dyDescent="0.25">
      <c r="C251" s="3"/>
    </row>
    <row r="252" spans="3:3" x14ac:dyDescent="0.25">
      <c r="C252" s="3"/>
    </row>
    <row r="253" spans="3:3" x14ac:dyDescent="0.25">
      <c r="C253" s="3"/>
    </row>
    <row r="254" spans="3:3" x14ac:dyDescent="0.25">
      <c r="C254" s="3"/>
    </row>
    <row r="255" spans="3:3" x14ac:dyDescent="0.25">
      <c r="C255" s="3"/>
    </row>
    <row r="256" spans="3:3" x14ac:dyDescent="0.25">
      <c r="C256" s="3"/>
    </row>
    <row r="257" spans="3:3" x14ac:dyDescent="0.25">
      <c r="C257" s="3"/>
    </row>
    <row r="258" spans="3:3" x14ac:dyDescent="0.25">
      <c r="C258" s="3"/>
    </row>
    <row r="259" spans="3:3" x14ac:dyDescent="0.25">
      <c r="C259" s="3"/>
    </row>
    <row r="260" spans="3:3" x14ac:dyDescent="0.25">
      <c r="C260" s="3"/>
    </row>
    <row r="261" spans="3:3" x14ac:dyDescent="0.25">
      <c r="C261" s="3"/>
    </row>
    <row r="262" spans="3:3" x14ac:dyDescent="0.25">
      <c r="C262" s="3"/>
    </row>
    <row r="263" spans="3:3" x14ac:dyDescent="0.25">
      <c r="C263" s="3"/>
    </row>
    <row r="264" spans="3:3" x14ac:dyDescent="0.25">
      <c r="C264" s="3"/>
    </row>
    <row r="265" spans="3:3" x14ac:dyDescent="0.25">
      <c r="C265" s="3"/>
    </row>
    <row r="266" spans="3:3" x14ac:dyDescent="0.25">
      <c r="C266" s="3"/>
    </row>
    <row r="267" spans="3:3" x14ac:dyDescent="0.25">
      <c r="C267" s="3"/>
    </row>
    <row r="268" spans="3:3" x14ac:dyDescent="0.25">
      <c r="C268" s="3"/>
    </row>
    <row r="269" spans="3:3" x14ac:dyDescent="0.25">
      <c r="C269" s="3"/>
    </row>
    <row r="270" spans="3:3" x14ac:dyDescent="0.25">
      <c r="C270" s="3"/>
    </row>
    <row r="271" spans="3:3" x14ac:dyDescent="0.25">
      <c r="C271" s="3"/>
    </row>
    <row r="272" spans="3:3" x14ac:dyDescent="0.25">
      <c r="C272" s="3"/>
    </row>
    <row r="273" spans="3:3" x14ac:dyDescent="0.25">
      <c r="C273" s="3"/>
    </row>
    <row r="274" spans="3:3" x14ac:dyDescent="0.25">
      <c r="C274" s="3"/>
    </row>
    <row r="275" spans="3:3" x14ac:dyDescent="0.25">
      <c r="C275" s="3"/>
    </row>
    <row r="276" spans="3:3" x14ac:dyDescent="0.25">
      <c r="C276" s="3"/>
    </row>
    <row r="277" spans="3:3" x14ac:dyDescent="0.25">
      <c r="C277" s="3"/>
    </row>
    <row r="278" spans="3:3" x14ac:dyDescent="0.25">
      <c r="C278" s="3"/>
    </row>
    <row r="279" spans="3:3" x14ac:dyDescent="0.25">
      <c r="C279" s="3"/>
    </row>
    <row r="280" spans="3:3" x14ac:dyDescent="0.25">
      <c r="C280" s="3"/>
    </row>
    <row r="281" spans="3:3" x14ac:dyDescent="0.25">
      <c r="C281" s="3"/>
    </row>
    <row r="282" spans="3:3" x14ac:dyDescent="0.25">
      <c r="C282" s="3"/>
    </row>
    <row r="283" spans="3:3" x14ac:dyDescent="0.25">
      <c r="C283" s="3"/>
    </row>
    <row r="284" spans="3:3" x14ac:dyDescent="0.25">
      <c r="C284" s="3"/>
    </row>
    <row r="285" spans="3:3" x14ac:dyDescent="0.25">
      <c r="C285" s="3"/>
    </row>
    <row r="286" spans="3:3" x14ac:dyDescent="0.25">
      <c r="C286" s="3"/>
    </row>
    <row r="287" spans="3:3" x14ac:dyDescent="0.25">
      <c r="C287" s="3"/>
    </row>
    <row r="288" spans="3:3" x14ac:dyDescent="0.25">
      <c r="C288" s="3"/>
    </row>
    <row r="289" spans="3:3" x14ac:dyDescent="0.25">
      <c r="C289" s="3"/>
    </row>
    <row r="290" spans="3:3" x14ac:dyDescent="0.25">
      <c r="C290" s="3"/>
    </row>
    <row r="291" spans="3:3" x14ac:dyDescent="0.25">
      <c r="C291" s="3"/>
    </row>
    <row r="292" spans="3:3" x14ac:dyDescent="0.25">
      <c r="C292" s="3"/>
    </row>
    <row r="293" spans="3:3" x14ac:dyDescent="0.25">
      <c r="C293" s="3"/>
    </row>
    <row r="294" spans="3:3" x14ac:dyDescent="0.25">
      <c r="C294" s="3"/>
    </row>
    <row r="295" spans="3:3" x14ac:dyDescent="0.25">
      <c r="C295" s="3"/>
    </row>
    <row r="296" spans="3:3" x14ac:dyDescent="0.25">
      <c r="C296" s="3"/>
    </row>
    <row r="297" spans="3:3" x14ac:dyDescent="0.25">
      <c r="C297" s="3"/>
    </row>
    <row r="298" spans="3:3" x14ac:dyDescent="0.25">
      <c r="C298" s="3"/>
    </row>
    <row r="299" spans="3:3" x14ac:dyDescent="0.25">
      <c r="C299" s="3"/>
    </row>
    <row r="300" spans="3:3" x14ac:dyDescent="0.25">
      <c r="C300" s="3"/>
    </row>
    <row r="301" spans="3:3" x14ac:dyDescent="0.25">
      <c r="C301" s="3"/>
    </row>
    <row r="302" spans="3:3" x14ac:dyDescent="0.25">
      <c r="C302" s="3"/>
    </row>
    <row r="303" spans="3:3" x14ac:dyDescent="0.25">
      <c r="C303" s="3"/>
    </row>
    <row r="304" spans="3:3" x14ac:dyDescent="0.25">
      <c r="C304" s="3"/>
    </row>
    <row r="305" spans="3:3" x14ac:dyDescent="0.25">
      <c r="C305" s="3"/>
    </row>
    <row r="306" spans="3:3" x14ac:dyDescent="0.25">
      <c r="C306" s="3"/>
    </row>
    <row r="307" spans="3:3" x14ac:dyDescent="0.25">
      <c r="C307" s="3"/>
    </row>
    <row r="308" spans="3:3" x14ac:dyDescent="0.25">
      <c r="C308" s="3"/>
    </row>
    <row r="309" spans="3:3" x14ac:dyDescent="0.25">
      <c r="C309" s="3"/>
    </row>
    <row r="310" spans="3:3" x14ac:dyDescent="0.25">
      <c r="C310" s="3"/>
    </row>
    <row r="311" spans="3:3" x14ac:dyDescent="0.25">
      <c r="C311" s="3"/>
    </row>
    <row r="312" spans="3:3" x14ac:dyDescent="0.25">
      <c r="C312" s="3"/>
    </row>
    <row r="313" spans="3:3" x14ac:dyDescent="0.25">
      <c r="C313" s="3"/>
    </row>
    <row r="314" spans="3:3" x14ac:dyDescent="0.25">
      <c r="C314" s="3"/>
    </row>
    <row r="315" spans="3:3" x14ac:dyDescent="0.25">
      <c r="C315" s="3"/>
    </row>
    <row r="316" spans="3:3" x14ac:dyDescent="0.25">
      <c r="C316" s="3"/>
    </row>
    <row r="317" spans="3:3" x14ac:dyDescent="0.25">
      <c r="C317" s="3"/>
    </row>
    <row r="318" spans="3:3" x14ac:dyDescent="0.25">
      <c r="C318" s="3"/>
    </row>
    <row r="319" spans="3:3" x14ac:dyDescent="0.25">
      <c r="C319" s="3"/>
    </row>
    <row r="320" spans="3:3" x14ac:dyDescent="0.25">
      <c r="C320" s="3"/>
    </row>
    <row r="321" spans="3:3" x14ac:dyDescent="0.25">
      <c r="C321" s="3"/>
    </row>
    <row r="322" spans="3:3" x14ac:dyDescent="0.25">
      <c r="C322" s="3"/>
    </row>
    <row r="323" spans="3:3" x14ac:dyDescent="0.25">
      <c r="C323" s="3"/>
    </row>
    <row r="324" spans="3:3" x14ac:dyDescent="0.25">
      <c r="C324" s="3"/>
    </row>
    <row r="325" spans="3:3" x14ac:dyDescent="0.25">
      <c r="C325" s="3"/>
    </row>
    <row r="326" spans="3:3" x14ac:dyDescent="0.25">
      <c r="C326" s="3"/>
    </row>
    <row r="327" spans="3:3" x14ac:dyDescent="0.25">
      <c r="C327" s="3"/>
    </row>
    <row r="328" spans="3:3" x14ac:dyDescent="0.25">
      <c r="C328" s="3"/>
    </row>
    <row r="329" spans="3:3" x14ac:dyDescent="0.25">
      <c r="C329" s="3"/>
    </row>
    <row r="330" spans="3:3" x14ac:dyDescent="0.25">
      <c r="C330" s="3"/>
    </row>
    <row r="331" spans="3:3" x14ac:dyDescent="0.25">
      <c r="C331" s="3"/>
    </row>
    <row r="332" spans="3:3" x14ac:dyDescent="0.25">
      <c r="C332" s="3"/>
    </row>
    <row r="333" spans="3:3" x14ac:dyDescent="0.25">
      <c r="C333" s="3"/>
    </row>
    <row r="334" spans="3:3" x14ac:dyDescent="0.25">
      <c r="C334" s="3"/>
    </row>
    <row r="335" spans="3:3" x14ac:dyDescent="0.25">
      <c r="C335" s="3"/>
    </row>
    <row r="336" spans="3:3" x14ac:dyDescent="0.25">
      <c r="C336" s="3"/>
    </row>
    <row r="337" spans="3:3" x14ac:dyDescent="0.25">
      <c r="C337" s="3"/>
    </row>
    <row r="338" spans="3:3" x14ac:dyDescent="0.25">
      <c r="C338" s="3"/>
    </row>
    <row r="339" spans="3:3" x14ac:dyDescent="0.25">
      <c r="C339" s="3"/>
    </row>
    <row r="340" spans="3:3" x14ac:dyDescent="0.25">
      <c r="C340" s="3"/>
    </row>
    <row r="341" spans="3:3" x14ac:dyDescent="0.25">
      <c r="C341" s="3"/>
    </row>
    <row r="342" spans="3:3" x14ac:dyDescent="0.25">
      <c r="C342" s="3"/>
    </row>
    <row r="343" spans="3:3" x14ac:dyDescent="0.25">
      <c r="C343" s="3"/>
    </row>
    <row r="344" spans="3:3" x14ac:dyDescent="0.25">
      <c r="C344" s="3"/>
    </row>
    <row r="345" spans="3:3" x14ac:dyDescent="0.25">
      <c r="C345" s="3"/>
    </row>
    <row r="346" spans="3:3" x14ac:dyDescent="0.25">
      <c r="C346" s="3"/>
    </row>
    <row r="347" spans="3:3" x14ac:dyDescent="0.25">
      <c r="C347" s="3"/>
    </row>
    <row r="348" spans="3:3" x14ac:dyDescent="0.25">
      <c r="C348" s="3"/>
    </row>
    <row r="349" spans="3:3" x14ac:dyDescent="0.25">
      <c r="C349" s="3"/>
    </row>
    <row r="350" spans="3:3" x14ac:dyDescent="0.25">
      <c r="C350" s="3"/>
    </row>
    <row r="351" spans="3:3" x14ac:dyDescent="0.25">
      <c r="C351" s="3"/>
    </row>
    <row r="352" spans="3:3" x14ac:dyDescent="0.25">
      <c r="C352" s="3"/>
    </row>
    <row r="353" spans="3:3" x14ac:dyDescent="0.25">
      <c r="C353" s="3"/>
    </row>
    <row r="354" spans="3:3" x14ac:dyDescent="0.25">
      <c r="C354" s="3"/>
    </row>
    <row r="355" spans="3:3" x14ac:dyDescent="0.25">
      <c r="C355" s="3"/>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tabColor rgb="FFFFFF00"/>
  </sheetPr>
  <dimension ref="A1:E153"/>
  <sheetViews>
    <sheetView view="pageBreakPreview" topLeftCell="A150" zoomScale="115" zoomScaleNormal="100" zoomScaleSheetLayoutView="115" workbookViewId="0">
      <selection activeCell="A84" sqref="A84"/>
    </sheetView>
  </sheetViews>
  <sheetFormatPr defaultRowHeight="15.75" x14ac:dyDescent="0.25"/>
  <cols>
    <col min="1" max="1" width="10" style="5" customWidth="1"/>
    <col min="2" max="2" width="55.7109375" style="13" customWidth="1"/>
    <col min="3" max="3" width="9.7109375" style="8" customWidth="1"/>
    <col min="4" max="4" width="11.7109375" style="6" customWidth="1"/>
    <col min="5" max="16384" width="9.140625" style="6"/>
  </cols>
  <sheetData>
    <row r="1" spans="1:5" ht="22.5" x14ac:dyDescent="0.25">
      <c r="A1" s="258" t="s">
        <v>2506</v>
      </c>
      <c r="B1" s="258"/>
      <c r="C1" s="258"/>
      <c r="D1" s="258"/>
    </row>
    <row r="2" spans="1:5" ht="54.75" customHeight="1" x14ac:dyDescent="0.25">
      <c r="A2" s="276" t="s">
        <v>399</v>
      </c>
      <c r="B2" s="276"/>
      <c r="C2" s="276"/>
      <c r="D2" s="276"/>
    </row>
    <row r="4" spans="1:5" s="112" customFormat="1" ht="31.5" x14ac:dyDescent="0.2">
      <c r="A4" s="55" t="s">
        <v>6402</v>
      </c>
      <c r="B4" s="55" t="s">
        <v>2434</v>
      </c>
      <c r="C4" s="55" t="s">
        <v>2435</v>
      </c>
      <c r="D4" s="172" t="s">
        <v>18</v>
      </c>
    </row>
    <row r="5" spans="1:5" s="112" customFormat="1" x14ac:dyDescent="0.2">
      <c r="A5" s="55">
        <v>1</v>
      </c>
      <c r="B5" s="55">
        <v>2</v>
      </c>
      <c r="C5" s="55">
        <v>3</v>
      </c>
      <c r="D5" s="45">
        <v>4</v>
      </c>
    </row>
    <row r="6" spans="1:5" s="112" customFormat="1" x14ac:dyDescent="0.2">
      <c r="A6" s="117"/>
      <c r="B6" s="117"/>
      <c r="C6" s="117"/>
      <c r="D6" s="121"/>
    </row>
    <row r="7" spans="1:5" s="112" customFormat="1" x14ac:dyDescent="0.2">
      <c r="A7" s="11"/>
      <c r="B7" s="125" t="s">
        <v>2509</v>
      </c>
      <c r="C7" s="11"/>
      <c r="E7" s="109"/>
    </row>
    <row r="8" spans="1:5" x14ac:dyDescent="0.25">
      <c r="A8" s="3"/>
      <c r="C8" s="4"/>
    </row>
    <row r="9" spans="1:5" ht="47.25" x14ac:dyDescent="0.25">
      <c r="A9" s="3">
        <v>15.1</v>
      </c>
      <c r="B9" s="13" t="s">
        <v>6433</v>
      </c>
      <c r="C9" s="3" t="s">
        <v>2606</v>
      </c>
      <c r="D9" s="101">
        <v>513</v>
      </c>
    </row>
    <row r="10" spans="1:5" ht="63" x14ac:dyDescent="0.25">
      <c r="A10" s="3" t="s">
        <v>1662</v>
      </c>
      <c r="B10" s="13" t="s">
        <v>6155</v>
      </c>
      <c r="C10" s="3"/>
      <c r="D10" s="101"/>
    </row>
    <row r="11" spans="1:5" ht="63" x14ac:dyDescent="0.25">
      <c r="A11" s="3" t="s">
        <v>1664</v>
      </c>
      <c r="B11" s="13" t="s">
        <v>6156</v>
      </c>
      <c r="C11" s="3"/>
    </row>
    <row r="12" spans="1:5" ht="31.5" x14ac:dyDescent="0.25">
      <c r="A12" s="3" t="s">
        <v>1670</v>
      </c>
      <c r="B12" s="13" t="s">
        <v>6157</v>
      </c>
      <c r="C12" s="3"/>
      <c r="D12" s="101"/>
    </row>
    <row r="13" spans="1:5" ht="47.25" x14ac:dyDescent="0.25">
      <c r="A13" s="3" t="s">
        <v>400</v>
      </c>
      <c r="B13" s="13" t="s">
        <v>6158</v>
      </c>
      <c r="C13" s="3"/>
    </row>
    <row r="14" spans="1:5" x14ac:dyDescent="0.25">
      <c r="A14" s="3"/>
      <c r="C14" s="3"/>
    </row>
    <row r="15" spans="1:5" ht="63" x14ac:dyDescent="0.25">
      <c r="A15" s="3">
        <v>15.2</v>
      </c>
      <c r="B15" s="13" t="s">
        <v>1980</v>
      </c>
      <c r="C15" s="3"/>
    </row>
    <row r="16" spans="1:5" x14ac:dyDescent="0.25">
      <c r="A16" s="3"/>
      <c r="C16" s="3"/>
    </row>
    <row r="17" spans="1:4" x14ac:dyDescent="0.25">
      <c r="A17" s="3" t="s">
        <v>5335</v>
      </c>
      <c r="B17" s="13" t="s">
        <v>1981</v>
      </c>
      <c r="C17" s="3" t="s">
        <v>2785</v>
      </c>
      <c r="D17" s="101">
        <v>496</v>
      </c>
    </row>
    <row r="18" spans="1:4" x14ac:dyDescent="0.25">
      <c r="A18" s="3" t="s">
        <v>5336</v>
      </c>
      <c r="B18" s="13" t="s">
        <v>1982</v>
      </c>
      <c r="C18" s="3" t="s">
        <v>2785</v>
      </c>
      <c r="D18" s="101">
        <v>460</v>
      </c>
    </row>
    <row r="19" spans="1:4" x14ac:dyDescent="0.25">
      <c r="A19" s="3" t="s">
        <v>5337</v>
      </c>
      <c r="B19" s="13" t="s">
        <v>2681</v>
      </c>
      <c r="C19" s="3" t="s">
        <v>2785</v>
      </c>
      <c r="D19" s="101">
        <v>472</v>
      </c>
    </row>
    <row r="20" spans="1:4" x14ac:dyDescent="0.25">
      <c r="A20" s="3"/>
      <c r="C20" s="3"/>
    </row>
    <row r="21" spans="1:4" ht="63" x14ac:dyDescent="0.25">
      <c r="A21" s="3">
        <v>15.3</v>
      </c>
      <c r="B21" s="13" t="s">
        <v>6159</v>
      </c>
      <c r="C21" s="3" t="s">
        <v>2606</v>
      </c>
      <c r="D21" s="101">
        <v>275</v>
      </c>
    </row>
    <row r="22" spans="1:4" x14ac:dyDescent="0.25">
      <c r="A22" s="3"/>
      <c r="C22" s="3"/>
      <c r="D22" s="101"/>
    </row>
    <row r="23" spans="1:4" ht="47.25" x14ac:dyDescent="0.25">
      <c r="A23" s="3" t="s">
        <v>1662</v>
      </c>
      <c r="B23" s="13" t="s">
        <v>6295</v>
      </c>
      <c r="C23" s="3"/>
      <c r="D23" s="101"/>
    </row>
    <row r="24" spans="1:4" x14ac:dyDescent="0.25">
      <c r="A24" s="3"/>
      <c r="C24" s="3"/>
      <c r="D24" s="101"/>
    </row>
    <row r="25" spans="1:4" x14ac:dyDescent="0.25">
      <c r="A25" s="3"/>
      <c r="C25" s="3"/>
      <c r="D25" s="101"/>
    </row>
    <row r="26" spans="1:4" x14ac:dyDescent="0.25">
      <c r="A26" s="3"/>
      <c r="C26" s="3"/>
      <c r="D26" s="101"/>
    </row>
    <row r="27" spans="1:4" ht="94.5" x14ac:dyDescent="0.25">
      <c r="A27" s="3" t="s">
        <v>1664</v>
      </c>
      <c r="B27" s="13" t="s">
        <v>6296</v>
      </c>
      <c r="C27" s="3"/>
      <c r="D27" s="101"/>
    </row>
    <row r="28" spans="1:4" x14ac:dyDescent="0.25">
      <c r="A28" s="3"/>
      <c r="C28" s="3"/>
    </row>
    <row r="29" spans="1:4" ht="47.25" x14ac:dyDescent="0.25">
      <c r="A29" s="3">
        <v>15.4</v>
      </c>
      <c r="B29" s="13" t="s">
        <v>6495</v>
      </c>
      <c r="C29" s="3" t="s">
        <v>2606</v>
      </c>
      <c r="D29" s="101">
        <v>372</v>
      </c>
    </row>
    <row r="30" spans="1:4" x14ac:dyDescent="0.25">
      <c r="A30" s="3"/>
      <c r="C30" s="3"/>
      <c r="D30" s="101"/>
    </row>
    <row r="31" spans="1:4" ht="47.25" x14ac:dyDescent="0.25">
      <c r="A31" s="3" t="s">
        <v>1662</v>
      </c>
      <c r="B31" s="13" t="s">
        <v>6297</v>
      </c>
      <c r="C31" s="3"/>
      <c r="D31" s="101"/>
    </row>
    <row r="32" spans="1:4" ht="47.25" x14ac:dyDescent="0.25">
      <c r="A32" s="3" t="s">
        <v>1664</v>
      </c>
      <c r="B32" s="13" t="s">
        <v>6160</v>
      </c>
      <c r="C32" s="3"/>
    </row>
    <row r="33" spans="1:4" ht="110.25" x14ac:dyDescent="0.25">
      <c r="A33" s="3" t="s">
        <v>1670</v>
      </c>
      <c r="B33" s="13" t="s">
        <v>6161</v>
      </c>
      <c r="C33" s="3"/>
    </row>
    <row r="34" spans="1:4" ht="72.75" customHeight="1" x14ac:dyDescent="0.25">
      <c r="A34" s="3" t="s">
        <v>400</v>
      </c>
      <c r="B34" s="13" t="s">
        <v>6162</v>
      </c>
      <c r="C34" s="3"/>
    </row>
    <row r="35" spans="1:4" x14ac:dyDescent="0.25">
      <c r="A35" s="3"/>
      <c r="C35" s="3"/>
    </row>
    <row r="36" spans="1:4" ht="199.5" customHeight="1" x14ac:dyDescent="0.25">
      <c r="A36" s="3">
        <v>15.5</v>
      </c>
      <c r="B36" s="13" t="s">
        <v>4947</v>
      </c>
      <c r="C36" s="3" t="s">
        <v>2606</v>
      </c>
      <c r="D36" s="101">
        <v>354</v>
      </c>
    </row>
    <row r="37" spans="1:4" x14ac:dyDescent="0.25">
      <c r="A37" s="3"/>
      <c r="C37" s="3"/>
    </row>
    <row r="38" spans="1:4" x14ac:dyDescent="0.25">
      <c r="A38" s="3"/>
      <c r="C38" s="3"/>
    </row>
    <row r="39" spans="1:4" ht="189" customHeight="1" x14ac:dyDescent="0.25">
      <c r="A39" s="3">
        <v>15.6</v>
      </c>
      <c r="B39" s="13" t="s">
        <v>1983</v>
      </c>
      <c r="C39" s="3" t="s">
        <v>2606</v>
      </c>
      <c r="D39" s="101">
        <v>548</v>
      </c>
    </row>
    <row r="40" spans="1:4" x14ac:dyDescent="0.25">
      <c r="A40" s="3"/>
      <c r="C40" s="3"/>
    </row>
    <row r="41" spans="1:4" ht="141.75" x14ac:dyDescent="0.25">
      <c r="A41" s="103">
        <v>15.7</v>
      </c>
      <c r="B41" s="13" t="s">
        <v>2510</v>
      </c>
      <c r="C41" s="3" t="s">
        <v>2606</v>
      </c>
      <c r="D41" s="101">
        <v>595</v>
      </c>
    </row>
    <row r="42" spans="1:4" x14ac:dyDescent="0.25">
      <c r="A42" s="3"/>
    </row>
    <row r="43" spans="1:4" ht="171.75" customHeight="1" x14ac:dyDescent="0.25">
      <c r="A43" s="103">
        <v>15.8</v>
      </c>
      <c r="B43" s="13" t="s">
        <v>2511</v>
      </c>
      <c r="C43" s="3" t="s">
        <v>2606</v>
      </c>
      <c r="D43" s="101">
        <v>595</v>
      </c>
    </row>
    <row r="44" spans="1:4" x14ac:dyDescent="0.25">
      <c r="A44" s="3"/>
    </row>
    <row r="45" spans="1:4" ht="31.5" x14ac:dyDescent="0.25">
      <c r="A45" s="3">
        <v>15.9</v>
      </c>
      <c r="B45" s="13" t="s">
        <v>6298</v>
      </c>
      <c r="C45" s="3" t="s">
        <v>2606</v>
      </c>
      <c r="D45" s="101">
        <v>23</v>
      </c>
    </row>
    <row r="46" spans="1:4" x14ac:dyDescent="0.25">
      <c r="A46" s="3"/>
    </row>
    <row r="47" spans="1:4" ht="31.5" x14ac:dyDescent="0.25">
      <c r="A47" s="7">
        <v>15.1</v>
      </c>
      <c r="B47" s="13" t="s">
        <v>2512</v>
      </c>
      <c r="C47" s="3"/>
    </row>
    <row r="48" spans="1:4" ht="18.75" x14ac:dyDescent="0.25">
      <c r="A48" s="3" t="s">
        <v>5338</v>
      </c>
      <c r="B48" s="13" t="s">
        <v>6152</v>
      </c>
      <c r="C48" s="3" t="s">
        <v>2606</v>
      </c>
      <c r="D48" s="101">
        <v>10</v>
      </c>
    </row>
    <row r="49" spans="1:4" ht="18.75" x14ac:dyDescent="0.25">
      <c r="A49" s="3" t="s">
        <v>5339</v>
      </c>
      <c r="B49" s="13" t="s">
        <v>6153</v>
      </c>
      <c r="C49" s="3" t="s">
        <v>2606</v>
      </c>
      <c r="D49" s="101">
        <v>12</v>
      </c>
    </row>
    <row r="50" spans="1:4" x14ac:dyDescent="0.25">
      <c r="A50" s="3"/>
      <c r="C50" s="3"/>
    </row>
    <row r="51" spans="1:4" x14ac:dyDescent="0.25">
      <c r="A51" s="3"/>
      <c r="C51" s="3"/>
    </row>
    <row r="52" spans="1:4" s="178" customFormat="1" ht="283.5" x14ac:dyDescent="0.25">
      <c r="A52" s="3">
        <v>15.11</v>
      </c>
      <c r="B52" s="13" t="s">
        <v>4948</v>
      </c>
      <c r="C52" s="3" t="s">
        <v>2606</v>
      </c>
      <c r="D52" s="101">
        <v>413</v>
      </c>
    </row>
    <row r="53" spans="1:4" s="178" customFormat="1" x14ac:dyDescent="0.25">
      <c r="A53" s="3"/>
      <c r="B53" s="13"/>
      <c r="C53" s="3"/>
      <c r="D53" s="6"/>
    </row>
    <row r="54" spans="1:4" s="178" customFormat="1" ht="283.5" x14ac:dyDescent="0.25">
      <c r="A54" s="3">
        <v>15.12</v>
      </c>
      <c r="B54" s="13" t="s">
        <v>4949</v>
      </c>
      <c r="C54" s="3" t="s">
        <v>2606</v>
      </c>
      <c r="D54" s="101">
        <v>474</v>
      </c>
    </row>
    <row r="55" spans="1:4" x14ac:dyDescent="0.25">
      <c r="A55" s="3"/>
      <c r="C55" s="3"/>
    </row>
    <row r="56" spans="1:4" ht="78.75" x14ac:dyDescent="0.25">
      <c r="A56" s="3">
        <v>15.13</v>
      </c>
      <c r="B56" s="13" t="s">
        <v>1628</v>
      </c>
      <c r="C56" s="3" t="s">
        <v>2606</v>
      </c>
      <c r="D56" s="101">
        <v>56</v>
      </c>
    </row>
    <row r="57" spans="1:4" x14ac:dyDescent="0.25">
      <c r="A57" s="3"/>
      <c r="C57" s="3"/>
    </row>
    <row r="58" spans="1:4" x14ac:dyDescent="0.25">
      <c r="A58" s="3"/>
      <c r="C58" s="3"/>
    </row>
    <row r="59" spans="1:4" ht="94.5" x14ac:dyDescent="0.25">
      <c r="A59" s="3">
        <v>15.14</v>
      </c>
      <c r="B59" s="13" t="s">
        <v>1629</v>
      </c>
      <c r="C59" s="3" t="s">
        <v>1631</v>
      </c>
      <c r="D59" s="101">
        <v>57</v>
      </c>
    </row>
    <row r="60" spans="1:4" x14ac:dyDescent="0.25">
      <c r="A60" s="3"/>
      <c r="C60" s="3"/>
    </row>
    <row r="61" spans="1:4" x14ac:dyDescent="0.25">
      <c r="A61" s="3"/>
      <c r="B61" s="125" t="s">
        <v>1321</v>
      </c>
      <c r="C61" s="3"/>
    </row>
    <row r="62" spans="1:4" x14ac:dyDescent="0.25">
      <c r="A62" s="3"/>
      <c r="C62" s="3"/>
    </row>
    <row r="63" spans="1:4" ht="222" customHeight="1" x14ac:dyDescent="0.25">
      <c r="A63" s="7">
        <v>15.15</v>
      </c>
      <c r="B63" s="13" t="s">
        <v>2682</v>
      </c>
      <c r="C63" s="3"/>
    </row>
    <row r="64" spans="1:4" x14ac:dyDescent="0.25">
      <c r="A64" s="7"/>
      <c r="C64" s="3"/>
    </row>
    <row r="65" spans="1:4" ht="47.25" x14ac:dyDescent="0.25">
      <c r="A65" s="7" t="s">
        <v>5340</v>
      </c>
      <c r="B65" s="13" t="s">
        <v>6299</v>
      </c>
      <c r="C65" s="3" t="s">
        <v>2453</v>
      </c>
      <c r="D65" s="101">
        <v>828</v>
      </c>
    </row>
    <row r="66" spans="1:4" x14ac:dyDescent="0.25">
      <c r="A66" s="7"/>
      <c r="C66" s="3"/>
      <c r="D66" s="101"/>
    </row>
    <row r="67" spans="1:4" ht="110.25" x14ac:dyDescent="0.25">
      <c r="A67" s="7" t="s">
        <v>5341</v>
      </c>
      <c r="B67" s="13" t="s">
        <v>2216</v>
      </c>
      <c r="C67" s="3" t="s">
        <v>2453</v>
      </c>
      <c r="D67" s="101">
        <v>865</v>
      </c>
    </row>
    <row r="68" spans="1:4" x14ac:dyDescent="0.25">
      <c r="A68" s="3"/>
      <c r="C68" s="3"/>
    </row>
    <row r="69" spans="1:4" ht="47.25" x14ac:dyDescent="0.25">
      <c r="A69" s="7">
        <v>15.16</v>
      </c>
      <c r="B69" s="13" t="s">
        <v>2782</v>
      </c>
    </row>
    <row r="70" spans="1:4" x14ac:dyDescent="0.25">
      <c r="A70" s="7" t="s">
        <v>5342</v>
      </c>
      <c r="B70" s="13" t="s">
        <v>2668</v>
      </c>
      <c r="C70" s="3" t="s">
        <v>2606</v>
      </c>
      <c r="D70" s="101">
        <v>605</v>
      </c>
    </row>
    <row r="71" spans="1:4" x14ac:dyDescent="0.25">
      <c r="A71" s="7" t="s">
        <v>5343</v>
      </c>
      <c r="B71" s="13" t="s">
        <v>2670</v>
      </c>
      <c r="C71" s="3" t="s">
        <v>2606</v>
      </c>
      <c r="D71" s="101">
        <v>792</v>
      </c>
    </row>
    <row r="72" spans="1:4" x14ac:dyDescent="0.25">
      <c r="A72" s="7" t="s">
        <v>5344</v>
      </c>
      <c r="B72" s="13" t="s">
        <v>2672</v>
      </c>
      <c r="C72" s="3" t="s">
        <v>2606</v>
      </c>
      <c r="D72" s="101">
        <v>1034</v>
      </c>
    </row>
    <row r="73" spans="1:4" x14ac:dyDescent="0.25">
      <c r="A73" s="3"/>
      <c r="C73" s="3"/>
    </row>
    <row r="74" spans="1:4" x14ac:dyDescent="0.25">
      <c r="A74" s="3"/>
      <c r="C74" s="3"/>
    </row>
    <row r="75" spans="1:4" ht="50.25" x14ac:dyDescent="0.25">
      <c r="A75" s="7">
        <v>15.17</v>
      </c>
      <c r="B75" s="13" t="s">
        <v>6154</v>
      </c>
      <c r="C75" s="3"/>
    </row>
    <row r="76" spans="1:4" x14ac:dyDescent="0.25">
      <c r="A76" s="7" t="s">
        <v>5345</v>
      </c>
      <c r="B76" s="13" t="s">
        <v>2676</v>
      </c>
      <c r="C76" s="3" t="s">
        <v>2606</v>
      </c>
      <c r="D76" s="101">
        <v>416</v>
      </c>
    </row>
    <row r="77" spans="1:4" x14ac:dyDescent="0.25">
      <c r="A77" s="7" t="s">
        <v>5346</v>
      </c>
      <c r="B77" s="13" t="s">
        <v>2677</v>
      </c>
      <c r="C77" s="3" t="s">
        <v>2606</v>
      </c>
      <c r="D77" s="101">
        <v>493</v>
      </c>
    </row>
    <row r="78" spans="1:4" x14ac:dyDescent="0.25">
      <c r="A78" s="7" t="s">
        <v>5347</v>
      </c>
      <c r="B78" s="13" t="s">
        <v>2678</v>
      </c>
      <c r="C78" s="3" t="s">
        <v>2606</v>
      </c>
      <c r="D78" s="101">
        <v>563</v>
      </c>
    </row>
    <row r="79" spans="1:4" x14ac:dyDescent="0.25">
      <c r="A79" s="7" t="s">
        <v>5348</v>
      </c>
      <c r="B79" s="13" t="s">
        <v>2679</v>
      </c>
      <c r="C79" s="3" t="s">
        <v>2606</v>
      </c>
      <c r="D79" s="101">
        <v>717</v>
      </c>
    </row>
    <row r="80" spans="1:4" s="176" customFormat="1" x14ac:dyDescent="0.25">
      <c r="A80" s="7" t="s">
        <v>5962</v>
      </c>
      <c r="B80" s="13" t="s">
        <v>5963</v>
      </c>
      <c r="C80" s="3" t="s">
        <v>2606</v>
      </c>
      <c r="D80" s="101">
        <v>837</v>
      </c>
    </row>
    <row r="81" spans="1:5" x14ac:dyDescent="0.25">
      <c r="A81" s="3"/>
      <c r="C81" s="3"/>
    </row>
    <row r="82" spans="1:5" ht="47.25" x14ac:dyDescent="0.25">
      <c r="A82" s="7">
        <v>15.18</v>
      </c>
      <c r="B82" s="13" t="s">
        <v>6151</v>
      </c>
      <c r="C82" s="3"/>
    </row>
    <row r="83" spans="1:5" ht="31.5" x14ac:dyDescent="0.25">
      <c r="A83" s="3" t="s">
        <v>1322</v>
      </c>
      <c r="B83" s="13" t="s">
        <v>1635</v>
      </c>
      <c r="C83" s="3" t="s">
        <v>2673</v>
      </c>
      <c r="D83" s="101">
        <v>116</v>
      </c>
    </row>
    <row r="84" spans="1:5" x14ac:dyDescent="0.25">
      <c r="A84" s="3" t="s">
        <v>1323</v>
      </c>
      <c r="B84" s="13" t="s">
        <v>1637</v>
      </c>
      <c r="C84" s="3" t="s">
        <v>2673</v>
      </c>
      <c r="D84" s="101">
        <v>409</v>
      </c>
    </row>
    <row r="85" spans="1:5" x14ac:dyDescent="0.25">
      <c r="A85" s="3" t="s">
        <v>5349</v>
      </c>
      <c r="B85" s="13" t="s">
        <v>1636</v>
      </c>
      <c r="C85" s="3" t="s">
        <v>2673</v>
      </c>
      <c r="D85" s="101">
        <v>110</v>
      </c>
    </row>
    <row r="86" spans="1:5" x14ac:dyDescent="0.25">
      <c r="A86" s="3"/>
      <c r="B86" s="30"/>
      <c r="C86" s="6"/>
    </row>
    <row r="87" spans="1:5" ht="36" x14ac:dyDescent="0.25">
      <c r="A87" s="7">
        <v>15.19</v>
      </c>
      <c r="B87" s="13" t="s">
        <v>2663</v>
      </c>
      <c r="C87" s="237" t="s">
        <v>2664</v>
      </c>
      <c r="D87" s="101">
        <v>713</v>
      </c>
    </row>
    <row r="88" spans="1:5" x14ac:dyDescent="0.25">
      <c r="A88" s="3"/>
      <c r="C88" s="236"/>
    </row>
    <row r="89" spans="1:5" ht="47.25" x14ac:dyDescent="0.25">
      <c r="A89" s="7">
        <v>15.2</v>
      </c>
      <c r="B89" s="13" t="s">
        <v>2665</v>
      </c>
      <c r="C89" s="236" t="s">
        <v>2666</v>
      </c>
      <c r="D89" s="101">
        <v>223</v>
      </c>
    </row>
    <row r="90" spans="1:5" x14ac:dyDescent="0.25">
      <c r="A90" s="3"/>
      <c r="C90" s="3"/>
    </row>
    <row r="91" spans="1:5" s="179" customFormat="1" x14ac:dyDescent="0.25">
      <c r="A91" s="144"/>
      <c r="B91" s="140" t="s">
        <v>2513</v>
      </c>
      <c r="C91" s="8"/>
      <c r="D91" s="144"/>
      <c r="E91" s="6"/>
    </row>
    <row r="92" spans="1:5" s="179" customFormat="1" x14ac:dyDescent="0.25">
      <c r="A92" s="144"/>
      <c r="B92" s="196"/>
      <c r="C92" s="8"/>
      <c r="D92" s="144"/>
      <c r="E92" s="6"/>
    </row>
    <row r="93" spans="1:5" ht="78.75" x14ac:dyDescent="0.25">
      <c r="A93" s="3">
        <v>15.21</v>
      </c>
      <c r="B93" s="13" t="s">
        <v>2514</v>
      </c>
      <c r="C93" s="3"/>
    </row>
    <row r="94" spans="1:5" x14ac:dyDescent="0.25">
      <c r="A94" s="3" t="s">
        <v>1632</v>
      </c>
      <c r="B94" s="13" t="s">
        <v>2516</v>
      </c>
      <c r="C94" s="3" t="s">
        <v>2453</v>
      </c>
      <c r="D94" s="101">
        <v>129</v>
      </c>
    </row>
    <row r="95" spans="1:5" x14ac:dyDescent="0.25">
      <c r="A95" s="3" t="s">
        <v>1633</v>
      </c>
      <c r="B95" s="13" t="s">
        <v>2518</v>
      </c>
      <c r="C95" s="3" t="s">
        <v>2453</v>
      </c>
      <c r="D95" s="101">
        <v>146</v>
      </c>
    </row>
    <row r="96" spans="1:5" x14ac:dyDescent="0.25">
      <c r="A96" s="3" t="s">
        <v>1634</v>
      </c>
      <c r="B96" s="13" t="s">
        <v>2520</v>
      </c>
      <c r="C96" s="3" t="s">
        <v>2453</v>
      </c>
      <c r="D96" s="101">
        <v>154</v>
      </c>
    </row>
    <row r="97" spans="1:5" x14ac:dyDescent="0.25">
      <c r="A97" s="3" t="s">
        <v>5350</v>
      </c>
      <c r="B97" s="13" t="s">
        <v>2521</v>
      </c>
      <c r="C97" s="3" t="s">
        <v>2453</v>
      </c>
      <c r="D97" s="101">
        <v>165</v>
      </c>
    </row>
    <row r="98" spans="1:5" x14ac:dyDescent="0.25">
      <c r="A98" s="3"/>
      <c r="C98" s="3"/>
    </row>
    <row r="99" spans="1:5" x14ac:dyDescent="0.25">
      <c r="A99" s="7">
        <v>15.22</v>
      </c>
      <c r="B99" s="13" t="s">
        <v>1710</v>
      </c>
      <c r="C99" s="3" t="s">
        <v>2453</v>
      </c>
      <c r="D99" s="163">
        <v>0.1</v>
      </c>
    </row>
    <row r="100" spans="1:5" x14ac:dyDescent="0.25">
      <c r="A100" s="3"/>
      <c r="D100" s="111"/>
    </row>
    <row r="101" spans="1:5" ht="31.5" x14ac:dyDescent="0.25">
      <c r="A101" s="7">
        <v>15.23</v>
      </c>
      <c r="B101" s="13" t="s">
        <v>1711</v>
      </c>
      <c r="C101" s="3" t="s">
        <v>2453</v>
      </c>
      <c r="D101" s="163">
        <v>0.2</v>
      </c>
    </row>
    <row r="102" spans="1:5" x14ac:dyDescent="0.25">
      <c r="A102" s="7"/>
      <c r="C102" s="3"/>
    </row>
    <row r="103" spans="1:5" x14ac:dyDescent="0.25">
      <c r="A103" s="7"/>
      <c r="C103" s="3"/>
    </row>
    <row r="104" spans="1:5" x14ac:dyDescent="0.25">
      <c r="A104" s="7"/>
      <c r="C104" s="3"/>
    </row>
    <row r="105" spans="1:5" x14ac:dyDescent="0.25">
      <c r="A105" s="7"/>
      <c r="C105" s="3"/>
    </row>
    <row r="106" spans="1:5" s="179" customFormat="1" x14ac:dyDescent="0.25">
      <c r="A106" s="144"/>
      <c r="B106" s="29" t="s">
        <v>2523</v>
      </c>
      <c r="C106" s="8"/>
      <c r="D106" s="144"/>
      <c r="E106" s="6"/>
    </row>
    <row r="107" spans="1:5" x14ac:dyDescent="0.25">
      <c r="A107" s="3"/>
      <c r="C107" s="3"/>
    </row>
    <row r="108" spans="1:5" s="178" customFormat="1" ht="47.25" x14ac:dyDescent="0.25">
      <c r="A108" s="3">
        <v>15.24</v>
      </c>
      <c r="B108" s="13" t="s">
        <v>2524</v>
      </c>
      <c r="C108" s="3"/>
      <c r="D108" s="6"/>
    </row>
    <row r="109" spans="1:5" s="178" customFormat="1" x14ac:dyDescent="0.25">
      <c r="A109" s="3"/>
      <c r="B109" s="13"/>
      <c r="C109" s="3"/>
      <c r="D109" s="6"/>
    </row>
    <row r="110" spans="1:5" s="178" customFormat="1" x14ac:dyDescent="0.25">
      <c r="A110" s="3" t="s">
        <v>1329</v>
      </c>
      <c r="B110" s="13" t="s">
        <v>2525</v>
      </c>
      <c r="C110" s="3" t="s">
        <v>2453</v>
      </c>
      <c r="D110" s="101">
        <v>190</v>
      </c>
    </row>
    <row r="111" spans="1:5" s="178" customFormat="1" x14ac:dyDescent="0.25">
      <c r="A111" s="3" t="s">
        <v>1330</v>
      </c>
      <c r="B111" s="13" t="s">
        <v>2518</v>
      </c>
      <c r="C111" s="3" t="s">
        <v>2453</v>
      </c>
      <c r="D111" s="101">
        <v>202</v>
      </c>
    </row>
    <row r="112" spans="1:5" s="178" customFormat="1" x14ac:dyDescent="0.25">
      <c r="A112" s="3" t="s">
        <v>1331</v>
      </c>
      <c r="B112" s="13" t="s">
        <v>2526</v>
      </c>
      <c r="C112" s="3" t="s">
        <v>2453</v>
      </c>
      <c r="D112" s="101">
        <v>232</v>
      </c>
    </row>
    <row r="113" spans="1:4" s="178" customFormat="1" x14ac:dyDescent="0.25">
      <c r="A113" s="3" t="s">
        <v>1332</v>
      </c>
      <c r="B113" s="13" t="s">
        <v>2527</v>
      </c>
      <c r="C113" s="3" t="s">
        <v>2453</v>
      </c>
      <c r="D113" s="101">
        <v>271</v>
      </c>
    </row>
    <row r="114" spans="1:4" s="178" customFormat="1" x14ac:dyDescent="0.25">
      <c r="A114" s="3" t="s">
        <v>5351</v>
      </c>
      <c r="B114" s="13" t="s">
        <v>2528</v>
      </c>
      <c r="C114" s="3" t="s">
        <v>2453</v>
      </c>
      <c r="D114" s="101">
        <v>288</v>
      </c>
    </row>
    <row r="115" spans="1:4" x14ac:dyDescent="0.25">
      <c r="A115" s="3"/>
      <c r="C115" s="3"/>
    </row>
    <row r="116" spans="1:4" s="178" customFormat="1" ht="53.25" customHeight="1" x14ac:dyDescent="0.25">
      <c r="A116" s="3">
        <v>15.25</v>
      </c>
      <c r="B116" s="13" t="s">
        <v>6496</v>
      </c>
      <c r="C116" s="3"/>
      <c r="D116" s="6"/>
    </row>
    <row r="117" spans="1:4" s="178" customFormat="1" x14ac:dyDescent="0.25">
      <c r="A117" s="3"/>
      <c r="B117" s="13"/>
      <c r="C117" s="3"/>
      <c r="D117" s="6"/>
    </row>
    <row r="118" spans="1:4" s="178" customFormat="1" x14ac:dyDescent="0.25">
      <c r="A118" s="3" t="s">
        <v>5352</v>
      </c>
      <c r="B118" s="13" t="s">
        <v>2529</v>
      </c>
      <c r="C118" s="3" t="s">
        <v>2453</v>
      </c>
      <c r="D118" s="101">
        <v>260</v>
      </c>
    </row>
    <row r="119" spans="1:4" s="178" customFormat="1" x14ac:dyDescent="0.25">
      <c r="A119" s="3" t="s">
        <v>5353</v>
      </c>
      <c r="B119" s="13" t="s">
        <v>2528</v>
      </c>
      <c r="C119" s="3" t="s">
        <v>2453</v>
      </c>
      <c r="D119" s="101">
        <v>315</v>
      </c>
    </row>
    <row r="120" spans="1:4" x14ac:dyDescent="0.25">
      <c r="A120" s="3"/>
      <c r="C120" s="3"/>
    </row>
    <row r="121" spans="1:4" ht="158.25" customHeight="1" x14ac:dyDescent="0.25">
      <c r="A121" s="3">
        <v>15.26</v>
      </c>
      <c r="B121" s="13" t="s">
        <v>6255</v>
      </c>
      <c r="C121" s="3" t="s">
        <v>2634</v>
      </c>
      <c r="D121" s="101">
        <v>444</v>
      </c>
    </row>
    <row r="122" spans="1:4" x14ac:dyDescent="0.25">
      <c r="A122" s="3"/>
      <c r="C122" s="3"/>
    </row>
    <row r="123" spans="1:4" ht="155.25" customHeight="1" x14ac:dyDescent="0.25">
      <c r="A123" s="101">
        <v>15.27</v>
      </c>
      <c r="B123" s="13" t="s">
        <v>426</v>
      </c>
      <c r="C123" s="3" t="s">
        <v>2634</v>
      </c>
      <c r="D123" s="101">
        <v>581</v>
      </c>
    </row>
    <row r="124" spans="1:4" x14ac:dyDescent="0.25">
      <c r="A124" s="3"/>
      <c r="C124" s="3"/>
    </row>
    <row r="125" spans="1:4" x14ac:dyDescent="0.25">
      <c r="A125" s="3"/>
      <c r="C125" s="3"/>
    </row>
    <row r="126" spans="1:4" x14ac:dyDescent="0.25">
      <c r="A126" s="3"/>
      <c r="C126" s="3"/>
    </row>
    <row r="127" spans="1:4" x14ac:dyDescent="0.25">
      <c r="A127" s="3"/>
      <c r="C127" s="3"/>
    </row>
    <row r="128" spans="1:4" ht="31.5" x14ac:dyDescent="0.25">
      <c r="A128" s="101">
        <v>15.28</v>
      </c>
      <c r="B128" s="13" t="s">
        <v>6163</v>
      </c>
      <c r="C128" s="3"/>
    </row>
    <row r="129" spans="1:4" ht="220.5" x14ac:dyDescent="0.25">
      <c r="A129" s="101" t="s">
        <v>2515</v>
      </c>
      <c r="B129" s="13" t="s">
        <v>4722</v>
      </c>
      <c r="C129" s="3" t="s">
        <v>2437</v>
      </c>
      <c r="D129" s="7">
        <v>1162</v>
      </c>
    </row>
    <row r="130" spans="1:4" x14ac:dyDescent="0.25">
      <c r="A130" s="101"/>
      <c r="C130" s="3"/>
      <c r="D130" s="7"/>
    </row>
    <row r="131" spans="1:4" ht="189" x14ac:dyDescent="0.25">
      <c r="A131" s="101" t="s">
        <v>2517</v>
      </c>
      <c r="B131" s="13" t="s">
        <v>4723</v>
      </c>
      <c r="C131" s="3" t="s">
        <v>2437</v>
      </c>
      <c r="D131" s="7">
        <v>829</v>
      </c>
    </row>
    <row r="132" spans="1:4" x14ac:dyDescent="0.25">
      <c r="A132" s="101"/>
      <c r="C132" s="3"/>
      <c r="D132" s="7"/>
    </row>
    <row r="133" spans="1:4" ht="189" x14ac:dyDescent="0.25">
      <c r="A133" s="101" t="s">
        <v>2519</v>
      </c>
      <c r="B133" s="13" t="s">
        <v>4724</v>
      </c>
      <c r="C133" s="3" t="s">
        <v>2437</v>
      </c>
      <c r="D133" s="7">
        <v>893</v>
      </c>
    </row>
    <row r="134" spans="1:4" x14ac:dyDescent="0.25">
      <c r="A134" s="3"/>
      <c r="C134" s="3"/>
      <c r="D134" s="101"/>
    </row>
    <row r="135" spans="1:4" x14ac:dyDescent="0.25">
      <c r="A135" s="3"/>
      <c r="C135" s="3"/>
      <c r="D135" s="101"/>
    </row>
    <row r="136" spans="1:4" ht="252" x14ac:dyDescent="0.25">
      <c r="A136" s="3">
        <v>15.29</v>
      </c>
      <c r="B136" s="13" t="s">
        <v>5257</v>
      </c>
      <c r="C136" s="3" t="s">
        <v>2437</v>
      </c>
      <c r="D136" s="7">
        <v>526</v>
      </c>
    </row>
    <row r="137" spans="1:4" x14ac:dyDescent="0.25">
      <c r="A137" s="3"/>
      <c r="C137" s="3"/>
      <c r="D137" s="101"/>
    </row>
    <row r="138" spans="1:4" ht="204.75" x14ac:dyDescent="0.25">
      <c r="A138" s="7">
        <v>15.3</v>
      </c>
      <c r="B138" s="13" t="s">
        <v>5274</v>
      </c>
      <c r="C138" s="3" t="s">
        <v>2437</v>
      </c>
      <c r="D138" s="7">
        <v>244</v>
      </c>
    </row>
    <row r="139" spans="1:4" x14ac:dyDescent="0.25">
      <c r="D139" s="101"/>
    </row>
    <row r="140" spans="1:4" ht="173.25" x14ac:dyDescent="0.25">
      <c r="A140" s="3">
        <v>15.31</v>
      </c>
      <c r="B140" s="13" t="s">
        <v>5275</v>
      </c>
      <c r="C140" s="3" t="s">
        <v>2437</v>
      </c>
      <c r="D140" s="7">
        <v>486</v>
      </c>
    </row>
    <row r="141" spans="1:4" x14ac:dyDescent="0.25">
      <c r="D141" s="101"/>
    </row>
    <row r="142" spans="1:4" x14ac:dyDescent="0.25">
      <c r="D142" s="101"/>
    </row>
    <row r="143" spans="1:4" x14ac:dyDescent="0.25">
      <c r="D143" s="101"/>
    </row>
    <row r="144" spans="1:4" ht="247.5" customHeight="1" x14ac:dyDescent="0.25">
      <c r="A144" s="3">
        <v>15.32</v>
      </c>
      <c r="B144" s="13" t="s">
        <v>5276</v>
      </c>
      <c r="C144" s="3" t="s">
        <v>2437</v>
      </c>
      <c r="D144" s="7">
        <v>522</v>
      </c>
    </row>
    <row r="145" spans="1:4" x14ac:dyDescent="0.25">
      <c r="D145" s="101"/>
    </row>
    <row r="146" spans="1:4" s="176" customFormat="1" ht="282" customHeight="1" x14ac:dyDescent="0.25">
      <c r="A146" s="3">
        <v>15.33</v>
      </c>
      <c r="B146" s="13" t="s">
        <v>6381</v>
      </c>
      <c r="C146" s="3" t="s">
        <v>2437</v>
      </c>
      <c r="D146" s="7">
        <v>659</v>
      </c>
    </row>
    <row r="147" spans="1:4" x14ac:dyDescent="0.25">
      <c r="D147" s="101"/>
    </row>
    <row r="148" spans="1:4" s="176" customFormat="1" ht="96.75" customHeight="1" x14ac:dyDescent="0.25">
      <c r="A148" s="3">
        <v>15.34</v>
      </c>
      <c r="B148" s="13" t="s">
        <v>6382</v>
      </c>
      <c r="C148" s="7" t="s">
        <v>2437</v>
      </c>
      <c r="D148" s="101">
        <v>662</v>
      </c>
    </row>
    <row r="149" spans="1:4" x14ac:dyDescent="0.25">
      <c r="D149" s="101"/>
    </row>
    <row r="150" spans="1:4" x14ac:dyDescent="0.25">
      <c r="D150" s="101"/>
    </row>
    <row r="151" spans="1:4" x14ac:dyDescent="0.25">
      <c r="D151" s="101"/>
    </row>
    <row r="152" spans="1:4" s="176" customFormat="1" ht="346.5" x14ac:dyDescent="0.25">
      <c r="A152" s="3">
        <v>15.35</v>
      </c>
      <c r="B152" s="13" t="s">
        <v>6300</v>
      </c>
      <c r="C152" s="3" t="s">
        <v>2437</v>
      </c>
      <c r="D152" s="7">
        <v>580</v>
      </c>
    </row>
    <row r="153" spans="1:4" s="176" customFormat="1" x14ac:dyDescent="0.25">
      <c r="A153" s="3"/>
      <c r="B153" s="13"/>
      <c r="C153" s="3"/>
      <c r="D153" s="7">
        <f>SUM(D9:D152)</f>
        <v>24386.300000000003</v>
      </c>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tabColor rgb="FFFFFF00"/>
  </sheetPr>
  <dimension ref="A1:E225"/>
  <sheetViews>
    <sheetView view="pageBreakPreview" topLeftCell="A81" zoomScaleNormal="110" zoomScaleSheetLayoutView="100" workbookViewId="0">
      <selection activeCell="B166" sqref="B166"/>
    </sheetView>
  </sheetViews>
  <sheetFormatPr defaultRowHeight="15.75" x14ac:dyDescent="0.25"/>
  <cols>
    <col min="1" max="1" width="10" style="5" customWidth="1"/>
    <col min="2" max="2" width="55.7109375" style="30" customWidth="1"/>
    <col min="3" max="3" width="9.7109375" style="8" customWidth="1"/>
    <col min="4" max="4" width="11.7109375" style="6" customWidth="1"/>
    <col min="5" max="5" width="16.42578125" style="6" customWidth="1"/>
    <col min="6" max="16384" width="9.140625" style="6"/>
  </cols>
  <sheetData>
    <row r="1" spans="1:4" ht="22.5" x14ac:dyDescent="0.25">
      <c r="A1" s="258" t="s">
        <v>2461</v>
      </c>
      <c r="B1" s="258"/>
      <c r="C1" s="258"/>
      <c r="D1" s="258"/>
    </row>
    <row r="2" spans="1:4" ht="27" x14ac:dyDescent="0.25">
      <c r="A2" s="277" t="s">
        <v>4306</v>
      </c>
      <c r="B2" s="277"/>
      <c r="C2" s="277"/>
      <c r="D2" s="277"/>
    </row>
    <row r="3" spans="1:4" x14ac:dyDescent="0.25">
      <c r="C3" s="11"/>
    </row>
    <row r="4" spans="1:4" s="112" customFormat="1" ht="31.5" x14ac:dyDescent="0.2">
      <c r="A4" s="55" t="s">
        <v>6402</v>
      </c>
      <c r="B4" s="55" t="s">
        <v>2434</v>
      </c>
      <c r="C4" s="55" t="s">
        <v>2435</v>
      </c>
      <c r="D4" s="172" t="s">
        <v>18</v>
      </c>
    </row>
    <row r="5" spans="1:4" s="112" customFormat="1" x14ac:dyDescent="0.2">
      <c r="A5" s="55">
        <v>1</v>
      </c>
      <c r="B5" s="55">
        <v>2</v>
      </c>
      <c r="C5" s="55">
        <v>3</v>
      </c>
      <c r="D5" s="45">
        <v>4</v>
      </c>
    </row>
    <row r="6" spans="1:4" s="112" customFormat="1" x14ac:dyDescent="0.2">
      <c r="A6" s="117"/>
      <c r="B6" s="125"/>
      <c r="C6" s="117"/>
    </row>
    <row r="7" spans="1:4" ht="244.5" customHeight="1" x14ac:dyDescent="0.25">
      <c r="A7" s="3">
        <v>16.100000000000001</v>
      </c>
      <c r="B7" s="13" t="s">
        <v>2481</v>
      </c>
      <c r="C7" s="3"/>
      <c r="D7" s="8"/>
    </row>
    <row r="8" spans="1:4" x14ac:dyDescent="0.25">
      <c r="A8" s="11" t="s">
        <v>2462</v>
      </c>
      <c r="B8" s="125" t="s">
        <v>2463</v>
      </c>
      <c r="D8" s="8"/>
    </row>
    <row r="9" spans="1:4" ht="63" x14ac:dyDescent="0.25">
      <c r="A9" s="3" t="s">
        <v>2482</v>
      </c>
      <c r="B9" s="13" t="s">
        <v>2464</v>
      </c>
      <c r="C9" s="3" t="s">
        <v>2650</v>
      </c>
      <c r="D9" s="101">
        <v>326</v>
      </c>
    </row>
    <row r="10" spans="1:4" ht="31.5" x14ac:dyDescent="0.25">
      <c r="A10" s="3" t="s">
        <v>2483</v>
      </c>
      <c r="B10" s="13" t="s">
        <v>2484</v>
      </c>
      <c r="C10" s="3" t="s">
        <v>2650</v>
      </c>
      <c r="D10" s="101">
        <v>351</v>
      </c>
    </row>
    <row r="11" spans="1:4" ht="31.5" x14ac:dyDescent="0.25">
      <c r="A11" s="3" t="s">
        <v>2485</v>
      </c>
      <c r="B11" s="13" t="s">
        <v>2486</v>
      </c>
      <c r="C11" s="3" t="s">
        <v>2650</v>
      </c>
      <c r="D11" s="101">
        <v>364</v>
      </c>
    </row>
    <row r="12" spans="1:4" x14ac:dyDescent="0.25">
      <c r="A12" s="3"/>
      <c r="B12" s="13"/>
      <c r="C12" s="3"/>
      <c r="D12" s="8"/>
    </row>
    <row r="13" spans="1:4" ht="78.75" x14ac:dyDescent="0.25">
      <c r="A13" s="11" t="s">
        <v>2465</v>
      </c>
      <c r="B13" s="125" t="s">
        <v>2466</v>
      </c>
      <c r="C13" s="3"/>
      <c r="D13" s="8"/>
    </row>
    <row r="14" spans="1:4" ht="63" x14ac:dyDescent="0.25">
      <c r="A14" s="3" t="s">
        <v>2487</v>
      </c>
      <c r="B14" s="13" t="s">
        <v>2464</v>
      </c>
      <c r="C14" s="3" t="s">
        <v>2650</v>
      </c>
      <c r="D14" s="101">
        <v>355</v>
      </c>
    </row>
    <row r="15" spans="1:4" ht="31.5" x14ac:dyDescent="0.25">
      <c r="A15" s="3" t="s">
        <v>2489</v>
      </c>
      <c r="B15" s="13" t="s">
        <v>2484</v>
      </c>
      <c r="C15" s="3" t="s">
        <v>2650</v>
      </c>
      <c r="D15" s="101">
        <v>381</v>
      </c>
    </row>
    <row r="16" spans="1:4" ht="31.5" x14ac:dyDescent="0.25">
      <c r="A16" s="3" t="s">
        <v>2488</v>
      </c>
      <c r="B16" s="13" t="s">
        <v>2486</v>
      </c>
      <c r="C16" s="3" t="s">
        <v>2650</v>
      </c>
      <c r="D16" s="101">
        <v>394</v>
      </c>
    </row>
    <row r="17" spans="1:5" x14ac:dyDescent="0.25">
      <c r="A17" s="3"/>
      <c r="B17" s="13"/>
      <c r="C17" s="3"/>
      <c r="D17" s="8"/>
    </row>
    <row r="18" spans="1:5" x14ac:dyDescent="0.25">
      <c r="A18" s="3"/>
      <c r="B18" s="13"/>
      <c r="C18" s="3"/>
      <c r="D18" s="8"/>
    </row>
    <row r="19" spans="1:5" x14ac:dyDescent="0.25">
      <c r="A19" s="3">
        <v>16.2</v>
      </c>
      <c r="B19" s="13" t="s">
        <v>2490</v>
      </c>
      <c r="D19" s="163">
        <v>0.1</v>
      </c>
      <c r="E19" s="181"/>
    </row>
    <row r="20" spans="1:5" x14ac:dyDescent="0.25">
      <c r="A20" s="3"/>
      <c r="B20" s="13"/>
      <c r="D20" s="160"/>
    </row>
    <row r="21" spans="1:5" x14ac:dyDescent="0.25">
      <c r="A21" s="3">
        <v>16.3</v>
      </c>
      <c r="B21" s="13" t="s">
        <v>2491</v>
      </c>
      <c r="C21" s="3"/>
      <c r="D21" s="163">
        <v>0.1</v>
      </c>
      <c r="E21" s="181"/>
    </row>
    <row r="22" spans="1:5" x14ac:dyDescent="0.25">
      <c r="A22" s="3"/>
      <c r="B22" s="13"/>
      <c r="C22" s="3"/>
      <c r="D22" s="8"/>
    </row>
    <row r="23" spans="1:5" ht="126" x14ac:dyDescent="0.25">
      <c r="A23" s="3">
        <v>16.399999999999999</v>
      </c>
      <c r="B23" s="13" t="s">
        <v>2467</v>
      </c>
      <c r="C23" s="3"/>
      <c r="D23" s="8"/>
    </row>
    <row r="24" spans="1:5" ht="31.5" x14ac:dyDescent="0.25">
      <c r="A24" s="3" t="s">
        <v>2472</v>
      </c>
      <c r="B24" s="13" t="s">
        <v>2468</v>
      </c>
      <c r="C24" s="3" t="s">
        <v>2437</v>
      </c>
      <c r="D24" s="101">
        <v>1030</v>
      </c>
    </row>
    <row r="25" spans="1:5" ht="31.5" x14ac:dyDescent="0.25">
      <c r="A25" s="3" t="s">
        <v>2473</v>
      </c>
      <c r="B25" s="13" t="s">
        <v>2469</v>
      </c>
      <c r="C25" s="3" t="s">
        <v>2437</v>
      </c>
      <c r="D25" s="101">
        <v>1092</v>
      </c>
    </row>
    <row r="26" spans="1:5" x14ac:dyDescent="0.25">
      <c r="A26" s="3"/>
      <c r="B26" s="13"/>
      <c r="C26" s="3"/>
      <c r="D26" s="8"/>
    </row>
    <row r="27" spans="1:5" s="179" customFormat="1" ht="94.5" customHeight="1" x14ac:dyDescent="0.2">
      <c r="A27" s="3">
        <v>16.5</v>
      </c>
      <c r="B27" s="13" t="s">
        <v>2470</v>
      </c>
      <c r="C27" s="3"/>
      <c r="D27" s="135"/>
    </row>
    <row r="28" spans="1:5" s="179" customFormat="1" ht="31.5" x14ac:dyDescent="0.2">
      <c r="A28" s="3" t="s">
        <v>2492</v>
      </c>
      <c r="B28" s="13" t="s">
        <v>2471</v>
      </c>
      <c r="C28" s="3" t="s">
        <v>2437</v>
      </c>
      <c r="D28" s="101">
        <v>791</v>
      </c>
    </row>
    <row r="29" spans="1:5" s="179" customFormat="1" ht="31.5" x14ac:dyDescent="0.2">
      <c r="A29" s="3" t="s">
        <v>2493</v>
      </c>
      <c r="B29" s="13" t="s">
        <v>1595</v>
      </c>
      <c r="C29" s="3" t="s">
        <v>2437</v>
      </c>
      <c r="D29" s="101">
        <v>902</v>
      </c>
    </row>
    <row r="30" spans="1:5" s="179" customFormat="1" x14ac:dyDescent="0.2">
      <c r="A30" s="3" t="s">
        <v>2494</v>
      </c>
      <c r="B30" s="13" t="s">
        <v>2495</v>
      </c>
      <c r="C30" s="3" t="s">
        <v>2437</v>
      </c>
      <c r="D30" s="101">
        <v>1235</v>
      </c>
    </row>
    <row r="31" spans="1:5" s="179" customFormat="1" x14ac:dyDescent="0.2">
      <c r="A31" s="3"/>
      <c r="B31" s="13"/>
      <c r="C31" s="3"/>
      <c r="D31" s="135"/>
    </row>
    <row r="32" spans="1:5" ht="78.75" x14ac:dyDescent="0.25">
      <c r="A32" s="3">
        <v>16.600000000000001</v>
      </c>
      <c r="B32" s="13" t="s">
        <v>2496</v>
      </c>
      <c r="C32" s="3"/>
      <c r="D32" s="8"/>
    </row>
    <row r="33" spans="1:4" x14ac:dyDescent="0.25">
      <c r="A33" s="3" t="s">
        <v>2497</v>
      </c>
      <c r="B33" s="13" t="s">
        <v>2498</v>
      </c>
      <c r="C33" s="3" t="s">
        <v>4217</v>
      </c>
      <c r="D33" s="101">
        <v>1426</v>
      </c>
    </row>
    <row r="34" spans="1:4" x14ac:dyDescent="0.25">
      <c r="A34" s="3" t="s">
        <v>2499</v>
      </c>
      <c r="B34" s="13" t="s">
        <v>2500</v>
      </c>
      <c r="C34" s="3" t="s">
        <v>4217</v>
      </c>
      <c r="D34" s="101">
        <v>1976</v>
      </c>
    </row>
    <row r="35" spans="1:4" x14ac:dyDescent="0.25">
      <c r="A35" s="3"/>
      <c r="B35" s="13"/>
      <c r="C35" s="3"/>
      <c r="D35" s="8"/>
    </row>
    <row r="36" spans="1:4" ht="86.25" customHeight="1" x14ac:dyDescent="0.25">
      <c r="A36" s="3">
        <v>16.7</v>
      </c>
      <c r="B36" s="13" t="s">
        <v>2501</v>
      </c>
      <c r="C36" s="3" t="s">
        <v>2785</v>
      </c>
      <c r="D36" s="101">
        <v>78</v>
      </c>
    </row>
    <row r="37" spans="1:4" x14ac:dyDescent="0.25">
      <c r="A37" s="3"/>
      <c r="B37" s="13"/>
      <c r="C37" s="3"/>
      <c r="D37" s="8"/>
    </row>
    <row r="38" spans="1:4" x14ac:dyDescent="0.25">
      <c r="A38" s="3"/>
      <c r="B38" s="13"/>
      <c r="C38" s="3"/>
      <c r="D38" s="8"/>
    </row>
    <row r="39" spans="1:4" ht="45" x14ac:dyDescent="0.25">
      <c r="A39" s="3">
        <v>16.8</v>
      </c>
      <c r="B39" s="202" t="s">
        <v>2502</v>
      </c>
      <c r="C39" s="3" t="s">
        <v>4217</v>
      </c>
      <c r="D39" s="101">
        <v>328</v>
      </c>
    </row>
    <row r="40" spans="1:4" x14ac:dyDescent="0.25">
      <c r="A40" s="3"/>
      <c r="B40" s="202"/>
      <c r="C40" s="3"/>
      <c r="D40" s="8"/>
    </row>
    <row r="41" spans="1:4" ht="45" x14ac:dyDescent="0.25">
      <c r="A41" s="3">
        <v>16.899999999999999</v>
      </c>
      <c r="B41" s="202" t="s">
        <v>6434</v>
      </c>
      <c r="C41" s="3"/>
      <c r="D41" s="8"/>
    </row>
    <row r="42" spans="1:4" x14ac:dyDescent="0.25">
      <c r="A42" s="3" t="s">
        <v>1596</v>
      </c>
      <c r="B42" s="202" t="s">
        <v>2503</v>
      </c>
      <c r="C42" s="3" t="s">
        <v>4217</v>
      </c>
      <c r="D42" s="101">
        <v>67</v>
      </c>
    </row>
    <row r="43" spans="1:4" x14ac:dyDescent="0.25">
      <c r="A43" s="3" t="s">
        <v>1597</v>
      </c>
      <c r="B43" s="202" t="s">
        <v>2504</v>
      </c>
      <c r="C43" s="3" t="s">
        <v>4217</v>
      </c>
      <c r="D43" s="101">
        <v>73</v>
      </c>
    </row>
    <row r="44" spans="1:4" ht="30" x14ac:dyDescent="0.25">
      <c r="A44" s="3" t="s">
        <v>1598</v>
      </c>
      <c r="B44" s="202" t="s">
        <v>2505</v>
      </c>
      <c r="C44" s="3" t="s">
        <v>4217</v>
      </c>
      <c r="D44" s="101">
        <v>75</v>
      </c>
    </row>
    <row r="45" spans="1:4" x14ac:dyDescent="0.25">
      <c r="A45" s="3"/>
      <c r="B45" s="202"/>
      <c r="C45" s="3"/>
      <c r="D45" s="8"/>
    </row>
    <row r="46" spans="1:4" ht="90" x14ac:dyDescent="0.25">
      <c r="A46" s="7">
        <v>16.100000000000001</v>
      </c>
      <c r="B46" s="202" t="s">
        <v>6301</v>
      </c>
      <c r="C46" s="3"/>
      <c r="D46" s="8"/>
    </row>
    <row r="47" spans="1:4" ht="60" x14ac:dyDescent="0.25">
      <c r="A47" s="7" t="s">
        <v>1601</v>
      </c>
      <c r="B47" s="202" t="s">
        <v>2464</v>
      </c>
      <c r="C47" s="3" t="s">
        <v>2606</v>
      </c>
      <c r="D47" s="101">
        <v>1775</v>
      </c>
    </row>
    <row r="48" spans="1:4" ht="30" x14ac:dyDescent="0.25">
      <c r="A48" s="7" t="s">
        <v>1602</v>
      </c>
      <c r="B48" s="202" t="s">
        <v>2484</v>
      </c>
      <c r="C48" s="3" t="s">
        <v>2606</v>
      </c>
      <c r="D48" s="101">
        <v>1843</v>
      </c>
    </row>
    <row r="49" spans="1:5" ht="30" x14ac:dyDescent="0.25">
      <c r="A49" s="7" t="s">
        <v>1603</v>
      </c>
      <c r="B49" s="202" t="s">
        <v>2486</v>
      </c>
      <c r="C49" s="3" t="s">
        <v>2606</v>
      </c>
      <c r="D49" s="101">
        <v>1977</v>
      </c>
    </row>
    <row r="50" spans="1:5" x14ac:dyDescent="0.25">
      <c r="A50" s="3"/>
      <c r="B50" s="202"/>
      <c r="C50" s="3"/>
      <c r="D50" s="8"/>
    </row>
    <row r="51" spans="1:5" ht="60" x14ac:dyDescent="0.25">
      <c r="A51" s="3">
        <v>16.11</v>
      </c>
      <c r="B51" s="202" t="s">
        <v>6302</v>
      </c>
      <c r="C51" s="3" t="s">
        <v>2437</v>
      </c>
      <c r="D51" s="101">
        <v>925</v>
      </c>
      <c r="E51" s="8" t="s">
        <v>6368</v>
      </c>
    </row>
    <row r="52" spans="1:5" x14ac:dyDescent="0.25">
      <c r="A52" s="3"/>
      <c r="B52" s="13"/>
      <c r="C52" s="3"/>
      <c r="D52" s="8"/>
    </row>
    <row r="53" spans="1:5" ht="178.5" x14ac:dyDescent="0.25">
      <c r="A53" s="7">
        <v>16.12</v>
      </c>
      <c r="B53" s="209" t="s">
        <v>6303</v>
      </c>
      <c r="C53" s="3" t="s">
        <v>2437</v>
      </c>
      <c r="D53" s="101">
        <v>1623</v>
      </c>
    </row>
    <row r="54" spans="1:5" x14ac:dyDescent="0.25">
      <c r="B54" s="13"/>
      <c r="D54" s="8"/>
    </row>
    <row r="55" spans="1:5" x14ac:dyDescent="0.25">
      <c r="B55" s="13"/>
      <c r="D55" s="8"/>
    </row>
    <row r="56" spans="1:5" ht="173.25" x14ac:dyDescent="0.25">
      <c r="A56" s="7">
        <v>16.13</v>
      </c>
      <c r="B56" s="13" t="s">
        <v>6304</v>
      </c>
      <c r="C56" s="3" t="s">
        <v>2437</v>
      </c>
      <c r="D56" s="101">
        <v>1623</v>
      </c>
    </row>
    <row r="57" spans="1:5" x14ac:dyDescent="0.25">
      <c r="B57" s="13"/>
      <c r="D57" s="8"/>
    </row>
    <row r="58" spans="1:5" ht="110.25" x14ac:dyDescent="0.25">
      <c r="A58" s="7">
        <v>16.14</v>
      </c>
      <c r="B58" s="13" t="s">
        <v>6305</v>
      </c>
      <c r="C58" s="3" t="s">
        <v>2785</v>
      </c>
      <c r="D58" s="101">
        <v>474</v>
      </c>
    </row>
    <row r="59" spans="1:5" x14ac:dyDescent="0.25">
      <c r="B59" s="13"/>
      <c r="D59" s="8"/>
    </row>
    <row r="60" spans="1:5" ht="91.5" customHeight="1" x14ac:dyDescent="0.25">
      <c r="A60" s="7">
        <v>16.149999999999999</v>
      </c>
      <c r="B60" s="13" t="s">
        <v>2474</v>
      </c>
      <c r="C60" s="3" t="s">
        <v>2437</v>
      </c>
      <c r="D60" s="101">
        <v>639</v>
      </c>
    </row>
    <row r="61" spans="1:5" x14ac:dyDescent="0.25">
      <c r="B61" s="13"/>
      <c r="D61" s="8"/>
    </row>
    <row r="62" spans="1:5" x14ac:dyDescent="0.25">
      <c r="B62" s="125" t="s">
        <v>2475</v>
      </c>
      <c r="D62" s="8"/>
    </row>
    <row r="63" spans="1:5" x14ac:dyDescent="0.25">
      <c r="B63" s="13"/>
      <c r="D63" s="8"/>
    </row>
    <row r="64" spans="1:5" ht="165" customHeight="1" x14ac:dyDescent="0.25">
      <c r="A64" s="7">
        <v>16.16</v>
      </c>
      <c r="B64" s="13" t="s">
        <v>6435</v>
      </c>
      <c r="C64" s="3"/>
      <c r="D64" s="8"/>
    </row>
    <row r="65" spans="1:4" x14ac:dyDescent="0.25">
      <c r="A65" s="7" t="s">
        <v>1612</v>
      </c>
      <c r="B65" s="13" t="s">
        <v>640</v>
      </c>
      <c r="C65" s="3" t="s">
        <v>2785</v>
      </c>
      <c r="D65" s="101">
        <v>196</v>
      </c>
    </row>
    <row r="66" spans="1:4" x14ac:dyDescent="0.25">
      <c r="A66" s="7"/>
      <c r="B66" s="13"/>
      <c r="C66" s="3"/>
      <c r="D66" s="101"/>
    </row>
    <row r="67" spans="1:4" x14ac:dyDescent="0.25">
      <c r="A67" s="7" t="s">
        <v>1614</v>
      </c>
      <c r="B67" s="13" t="s">
        <v>1613</v>
      </c>
      <c r="C67" s="3" t="s">
        <v>2785</v>
      </c>
      <c r="D67" s="101">
        <v>218</v>
      </c>
    </row>
    <row r="68" spans="1:4" x14ac:dyDescent="0.25">
      <c r="A68" s="7"/>
      <c r="B68" s="13"/>
      <c r="C68" s="3"/>
      <c r="D68" s="101"/>
    </row>
    <row r="69" spans="1:4" x14ac:dyDescent="0.25">
      <c r="A69" s="7"/>
      <c r="B69" s="13"/>
      <c r="C69" s="3"/>
      <c r="D69" s="101"/>
    </row>
    <row r="70" spans="1:4" ht="315" x14ac:dyDescent="0.25">
      <c r="A70" s="7">
        <v>16.170000000000002</v>
      </c>
      <c r="B70" s="13" t="s">
        <v>6436</v>
      </c>
      <c r="C70" s="3" t="s">
        <v>2437</v>
      </c>
      <c r="D70" s="101">
        <v>1761</v>
      </c>
    </row>
    <row r="71" spans="1:4" x14ac:dyDescent="0.25">
      <c r="B71" s="13"/>
      <c r="D71" s="8"/>
    </row>
    <row r="72" spans="1:4" ht="345.75" customHeight="1" x14ac:dyDescent="0.25">
      <c r="A72" s="7">
        <v>16.18</v>
      </c>
      <c r="B72" s="13" t="s">
        <v>4950</v>
      </c>
      <c r="C72" s="3" t="s">
        <v>2437</v>
      </c>
      <c r="D72" s="101">
        <v>1829</v>
      </c>
    </row>
    <row r="73" spans="1:4" x14ac:dyDescent="0.25">
      <c r="B73" s="13"/>
      <c r="D73" s="8"/>
    </row>
    <row r="74" spans="1:4" x14ac:dyDescent="0.25">
      <c r="B74" s="13"/>
      <c r="D74" s="8"/>
    </row>
    <row r="75" spans="1:4" ht="216" customHeight="1" x14ac:dyDescent="0.25">
      <c r="A75" s="7">
        <v>16.190000000000001</v>
      </c>
      <c r="B75" s="13" t="s">
        <v>1315</v>
      </c>
      <c r="C75" s="5" t="s">
        <v>2785</v>
      </c>
      <c r="D75" s="101">
        <v>277</v>
      </c>
    </row>
    <row r="76" spans="1:4" x14ac:dyDescent="0.25">
      <c r="B76" s="13"/>
      <c r="D76" s="8"/>
    </row>
    <row r="77" spans="1:4" x14ac:dyDescent="0.25">
      <c r="B77" s="13"/>
      <c r="D77" s="8"/>
    </row>
    <row r="78" spans="1:4" x14ac:dyDescent="0.25">
      <c r="A78" s="7">
        <v>16.2</v>
      </c>
      <c r="B78" s="13" t="s">
        <v>1316</v>
      </c>
      <c r="D78" s="8"/>
    </row>
    <row r="79" spans="1:4" ht="409.5" customHeight="1" x14ac:dyDescent="0.25">
      <c r="A79" s="7" t="s">
        <v>1317</v>
      </c>
      <c r="B79" s="13" t="s">
        <v>1319</v>
      </c>
      <c r="C79" s="5" t="s">
        <v>2437</v>
      </c>
      <c r="D79" s="101">
        <v>3211</v>
      </c>
    </row>
    <row r="80" spans="1:4" x14ac:dyDescent="0.25">
      <c r="A80" s="7"/>
      <c r="B80" s="13"/>
      <c r="C80" s="5"/>
      <c r="D80" s="101"/>
    </row>
    <row r="81" spans="1:4" x14ac:dyDescent="0.25">
      <c r="A81" s="7"/>
      <c r="B81" s="13"/>
      <c r="C81" s="5"/>
      <c r="D81" s="101"/>
    </row>
    <row r="82" spans="1:4" ht="409.5" customHeight="1" x14ac:dyDescent="0.25">
      <c r="A82" s="7" t="s">
        <v>1318</v>
      </c>
      <c r="B82" s="13" t="s">
        <v>1320</v>
      </c>
      <c r="C82" s="5" t="s">
        <v>2437</v>
      </c>
      <c r="D82" s="101">
        <v>3347</v>
      </c>
    </row>
    <row r="83" spans="1:4" x14ac:dyDescent="0.25">
      <c r="B83" s="13"/>
      <c r="D83" s="8"/>
    </row>
    <row r="84" spans="1:4" ht="247.5" customHeight="1" x14ac:dyDescent="0.25">
      <c r="A84" s="7">
        <v>16.21</v>
      </c>
      <c r="B84" s="13" t="s">
        <v>1519</v>
      </c>
      <c r="C84" s="3" t="s">
        <v>2437</v>
      </c>
      <c r="D84" s="101">
        <v>996</v>
      </c>
    </row>
    <row r="85" spans="1:4" x14ac:dyDescent="0.25">
      <c r="B85" s="13"/>
      <c r="D85" s="8"/>
    </row>
    <row r="86" spans="1:4" x14ac:dyDescent="0.25">
      <c r="B86" s="13"/>
      <c r="D86" s="8"/>
    </row>
    <row r="87" spans="1:4" ht="246" customHeight="1" x14ac:dyDescent="0.25">
      <c r="A87" s="7">
        <v>16.22</v>
      </c>
      <c r="B87" s="13" t="s">
        <v>1520</v>
      </c>
      <c r="C87" s="3" t="s">
        <v>2437</v>
      </c>
      <c r="D87" s="101">
        <v>1394</v>
      </c>
    </row>
    <row r="88" spans="1:4" x14ac:dyDescent="0.25">
      <c r="B88" s="13"/>
      <c r="D88" s="8"/>
    </row>
    <row r="89" spans="1:4" ht="409.5" x14ac:dyDescent="0.25">
      <c r="A89" s="7">
        <v>16.23</v>
      </c>
      <c r="B89" s="13" t="s">
        <v>6437</v>
      </c>
      <c r="C89" s="8" t="s">
        <v>4217</v>
      </c>
      <c r="D89" s="101">
        <v>7392</v>
      </c>
    </row>
    <row r="90" spans="1:4" x14ac:dyDescent="0.25">
      <c r="A90" s="7"/>
      <c r="B90" s="13"/>
      <c r="D90" s="101"/>
    </row>
    <row r="91" spans="1:4" x14ac:dyDescent="0.25">
      <c r="A91" s="7"/>
      <c r="B91" s="13"/>
      <c r="D91" s="101"/>
    </row>
    <row r="92" spans="1:4" ht="283.5" x14ac:dyDescent="0.25">
      <c r="A92" s="7"/>
      <c r="B92" s="13" t="s">
        <v>6454</v>
      </c>
      <c r="D92" s="8"/>
    </row>
    <row r="93" spans="1:4" x14ac:dyDescent="0.25">
      <c r="A93" s="7"/>
      <c r="B93" s="13"/>
      <c r="D93" s="8"/>
    </row>
    <row r="94" spans="1:4" ht="78.75" x14ac:dyDescent="0.25">
      <c r="A94" s="7">
        <v>16.239999999999998</v>
      </c>
      <c r="B94" s="13" t="s">
        <v>6452</v>
      </c>
      <c r="C94" s="3" t="s">
        <v>4217</v>
      </c>
      <c r="D94" s="101">
        <v>15545</v>
      </c>
    </row>
    <row r="95" spans="1:4" x14ac:dyDescent="0.25">
      <c r="A95" s="7"/>
      <c r="B95" s="13"/>
      <c r="C95" s="3"/>
      <c r="D95" s="8"/>
    </row>
    <row r="96" spans="1:4" ht="78.75" x14ac:dyDescent="0.25">
      <c r="A96" s="7">
        <v>16.25</v>
      </c>
      <c r="B96" s="13" t="s">
        <v>6453</v>
      </c>
      <c r="C96" s="3" t="s">
        <v>4217</v>
      </c>
      <c r="D96" s="101">
        <v>24651</v>
      </c>
    </row>
    <row r="97" spans="1:4" x14ac:dyDescent="0.25">
      <c r="A97" s="7"/>
      <c r="B97" s="13"/>
      <c r="C97" s="3"/>
      <c r="D97" s="8"/>
    </row>
    <row r="98" spans="1:4" ht="78.75" x14ac:dyDescent="0.25">
      <c r="A98" s="7">
        <v>16.260000000000002</v>
      </c>
      <c r="B98" s="13" t="s">
        <v>6451</v>
      </c>
      <c r="C98" s="3" t="s">
        <v>4217</v>
      </c>
      <c r="D98" s="101">
        <v>24581</v>
      </c>
    </row>
    <row r="99" spans="1:4" x14ac:dyDescent="0.25">
      <c r="A99" s="7"/>
      <c r="B99" s="13"/>
      <c r="C99" s="3"/>
      <c r="D99" s="8"/>
    </row>
    <row r="100" spans="1:4" ht="94.5" x14ac:dyDescent="0.25">
      <c r="A100" s="7">
        <v>16.27</v>
      </c>
      <c r="B100" s="13" t="s">
        <v>6450</v>
      </c>
      <c r="C100" s="3" t="s">
        <v>4217</v>
      </c>
      <c r="D100" s="101">
        <v>22460</v>
      </c>
    </row>
    <row r="101" spans="1:4" x14ac:dyDescent="0.25">
      <c r="A101" s="7"/>
      <c r="B101" s="13"/>
      <c r="C101" s="3"/>
      <c r="D101" s="8"/>
    </row>
    <row r="102" spans="1:4" x14ac:dyDescent="0.25">
      <c r="A102" s="7"/>
      <c r="B102" s="13"/>
      <c r="C102" s="3"/>
      <c r="D102" s="8"/>
    </row>
    <row r="103" spans="1:4" ht="78.75" x14ac:dyDescent="0.25">
      <c r="A103" s="7">
        <v>16.28</v>
      </c>
      <c r="B103" s="13" t="s">
        <v>6449</v>
      </c>
      <c r="C103" s="3" t="s">
        <v>4217</v>
      </c>
      <c r="D103" s="101">
        <v>29930</v>
      </c>
    </row>
    <row r="104" spans="1:4" x14ac:dyDescent="0.25">
      <c r="A104" s="7"/>
      <c r="B104" s="13"/>
      <c r="C104" s="3"/>
      <c r="D104" s="8"/>
    </row>
    <row r="105" spans="1:4" ht="78.75" x14ac:dyDescent="0.25">
      <c r="A105" s="7">
        <v>16.29</v>
      </c>
      <c r="B105" s="13" t="s">
        <v>6448</v>
      </c>
      <c r="C105" s="3" t="s">
        <v>4217</v>
      </c>
      <c r="D105" s="101">
        <v>23377</v>
      </c>
    </row>
    <row r="106" spans="1:4" x14ac:dyDescent="0.25">
      <c r="A106" s="7"/>
      <c r="B106" s="13"/>
      <c r="C106" s="3"/>
      <c r="D106" s="8"/>
    </row>
    <row r="107" spans="1:4" ht="78.75" x14ac:dyDescent="0.25">
      <c r="A107" s="7">
        <v>16.3</v>
      </c>
      <c r="B107" s="13" t="s">
        <v>6447</v>
      </c>
      <c r="C107" s="3" t="s">
        <v>4217</v>
      </c>
      <c r="D107" s="101">
        <v>17350</v>
      </c>
    </row>
    <row r="108" spans="1:4" x14ac:dyDescent="0.25">
      <c r="A108" s="7"/>
      <c r="B108" s="13"/>
      <c r="C108" s="3"/>
      <c r="D108" s="8"/>
    </row>
    <row r="109" spans="1:4" ht="78.75" x14ac:dyDescent="0.25">
      <c r="A109" s="7">
        <v>16.309999999999999</v>
      </c>
      <c r="B109" s="13" t="s">
        <v>6446</v>
      </c>
      <c r="C109" s="3" t="s">
        <v>4217</v>
      </c>
      <c r="D109" s="101">
        <v>50149</v>
      </c>
    </row>
    <row r="110" spans="1:4" x14ac:dyDescent="0.25">
      <c r="A110" s="7"/>
      <c r="B110" s="13"/>
      <c r="C110" s="3"/>
      <c r="D110" s="8"/>
    </row>
    <row r="111" spans="1:4" ht="63" x14ac:dyDescent="0.25">
      <c r="A111" s="7">
        <v>16.32</v>
      </c>
      <c r="B111" s="13" t="s">
        <v>6445</v>
      </c>
      <c r="C111" s="3" t="s">
        <v>4217</v>
      </c>
      <c r="D111" s="101">
        <v>8737</v>
      </c>
    </row>
    <row r="112" spans="1:4" x14ac:dyDescent="0.25">
      <c r="A112" s="7"/>
      <c r="B112" s="13"/>
      <c r="C112" s="3"/>
      <c r="D112" s="8"/>
    </row>
    <row r="113" spans="1:4" ht="81.75" customHeight="1" x14ac:dyDescent="0.25">
      <c r="A113" s="7">
        <v>16.329999999999998</v>
      </c>
      <c r="B113" s="13" t="s">
        <v>6444</v>
      </c>
      <c r="C113" s="3" t="s">
        <v>4217</v>
      </c>
      <c r="D113" s="101">
        <v>14278</v>
      </c>
    </row>
    <row r="114" spans="1:4" x14ac:dyDescent="0.25">
      <c r="A114" s="7"/>
      <c r="B114" s="13"/>
      <c r="C114" s="3"/>
      <c r="D114" s="8"/>
    </row>
    <row r="115" spans="1:4" ht="110.25" customHeight="1" x14ac:dyDescent="0.25">
      <c r="A115" s="7">
        <v>16.34</v>
      </c>
      <c r="B115" s="13" t="s">
        <v>6443</v>
      </c>
      <c r="C115" s="3" t="s">
        <v>4217</v>
      </c>
      <c r="D115" s="101">
        <v>157190</v>
      </c>
    </row>
    <row r="116" spans="1:4" x14ac:dyDescent="0.25">
      <c r="A116" s="7"/>
      <c r="B116" s="13"/>
      <c r="C116" s="3"/>
      <c r="D116" s="8"/>
    </row>
    <row r="117" spans="1:4" x14ac:dyDescent="0.25">
      <c r="A117" s="7"/>
      <c r="B117" s="13"/>
      <c r="C117" s="3"/>
      <c r="D117" s="8"/>
    </row>
    <row r="118" spans="1:4" ht="111.75" customHeight="1" x14ac:dyDescent="0.25">
      <c r="A118" s="7">
        <v>16.350000000000001</v>
      </c>
      <c r="B118" s="13" t="s">
        <v>6438</v>
      </c>
      <c r="C118" s="3" t="s">
        <v>4217</v>
      </c>
      <c r="D118" s="101">
        <v>18165</v>
      </c>
    </row>
    <row r="119" spans="1:4" x14ac:dyDescent="0.25">
      <c r="A119" s="7"/>
      <c r="B119" s="13"/>
      <c r="C119" s="3"/>
      <c r="D119" s="8"/>
    </row>
    <row r="120" spans="1:4" x14ac:dyDescent="0.25">
      <c r="A120" s="7"/>
      <c r="B120" s="13"/>
      <c r="C120" s="3"/>
      <c r="D120" s="8"/>
    </row>
    <row r="121" spans="1:4" ht="112.5" customHeight="1" x14ac:dyDescent="0.25">
      <c r="A121" s="7">
        <v>16.36</v>
      </c>
      <c r="B121" s="13" t="s">
        <v>6439</v>
      </c>
      <c r="C121" s="3" t="s">
        <v>4217</v>
      </c>
      <c r="D121" s="101">
        <v>14909</v>
      </c>
    </row>
    <row r="122" spans="1:4" x14ac:dyDescent="0.25">
      <c r="A122" s="7"/>
      <c r="B122" s="13"/>
      <c r="C122" s="3"/>
      <c r="D122" s="8"/>
    </row>
    <row r="123" spans="1:4" x14ac:dyDescent="0.25">
      <c r="A123" s="7"/>
      <c r="B123" s="13"/>
      <c r="C123" s="3"/>
      <c r="D123" s="8"/>
    </row>
    <row r="124" spans="1:4" ht="100.5" customHeight="1" x14ac:dyDescent="0.25">
      <c r="A124" s="7">
        <v>16.37</v>
      </c>
      <c r="B124" s="13" t="s">
        <v>6440</v>
      </c>
      <c r="C124" s="3" t="s">
        <v>4217</v>
      </c>
      <c r="D124" s="101">
        <v>17562</v>
      </c>
    </row>
    <row r="125" spans="1:4" x14ac:dyDescent="0.25">
      <c r="A125" s="7"/>
      <c r="B125" s="13"/>
      <c r="C125" s="3"/>
      <c r="D125" s="8"/>
    </row>
    <row r="126" spans="1:4" x14ac:dyDescent="0.25">
      <c r="A126" s="7"/>
      <c r="B126" s="13"/>
      <c r="C126" s="3"/>
      <c r="D126" s="8"/>
    </row>
    <row r="127" spans="1:4" ht="103.5" customHeight="1" x14ac:dyDescent="0.25">
      <c r="A127" s="7">
        <v>16.38</v>
      </c>
      <c r="B127" s="13" t="s">
        <v>6441</v>
      </c>
      <c r="C127" s="3" t="s">
        <v>4217</v>
      </c>
      <c r="D127" s="101">
        <v>17895</v>
      </c>
    </row>
    <row r="128" spans="1:4" x14ac:dyDescent="0.25">
      <c r="A128" s="7"/>
      <c r="B128" s="13"/>
      <c r="C128" s="3"/>
      <c r="D128" s="8"/>
    </row>
    <row r="129" spans="1:4" x14ac:dyDescent="0.25">
      <c r="A129" s="7"/>
      <c r="B129" s="13"/>
      <c r="C129" s="3"/>
      <c r="D129" s="8"/>
    </row>
    <row r="130" spans="1:4" ht="112.5" customHeight="1" x14ac:dyDescent="0.25">
      <c r="A130" s="7">
        <v>16.39</v>
      </c>
      <c r="B130" s="13" t="s">
        <v>6442</v>
      </c>
      <c r="C130" s="3" t="s">
        <v>4217</v>
      </c>
      <c r="D130" s="101">
        <v>62668</v>
      </c>
    </row>
    <row r="131" spans="1:4" x14ac:dyDescent="0.25">
      <c r="D131" s="8"/>
    </row>
    <row r="132" spans="1:4" x14ac:dyDescent="0.25">
      <c r="D132" s="8"/>
    </row>
    <row r="133" spans="1:4" ht="404.25" customHeight="1" x14ac:dyDescent="0.25">
      <c r="A133" s="7">
        <v>16.399999999999999</v>
      </c>
      <c r="B133" s="13" t="s">
        <v>6306</v>
      </c>
      <c r="C133" s="3" t="s">
        <v>2437</v>
      </c>
      <c r="D133" s="7">
        <v>5381</v>
      </c>
    </row>
    <row r="134" spans="1:4" x14ac:dyDescent="0.25">
      <c r="A134" s="7"/>
      <c r="B134" s="13"/>
      <c r="C134" s="3"/>
      <c r="D134" s="7"/>
    </row>
    <row r="135" spans="1:4" ht="251.25" customHeight="1" x14ac:dyDescent="0.25">
      <c r="A135" s="7">
        <v>16.41</v>
      </c>
      <c r="B135" s="13" t="s">
        <v>4725</v>
      </c>
      <c r="C135" s="3" t="s">
        <v>2437</v>
      </c>
      <c r="D135" s="7">
        <v>2570</v>
      </c>
    </row>
    <row r="136" spans="1:4" x14ac:dyDescent="0.25">
      <c r="A136" s="7"/>
      <c r="B136" s="13"/>
      <c r="C136" s="3"/>
      <c r="D136" s="7"/>
    </row>
    <row r="137" spans="1:4" x14ac:dyDescent="0.25">
      <c r="A137" s="7"/>
      <c r="B137" s="13"/>
      <c r="C137" s="3"/>
      <c r="D137" s="7"/>
    </row>
    <row r="138" spans="1:4" ht="337.5" x14ac:dyDescent="0.25">
      <c r="A138" s="7">
        <v>16.420000000000002</v>
      </c>
      <c r="B138" s="217" t="s">
        <v>4729</v>
      </c>
      <c r="C138" s="3" t="s">
        <v>2437</v>
      </c>
      <c r="D138" s="7">
        <v>5128</v>
      </c>
    </row>
    <row r="139" spans="1:4" x14ac:dyDescent="0.25">
      <c r="A139" s="7"/>
      <c r="B139" s="13"/>
      <c r="C139" s="3"/>
      <c r="D139" s="7"/>
    </row>
    <row r="140" spans="1:4" ht="90" x14ac:dyDescent="0.25">
      <c r="A140" s="7">
        <v>16.43</v>
      </c>
      <c r="B140" s="202" t="s">
        <v>4726</v>
      </c>
      <c r="C140" s="3"/>
      <c r="D140" s="7"/>
    </row>
    <row r="141" spans="1:4" x14ac:dyDescent="0.25">
      <c r="A141" s="7"/>
      <c r="B141" s="13"/>
      <c r="C141" s="3"/>
      <c r="D141" s="7"/>
    </row>
    <row r="142" spans="1:4" ht="105" x14ac:dyDescent="0.25">
      <c r="A142" s="7" t="s">
        <v>5354</v>
      </c>
      <c r="B142" s="202" t="s">
        <v>5630</v>
      </c>
      <c r="C142" s="3" t="s">
        <v>2437</v>
      </c>
      <c r="D142" s="7">
        <v>1843</v>
      </c>
    </row>
    <row r="143" spans="1:4" x14ac:dyDescent="0.25">
      <c r="A143" s="7"/>
      <c r="B143" s="13"/>
      <c r="C143" s="3"/>
      <c r="D143" s="7"/>
    </row>
    <row r="144" spans="1:4" ht="31.5" x14ac:dyDescent="0.25">
      <c r="A144" s="7" t="s">
        <v>5355</v>
      </c>
      <c r="B144" s="13" t="s">
        <v>4727</v>
      </c>
      <c r="C144" s="3" t="s">
        <v>2437</v>
      </c>
      <c r="D144" s="7">
        <v>1910</v>
      </c>
    </row>
    <row r="145" spans="1:4" x14ac:dyDescent="0.25">
      <c r="A145" s="7"/>
      <c r="B145" s="13"/>
      <c r="C145" s="3"/>
      <c r="D145" s="7"/>
    </row>
    <row r="146" spans="1:4" ht="31.5" x14ac:dyDescent="0.25">
      <c r="A146" s="7" t="s">
        <v>5356</v>
      </c>
      <c r="B146" s="13" t="s">
        <v>4728</v>
      </c>
      <c r="C146" s="3" t="s">
        <v>2437</v>
      </c>
      <c r="D146" s="7">
        <v>2044</v>
      </c>
    </row>
    <row r="147" spans="1:4" x14ac:dyDescent="0.25">
      <c r="A147" s="7"/>
      <c r="B147" s="13"/>
      <c r="C147" s="3"/>
      <c r="D147" s="7"/>
    </row>
    <row r="148" spans="1:4" x14ac:dyDescent="0.25">
      <c r="A148" s="7"/>
      <c r="B148" s="13"/>
      <c r="C148" s="3"/>
      <c r="D148" s="7"/>
    </row>
    <row r="149" spans="1:4" x14ac:dyDescent="0.25">
      <c r="A149" s="7"/>
      <c r="B149" s="13"/>
      <c r="C149" s="3"/>
      <c r="D149" s="7"/>
    </row>
    <row r="150" spans="1:4" ht="110.25" x14ac:dyDescent="0.25">
      <c r="A150" s="7">
        <v>16.440000000000001</v>
      </c>
      <c r="B150" s="13" t="s">
        <v>6307</v>
      </c>
      <c r="C150" s="3"/>
      <c r="D150" s="7"/>
    </row>
    <row r="151" spans="1:4" ht="63" x14ac:dyDescent="0.25">
      <c r="A151" s="7" t="s">
        <v>5357</v>
      </c>
      <c r="B151" s="13" t="s">
        <v>2464</v>
      </c>
      <c r="C151" s="3" t="s">
        <v>2437</v>
      </c>
      <c r="D151" s="7">
        <v>1910</v>
      </c>
    </row>
    <row r="152" spans="1:4" x14ac:dyDescent="0.25">
      <c r="A152" s="7"/>
      <c r="B152" s="13"/>
      <c r="C152" s="3"/>
      <c r="D152" s="7"/>
    </row>
    <row r="153" spans="1:4" ht="31.5" x14ac:dyDescent="0.25">
      <c r="A153" s="7" t="s">
        <v>5358</v>
      </c>
      <c r="B153" s="13" t="s">
        <v>4727</v>
      </c>
      <c r="C153" s="3" t="s">
        <v>2437</v>
      </c>
      <c r="D153" s="7">
        <v>1977</v>
      </c>
    </row>
    <row r="154" spans="1:4" x14ac:dyDescent="0.25">
      <c r="A154" s="7"/>
      <c r="B154" s="13"/>
      <c r="C154" s="3"/>
      <c r="D154" s="7"/>
    </row>
    <row r="155" spans="1:4" ht="31.5" x14ac:dyDescent="0.25">
      <c r="A155" s="7" t="s">
        <v>5359</v>
      </c>
      <c r="B155" s="13" t="s">
        <v>4728</v>
      </c>
      <c r="C155" s="3" t="s">
        <v>2437</v>
      </c>
      <c r="D155" s="7">
        <v>2111</v>
      </c>
    </row>
    <row r="156" spans="1:4" x14ac:dyDescent="0.25">
      <c r="D156" s="18"/>
    </row>
    <row r="157" spans="1:4" ht="409.5" x14ac:dyDescent="0.25">
      <c r="A157" s="5">
        <v>16.45</v>
      </c>
      <c r="B157" s="13" t="s">
        <v>5266</v>
      </c>
      <c r="C157" s="3" t="s">
        <v>2437</v>
      </c>
      <c r="D157" s="7">
        <v>8443</v>
      </c>
    </row>
    <row r="158" spans="1:4" x14ac:dyDescent="0.25">
      <c r="D158" s="18"/>
    </row>
    <row r="159" spans="1:4" s="178" customFormat="1" ht="306" x14ac:dyDescent="0.25">
      <c r="A159" s="101">
        <v>16.46</v>
      </c>
      <c r="B159" s="209" t="s">
        <v>5270</v>
      </c>
      <c r="C159" s="3" t="s">
        <v>2437</v>
      </c>
      <c r="D159" s="7">
        <v>11570</v>
      </c>
    </row>
    <row r="160" spans="1:4" x14ac:dyDescent="0.25">
      <c r="D160" s="18"/>
    </row>
    <row r="161" spans="1:4" ht="346.5" customHeight="1" x14ac:dyDescent="0.25">
      <c r="A161" s="5">
        <v>16.47</v>
      </c>
      <c r="B161" s="13" t="s">
        <v>5267</v>
      </c>
      <c r="C161" s="3" t="s">
        <v>2437</v>
      </c>
      <c r="D161" s="7">
        <v>6343</v>
      </c>
    </row>
    <row r="162" spans="1:4" x14ac:dyDescent="0.25">
      <c r="D162" s="18"/>
    </row>
    <row r="163" spans="1:4" x14ac:dyDescent="0.25">
      <c r="D163" s="18"/>
    </row>
    <row r="164" spans="1:4" s="178" customFormat="1" ht="370.5" customHeight="1" x14ac:dyDescent="0.25">
      <c r="A164" s="5">
        <v>16.48</v>
      </c>
      <c r="B164" s="13" t="s">
        <v>5268</v>
      </c>
      <c r="C164" s="3" t="s">
        <v>2437</v>
      </c>
      <c r="D164" s="7">
        <v>9039</v>
      </c>
    </row>
    <row r="165" spans="1:4" x14ac:dyDescent="0.25">
      <c r="D165" s="18"/>
    </row>
    <row r="166" spans="1:4" ht="285.75" customHeight="1" x14ac:dyDescent="0.25">
      <c r="A166" s="5">
        <v>16.489999999999998</v>
      </c>
      <c r="B166" s="13" t="s">
        <v>6164</v>
      </c>
      <c r="C166" s="3" t="s">
        <v>2437</v>
      </c>
      <c r="D166" s="7">
        <v>9118</v>
      </c>
    </row>
    <row r="167" spans="1:4" x14ac:dyDescent="0.25">
      <c r="B167" s="13"/>
      <c r="C167" s="3"/>
      <c r="D167" s="7"/>
    </row>
    <row r="168" spans="1:4" x14ac:dyDescent="0.25">
      <c r="B168" s="13"/>
      <c r="C168" s="3"/>
      <c r="D168" s="7"/>
    </row>
    <row r="169" spans="1:4" ht="202.5" x14ac:dyDescent="0.25">
      <c r="B169" s="220" t="s">
        <v>6308</v>
      </c>
      <c r="D169" s="18"/>
    </row>
    <row r="170" spans="1:4" ht="218.25" customHeight="1" x14ac:dyDescent="0.25">
      <c r="A170" s="101">
        <v>16.5</v>
      </c>
      <c r="B170" s="217" t="s">
        <v>5271</v>
      </c>
      <c r="C170" s="3" t="s">
        <v>2437</v>
      </c>
      <c r="D170" s="7">
        <v>13474</v>
      </c>
    </row>
    <row r="171" spans="1:4" ht="248.25" customHeight="1" x14ac:dyDescent="0.25">
      <c r="B171" s="217" t="s">
        <v>6309</v>
      </c>
      <c r="C171" s="3"/>
      <c r="D171" s="7"/>
    </row>
    <row r="172" spans="1:4" x14ac:dyDescent="0.25">
      <c r="D172" s="18"/>
    </row>
    <row r="173" spans="1:4" x14ac:dyDescent="0.25">
      <c r="D173" s="18"/>
    </row>
    <row r="174" spans="1:4" ht="191.25" x14ac:dyDescent="0.25">
      <c r="A174" s="5">
        <v>16.510000000000002</v>
      </c>
      <c r="B174" s="209" t="s">
        <v>6165</v>
      </c>
      <c r="C174" s="3" t="s">
        <v>2437</v>
      </c>
      <c r="D174" s="7">
        <v>11027</v>
      </c>
    </row>
    <row r="175" spans="1:4" ht="133.5" customHeight="1" x14ac:dyDescent="0.25">
      <c r="B175" s="221" t="s">
        <v>6166</v>
      </c>
      <c r="D175" s="18"/>
    </row>
    <row r="176" spans="1:4" x14ac:dyDescent="0.25">
      <c r="D176" s="18"/>
    </row>
    <row r="177" spans="1:4" ht="329.25" customHeight="1" x14ac:dyDescent="0.25">
      <c r="A177" s="5">
        <v>16.52</v>
      </c>
      <c r="B177" s="209" t="s">
        <v>5269</v>
      </c>
      <c r="C177" s="3" t="s">
        <v>2437</v>
      </c>
      <c r="D177" s="7">
        <v>14272</v>
      </c>
    </row>
    <row r="178" spans="1:4" x14ac:dyDescent="0.25">
      <c r="D178" s="18"/>
    </row>
    <row r="179" spans="1:4" x14ac:dyDescent="0.25">
      <c r="D179" s="18"/>
    </row>
    <row r="180" spans="1:4" ht="409.5" customHeight="1" x14ac:dyDescent="0.25">
      <c r="A180" s="5">
        <v>16.53</v>
      </c>
      <c r="B180" s="13" t="s">
        <v>5272</v>
      </c>
      <c r="C180" s="3" t="s">
        <v>2437</v>
      </c>
      <c r="D180" s="7">
        <v>9930</v>
      </c>
    </row>
    <row r="181" spans="1:4" ht="252" customHeight="1" x14ac:dyDescent="0.25">
      <c r="B181" s="13" t="s">
        <v>5273</v>
      </c>
      <c r="C181" s="3"/>
      <c r="D181" s="7"/>
    </row>
    <row r="182" spans="1:4" x14ac:dyDescent="0.25">
      <c r="B182" s="13"/>
      <c r="C182" s="3"/>
      <c r="D182" s="7"/>
    </row>
    <row r="183" spans="1:4" x14ac:dyDescent="0.25">
      <c r="B183" s="13"/>
      <c r="C183" s="3"/>
      <c r="D183" s="7"/>
    </row>
    <row r="184" spans="1:4" x14ac:dyDescent="0.25">
      <c r="B184" s="13"/>
      <c r="C184" s="3"/>
      <c r="D184" s="7"/>
    </row>
    <row r="185" spans="1:4" ht="409.5" customHeight="1" x14ac:dyDescent="0.25">
      <c r="A185" s="5">
        <v>16.54</v>
      </c>
      <c r="B185" s="13" t="s">
        <v>6455</v>
      </c>
      <c r="C185" s="3" t="s">
        <v>2437</v>
      </c>
      <c r="D185" s="7">
        <v>13558</v>
      </c>
    </row>
    <row r="186" spans="1:4" ht="261" customHeight="1" x14ac:dyDescent="0.25">
      <c r="B186" s="13" t="s">
        <v>5273</v>
      </c>
      <c r="C186" s="3"/>
      <c r="D186" s="7"/>
    </row>
    <row r="187" spans="1:4" x14ac:dyDescent="0.25">
      <c r="D187" s="18"/>
    </row>
    <row r="188" spans="1:4" x14ac:dyDescent="0.25">
      <c r="D188" s="18"/>
    </row>
    <row r="189" spans="1:4" ht="141.75" x14ac:dyDescent="0.25">
      <c r="A189" s="5">
        <v>16.55</v>
      </c>
      <c r="B189" s="30" t="s">
        <v>5265</v>
      </c>
      <c r="C189" s="3" t="s">
        <v>2437</v>
      </c>
      <c r="D189" s="7">
        <v>2594</v>
      </c>
    </row>
    <row r="190" spans="1:4" x14ac:dyDescent="0.25">
      <c r="C190" s="3"/>
      <c r="D190" s="7"/>
    </row>
    <row r="191" spans="1:4" s="178" customFormat="1" ht="173.25" x14ac:dyDescent="0.25">
      <c r="A191" s="7">
        <v>16.559999999999999</v>
      </c>
      <c r="B191" s="13" t="s">
        <v>5640</v>
      </c>
      <c r="C191" s="7"/>
      <c r="D191" s="101"/>
    </row>
    <row r="192" spans="1:4" s="178" customFormat="1" x14ac:dyDescent="0.25">
      <c r="A192" s="7" t="s">
        <v>1660</v>
      </c>
      <c r="B192" s="13" t="s">
        <v>5642</v>
      </c>
      <c r="C192" s="7" t="s">
        <v>2650</v>
      </c>
      <c r="D192" s="101">
        <v>503</v>
      </c>
    </row>
    <row r="193" spans="1:4" s="176" customFormat="1" x14ac:dyDescent="0.25">
      <c r="A193" s="7" t="s">
        <v>1666</v>
      </c>
      <c r="B193" s="13" t="s">
        <v>5641</v>
      </c>
      <c r="C193" s="7" t="s">
        <v>2650</v>
      </c>
      <c r="D193" s="101">
        <v>432</v>
      </c>
    </row>
    <row r="194" spans="1:4" x14ac:dyDescent="0.25">
      <c r="C194" s="3"/>
      <c r="D194" s="7"/>
    </row>
    <row r="195" spans="1:4" s="176" customFormat="1" ht="93" customHeight="1" x14ac:dyDescent="0.25">
      <c r="A195" s="7">
        <v>16.57</v>
      </c>
      <c r="B195" s="13" t="s">
        <v>5964</v>
      </c>
      <c r="C195" s="7" t="s">
        <v>2437</v>
      </c>
      <c r="D195" s="101">
        <v>450</v>
      </c>
    </row>
    <row r="196" spans="1:4" x14ac:dyDescent="0.25">
      <c r="C196" s="3"/>
      <c r="D196" s="7"/>
    </row>
    <row r="197" spans="1:4" s="176" customFormat="1" ht="88.5" customHeight="1" x14ac:dyDescent="0.25">
      <c r="A197" s="7">
        <v>16.579999999999998</v>
      </c>
      <c r="B197" s="13" t="s">
        <v>5965</v>
      </c>
      <c r="C197" s="7" t="s">
        <v>2437</v>
      </c>
      <c r="D197" s="101">
        <v>1700</v>
      </c>
    </row>
    <row r="198" spans="1:4" x14ac:dyDescent="0.25">
      <c r="C198" s="3"/>
      <c r="D198" s="7"/>
    </row>
    <row r="199" spans="1:4" s="176" customFormat="1" ht="78.75" x14ac:dyDescent="0.25">
      <c r="A199" s="7">
        <v>16.59</v>
      </c>
      <c r="B199" s="13" t="s">
        <v>6378</v>
      </c>
      <c r="C199" s="7" t="s">
        <v>2437</v>
      </c>
      <c r="D199" s="101">
        <v>929</v>
      </c>
    </row>
    <row r="200" spans="1:4" x14ac:dyDescent="0.25">
      <c r="C200" s="3"/>
      <c r="D200" s="7"/>
    </row>
    <row r="201" spans="1:4" x14ac:dyDescent="0.25">
      <c r="C201" s="3"/>
      <c r="D201" s="7"/>
    </row>
    <row r="202" spans="1:4" s="176" customFormat="1" ht="47.25" x14ac:dyDescent="0.25">
      <c r="A202" s="7">
        <v>16.600000000000001</v>
      </c>
      <c r="B202" s="13" t="s">
        <v>5966</v>
      </c>
      <c r="C202" s="7" t="s">
        <v>2312</v>
      </c>
      <c r="D202" s="101">
        <v>195</v>
      </c>
    </row>
    <row r="203" spans="1:4" x14ac:dyDescent="0.25">
      <c r="C203" s="3"/>
      <c r="D203" s="7"/>
    </row>
    <row r="204" spans="1:4" s="176" customFormat="1" ht="30" x14ac:dyDescent="0.25">
      <c r="A204" s="7">
        <v>16.61</v>
      </c>
      <c r="B204" s="202" t="s">
        <v>5967</v>
      </c>
      <c r="C204" s="7" t="s">
        <v>2437</v>
      </c>
      <c r="D204" s="101">
        <v>275</v>
      </c>
    </row>
    <row r="205" spans="1:4" x14ac:dyDescent="0.25">
      <c r="C205" s="3"/>
      <c r="D205" s="7"/>
    </row>
    <row r="206" spans="1:4" s="176" customFormat="1" ht="189" x14ac:dyDescent="0.25">
      <c r="A206" s="7">
        <v>16.62</v>
      </c>
      <c r="B206" s="13" t="s">
        <v>5997</v>
      </c>
      <c r="C206" s="7" t="s">
        <v>4166</v>
      </c>
      <c r="D206" s="101">
        <v>500</v>
      </c>
    </row>
    <row r="207" spans="1:4" s="176" customFormat="1" ht="126" x14ac:dyDescent="0.25">
      <c r="A207" s="5"/>
      <c r="B207" s="13" t="s">
        <v>5998</v>
      </c>
      <c r="C207" s="7"/>
      <c r="D207" s="101"/>
    </row>
    <row r="208" spans="1:4" x14ac:dyDescent="0.25">
      <c r="A208" s="7"/>
      <c r="C208" s="3"/>
      <c r="D208" s="7"/>
    </row>
    <row r="209" spans="1:4" s="176" customFormat="1" ht="237.75" customHeight="1" x14ac:dyDescent="0.25">
      <c r="A209" s="7">
        <v>16.63</v>
      </c>
      <c r="B209" s="13" t="s">
        <v>5999</v>
      </c>
      <c r="C209" s="271" t="s">
        <v>2437</v>
      </c>
      <c r="D209" s="278">
        <v>1450</v>
      </c>
    </row>
    <row r="210" spans="1:4" s="176" customFormat="1" ht="110.25" x14ac:dyDescent="0.25">
      <c r="A210" s="7"/>
      <c r="B210" s="13" t="s">
        <v>6000</v>
      </c>
      <c r="C210" s="271"/>
      <c r="D210" s="278"/>
    </row>
    <row r="211" spans="1:4" s="176" customFormat="1" x14ac:dyDescent="0.25">
      <c r="A211" s="7"/>
      <c r="B211" s="13"/>
      <c r="C211" s="7"/>
      <c r="D211" s="101"/>
    </row>
    <row r="212" spans="1:4" s="176" customFormat="1" ht="252" x14ac:dyDescent="0.25">
      <c r="A212" s="7">
        <v>16.64</v>
      </c>
      <c r="B212" s="13" t="s">
        <v>6001</v>
      </c>
      <c r="C212" s="7" t="s">
        <v>2437</v>
      </c>
      <c r="D212" s="101">
        <v>1650</v>
      </c>
    </row>
    <row r="213" spans="1:4" s="176" customFormat="1" ht="63" x14ac:dyDescent="0.25">
      <c r="A213" s="6"/>
      <c r="B213" s="13" t="s">
        <v>6002</v>
      </c>
      <c r="C213" s="7"/>
      <c r="D213" s="101"/>
    </row>
    <row r="214" spans="1:4" x14ac:dyDescent="0.25">
      <c r="C214" s="3"/>
      <c r="D214" s="7"/>
    </row>
    <row r="215" spans="1:4" s="176" customFormat="1" ht="204.75" x14ac:dyDescent="0.25">
      <c r="A215" s="7">
        <v>16.649999999999999</v>
      </c>
      <c r="B215" s="13" t="s">
        <v>6003</v>
      </c>
      <c r="C215" s="7" t="s">
        <v>4166</v>
      </c>
      <c r="D215" s="101">
        <v>550</v>
      </c>
    </row>
    <row r="216" spans="1:4" s="176" customFormat="1" ht="141.75" x14ac:dyDescent="0.25">
      <c r="A216" s="7"/>
      <c r="B216" s="13" t="s">
        <v>6004</v>
      </c>
      <c r="C216" s="7"/>
      <c r="D216" s="101"/>
    </row>
    <row r="217" spans="1:4" x14ac:dyDescent="0.25">
      <c r="C217" s="3"/>
      <c r="D217" s="7"/>
    </row>
    <row r="218" spans="1:4" s="176" customFormat="1" ht="78.75" x14ac:dyDescent="0.25">
      <c r="A218" s="7">
        <v>16.66</v>
      </c>
      <c r="B218" s="13" t="s">
        <v>6006</v>
      </c>
      <c r="C218" s="7" t="s">
        <v>2437</v>
      </c>
      <c r="D218" s="101">
        <v>179</v>
      </c>
    </row>
    <row r="219" spans="1:4" x14ac:dyDescent="0.25">
      <c r="A219" s="7"/>
      <c r="C219" s="3"/>
      <c r="D219" s="7">
        <f>SUM(D9:D218)</f>
        <v>705246.2</v>
      </c>
    </row>
    <row r="220" spans="1:4" x14ac:dyDescent="0.25">
      <c r="A220" s="7"/>
      <c r="B220" s="29"/>
      <c r="C220" s="21"/>
      <c r="D220" s="173"/>
    </row>
    <row r="221" spans="1:4" x14ac:dyDescent="0.25">
      <c r="A221" s="7"/>
      <c r="B221" s="29"/>
      <c r="C221" s="21"/>
    </row>
    <row r="222" spans="1:4" x14ac:dyDescent="0.25">
      <c r="B222" s="29"/>
      <c r="C222" s="21"/>
    </row>
    <row r="223" spans="1:4" x14ac:dyDescent="0.25">
      <c r="A223" s="7"/>
      <c r="B223" s="29"/>
      <c r="C223" s="21"/>
    </row>
    <row r="224" spans="1:4" x14ac:dyDescent="0.25">
      <c r="B224" s="29"/>
      <c r="C224" s="21"/>
    </row>
    <row r="225" spans="1:3" x14ac:dyDescent="0.25">
      <c r="A225" s="7"/>
      <c r="B225" s="29"/>
      <c r="C225" s="21"/>
    </row>
  </sheetData>
  <mergeCells count="4">
    <mergeCell ref="A1:D1"/>
    <mergeCell ref="A2:D2"/>
    <mergeCell ref="C209:C210"/>
    <mergeCell ref="D209:D210"/>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tabColor rgb="FFFFFF00"/>
  </sheetPr>
  <dimension ref="A1:E237"/>
  <sheetViews>
    <sheetView view="pageBreakPreview" topLeftCell="A123" zoomScaleNormal="100" zoomScaleSheetLayoutView="100" workbookViewId="0">
      <selection activeCell="C127" sqref="C127"/>
    </sheetView>
  </sheetViews>
  <sheetFormatPr defaultRowHeight="15.75" x14ac:dyDescent="0.25"/>
  <cols>
    <col min="1" max="1" width="10" style="19" customWidth="1"/>
    <col min="2" max="2" width="55.7109375" style="30" customWidth="1"/>
    <col min="3" max="3" width="9.7109375" style="5" customWidth="1"/>
    <col min="4" max="4" width="11.7109375" style="6" customWidth="1"/>
    <col min="5" max="16384" width="9.140625" style="6"/>
  </cols>
  <sheetData>
    <row r="1" spans="1:5" ht="22.5" x14ac:dyDescent="0.25">
      <c r="A1" s="258" t="s">
        <v>4370</v>
      </c>
      <c r="B1" s="258"/>
      <c r="C1" s="258"/>
      <c r="D1" s="258"/>
    </row>
    <row r="2" spans="1:5" ht="27" x14ac:dyDescent="0.25">
      <c r="A2" s="279" t="s">
        <v>4371</v>
      </c>
      <c r="B2" s="279"/>
      <c r="C2" s="279"/>
      <c r="D2" s="279"/>
    </row>
    <row r="3" spans="1:5" x14ac:dyDescent="0.25">
      <c r="A3" s="117"/>
      <c r="B3" s="125"/>
      <c r="C3" s="117"/>
    </row>
    <row r="4" spans="1:5" s="112" customFormat="1" ht="31.5" x14ac:dyDescent="0.2">
      <c r="A4" s="55" t="s">
        <v>6402</v>
      </c>
      <c r="B4" s="55" t="s">
        <v>2434</v>
      </c>
      <c r="C4" s="55" t="s">
        <v>2435</v>
      </c>
      <c r="D4" s="172" t="s">
        <v>18</v>
      </c>
    </row>
    <row r="5" spans="1:5" x14ac:dyDescent="0.25">
      <c r="A5" s="55">
        <v>1</v>
      </c>
      <c r="B5" s="55">
        <v>2</v>
      </c>
      <c r="C5" s="55">
        <v>3</v>
      </c>
      <c r="D5" s="45">
        <v>4</v>
      </c>
    </row>
    <row r="6" spans="1:5" x14ac:dyDescent="0.25">
      <c r="A6" s="117"/>
      <c r="B6" s="125"/>
      <c r="C6" s="117"/>
    </row>
    <row r="7" spans="1:5" ht="153" x14ac:dyDescent="0.25">
      <c r="A7" s="5">
        <v>17.100000000000001</v>
      </c>
      <c r="B7" s="209" t="s">
        <v>6310</v>
      </c>
      <c r="C7" s="3" t="s">
        <v>2437</v>
      </c>
      <c r="D7" s="101">
        <v>689</v>
      </c>
      <c r="E7" s="7"/>
    </row>
    <row r="8" spans="1:5" ht="25.5" x14ac:dyDescent="0.25">
      <c r="A8" s="5" t="s">
        <v>4656</v>
      </c>
      <c r="B8" s="209" t="s">
        <v>6311</v>
      </c>
      <c r="C8" s="7" t="s">
        <v>2437</v>
      </c>
      <c r="D8" s="142">
        <v>0.15</v>
      </c>
      <c r="E8" s="16"/>
    </row>
    <row r="9" spans="1:5" ht="25.5" x14ac:dyDescent="0.25">
      <c r="A9" s="5" t="s">
        <v>4657</v>
      </c>
      <c r="B9" s="209" t="s">
        <v>6312</v>
      </c>
      <c r="C9" s="7" t="s">
        <v>2437</v>
      </c>
      <c r="D9" s="142">
        <v>0.45</v>
      </c>
      <c r="E9" s="16"/>
    </row>
    <row r="10" spans="1:5" x14ac:dyDescent="0.25">
      <c r="A10" s="5"/>
      <c r="B10" s="209"/>
      <c r="C10" s="3"/>
      <c r="D10" s="8"/>
      <c r="E10" s="7"/>
    </row>
    <row r="11" spans="1:5" ht="25.5" x14ac:dyDescent="0.25">
      <c r="A11" s="5">
        <v>17.2</v>
      </c>
      <c r="B11" s="222" t="s">
        <v>4372</v>
      </c>
      <c r="C11" s="3"/>
      <c r="D11" s="8"/>
      <c r="E11" s="3"/>
    </row>
    <row r="12" spans="1:5" ht="318.75" x14ac:dyDescent="0.25">
      <c r="A12" s="5"/>
      <c r="B12" s="209" t="s">
        <v>4373</v>
      </c>
      <c r="C12" s="3"/>
      <c r="D12" s="8"/>
      <c r="E12" s="3"/>
    </row>
    <row r="13" spans="1:5" x14ac:dyDescent="0.25">
      <c r="A13" s="5"/>
      <c r="B13" s="125" t="s">
        <v>4374</v>
      </c>
      <c r="C13" s="3" t="s">
        <v>2606</v>
      </c>
      <c r="D13" s="101">
        <v>2521</v>
      </c>
      <c r="E13" s="7"/>
    </row>
    <row r="14" spans="1:5" x14ac:dyDescent="0.25">
      <c r="A14" s="5"/>
      <c r="B14" s="125" t="s">
        <v>4375</v>
      </c>
      <c r="C14" s="3" t="s">
        <v>2606</v>
      </c>
      <c r="D14" s="101">
        <v>2852</v>
      </c>
      <c r="E14" s="7"/>
    </row>
    <row r="15" spans="1:5" x14ac:dyDescent="0.25">
      <c r="A15" s="5"/>
      <c r="B15" s="13"/>
      <c r="D15" s="8"/>
      <c r="E15" s="5"/>
    </row>
    <row r="16" spans="1:5" x14ac:dyDescent="0.25">
      <c r="A16" s="5"/>
      <c r="B16" s="13"/>
      <c r="D16" s="8"/>
      <c r="E16" s="5"/>
    </row>
    <row r="17" spans="1:5" x14ac:dyDescent="0.25">
      <c r="A17" s="5"/>
      <c r="B17" s="13"/>
      <c r="D17" s="8"/>
      <c r="E17" s="5"/>
    </row>
    <row r="18" spans="1:5" ht="25.5" x14ac:dyDescent="0.25">
      <c r="A18" s="5">
        <v>17.3</v>
      </c>
      <c r="B18" s="222" t="s">
        <v>4376</v>
      </c>
      <c r="C18" s="3"/>
      <c r="D18" s="8"/>
      <c r="E18" s="3"/>
    </row>
    <row r="19" spans="1:5" ht="255" x14ac:dyDescent="0.25">
      <c r="A19" s="5"/>
      <c r="B19" s="209" t="s">
        <v>4377</v>
      </c>
      <c r="C19" s="3"/>
      <c r="D19" s="8"/>
      <c r="E19" s="3"/>
    </row>
    <row r="20" spans="1:5" x14ac:dyDescent="0.25">
      <c r="A20" s="5"/>
      <c r="B20" s="223" t="s">
        <v>4378</v>
      </c>
      <c r="C20" s="3" t="s">
        <v>2606</v>
      </c>
      <c r="D20" s="101">
        <v>2320</v>
      </c>
      <c r="E20" s="7"/>
    </row>
    <row r="21" spans="1:5" x14ac:dyDescent="0.25">
      <c r="A21" s="5"/>
      <c r="B21" s="223" t="s">
        <v>4374</v>
      </c>
      <c r="C21" s="3" t="s">
        <v>2606</v>
      </c>
      <c r="D21" s="101">
        <v>2521</v>
      </c>
      <c r="E21" s="7"/>
    </row>
    <row r="22" spans="1:5" x14ac:dyDescent="0.25">
      <c r="A22" s="5"/>
      <c r="B22" s="209"/>
      <c r="D22" s="8"/>
      <c r="E22" s="5"/>
    </row>
    <row r="23" spans="1:5" ht="25.5" x14ac:dyDescent="0.25">
      <c r="A23" s="5">
        <v>17.399999999999999</v>
      </c>
      <c r="B23" s="222" t="s">
        <v>4379</v>
      </c>
      <c r="C23" s="3"/>
      <c r="D23" s="8"/>
      <c r="E23" s="3"/>
    </row>
    <row r="24" spans="1:5" ht="270" x14ac:dyDescent="0.25">
      <c r="A24" s="5"/>
      <c r="B24" s="217" t="s">
        <v>4380</v>
      </c>
      <c r="C24" s="3"/>
      <c r="D24" s="8"/>
      <c r="E24" s="3"/>
    </row>
    <row r="25" spans="1:5" x14ac:dyDescent="0.25">
      <c r="A25" s="5"/>
      <c r="B25" s="223" t="s">
        <v>4374</v>
      </c>
      <c r="C25" s="7" t="s">
        <v>2606</v>
      </c>
      <c r="D25" s="101">
        <v>2521</v>
      </c>
      <c r="E25" s="7"/>
    </row>
    <row r="26" spans="1:5" x14ac:dyDescent="0.25">
      <c r="A26" s="5"/>
      <c r="B26" s="223" t="s">
        <v>4381</v>
      </c>
      <c r="C26" s="3" t="s">
        <v>2606</v>
      </c>
      <c r="D26" s="101">
        <v>2651</v>
      </c>
      <c r="E26" s="7"/>
    </row>
    <row r="27" spans="1:5" x14ac:dyDescent="0.25">
      <c r="A27" s="5"/>
      <c r="B27" s="13"/>
      <c r="D27" s="8"/>
      <c r="E27" s="5"/>
    </row>
    <row r="28" spans="1:5" x14ac:dyDescent="0.25">
      <c r="A28" s="5"/>
      <c r="B28" s="13"/>
      <c r="D28" s="8"/>
      <c r="E28" s="5"/>
    </row>
    <row r="29" spans="1:5" x14ac:dyDescent="0.25">
      <c r="A29" s="5"/>
      <c r="B29" s="13"/>
      <c r="D29" s="8"/>
      <c r="E29" s="5"/>
    </row>
    <row r="30" spans="1:5" ht="28.5" x14ac:dyDescent="0.25">
      <c r="A30" s="5">
        <v>17.5</v>
      </c>
      <c r="B30" s="238" t="s">
        <v>6167</v>
      </c>
      <c r="D30" s="8"/>
      <c r="E30" s="5"/>
    </row>
    <row r="31" spans="1:5" ht="240" x14ac:dyDescent="0.25">
      <c r="A31" s="5"/>
      <c r="B31" s="202" t="s">
        <v>6168</v>
      </c>
      <c r="D31" s="8"/>
      <c r="E31" s="5"/>
    </row>
    <row r="32" spans="1:5" x14ac:dyDescent="0.25">
      <c r="A32" s="5"/>
      <c r="B32" s="125" t="s">
        <v>4374</v>
      </c>
      <c r="C32" s="7" t="s">
        <v>2606</v>
      </c>
      <c r="D32" s="101">
        <v>2651</v>
      </c>
      <c r="E32" s="7"/>
    </row>
    <row r="33" spans="1:5" x14ac:dyDescent="0.25">
      <c r="A33" s="5"/>
      <c r="B33" s="125" t="s">
        <v>4381</v>
      </c>
      <c r="C33" s="3" t="s">
        <v>2606</v>
      </c>
      <c r="D33" s="101">
        <v>2781</v>
      </c>
      <c r="E33" s="7"/>
    </row>
    <row r="34" spans="1:5" x14ac:dyDescent="0.25">
      <c r="A34" s="5"/>
      <c r="B34" s="13"/>
      <c r="D34" s="8"/>
      <c r="E34" s="5"/>
    </row>
    <row r="35" spans="1:5" ht="25.5" x14ac:dyDescent="0.25">
      <c r="A35" s="5">
        <v>17.600000000000001</v>
      </c>
      <c r="B35" s="222" t="s">
        <v>4382</v>
      </c>
      <c r="C35" s="3"/>
      <c r="D35" s="8"/>
      <c r="E35" s="3"/>
    </row>
    <row r="36" spans="1:5" ht="297" x14ac:dyDescent="0.25">
      <c r="A36" s="5"/>
      <c r="B36" s="217" t="s">
        <v>4383</v>
      </c>
      <c r="C36" s="3"/>
      <c r="D36" s="8"/>
      <c r="E36" s="3"/>
    </row>
    <row r="37" spans="1:5" x14ac:dyDescent="0.25">
      <c r="A37" s="5"/>
      <c r="B37" s="125" t="s">
        <v>4384</v>
      </c>
      <c r="C37" s="3" t="s">
        <v>2606</v>
      </c>
      <c r="D37" s="101">
        <v>2261</v>
      </c>
      <c r="E37" s="7"/>
    </row>
    <row r="38" spans="1:5" x14ac:dyDescent="0.25">
      <c r="A38" s="5"/>
      <c r="B38" s="125" t="s">
        <v>4385</v>
      </c>
      <c r="C38" s="3" t="s">
        <v>2606</v>
      </c>
      <c r="D38" s="101">
        <v>2427</v>
      </c>
      <c r="E38" s="7"/>
    </row>
    <row r="39" spans="1:5" x14ac:dyDescent="0.25">
      <c r="A39" s="5"/>
      <c r="B39" s="13"/>
      <c r="D39" s="8"/>
      <c r="E39" s="5"/>
    </row>
    <row r="40" spans="1:5" ht="31.5" x14ac:dyDescent="0.25">
      <c r="A40" s="5">
        <v>17.7</v>
      </c>
      <c r="B40" s="194" t="s">
        <v>6169</v>
      </c>
      <c r="C40" s="3"/>
      <c r="D40" s="8"/>
      <c r="E40" s="3"/>
    </row>
    <row r="41" spans="1:5" ht="63" x14ac:dyDescent="0.25">
      <c r="A41" s="5"/>
      <c r="B41" s="13" t="s">
        <v>4386</v>
      </c>
      <c r="C41" s="3" t="s">
        <v>4387</v>
      </c>
      <c r="D41" s="101">
        <v>220</v>
      </c>
      <c r="E41" s="7"/>
    </row>
    <row r="42" spans="1:5" x14ac:dyDescent="0.25">
      <c r="A42" s="5"/>
      <c r="B42" s="13"/>
      <c r="C42" s="3"/>
      <c r="D42" s="8"/>
      <c r="E42" s="7"/>
    </row>
    <row r="43" spans="1:5" x14ac:dyDescent="0.25">
      <c r="A43" s="5" t="s">
        <v>4388</v>
      </c>
      <c r="B43" s="194" t="s">
        <v>4389</v>
      </c>
      <c r="C43" s="3"/>
      <c r="D43" s="8"/>
      <c r="E43" s="7"/>
    </row>
    <row r="44" spans="1:5" ht="47.25" x14ac:dyDescent="0.25">
      <c r="A44" s="5"/>
      <c r="B44" s="13" t="s">
        <v>4390</v>
      </c>
      <c r="C44" s="3"/>
      <c r="D44" s="8"/>
      <c r="E44" s="7"/>
    </row>
    <row r="45" spans="1:5" x14ac:dyDescent="0.25">
      <c r="A45" s="5"/>
      <c r="B45" s="125" t="s">
        <v>1691</v>
      </c>
      <c r="C45" s="3" t="s">
        <v>4387</v>
      </c>
      <c r="D45" s="101">
        <v>165</v>
      </c>
      <c r="E45" s="7"/>
    </row>
    <row r="46" spans="1:5" x14ac:dyDescent="0.25">
      <c r="A46" s="5"/>
      <c r="B46" s="125" t="s">
        <v>4391</v>
      </c>
      <c r="C46" s="3" t="s">
        <v>4387</v>
      </c>
      <c r="D46" s="101">
        <v>220</v>
      </c>
      <c r="E46" s="7"/>
    </row>
    <row r="47" spans="1:5" x14ac:dyDescent="0.25">
      <c r="A47" s="5"/>
      <c r="B47" s="13"/>
      <c r="D47" s="8"/>
      <c r="E47" s="5"/>
    </row>
    <row r="48" spans="1:5" x14ac:dyDescent="0.25">
      <c r="A48" s="5" t="s">
        <v>4392</v>
      </c>
      <c r="B48" s="194" t="s">
        <v>4393</v>
      </c>
      <c r="C48" s="3"/>
      <c r="D48" s="8"/>
      <c r="E48" s="7"/>
    </row>
    <row r="49" spans="1:5" ht="31.5" x14ac:dyDescent="0.25">
      <c r="A49" s="5"/>
      <c r="B49" s="13" t="s">
        <v>4394</v>
      </c>
      <c r="D49" s="8"/>
      <c r="E49" s="5"/>
    </row>
    <row r="50" spans="1:5" x14ac:dyDescent="0.25">
      <c r="A50" s="5"/>
      <c r="B50" s="125" t="s">
        <v>4395</v>
      </c>
      <c r="C50" s="3" t="s">
        <v>4387</v>
      </c>
      <c r="D50" s="101">
        <v>220</v>
      </c>
      <c r="E50" s="7"/>
    </row>
    <row r="51" spans="1:5" x14ac:dyDescent="0.25">
      <c r="A51" s="5"/>
      <c r="B51" s="13"/>
      <c r="D51" s="8"/>
      <c r="E51" s="5"/>
    </row>
    <row r="52" spans="1:5" x14ac:dyDescent="0.25">
      <c r="A52" s="5" t="s">
        <v>4396</v>
      </c>
      <c r="B52" s="194" t="s">
        <v>4397</v>
      </c>
      <c r="D52" s="8"/>
      <c r="E52" s="5"/>
    </row>
    <row r="53" spans="1:5" ht="47.25" x14ac:dyDescent="0.25">
      <c r="A53" s="5"/>
      <c r="B53" s="13" t="s">
        <v>4398</v>
      </c>
      <c r="C53" s="3" t="s">
        <v>4387</v>
      </c>
      <c r="D53" s="101">
        <v>220</v>
      </c>
      <c r="E53" s="7"/>
    </row>
    <row r="54" spans="1:5" x14ac:dyDescent="0.25">
      <c r="A54" s="5"/>
      <c r="B54" s="13"/>
      <c r="C54" s="3"/>
      <c r="D54" s="8"/>
      <c r="E54" s="7"/>
    </row>
    <row r="55" spans="1:5" x14ac:dyDescent="0.25">
      <c r="A55" s="5" t="s">
        <v>4399</v>
      </c>
      <c r="B55" s="194" t="s">
        <v>4400</v>
      </c>
      <c r="D55" s="8"/>
      <c r="E55" s="5"/>
    </row>
    <row r="56" spans="1:5" ht="31.5" x14ac:dyDescent="0.25">
      <c r="A56" s="5"/>
      <c r="B56" s="13" t="s">
        <v>4401</v>
      </c>
      <c r="C56" s="3" t="s">
        <v>4387</v>
      </c>
      <c r="D56" s="101">
        <v>165</v>
      </c>
      <c r="E56" s="7"/>
    </row>
    <row r="57" spans="1:5" x14ac:dyDescent="0.25">
      <c r="A57" s="5"/>
      <c r="B57" s="13"/>
      <c r="C57" s="3"/>
      <c r="D57" s="8"/>
      <c r="E57" s="7"/>
    </row>
    <row r="58" spans="1:5" x14ac:dyDescent="0.25">
      <c r="A58" s="5" t="s">
        <v>4402</v>
      </c>
      <c r="B58" s="194" t="s">
        <v>4403</v>
      </c>
      <c r="D58" s="8"/>
      <c r="E58" s="5"/>
    </row>
    <row r="59" spans="1:5" ht="31.5" x14ac:dyDescent="0.25">
      <c r="A59" s="5"/>
      <c r="B59" s="13" t="s">
        <v>6497</v>
      </c>
      <c r="C59" s="3" t="s">
        <v>4387</v>
      </c>
      <c r="D59" s="101">
        <v>220</v>
      </c>
      <c r="E59" s="7"/>
    </row>
    <row r="60" spans="1:5" x14ac:dyDescent="0.25">
      <c r="A60" s="5"/>
      <c r="B60" s="13"/>
      <c r="C60" s="3"/>
      <c r="D60" s="8"/>
      <c r="E60" s="7"/>
    </row>
    <row r="61" spans="1:5" x14ac:dyDescent="0.25">
      <c r="A61" s="5" t="s">
        <v>4404</v>
      </c>
      <c r="B61" s="194" t="s">
        <v>4405</v>
      </c>
      <c r="D61" s="8"/>
      <c r="E61" s="5"/>
    </row>
    <row r="62" spans="1:5" ht="47.25" x14ac:dyDescent="0.25">
      <c r="A62" s="5"/>
      <c r="B62" s="13" t="s">
        <v>4406</v>
      </c>
      <c r="C62" s="3" t="s">
        <v>4387</v>
      </c>
      <c r="D62" s="101">
        <v>110</v>
      </c>
      <c r="E62" s="7"/>
    </row>
    <row r="63" spans="1:5" x14ac:dyDescent="0.25">
      <c r="A63" s="5"/>
      <c r="B63" s="13"/>
      <c r="C63" s="3"/>
      <c r="D63" s="8"/>
      <c r="E63" s="7"/>
    </row>
    <row r="64" spans="1:5" x14ac:dyDescent="0.25">
      <c r="A64" s="5" t="s">
        <v>4407</v>
      </c>
      <c r="B64" s="194" t="s">
        <v>4408</v>
      </c>
      <c r="D64" s="8"/>
      <c r="E64" s="7"/>
    </row>
    <row r="65" spans="1:5" x14ac:dyDescent="0.25">
      <c r="A65" s="5"/>
      <c r="B65" s="13" t="s">
        <v>4409</v>
      </c>
      <c r="C65" s="3" t="s">
        <v>4217</v>
      </c>
      <c r="D65" s="101">
        <v>13</v>
      </c>
      <c r="E65" s="7"/>
    </row>
    <row r="66" spans="1:5" x14ac:dyDescent="0.25">
      <c r="A66" s="5"/>
      <c r="B66" s="13" t="s">
        <v>4410</v>
      </c>
      <c r="C66" s="3" t="s">
        <v>4217</v>
      </c>
      <c r="D66" s="101">
        <v>10</v>
      </c>
      <c r="E66" s="7"/>
    </row>
    <row r="67" spans="1:5" x14ac:dyDescent="0.25">
      <c r="A67" s="5"/>
      <c r="B67" s="13" t="s">
        <v>4411</v>
      </c>
      <c r="C67" s="3" t="s">
        <v>4217</v>
      </c>
      <c r="D67" s="101">
        <v>6</v>
      </c>
      <c r="E67" s="7"/>
    </row>
    <row r="68" spans="1:5" x14ac:dyDescent="0.25">
      <c r="A68" s="5"/>
      <c r="B68" s="13"/>
      <c r="C68" s="3"/>
      <c r="D68" s="101"/>
      <c r="E68" s="7"/>
    </row>
    <row r="69" spans="1:5" x14ac:dyDescent="0.25">
      <c r="A69" s="5" t="s">
        <v>4412</v>
      </c>
      <c r="B69" s="125" t="s">
        <v>4413</v>
      </c>
      <c r="C69" s="3" t="s">
        <v>4414</v>
      </c>
      <c r="D69" s="101">
        <v>198</v>
      </c>
      <c r="E69" s="7"/>
    </row>
    <row r="70" spans="1:5" x14ac:dyDescent="0.25">
      <c r="A70" s="5"/>
      <c r="B70" s="13"/>
      <c r="C70" s="3"/>
      <c r="D70" s="8"/>
      <c r="E70" s="7"/>
    </row>
    <row r="71" spans="1:5" x14ac:dyDescent="0.25">
      <c r="A71" s="5"/>
      <c r="B71" s="13"/>
      <c r="C71" s="3"/>
      <c r="D71" s="8"/>
      <c r="E71" s="7"/>
    </row>
    <row r="72" spans="1:5" ht="189" x14ac:dyDescent="0.25">
      <c r="A72" s="5">
        <v>17.8</v>
      </c>
      <c r="B72" s="13" t="s">
        <v>4415</v>
      </c>
      <c r="C72" s="3" t="s">
        <v>2437</v>
      </c>
      <c r="D72" s="101">
        <v>653</v>
      </c>
      <c r="E72" s="7"/>
    </row>
    <row r="73" spans="1:5" x14ac:dyDescent="0.25">
      <c r="A73" s="5"/>
      <c r="B73" s="13"/>
      <c r="C73" s="3"/>
      <c r="D73" s="8"/>
      <c r="E73" s="7"/>
    </row>
    <row r="74" spans="1:5" ht="189" x14ac:dyDescent="0.25">
      <c r="A74" s="5">
        <v>17.899999999999999</v>
      </c>
      <c r="B74" s="13" t="s">
        <v>6456</v>
      </c>
      <c r="C74" s="3" t="s">
        <v>2437</v>
      </c>
      <c r="D74" s="101">
        <v>1679</v>
      </c>
      <c r="E74" s="7"/>
    </row>
    <row r="75" spans="1:5" x14ac:dyDescent="0.25">
      <c r="A75" s="5"/>
      <c r="B75" s="13"/>
      <c r="C75" s="3"/>
      <c r="D75" s="8"/>
      <c r="E75" s="7"/>
    </row>
    <row r="76" spans="1:5" ht="255" customHeight="1" x14ac:dyDescent="0.25">
      <c r="A76" s="101">
        <v>17.100000000000001</v>
      </c>
      <c r="B76" s="13" t="s">
        <v>4416</v>
      </c>
      <c r="C76" s="3" t="s">
        <v>2437</v>
      </c>
      <c r="D76" s="101">
        <v>2429</v>
      </c>
      <c r="E76" s="7"/>
    </row>
    <row r="77" spans="1:5" x14ac:dyDescent="0.25">
      <c r="A77" s="5"/>
      <c r="B77" s="13"/>
      <c r="C77" s="3"/>
      <c r="D77" s="8"/>
      <c r="E77" s="7"/>
    </row>
    <row r="78" spans="1:5" x14ac:dyDescent="0.25">
      <c r="A78" s="5"/>
      <c r="B78" s="13"/>
      <c r="C78" s="3"/>
      <c r="D78" s="8"/>
      <c r="E78" s="7"/>
    </row>
    <row r="79" spans="1:5" ht="220.5" x14ac:dyDescent="0.25">
      <c r="A79" s="101">
        <v>17.11</v>
      </c>
      <c r="B79" s="13" t="s">
        <v>4417</v>
      </c>
      <c r="C79" s="3" t="s">
        <v>2437</v>
      </c>
      <c r="D79" s="101">
        <v>3401</v>
      </c>
      <c r="E79" s="7"/>
    </row>
    <row r="80" spans="1:5" x14ac:dyDescent="0.25">
      <c r="A80" s="5"/>
      <c r="B80" s="13"/>
      <c r="C80" s="3"/>
      <c r="D80" s="8"/>
      <c r="E80" s="7"/>
    </row>
    <row r="81" spans="1:5" ht="150" x14ac:dyDescent="0.25">
      <c r="A81" s="5">
        <v>17.12</v>
      </c>
      <c r="B81" s="202" t="s">
        <v>4418</v>
      </c>
      <c r="C81" s="3" t="s">
        <v>2437</v>
      </c>
      <c r="D81" s="101">
        <v>2407</v>
      </c>
      <c r="E81" s="7"/>
    </row>
    <row r="82" spans="1:5" x14ac:dyDescent="0.25">
      <c r="A82" s="5"/>
      <c r="B82" s="13"/>
      <c r="C82" s="3"/>
      <c r="D82" s="8"/>
      <c r="E82" s="7"/>
    </row>
    <row r="83" spans="1:5" ht="47.25" x14ac:dyDescent="0.25">
      <c r="A83" s="5">
        <v>17.13</v>
      </c>
      <c r="B83" s="194" t="s">
        <v>4419</v>
      </c>
      <c r="C83" s="145"/>
      <c r="D83" s="8"/>
      <c r="E83" s="145"/>
    </row>
    <row r="84" spans="1:5" ht="236.25" x14ac:dyDescent="0.25">
      <c r="A84" s="5"/>
      <c r="B84" s="13" t="s">
        <v>6325</v>
      </c>
      <c r="C84" s="3" t="s">
        <v>2439</v>
      </c>
      <c r="D84" s="101">
        <v>10307</v>
      </c>
      <c r="E84" s="7"/>
    </row>
    <row r="85" spans="1:5" x14ac:dyDescent="0.25">
      <c r="A85" s="5"/>
      <c r="B85" s="13"/>
      <c r="C85" s="3"/>
      <c r="D85" s="8"/>
      <c r="E85" s="7"/>
    </row>
    <row r="86" spans="1:5" ht="31.5" x14ac:dyDescent="0.25">
      <c r="A86" s="5">
        <v>17.14</v>
      </c>
      <c r="B86" s="194" t="s">
        <v>4420</v>
      </c>
      <c r="C86" s="145"/>
      <c r="D86" s="8"/>
      <c r="E86" s="145"/>
    </row>
    <row r="87" spans="1:5" ht="293.25" customHeight="1" x14ac:dyDescent="0.25">
      <c r="A87" s="5"/>
      <c r="B87" s="13" t="s">
        <v>6313</v>
      </c>
      <c r="C87" s="3" t="s">
        <v>2439</v>
      </c>
      <c r="D87" s="101">
        <v>7343</v>
      </c>
      <c r="E87" s="7"/>
    </row>
    <row r="88" spans="1:5" x14ac:dyDescent="0.25">
      <c r="A88" s="5"/>
      <c r="B88" s="13"/>
      <c r="C88" s="3"/>
      <c r="D88" s="8"/>
      <c r="E88" s="7"/>
    </row>
    <row r="89" spans="1:5" x14ac:dyDescent="0.25">
      <c r="A89" s="5">
        <v>17.149999999999999</v>
      </c>
      <c r="B89" s="194" t="s">
        <v>4421</v>
      </c>
      <c r="C89" s="145"/>
      <c r="D89" s="8"/>
      <c r="E89" s="145"/>
    </row>
    <row r="90" spans="1:5" ht="317.25" customHeight="1" x14ac:dyDescent="0.25">
      <c r="A90" s="5"/>
      <c r="B90" s="13" t="s">
        <v>6314</v>
      </c>
      <c r="C90" s="3" t="s">
        <v>2439</v>
      </c>
      <c r="D90" s="101">
        <v>10912</v>
      </c>
      <c r="E90" s="3"/>
    </row>
    <row r="91" spans="1:5" x14ac:dyDescent="0.25">
      <c r="A91" s="5"/>
      <c r="B91" s="13"/>
      <c r="C91" s="3"/>
      <c r="D91" s="8"/>
      <c r="E91" s="3"/>
    </row>
    <row r="92" spans="1:5" x14ac:dyDescent="0.25">
      <c r="A92" s="5"/>
      <c r="B92" s="13"/>
      <c r="C92" s="3"/>
      <c r="D92" s="8"/>
      <c r="E92" s="3"/>
    </row>
    <row r="93" spans="1:5" ht="31.5" x14ac:dyDescent="0.25">
      <c r="A93" s="5">
        <v>17.16</v>
      </c>
      <c r="B93" s="194" t="s">
        <v>4422</v>
      </c>
      <c r="C93" s="145"/>
      <c r="D93" s="8"/>
      <c r="E93" s="145"/>
    </row>
    <row r="94" spans="1:5" ht="299.25" customHeight="1" x14ac:dyDescent="0.25">
      <c r="A94" s="5"/>
      <c r="B94" s="13" t="s">
        <v>6315</v>
      </c>
      <c r="C94" s="3" t="s">
        <v>2606</v>
      </c>
      <c r="D94" s="101">
        <v>1210</v>
      </c>
      <c r="E94" s="7"/>
    </row>
    <row r="95" spans="1:5" x14ac:dyDescent="0.25">
      <c r="A95" s="5"/>
      <c r="B95" s="13"/>
      <c r="C95" s="3"/>
      <c r="D95" s="8"/>
      <c r="E95" s="7"/>
    </row>
    <row r="96" spans="1:5" ht="31.5" x14ac:dyDescent="0.25">
      <c r="A96" s="5">
        <v>17.170000000000002</v>
      </c>
      <c r="B96" s="194" t="s">
        <v>4423</v>
      </c>
      <c r="C96" s="145"/>
      <c r="D96" s="8"/>
      <c r="E96" s="145"/>
    </row>
    <row r="97" spans="1:5" ht="296.25" customHeight="1" x14ac:dyDescent="0.25">
      <c r="A97" s="5"/>
      <c r="B97" s="13" t="s">
        <v>6316</v>
      </c>
      <c r="C97" s="3" t="s">
        <v>2606</v>
      </c>
      <c r="D97" s="101">
        <v>1418</v>
      </c>
      <c r="E97" s="7"/>
    </row>
    <row r="98" spans="1:5" x14ac:dyDescent="0.25">
      <c r="A98" s="5"/>
      <c r="B98" s="13"/>
      <c r="C98" s="3"/>
      <c r="D98" s="8"/>
      <c r="E98" s="7"/>
    </row>
    <row r="99" spans="1:5" x14ac:dyDescent="0.25">
      <c r="A99" s="5"/>
      <c r="B99" s="13"/>
      <c r="C99" s="3"/>
      <c r="D99" s="8"/>
      <c r="E99" s="7"/>
    </row>
    <row r="100" spans="1:5" ht="31.5" x14ac:dyDescent="0.25">
      <c r="A100" s="5">
        <v>17.18</v>
      </c>
      <c r="B100" s="194" t="s">
        <v>4424</v>
      </c>
      <c r="C100" s="145"/>
      <c r="D100" s="8"/>
      <c r="E100" s="145"/>
    </row>
    <row r="101" spans="1:5" ht="298.5" customHeight="1" x14ac:dyDescent="0.25">
      <c r="A101" s="5"/>
      <c r="B101" s="13" t="s">
        <v>6317</v>
      </c>
      <c r="C101" s="3" t="s">
        <v>2437</v>
      </c>
      <c r="D101" s="101">
        <v>1566</v>
      </c>
      <c r="E101" s="7"/>
    </row>
    <row r="102" spans="1:5" x14ac:dyDescent="0.25">
      <c r="A102" s="5"/>
      <c r="B102" s="13"/>
      <c r="C102" s="3"/>
      <c r="D102" s="8"/>
      <c r="E102" s="7"/>
    </row>
    <row r="103" spans="1:5" ht="31.5" x14ac:dyDescent="0.25">
      <c r="A103" s="5">
        <v>17.190000000000001</v>
      </c>
      <c r="B103" s="194" t="s">
        <v>4425</v>
      </c>
      <c r="C103" s="145"/>
      <c r="D103" s="8"/>
      <c r="E103" s="145"/>
    </row>
    <row r="104" spans="1:5" ht="294.75" customHeight="1" x14ac:dyDescent="0.25">
      <c r="A104" s="5"/>
      <c r="B104" s="13" t="s">
        <v>6318</v>
      </c>
      <c r="C104" s="3" t="s">
        <v>2437</v>
      </c>
      <c r="D104" s="101">
        <v>1528</v>
      </c>
      <c r="E104" s="3"/>
    </row>
    <row r="105" spans="1:5" x14ac:dyDescent="0.25">
      <c r="A105" s="5"/>
      <c r="B105" s="13"/>
      <c r="C105" s="3"/>
      <c r="D105" s="8"/>
      <c r="E105" s="3"/>
    </row>
    <row r="106" spans="1:5" x14ac:dyDescent="0.25">
      <c r="A106" s="5"/>
      <c r="B106" s="13"/>
      <c r="C106" s="3"/>
      <c r="D106" s="8"/>
      <c r="E106" s="3"/>
    </row>
    <row r="107" spans="1:5" ht="31.5" x14ac:dyDescent="0.25">
      <c r="A107" s="101">
        <v>17.2</v>
      </c>
      <c r="B107" s="194" t="s">
        <v>4426</v>
      </c>
      <c r="C107" s="145"/>
      <c r="D107" s="8"/>
      <c r="E107" s="145"/>
    </row>
    <row r="108" spans="1:5" ht="290.25" customHeight="1" x14ac:dyDescent="0.25">
      <c r="A108" s="5"/>
      <c r="B108" s="13" t="s">
        <v>6319</v>
      </c>
      <c r="C108" s="3" t="s">
        <v>2606</v>
      </c>
      <c r="D108" s="101">
        <v>1638</v>
      </c>
      <c r="E108" s="7"/>
    </row>
    <row r="109" spans="1:5" x14ac:dyDescent="0.25">
      <c r="A109" s="5"/>
      <c r="B109" s="13"/>
      <c r="C109" s="3"/>
      <c r="D109" s="8"/>
      <c r="E109" s="7"/>
    </row>
    <row r="110" spans="1:5" ht="31.5" x14ac:dyDescent="0.25">
      <c r="A110" s="101">
        <v>17.21</v>
      </c>
      <c r="B110" s="194" t="s">
        <v>4427</v>
      </c>
      <c r="C110" s="145"/>
      <c r="D110" s="8"/>
      <c r="E110" s="145"/>
    </row>
    <row r="111" spans="1:5" ht="301.5" customHeight="1" x14ac:dyDescent="0.25">
      <c r="A111" s="5"/>
      <c r="B111" s="13" t="s">
        <v>6320</v>
      </c>
      <c r="C111" s="3" t="s">
        <v>2439</v>
      </c>
      <c r="D111" s="101">
        <v>9429</v>
      </c>
      <c r="E111" s="7"/>
    </row>
    <row r="112" spans="1:5" x14ac:dyDescent="0.25">
      <c r="A112" s="5"/>
      <c r="B112" s="13"/>
      <c r="C112" s="3"/>
      <c r="D112" s="101"/>
      <c r="E112" s="7"/>
    </row>
    <row r="113" spans="1:5" x14ac:dyDescent="0.25">
      <c r="A113" s="5"/>
      <c r="B113" s="13"/>
      <c r="C113" s="3"/>
      <c r="D113" s="8"/>
      <c r="E113" s="7"/>
    </row>
    <row r="114" spans="1:5" ht="31.5" x14ac:dyDescent="0.25">
      <c r="A114" s="5">
        <v>17.22</v>
      </c>
      <c r="B114" s="194" t="s">
        <v>4428</v>
      </c>
      <c r="C114" s="145"/>
      <c r="D114" s="8"/>
      <c r="E114" s="145"/>
    </row>
    <row r="115" spans="1:5" ht="298.5" customHeight="1" x14ac:dyDescent="0.25">
      <c r="A115" s="5"/>
      <c r="B115" s="13" t="s">
        <v>6321</v>
      </c>
      <c r="C115" s="3" t="s">
        <v>2439</v>
      </c>
      <c r="D115" s="101">
        <v>9974</v>
      </c>
      <c r="E115" s="7"/>
    </row>
    <row r="116" spans="1:5" x14ac:dyDescent="0.25">
      <c r="A116" s="5"/>
      <c r="B116" s="13"/>
      <c r="C116" s="3"/>
      <c r="D116" s="8"/>
      <c r="E116" s="7"/>
    </row>
    <row r="117" spans="1:5" ht="31.5" x14ac:dyDescent="0.25">
      <c r="A117" s="5">
        <v>17.23</v>
      </c>
      <c r="B117" s="194" t="s">
        <v>4429</v>
      </c>
      <c r="C117" s="145"/>
      <c r="D117" s="8"/>
      <c r="E117" s="145"/>
    </row>
    <row r="118" spans="1:5" ht="299.25" customHeight="1" x14ac:dyDescent="0.25">
      <c r="A118" s="5"/>
      <c r="B118" s="13" t="s">
        <v>6322</v>
      </c>
      <c r="C118" s="3" t="s">
        <v>2606</v>
      </c>
      <c r="D118" s="101">
        <v>813</v>
      </c>
      <c r="E118" s="7"/>
    </row>
    <row r="119" spans="1:5" x14ac:dyDescent="0.25">
      <c r="A119" s="5"/>
      <c r="B119" s="13"/>
      <c r="C119" s="3"/>
      <c r="D119" s="8"/>
      <c r="E119" s="7"/>
    </row>
    <row r="120" spans="1:5" x14ac:dyDescent="0.25">
      <c r="A120" s="5"/>
      <c r="B120" s="13"/>
      <c r="C120" s="3"/>
      <c r="D120" s="8"/>
      <c r="E120" s="7"/>
    </row>
    <row r="121" spans="1:5" ht="31.5" x14ac:dyDescent="0.25">
      <c r="A121" s="5">
        <v>17.239999999999998</v>
      </c>
      <c r="B121" s="194" t="s">
        <v>4430</v>
      </c>
      <c r="C121" s="145"/>
      <c r="D121" s="8"/>
      <c r="E121" s="145"/>
    </row>
    <row r="122" spans="1:5" ht="305.25" customHeight="1" x14ac:dyDescent="0.25">
      <c r="A122" s="5"/>
      <c r="B122" s="13" t="s">
        <v>6323</v>
      </c>
      <c r="C122" s="3" t="s">
        <v>2606</v>
      </c>
      <c r="D122" s="101">
        <v>983</v>
      </c>
      <c r="E122" s="7"/>
    </row>
    <row r="123" spans="1:5" x14ac:dyDescent="0.25">
      <c r="A123" s="5"/>
      <c r="B123" s="13"/>
      <c r="C123" s="3"/>
      <c r="D123" s="8"/>
      <c r="E123" s="7"/>
    </row>
    <row r="124" spans="1:5" ht="31.5" x14ac:dyDescent="0.25">
      <c r="A124" s="5">
        <v>17.25</v>
      </c>
      <c r="B124" s="194" t="s">
        <v>4431</v>
      </c>
      <c r="C124" s="145"/>
      <c r="D124" s="8"/>
      <c r="E124" s="145"/>
    </row>
    <row r="125" spans="1:5" ht="285" customHeight="1" x14ac:dyDescent="0.25">
      <c r="A125" s="5"/>
      <c r="B125" s="13" t="s">
        <v>6324</v>
      </c>
      <c r="C125" s="3" t="s">
        <v>4432</v>
      </c>
      <c r="D125" s="101">
        <v>459</v>
      </c>
      <c r="E125" s="7"/>
    </row>
    <row r="126" spans="1:5" x14ac:dyDescent="0.25">
      <c r="A126" s="5"/>
      <c r="B126" s="13"/>
      <c r="C126" s="3"/>
      <c r="D126" s="8"/>
      <c r="E126" s="7"/>
    </row>
    <row r="127" spans="1:5" x14ac:dyDescent="0.25">
      <c r="A127" s="5"/>
      <c r="B127" s="13"/>
      <c r="C127" s="3"/>
      <c r="D127" s="8"/>
      <c r="E127" s="7"/>
    </row>
    <row r="128" spans="1:5" ht="78.75" x14ac:dyDescent="0.25">
      <c r="A128" s="7">
        <v>17.260000000000002</v>
      </c>
      <c r="B128" s="13" t="s">
        <v>4730</v>
      </c>
      <c r="C128" s="101"/>
      <c r="D128" s="8"/>
      <c r="E128" s="20"/>
    </row>
    <row r="129" spans="1:5" x14ac:dyDescent="0.25">
      <c r="A129" s="7" t="s">
        <v>4745</v>
      </c>
      <c r="B129" s="125" t="s">
        <v>4731</v>
      </c>
      <c r="C129" s="101" t="s">
        <v>4217</v>
      </c>
      <c r="D129" s="101">
        <v>154</v>
      </c>
      <c r="E129" s="20"/>
    </row>
    <row r="130" spans="1:5" x14ac:dyDescent="0.25">
      <c r="A130" s="7" t="s">
        <v>4746</v>
      </c>
      <c r="B130" s="125" t="s">
        <v>4732</v>
      </c>
      <c r="C130" s="101" t="s">
        <v>4217</v>
      </c>
      <c r="D130" s="101">
        <v>232</v>
      </c>
      <c r="E130" s="20"/>
    </row>
    <row r="131" spans="1:5" x14ac:dyDescent="0.25">
      <c r="A131" s="7" t="s">
        <v>4809</v>
      </c>
      <c r="B131" s="125" t="s">
        <v>4733</v>
      </c>
      <c r="C131" s="101" t="s">
        <v>4217</v>
      </c>
      <c r="D131" s="101">
        <v>332</v>
      </c>
      <c r="E131" s="20"/>
    </row>
    <row r="132" spans="1:5" x14ac:dyDescent="0.25">
      <c r="A132" s="7"/>
      <c r="B132" s="13"/>
      <c r="C132" s="101"/>
      <c r="D132" s="101"/>
      <c r="E132" s="20"/>
    </row>
    <row r="133" spans="1:5" ht="47.25" x14ac:dyDescent="0.25">
      <c r="A133" s="7">
        <v>17.27</v>
      </c>
      <c r="B133" s="13" t="s">
        <v>4734</v>
      </c>
      <c r="C133" s="101" t="s">
        <v>2437</v>
      </c>
      <c r="D133" s="101">
        <v>102</v>
      </c>
      <c r="E133" s="20"/>
    </row>
    <row r="134" spans="1:5" x14ac:dyDescent="0.25">
      <c r="A134" s="7"/>
      <c r="B134" s="13"/>
      <c r="C134" s="101"/>
      <c r="D134" s="101"/>
      <c r="E134" s="20"/>
    </row>
    <row r="135" spans="1:5" ht="63" x14ac:dyDescent="0.25">
      <c r="A135" s="7">
        <v>17.28</v>
      </c>
      <c r="B135" s="13" t="s">
        <v>4735</v>
      </c>
      <c r="C135" s="3"/>
      <c r="D135" s="101"/>
      <c r="E135" s="20"/>
    </row>
    <row r="136" spans="1:5" x14ac:dyDescent="0.25">
      <c r="A136" s="7" t="s">
        <v>4747</v>
      </c>
      <c r="B136" s="125" t="s">
        <v>4736</v>
      </c>
      <c r="C136" s="101" t="s">
        <v>4217</v>
      </c>
      <c r="D136" s="101">
        <v>1449</v>
      </c>
      <c r="E136" s="20"/>
    </row>
    <row r="137" spans="1:5" x14ac:dyDescent="0.25">
      <c r="A137" s="7" t="s">
        <v>4748</v>
      </c>
      <c r="B137" s="125" t="s">
        <v>4737</v>
      </c>
      <c r="C137" s="101" t="s">
        <v>4217</v>
      </c>
      <c r="D137" s="101">
        <v>3941</v>
      </c>
      <c r="E137" s="20"/>
    </row>
    <row r="138" spans="1:5" x14ac:dyDescent="0.25">
      <c r="A138" s="7"/>
      <c r="B138" s="13"/>
      <c r="C138" s="101"/>
      <c r="D138" s="101"/>
      <c r="E138" s="20"/>
    </row>
    <row r="139" spans="1:5" ht="78.75" x14ac:dyDescent="0.25">
      <c r="A139" s="7">
        <v>17.29</v>
      </c>
      <c r="B139" s="13" t="s">
        <v>4738</v>
      </c>
      <c r="C139" s="101"/>
      <c r="D139" s="101"/>
      <c r="E139" s="20"/>
    </row>
    <row r="140" spans="1:5" x14ac:dyDescent="0.25">
      <c r="A140" s="7" t="s">
        <v>4749</v>
      </c>
      <c r="B140" s="125" t="s">
        <v>4736</v>
      </c>
      <c r="C140" s="101" t="s">
        <v>4217</v>
      </c>
      <c r="D140" s="101">
        <v>754</v>
      </c>
      <c r="E140" s="20"/>
    </row>
    <row r="141" spans="1:5" x14ac:dyDescent="0.25">
      <c r="A141" s="7" t="s">
        <v>4750</v>
      </c>
      <c r="B141" s="125" t="s">
        <v>4737</v>
      </c>
      <c r="C141" s="101" t="s">
        <v>4217</v>
      </c>
      <c r="D141" s="101">
        <v>2113</v>
      </c>
      <c r="E141" s="20"/>
    </row>
    <row r="142" spans="1:5" x14ac:dyDescent="0.25">
      <c r="A142" s="7"/>
      <c r="B142" s="13"/>
      <c r="C142" s="101"/>
      <c r="D142" s="101"/>
      <c r="E142" s="20"/>
    </row>
    <row r="143" spans="1:5" ht="78.75" x14ac:dyDescent="0.25">
      <c r="A143" s="7">
        <v>17.3</v>
      </c>
      <c r="B143" s="13" t="s">
        <v>4739</v>
      </c>
      <c r="C143" s="101"/>
      <c r="D143" s="101"/>
      <c r="E143" s="20"/>
    </row>
    <row r="144" spans="1:5" x14ac:dyDescent="0.25">
      <c r="A144" s="7" t="s">
        <v>4751</v>
      </c>
      <c r="B144" s="125" t="s">
        <v>4736</v>
      </c>
      <c r="C144" s="101" t="s">
        <v>4217</v>
      </c>
      <c r="D144" s="101">
        <v>453</v>
      </c>
      <c r="E144" s="20"/>
    </row>
    <row r="145" spans="1:5" x14ac:dyDescent="0.25">
      <c r="A145" s="7" t="s">
        <v>4752</v>
      </c>
      <c r="B145" s="125" t="s">
        <v>4737</v>
      </c>
      <c r="C145" s="101" t="s">
        <v>4217</v>
      </c>
      <c r="D145" s="101">
        <v>1289</v>
      </c>
      <c r="E145" s="20"/>
    </row>
    <row r="146" spans="1:5" x14ac:dyDescent="0.25">
      <c r="A146" s="7"/>
      <c r="B146" s="13"/>
      <c r="C146" s="101"/>
      <c r="D146" s="101"/>
      <c r="E146" s="20"/>
    </row>
    <row r="147" spans="1:5" ht="78.75" x14ac:dyDescent="0.25">
      <c r="A147" s="7">
        <v>17.309999999999999</v>
      </c>
      <c r="B147" s="13" t="s">
        <v>4740</v>
      </c>
      <c r="C147" s="101"/>
      <c r="D147" s="101"/>
      <c r="E147" s="20"/>
    </row>
    <row r="148" spans="1:5" x14ac:dyDescent="0.25">
      <c r="A148" s="7" t="s">
        <v>4753</v>
      </c>
      <c r="B148" s="125" t="s">
        <v>4736</v>
      </c>
      <c r="C148" s="101" t="s">
        <v>4217</v>
      </c>
      <c r="D148" s="101">
        <v>857</v>
      </c>
      <c r="E148" s="20"/>
    </row>
    <row r="149" spans="1:5" x14ac:dyDescent="0.25">
      <c r="A149" s="7" t="s">
        <v>4754</v>
      </c>
      <c r="B149" s="125" t="s">
        <v>4737</v>
      </c>
      <c r="C149" s="101" t="s">
        <v>4217</v>
      </c>
      <c r="D149" s="101">
        <v>1817</v>
      </c>
      <c r="E149" s="20"/>
    </row>
    <row r="150" spans="1:5" x14ac:dyDescent="0.25">
      <c r="A150" s="7"/>
      <c r="B150" s="13"/>
      <c r="C150" s="101"/>
      <c r="D150" s="101"/>
      <c r="E150" s="20"/>
    </row>
    <row r="151" spans="1:5" x14ac:dyDescent="0.25">
      <c r="A151" s="7"/>
      <c r="B151" s="13"/>
      <c r="C151" s="101"/>
      <c r="D151" s="101"/>
      <c r="E151" s="20"/>
    </row>
    <row r="152" spans="1:5" ht="83.25" customHeight="1" x14ac:dyDescent="0.25">
      <c r="A152" s="7">
        <v>17.32</v>
      </c>
      <c r="B152" s="13" t="s">
        <v>4741</v>
      </c>
      <c r="C152" s="101"/>
      <c r="D152" s="101"/>
      <c r="E152" s="20"/>
    </row>
    <row r="153" spans="1:5" x14ac:dyDescent="0.25">
      <c r="A153" s="7" t="s">
        <v>4810</v>
      </c>
      <c r="B153" s="125" t="s">
        <v>4736</v>
      </c>
      <c r="C153" s="101" t="s">
        <v>4217</v>
      </c>
      <c r="D153" s="101">
        <v>688</v>
      </c>
      <c r="E153" s="20"/>
    </row>
    <row r="154" spans="1:5" x14ac:dyDescent="0.25">
      <c r="A154" s="7" t="s">
        <v>4811</v>
      </c>
      <c r="B154" s="125" t="s">
        <v>4737</v>
      </c>
      <c r="C154" s="101" t="s">
        <v>4217</v>
      </c>
      <c r="D154" s="101">
        <v>2093</v>
      </c>
      <c r="E154" s="20"/>
    </row>
    <row r="155" spans="1:5" x14ac:dyDescent="0.25">
      <c r="A155" s="7"/>
      <c r="B155" s="13"/>
      <c r="C155" s="101"/>
      <c r="D155" s="101"/>
      <c r="E155" s="20"/>
    </row>
    <row r="156" spans="1:5" ht="47.25" x14ac:dyDescent="0.25">
      <c r="A156" s="7">
        <v>17.329999999999998</v>
      </c>
      <c r="B156" s="13" t="s">
        <v>4742</v>
      </c>
      <c r="C156" s="101"/>
      <c r="D156" s="101"/>
      <c r="E156" s="20"/>
    </row>
    <row r="157" spans="1:5" x14ac:dyDescent="0.25">
      <c r="A157" s="7" t="s">
        <v>4812</v>
      </c>
      <c r="B157" s="125" t="s">
        <v>4736</v>
      </c>
      <c r="C157" s="101" t="s">
        <v>4217</v>
      </c>
      <c r="D157" s="101">
        <v>502</v>
      </c>
      <c r="E157" s="20"/>
    </row>
    <row r="158" spans="1:5" x14ac:dyDescent="0.25">
      <c r="A158" s="7" t="s">
        <v>4813</v>
      </c>
      <c r="B158" s="125" t="s">
        <v>4737</v>
      </c>
      <c r="C158" s="101" t="s">
        <v>4217</v>
      </c>
      <c r="D158" s="101">
        <v>755</v>
      </c>
      <c r="E158" s="20"/>
    </row>
    <row r="159" spans="1:5" x14ac:dyDescent="0.25">
      <c r="A159" s="7"/>
      <c r="B159" s="13"/>
      <c r="C159" s="101"/>
      <c r="D159" s="101"/>
      <c r="E159" s="20"/>
    </row>
    <row r="160" spans="1:5" ht="63" x14ac:dyDescent="0.25">
      <c r="A160" s="7">
        <v>17.34</v>
      </c>
      <c r="B160" s="13" t="s">
        <v>4743</v>
      </c>
      <c r="C160" s="101" t="s">
        <v>4217</v>
      </c>
      <c r="D160" s="101">
        <v>484</v>
      </c>
      <c r="E160" s="20"/>
    </row>
    <row r="161" spans="1:5" x14ac:dyDescent="0.25">
      <c r="A161" s="7"/>
      <c r="B161" s="13"/>
      <c r="C161" s="101"/>
      <c r="D161" s="101"/>
      <c r="E161" s="20"/>
    </row>
    <row r="162" spans="1:5" ht="47.25" x14ac:dyDescent="0.25">
      <c r="A162" s="7">
        <v>17.350000000000001</v>
      </c>
      <c r="B162" s="13" t="s">
        <v>4744</v>
      </c>
      <c r="C162" s="101" t="s">
        <v>2437</v>
      </c>
      <c r="D162" s="101">
        <v>77</v>
      </c>
      <c r="E162" s="20"/>
    </row>
    <row r="163" spans="1:5" x14ac:dyDescent="0.25">
      <c r="A163" s="7"/>
      <c r="B163" s="13"/>
      <c r="C163" s="101"/>
      <c r="D163" s="101"/>
      <c r="E163" s="20"/>
    </row>
    <row r="164" spans="1:5" s="176" customFormat="1" ht="191.25" customHeight="1" x14ac:dyDescent="0.25">
      <c r="A164" s="7">
        <v>17.36</v>
      </c>
      <c r="B164" s="13" t="s">
        <v>5704</v>
      </c>
      <c r="C164" s="101" t="s">
        <v>2437</v>
      </c>
      <c r="D164" s="101">
        <v>2609</v>
      </c>
      <c r="E164" s="180"/>
    </row>
    <row r="165" spans="1:5" s="176" customFormat="1" ht="95.25" customHeight="1" x14ac:dyDescent="0.25">
      <c r="A165" s="7"/>
      <c r="B165" s="13" t="s">
        <v>5705</v>
      </c>
      <c r="C165" s="101"/>
      <c r="D165" s="101"/>
      <c r="E165" s="180"/>
    </row>
    <row r="166" spans="1:5" s="176" customFormat="1" ht="105.75" customHeight="1" x14ac:dyDescent="0.25">
      <c r="A166" s="7"/>
      <c r="B166" s="13" t="s">
        <v>5706</v>
      </c>
      <c r="C166" s="101"/>
      <c r="D166" s="101"/>
      <c r="E166" s="180"/>
    </row>
    <row r="167" spans="1:5" x14ac:dyDescent="0.25">
      <c r="A167" s="7"/>
      <c r="B167" s="13"/>
      <c r="C167" s="101"/>
      <c r="D167" s="101"/>
      <c r="E167" s="20"/>
    </row>
    <row r="168" spans="1:5" s="176" customFormat="1" ht="110.25" x14ac:dyDescent="0.25">
      <c r="A168" s="7">
        <v>17.37</v>
      </c>
      <c r="B168" s="13" t="s">
        <v>6372</v>
      </c>
      <c r="C168" s="101" t="s">
        <v>4166</v>
      </c>
      <c r="D168" s="101">
        <v>1474</v>
      </c>
      <c r="E168" s="180"/>
    </row>
    <row r="169" spans="1:5" x14ac:dyDescent="0.25">
      <c r="A169" s="5"/>
      <c r="D169" s="8"/>
    </row>
    <row r="170" spans="1:5" s="176" customFormat="1" ht="128.25" customHeight="1" x14ac:dyDescent="0.25">
      <c r="A170" s="7">
        <v>17.38</v>
      </c>
      <c r="B170" s="13" t="s">
        <v>5893</v>
      </c>
      <c r="C170" s="7" t="s">
        <v>4217</v>
      </c>
      <c r="D170" s="101">
        <v>15110</v>
      </c>
    </row>
    <row r="171" spans="1:5" s="176" customFormat="1" x14ac:dyDescent="0.25">
      <c r="A171" s="7"/>
      <c r="B171" s="13"/>
      <c r="C171" s="7"/>
      <c r="D171" s="101"/>
    </row>
    <row r="172" spans="1:5" s="176" customFormat="1" x14ac:dyDescent="0.25">
      <c r="A172" s="7"/>
      <c r="B172" s="13"/>
      <c r="C172" s="7"/>
      <c r="D172" s="101"/>
    </row>
    <row r="173" spans="1:5" s="176" customFormat="1" ht="110.25" x14ac:dyDescent="0.25">
      <c r="A173" s="7">
        <v>17.39</v>
      </c>
      <c r="B173" s="13" t="s">
        <v>5894</v>
      </c>
      <c r="C173" s="7" t="s">
        <v>4217</v>
      </c>
      <c r="D173" s="101">
        <v>11110</v>
      </c>
    </row>
    <row r="174" spans="1:5" s="176" customFormat="1" x14ac:dyDescent="0.25">
      <c r="A174" s="7"/>
      <c r="B174" s="13"/>
      <c r="C174" s="7"/>
      <c r="D174" s="101"/>
    </row>
    <row r="175" spans="1:5" s="176" customFormat="1" ht="47.25" x14ac:dyDescent="0.25">
      <c r="A175" s="7">
        <v>17.399999999999999</v>
      </c>
      <c r="B175" s="13" t="s">
        <v>5895</v>
      </c>
      <c r="C175" s="7" t="s">
        <v>2437</v>
      </c>
      <c r="D175" s="101">
        <v>4900</v>
      </c>
    </row>
    <row r="176" spans="1:5" s="176" customFormat="1" x14ac:dyDescent="0.25">
      <c r="A176" s="5"/>
      <c r="B176" s="30"/>
      <c r="C176" s="5"/>
      <c r="D176" s="101"/>
    </row>
    <row r="177" spans="1:4" s="176" customFormat="1" ht="63" x14ac:dyDescent="0.25">
      <c r="A177" s="7">
        <v>17.41</v>
      </c>
      <c r="B177" s="13" t="s">
        <v>6457</v>
      </c>
      <c r="C177" s="5"/>
      <c r="D177" s="101"/>
    </row>
    <row r="178" spans="1:4" s="176" customFormat="1" ht="47.25" x14ac:dyDescent="0.25">
      <c r="A178" s="7" t="s">
        <v>6499</v>
      </c>
      <c r="B178" s="13" t="s">
        <v>5969</v>
      </c>
      <c r="C178" s="7"/>
      <c r="D178" s="101"/>
    </row>
    <row r="179" spans="1:4" s="176" customFormat="1" x14ac:dyDescent="0.25">
      <c r="A179" s="7" t="s">
        <v>1662</v>
      </c>
      <c r="B179" s="13" t="s">
        <v>5970</v>
      </c>
      <c r="C179" s="7" t="s">
        <v>4217</v>
      </c>
      <c r="D179" s="101">
        <v>94</v>
      </c>
    </row>
    <row r="180" spans="1:4" s="176" customFormat="1" x14ac:dyDescent="0.25">
      <c r="A180" s="7" t="s">
        <v>1664</v>
      </c>
      <c r="B180" s="13" t="s">
        <v>5971</v>
      </c>
      <c r="C180" s="7" t="s">
        <v>4217</v>
      </c>
      <c r="D180" s="101">
        <v>119</v>
      </c>
    </row>
    <row r="181" spans="1:4" s="176" customFormat="1" x14ac:dyDescent="0.25">
      <c r="A181" s="7" t="s">
        <v>1670</v>
      </c>
      <c r="B181" s="13" t="s">
        <v>5972</v>
      </c>
      <c r="C181" s="7" t="s">
        <v>4217</v>
      </c>
      <c r="D181" s="101">
        <v>135</v>
      </c>
    </row>
    <row r="182" spans="1:4" s="176" customFormat="1" x14ac:dyDescent="0.25">
      <c r="A182" s="7"/>
      <c r="B182" s="13"/>
      <c r="C182" s="7"/>
      <c r="D182" s="101"/>
    </row>
    <row r="183" spans="1:4" s="176" customFormat="1" ht="47.25" x14ac:dyDescent="0.25">
      <c r="A183" s="7" t="s">
        <v>6500</v>
      </c>
      <c r="B183" s="13" t="s">
        <v>5974</v>
      </c>
      <c r="C183" s="7"/>
      <c r="D183" s="101"/>
    </row>
    <row r="184" spans="1:4" s="176" customFormat="1" x14ac:dyDescent="0.25">
      <c r="A184" s="7" t="s">
        <v>1662</v>
      </c>
      <c r="B184" s="13" t="s">
        <v>5970</v>
      </c>
      <c r="C184" s="7" t="s">
        <v>4217</v>
      </c>
      <c r="D184" s="101">
        <v>640</v>
      </c>
    </row>
    <row r="185" spans="1:4" s="176" customFormat="1" x14ac:dyDescent="0.25">
      <c r="A185" s="7" t="s">
        <v>1664</v>
      </c>
      <c r="B185" s="13" t="s">
        <v>5971</v>
      </c>
      <c r="C185" s="7" t="s">
        <v>4217</v>
      </c>
      <c r="D185" s="101">
        <v>901</v>
      </c>
    </row>
    <row r="186" spans="1:4" s="176" customFormat="1" x14ac:dyDescent="0.25">
      <c r="A186" s="7" t="s">
        <v>1670</v>
      </c>
      <c r="B186" s="13" t="s">
        <v>5972</v>
      </c>
      <c r="C186" s="7" t="s">
        <v>4217</v>
      </c>
      <c r="D186" s="101">
        <v>1247</v>
      </c>
    </row>
    <row r="187" spans="1:4" s="176" customFormat="1" x14ac:dyDescent="0.25">
      <c r="A187" s="7"/>
      <c r="B187" s="13"/>
      <c r="C187" s="7"/>
      <c r="D187" s="101"/>
    </row>
    <row r="188" spans="1:4" s="176" customFormat="1" ht="31.5" x14ac:dyDescent="0.25">
      <c r="A188" s="7" t="s">
        <v>6501</v>
      </c>
      <c r="B188" s="13" t="s">
        <v>5976</v>
      </c>
      <c r="C188" s="7" t="s">
        <v>4217</v>
      </c>
      <c r="D188" s="101">
        <v>72</v>
      </c>
    </row>
    <row r="189" spans="1:4" s="176" customFormat="1" x14ac:dyDescent="0.25">
      <c r="A189" s="7"/>
      <c r="B189" s="13"/>
      <c r="C189" s="7"/>
      <c r="D189" s="101"/>
    </row>
    <row r="190" spans="1:4" s="176" customFormat="1" x14ac:dyDescent="0.25">
      <c r="A190" s="7" t="s">
        <v>6502</v>
      </c>
      <c r="B190" s="13" t="s">
        <v>5978</v>
      </c>
      <c r="C190" s="7" t="s">
        <v>4217</v>
      </c>
      <c r="D190" s="101">
        <v>15</v>
      </c>
    </row>
    <row r="191" spans="1:4" s="176" customFormat="1" x14ac:dyDescent="0.25">
      <c r="A191" s="7"/>
      <c r="B191" s="13"/>
      <c r="C191" s="7"/>
      <c r="D191" s="101"/>
    </row>
    <row r="192" spans="1:4" s="176" customFormat="1" ht="31.5" x14ac:dyDescent="0.25">
      <c r="A192" s="7" t="s">
        <v>6503</v>
      </c>
      <c r="B192" s="13" t="s">
        <v>5980</v>
      </c>
      <c r="C192" s="7" t="s">
        <v>4217</v>
      </c>
      <c r="D192" s="101">
        <v>495</v>
      </c>
    </row>
    <row r="193" spans="1:4" s="176" customFormat="1" x14ac:dyDescent="0.25">
      <c r="A193" s="7"/>
      <c r="B193" s="13"/>
      <c r="C193" s="7"/>
      <c r="D193" s="101"/>
    </row>
    <row r="194" spans="1:4" s="176" customFormat="1" ht="31.5" x14ac:dyDescent="0.25">
      <c r="A194" s="7" t="s">
        <v>6504</v>
      </c>
      <c r="B194" s="13" t="s">
        <v>5982</v>
      </c>
      <c r="C194" s="7" t="s">
        <v>4217</v>
      </c>
      <c r="D194" s="101">
        <v>792</v>
      </c>
    </row>
    <row r="195" spans="1:4" s="176" customFormat="1" x14ac:dyDescent="0.25">
      <c r="A195" s="7"/>
      <c r="B195" s="13"/>
      <c r="C195" s="7"/>
      <c r="D195" s="101"/>
    </row>
    <row r="196" spans="1:4" s="176" customFormat="1" ht="31.5" x14ac:dyDescent="0.25">
      <c r="A196" s="7" t="s">
        <v>6505</v>
      </c>
      <c r="B196" s="13" t="s">
        <v>5983</v>
      </c>
      <c r="C196" s="7" t="s">
        <v>4217</v>
      </c>
      <c r="D196" s="101">
        <v>495</v>
      </c>
    </row>
    <row r="197" spans="1:4" s="176" customFormat="1" x14ac:dyDescent="0.25">
      <c r="A197" s="7"/>
      <c r="B197" s="13"/>
      <c r="C197" s="7"/>
      <c r="D197" s="101"/>
    </row>
    <row r="198" spans="1:4" s="176" customFormat="1" x14ac:dyDescent="0.25">
      <c r="A198" s="7"/>
      <c r="B198" s="13"/>
      <c r="C198" s="7"/>
      <c r="D198" s="101"/>
    </row>
    <row r="199" spans="1:4" s="176" customFormat="1" ht="47.25" x14ac:dyDescent="0.25">
      <c r="A199" s="7">
        <v>17.420000000000002</v>
      </c>
      <c r="B199" s="13" t="s">
        <v>5984</v>
      </c>
      <c r="C199" s="7"/>
      <c r="D199" s="101"/>
    </row>
    <row r="200" spans="1:4" s="176" customFormat="1" ht="47.25" x14ac:dyDescent="0.25">
      <c r="A200" s="7" t="s">
        <v>5968</v>
      </c>
      <c r="B200" s="13" t="s">
        <v>5985</v>
      </c>
      <c r="C200" s="7" t="s">
        <v>4217</v>
      </c>
      <c r="D200" s="101">
        <v>149</v>
      </c>
    </row>
    <row r="201" spans="1:4" s="176" customFormat="1" x14ac:dyDescent="0.25">
      <c r="A201" s="7"/>
      <c r="B201" s="13"/>
      <c r="C201" s="7"/>
      <c r="D201" s="101"/>
    </row>
    <row r="202" spans="1:4" s="176" customFormat="1" ht="47.25" x14ac:dyDescent="0.25">
      <c r="A202" s="7" t="s">
        <v>5973</v>
      </c>
      <c r="B202" s="13" t="s">
        <v>5986</v>
      </c>
      <c r="C202" s="7" t="s">
        <v>4217</v>
      </c>
      <c r="D202" s="101">
        <v>206</v>
      </c>
    </row>
    <row r="203" spans="1:4" s="176" customFormat="1" x14ac:dyDescent="0.25">
      <c r="A203" s="7"/>
      <c r="B203" s="13"/>
      <c r="C203" s="7"/>
      <c r="D203" s="101"/>
    </row>
    <row r="204" spans="1:4" s="176" customFormat="1" ht="31.5" x14ac:dyDescent="0.25">
      <c r="A204" s="7" t="s">
        <v>5975</v>
      </c>
      <c r="B204" s="13" t="s">
        <v>5987</v>
      </c>
      <c r="C204" s="7" t="s">
        <v>4217</v>
      </c>
      <c r="D204" s="101">
        <v>34</v>
      </c>
    </row>
    <row r="205" spans="1:4" s="176" customFormat="1" x14ac:dyDescent="0.25">
      <c r="A205" s="7"/>
      <c r="B205" s="13"/>
      <c r="C205" s="7"/>
      <c r="D205" s="101"/>
    </row>
    <row r="206" spans="1:4" s="176" customFormat="1" x14ac:dyDescent="0.25">
      <c r="A206" s="7" t="s">
        <v>5977</v>
      </c>
      <c r="B206" s="13" t="s">
        <v>5988</v>
      </c>
      <c r="C206" s="7" t="s">
        <v>4217</v>
      </c>
      <c r="D206" s="101">
        <v>15</v>
      </c>
    </row>
    <row r="207" spans="1:4" s="176" customFormat="1" x14ac:dyDescent="0.25">
      <c r="A207" s="7"/>
      <c r="B207" s="13"/>
      <c r="C207" s="7"/>
      <c r="D207" s="101"/>
    </row>
    <row r="208" spans="1:4" s="176" customFormat="1" ht="60" x14ac:dyDescent="0.25">
      <c r="A208" s="7" t="s">
        <v>5979</v>
      </c>
      <c r="B208" s="202" t="s">
        <v>5989</v>
      </c>
      <c r="C208" s="7" t="s">
        <v>4217</v>
      </c>
      <c r="D208" s="101">
        <v>349</v>
      </c>
    </row>
    <row r="209" spans="1:4" s="176" customFormat="1" x14ac:dyDescent="0.25">
      <c r="A209" s="7"/>
      <c r="B209" s="13"/>
      <c r="C209" s="7"/>
      <c r="D209" s="101"/>
    </row>
    <row r="210" spans="1:4" s="176" customFormat="1" ht="31.5" x14ac:dyDescent="0.25">
      <c r="A210" s="7" t="s">
        <v>5981</v>
      </c>
      <c r="B210" s="13" t="s">
        <v>5990</v>
      </c>
      <c r="C210" s="7" t="s">
        <v>4217</v>
      </c>
      <c r="D210" s="101">
        <v>108</v>
      </c>
    </row>
    <row r="211" spans="1:4" s="176" customFormat="1" x14ac:dyDescent="0.25">
      <c r="A211" s="7"/>
      <c r="B211" s="13"/>
      <c r="C211" s="7"/>
      <c r="D211" s="101"/>
    </row>
    <row r="212" spans="1:4" s="176" customFormat="1" ht="45" x14ac:dyDescent="0.25">
      <c r="A212" s="7">
        <v>17.43</v>
      </c>
      <c r="B212" s="202" t="s">
        <v>6459</v>
      </c>
      <c r="C212" s="7" t="s">
        <v>5991</v>
      </c>
      <c r="D212" s="101">
        <v>7</v>
      </c>
    </row>
    <row r="213" spans="1:4" s="176" customFormat="1" x14ac:dyDescent="0.25">
      <c r="A213" s="7"/>
      <c r="B213" s="13"/>
      <c r="C213" s="7"/>
      <c r="D213" s="101"/>
    </row>
    <row r="214" spans="1:4" s="176" customFormat="1" ht="45" x14ac:dyDescent="0.25">
      <c r="A214" s="7">
        <v>17.440000000000001</v>
      </c>
      <c r="B214" s="202" t="s">
        <v>5992</v>
      </c>
      <c r="C214" s="7" t="s">
        <v>5993</v>
      </c>
      <c r="D214" s="101">
        <v>2150</v>
      </c>
    </row>
    <row r="215" spans="1:4" s="176" customFormat="1" x14ac:dyDescent="0.25">
      <c r="A215" s="7"/>
      <c r="B215" s="13"/>
      <c r="C215" s="7"/>
      <c r="D215" s="101"/>
    </row>
    <row r="216" spans="1:4" s="176" customFormat="1" ht="60" x14ac:dyDescent="0.25">
      <c r="A216" s="7">
        <v>17.45</v>
      </c>
      <c r="B216" s="202" t="s">
        <v>6458</v>
      </c>
      <c r="C216" s="7" t="s">
        <v>4217</v>
      </c>
      <c r="D216" s="101">
        <v>260</v>
      </c>
    </row>
    <row r="217" spans="1:4" s="176" customFormat="1" x14ac:dyDescent="0.25">
      <c r="A217" s="7"/>
      <c r="B217" s="13"/>
      <c r="C217" s="7"/>
      <c r="D217" s="101"/>
    </row>
    <row r="218" spans="1:4" s="176" customFormat="1" ht="120" x14ac:dyDescent="0.25">
      <c r="A218" s="7">
        <v>17.46</v>
      </c>
      <c r="B218" s="202" t="s">
        <v>6460</v>
      </c>
      <c r="C218" s="7" t="s">
        <v>3420</v>
      </c>
      <c r="D218" s="101">
        <v>7000</v>
      </c>
    </row>
    <row r="219" spans="1:4" s="176" customFormat="1" x14ac:dyDescent="0.25">
      <c r="A219" s="7"/>
      <c r="B219" s="13"/>
      <c r="C219" s="7"/>
      <c r="D219" s="101"/>
    </row>
    <row r="220" spans="1:4" s="176" customFormat="1" ht="110.25" x14ac:dyDescent="0.25">
      <c r="A220" s="7">
        <v>17.47</v>
      </c>
      <c r="B220" s="13" t="s">
        <v>5994</v>
      </c>
      <c r="C220" s="7" t="s">
        <v>3420</v>
      </c>
      <c r="D220" s="101">
        <v>2300</v>
      </c>
    </row>
    <row r="221" spans="1:4" s="176" customFormat="1" x14ac:dyDescent="0.25">
      <c r="A221" s="7"/>
      <c r="B221" s="13"/>
      <c r="C221" s="7"/>
      <c r="D221" s="101"/>
    </row>
    <row r="222" spans="1:4" s="176" customFormat="1" ht="90" x14ac:dyDescent="0.25">
      <c r="A222" s="7">
        <v>17.48</v>
      </c>
      <c r="B222" s="202" t="s">
        <v>5995</v>
      </c>
      <c r="C222" s="7" t="s">
        <v>3420</v>
      </c>
      <c r="D222" s="101">
        <v>1678</v>
      </c>
    </row>
    <row r="223" spans="1:4" s="176" customFormat="1" x14ac:dyDescent="0.25">
      <c r="A223" s="7"/>
      <c r="B223" s="13"/>
      <c r="C223" s="7"/>
      <c r="D223" s="101"/>
    </row>
    <row r="224" spans="1:4" s="176" customFormat="1" ht="47.25" x14ac:dyDescent="0.25">
      <c r="A224" s="7">
        <v>17.489999999999998</v>
      </c>
      <c r="B224" s="13" t="s">
        <v>5996</v>
      </c>
      <c r="C224" s="7" t="s">
        <v>3420</v>
      </c>
      <c r="D224" s="101">
        <v>2860</v>
      </c>
    </row>
    <row r="225" spans="1:4" x14ac:dyDescent="0.25">
      <c r="A225" s="5"/>
      <c r="D225" s="8"/>
    </row>
    <row r="226" spans="1:4" s="176" customFormat="1" ht="87.75" x14ac:dyDescent="0.25">
      <c r="A226" s="7">
        <v>17.5</v>
      </c>
      <c r="B226" s="202" t="s">
        <v>6463</v>
      </c>
      <c r="C226" s="7" t="s">
        <v>2437</v>
      </c>
      <c r="D226" s="101">
        <v>957</v>
      </c>
    </row>
    <row r="227" spans="1:4" ht="47.25" x14ac:dyDescent="0.25">
      <c r="A227" s="19" t="s">
        <v>1662</v>
      </c>
      <c r="B227" s="30" t="s">
        <v>6250</v>
      </c>
    </row>
    <row r="228" spans="1:4" ht="47.25" x14ac:dyDescent="0.25">
      <c r="A228" s="19" t="s">
        <v>1664</v>
      </c>
      <c r="B228" s="30" t="s">
        <v>6251</v>
      </c>
    </row>
    <row r="229" spans="1:4" ht="63" x14ac:dyDescent="0.25">
      <c r="A229" s="19" t="s">
        <v>1670</v>
      </c>
      <c r="B229" s="13" t="s">
        <v>6461</v>
      </c>
    </row>
    <row r="231" spans="1:4" s="176" customFormat="1" ht="60" x14ac:dyDescent="0.25">
      <c r="A231" s="7">
        <v>17.510000000000002</v>
      </c>
      <c r="B231" s="202" t="s">
        <v>6462</v>
      </c>
      <c r="C231" s="7" t="s">
        <v>2437</v>
      </c>
      <c r="D231" s="101">
        <v>3184</v>
      </c>
    </row>
    <row r="232" spans="1:4" ht="45" x14ac:dyDescent="0.25">
      <c r="A232" s="19" t="s">
        <v>1662</v>
      </c>
      <c r="B232" s="206" t="s">
        <v>6252</v>
      </c>
    </row>
    <row r="233" spans="1:4" ht="31.5" x14ac:dyDescent="0.25">
      <c r="A233" s="19" t="s">
        <v>6254</v>
      </c>
      <c r="B233" s="29" t="s">
        <v>6253</v>
      </c>
    </row>
    <row r="234" spans="1:4" x14ac:dyDescent="0.25">
      <c r="B234" s="29"/>
    </row>
    <row r="235" spans="1:4" s="176" customFormat="1" ht="78.75" x14ac:dyDescent="0.25">
      <c r="A235" s="7">
        <v>17.52</v>
      </c>
      <c r="B235" s="13" t="s">
        <v>6464</v>
      </c>
      <c r="C235" s="7" t="s">
        <v>2356</v>
      </c>
      <c r="D235" s="101">
        <v>195</v>
      </c>
    </row>
    <row r="236" spans="1:4" ht="47.25" x14ac:dyDescent="0.25">
      <c r="A236" s="19" t="s">
        <v>1662</v>
      </c>
      <c r="B236" s="13" t="s">
        <v>6465</v>
      </c>
    </row>
    <row r="237" spans="1:4" ht="31.5" x14ac:dyDescent="0.25">
      <c r="A237" s="19" t="s">
        <v>6254</v>
      </c>
      <c r="B237" s="125" t="s">
        <v>6466</v>
      </c>
      <c r="D237" s="173">
        <f>SUM(D7:D236)</f>
        <v>175863.6</v>
      </c>
    </row>
  </sheetData>
  <mergeCells count="2">
    <mergeCell ref="A1:D1"/>
    <mergeCell ref="A2:D2"/>
  </mergeCells>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tabColor rgb="FF00B0F0"/>
  </sheetPr>
  <dimension ref="A1:F353"/>
  <sheetViews>
    <sheetView view="pageBreakPreview" topLeftCell="A150" zoomScaleNormal="100" zoomScaleSheetLayoutView="100" workbookViewId="0">
      <selection activeCell="B170" sqref="B170"/>
    </sheetView>
  </sheetViews>
  <sheetFormatPr defaultRowHeight="15.75" x14ac:dyDescent="0.25"/>
  <cols>
    <col min="1" max="1" width="10" style="5" customWidth="1"/>
    <col min="2" max="2" width="55.7109375" style="30" customWidth="1"/>
    <col min="3" max="3" width="9.7109375" style="8" customWidth="1"/>
    <col min="4" max="4" width="11.7109375" style="8" customWidth="1"/>
    <col min="5" max="6" width="9.42578125" style="6" bestFit="1" customWidth="1"/>
    <col min="7" max="16384" width="9.140625" style="6"/>
  </cols>
  <sheetData>
    <row r="1" spans="1:5" s="14" customFormat="1" ht="22.5" x14ac:dyDescent="0.2">
      <c r="A1" s="258" t="s">
        <v>593</v>
      </c>
      <c r="B1" s="258"/>
      <c r="C1" s="258"/>
      <c r="D1" s="258"/>
    </row>
    <row r="2" spans="1:5" s="14" customFormat="1" ht="27" x14ac:dyDescent="0.2">
      <c r="A2" s="277" t="s">
        <v>210</v>
      </c>
      <c r="B2" s="277"/>
      <c r="C2" s="277"/>
      <c r="D2" s="277"/>
    </row>
    <row r="3" spans="1:5" ht="47.25" x14ac:dyDescent="0.25">
      <c r="A3" s="19" t="s">
        <v>211</v>
      </c>
      <c r="B3" s="13" t="s">
        <v>212</v>
      </c>
      <c r="C3" s="146"/>
    </row>
    <row r="4" spans="1:5" s="112" customFormat="1" ht="31.5" x14ac:dyDescent="0.2">
      <c r="A4" s="55" t="s">
        <v>6402</v>
      </c>
      <c r="B4" s="55" t="s">
        <v>2434</v>
      </c>
      <c r="C4" s="55" t="s">
        <v>2435</v>
      </c>
      <c r="D4" s="172" t="s">
        <v>18</v>
      </c>
    </row>
    <row r="5" spans="1:5" x14ac:dyDescent="0.25">
      <c r="A5" s="55">
        <v>1</v>
      </c>
      <c r="B5" s="55">
        <v>2</v>
      </c>
      <c r="C5" s="55">
        <v>3</v>
      </c>
      <c r="D5" s="45">
        <v>4</v>
      </c>
    </row>
    <row r="6" spans="1:5" x14ac:dyDescent="0.25">
      <c r="A6" s="117"/>
      <c r="B6" s="117"/>
      <c r="C6" s="117"/>
      <c r="D6" s="121"/>
    </row>
    <row r="7" spans="1:5" x14ac:dyDescent="0.25">
      <c r="A7" s="6"/>
      <c r="B7" s="140" t="s">
        <v>722</v>
      </c>
      <c r="C7" s="3"/>
      <c r="E7" s="173"/>
    </row>
    <row r="8" spans="1:5" ht="63" x14ac:dyDescent="0.25">
      <c r="A8" s="147">
        <v>1.1000000000000001</v>
      </c>
      <c r="B8" s="191" t="s">
        <v>723</v>
      </c>
      <c r="C8" s="132"/>
    </row>
    <row r="9" spans="1:5" x14ac:dyDescent="0.25">
      <c r="A9" s="147" t="s">
        <v>594</v>
      </c>
      <c r="B9" s="191" t="s">
        <v>724</v>
      </c>
      <c r="C9" s="7" t="s">
        <v>4217</v>
      </c>
      <c r="D9" s="101">
        <v>980</v>
      </c>
    </row>
    <row r="10" spans="1:5" x14ac:dyDescent="0.25">
      <c r="A10" s="147" t="s">
        <v>595</v>
      </c>
      <c r="B10" s="191" t="s">
        <v>725</v>
      </c>
      <c r="C10" s="7" t="s">
        <v>4217</v>
      </c>
      <c r="D10" s="101">
        <v>1069</v>
      </c>
    </row>
    <row r="11" spans="1:5" x14ac:dyDescent="0.25">
      <c r="A11" s="147" t="s">
        <v>596</v>
      </c>
      <c r="B11" s="191" t="s">
        <v>726</v>
      </c>
      <c r="C11" s="7" t="s">
        <v>4217</v>
      </c>
      <c r="D11" s="101">
        <v>1113</v>
      </c>
    </row>
    <row r="12" spans="1:5" x14ac:dyDescent="0.25">
      <c r="A12" s="147"/>
      <c r="B12" s="191"/>
      <c r="C12" s="7"/>
    </row>
    <row r="13" spans="1:5" ht="66" x14ac:dyDescent="0.25">
      <c r="A13" s="147">
        <v>1.2</v>
      </c>
      <c r="B13" s="191" t="s">
        <v>6170</v>
      </c>
      <c r="C13" s="7"/>
    </row>
    <row r="14" spans="1:5" x14ac:dyDescent="0.25">
      <c r="A14" s="147" t="s">
        <v>597</v>
      </c>
      <c r="B14" s="191" t="s">
        <v>598</v>
      </c>
      <c r="C14" s="7" t="s">
        <v>4217</v>
      </c>
      <c r="D14" s="101">
        <v>2640</v>
      </c>
    </row>
    <row r="15" spans="1:5" x14ac:dyDescent="0.25">
      <c r="A15" s="147" t="s">
        <v>599</v>
      </c>
      <c r="B15" s="191" t="s">
        <v>727</v>
      </c>
      <c r="C15" s="7" t="s">
        <v>4217</v>
      </c>
      <c r="D15" s="101">
        <v>3080</v>
      </c>
    </row>
    <row r="16" spans="1:5" x14ac:dyDescent="0.25">
      <c r="A16" s="147"/>
      <c r="B16" s="191"/>
      <c r="C16" s="7"/>
    </row>
    <row r="17" spans="1:4" s="179" customFormat="1" ht="50.25" x14ac:dyDescent="0.2">
      <c r="A17" s="147">
        <v>1.3</v>
      </c>
      <c r="B17" s="191" t="s">
        <v>6171</v>
      </c>
      <c r="C17" s="7" t="s">
        <v>4217</v>
      </c>
      <c r="D17" s="101">
        <v>2420</v>
      </c>
    </row>
    <row r="18" spans="1:4" s="179" customFormat="1" x14ac:dyDescent="0.2">
      <c r="A18" s="147"/>
      <c r="B18" s="191"/>
      <c r="C18" s="7"/>
      <c r="D18" s="135"/>
    </row>
    <row r="19" spans="1:4" s="179" customFormat="1" ht="47.25" x14ac:dyDescent="0.2">
      <c r="A19" s="147">
        <v>1.4</v>
      </c>
      <c r="B19" s="191" t="s">
        <v>729</v>
      </c>
      <c r="C19" s="7" t="s">
        <v>4217</v>
      </c>
      <c r="D19" s="101">
        <v>5198</v>
      </c>
    </row>
    <row r="20" spans="1:4" x14ac:dyDescent="0.25">
      <c r="A20" s="147"/>
      <c r="B20" s="191"/>
      <c r="C20" s="7"/>
    </row>
    <row r="21" spans="1:4" ht="50.25" x14ac:dyDescent="0.25">
      <c r="A21" s="147">
        <v>1.5</v>
      </c>
      <c r="B21" s="191" t="s">
        <v>6337</v>
      </c>
      <c r="C21" s="7" t="s">
        <v>4217</v>
      </c>
      <c r="D21" s="101">
        <v>4068</v>
      </c>
    </row>
    <row r="22" spans="1:4" x14ac:dyDescent="0.25">
      <c r="A22" s="147"/>
      <c r="B22" s="191"/>
      <c r="C22" s="7"/>
    </row>
    <row r="23" spans="1:4" ht="63" customHeight="1" x14ac:dyDescent="0.25">
      <c r="A23" s="147">
        <v>1.6</v>
      </c>
      <c r="B23" s="191" t="s">
        <v>6172</v>
      </c>
      <c r="C23" s="7"/>
    </row>
    <row r="24" spans="1:4" x14ac:dyDescent="0.25">
      <c r="A24" s="147" t="s">
        <v>43</v>
      </c>
      <c r="B24" s="191" t="s">
        <v>730</v>
      </c>
      <c r="C24" s="7" t="s">
        <v>4217</v>
      </c>
      <c r="D24" s="101">
        <v>3457</v>
      </c>
    </row>
    <row r="25" spans="1:4" x14ac:dyDescent="0.25">
      <c r="A25" s="147" t="s">
        <v>44</v>
      </c>
      <c r="B25" s="191" t="s">
        <v>731</v>
      </c>
      <c r="C25" s="7" t="s">
        <v>732</v>
      </c>
      <c r="D25" s="101">
        <v>3879</v>
      </c>
    </row>
    <row r="26" spans="1:4" x14ac:dyDescent="0.25">
      <c r="A26" s="147" t="s">
        <v>46</v>
      </c>
      <c r="B26" s="191" t="s">
        <v>600</v>
      </c>
      <c r="C26" s="7" t="s">
        <v>5634</v>
      </c>
      <c r="D26" s="101">
        <v>4441</v>
      </c>
    </row>
    <row r="27" spans="1:4" x14ac:dyDescent="0.25">
      <c r="A27" s="147"/>
      <c r="B27" s="191"/>
      <c r="C27" s="7"/>
      <c r="D27" s="101"/>
    </row>
    <row r="28" spans="1:4" x14ac:dyDescent="0.25">
      <c r="A28" s="147"/>
      <c r="B28" s="191"/>
      <c r="C28" s="7"/>
      <c r="D28" s="101"/>
    </row>
    <row r="29" spans="1:4" x14ac:dyDescent="0.25">
      <c r="A29" s="150" t="s">
        <v>2882</v>
      </c>
      <c r="B29" s="191"/>
      <c r="C29" s="7"/>
    </row>
    <row r="30" spans="1:4" ht="63" x14ac:dyDescent="0.25">
      <c r="A30" s="147" t="s">
        <v>3754</v>
      </c>
      <c r="B30" s="191" t="s">
        <v>5600</v>
      </c>
      <c r="C30" s="7" t="s">
        <v>4217</v>
      </c>
      <c r="D30" s="101" t="s">
        <v>733</v>
      </c>
    </row>
    <row r="31" spans="1:4" x14ac:dyDescent="0.25">
      <c r="A31" s="147"/>
      <c r="B31" s="191"/>
      <c r="C31" s="7"/>
    </row>
    <row r="32" spans="1:4" ht="63" x14ac:dyDescent="0.25">
      <c r="A32" s="147" t="s">
        <v>3752</v>
      </c>
      <c r="B32" s="13" t="s">
        <v>5601</v>
      </c>
      <c r="C32" s="7" t="s">
        <v>4217</v>
      </c>
      <c r="D32" s="101" t="s">
        <v>734</v>
      </c>
    </row>
    <row r="33" spans="1:4" x14ac:dyDescent="0.25">
      <c r="A33" s="147"/>
      <c r="B33" s="13"/>
      <c r="C33" s="7"/>
    </row>
    <row r="34" spans="1:4" x14ac:dyDescent="0.25">
      <c r="A34" s="147">
        <v>1.7</v>
      </c>
      <c r="B34" s="13" t="s">
        <v>601</v>
      </c>
      <c r="C34" s="7"/>
    </row>
    <row r="35" spans="1:4" x14ac:dyDescent="0.25">
      <c r="A35" s="147" t="s">
        <v>2440</v>
      </c>
      <c r="B35" s="13" t="s">
        <v>435</v>
      </c>
      <c r="C35" s="7" t="s">
        <v>4217</v>
      </c>
      <c r="D35" s="101">
        <v>402</v>
      </c>
    </row>
    <row r="36" spans="1:4" x14ac:dyDescent="0.25">
      <c r="A36" s="147" t="s">
        <v>2442</v>
      </c>
      <c r="B36" s="13" t="s">
        <v>735</v>
      </c>
      <c r="C36" s="7" t="s">
        <v>4217</v>
      </c>
      <c r="D36" s="101">
        <v>485</v>
      </c>
    </row>
    <row r="37" spans="1:4" x14ac:dyDescent="0.25">
      <c r="A37" s="147" t="s">
        <v>2444</v>
      </c>
      <c r="B37" s="13" t="s">
        <v>736</v>
      </c>
      <c r="C37" s="7" t="s">
        <v>4217</v>
      </c>
      <c r="D37" s="101">
        <v>501</v>
      </c>
    </row>
    <row r="38" spans="1:4" x14ac:dyDescent="0.25">
      <c r="A38" s="147" t="s">
        <v>5034</v>
      </c>
      <c r="B38" s="13" t="s">
        <v>737</v>
      </c>
      <c r="C38" s="7" t="s">
        <v>4217</v>
      </c>
      <c r="D38" s="101">
        <v>352</v>
      </c>
    </row>
    <row r="39" spans="1:4" x14ac:dyDescent="0.25">
      <c r="A39" s="147" t="s">
        <v>5036</v>
      </c>
      <c r="B39" s="13" t="s">
        <v>736</v>
      </c>
      <c r="C39" s="7" t="s">
        <v>4217</v>
      </c>
      <c r="D39" s="101">
        <v>402</v>
      </c>
    </row>
    <row r="40" spans="1:4" x14ac:dyDescent="0.25">
      <c r="A40" s="147"/>
      <c r="B40" s="13"/>
      <c r="C40" s="7"/>
    </row>
    <row r="41" spans="1:4" x14ac:dyDescent="0.25">
      <c r="A41" s="147">
        <v>1.8</v>
      </c>
      <c r="B41" s="13" t="s">
        <v>738</v>
      </c>
      <c r="C41" s="7" t="s">
        <v>728</v>
      </c>
      <c r="D41" s="101">
        <v>79</v>
      </c>
    </row>
    <row r="42" spans="1:4" x14ac:dyDescent="0.25">
      <c r="A42" s="147"/>
      <c r="B42" s="13"/>
      <c r="C42" s="7"/>
    </row>
    <row r="43" spans="1:4" ht="31.5" x14ac:dyDescent="0.25">
      <c r="A43" s="147">
        <v>1.9</v>
      </c>
      <c r="B43" s="13" t="s">
        <v>739</v>
      </c>
      <c r="C43" s="7" t="s">
        <v>4217</v>
      </c>
      <c r="D43" s="101">
        <v>286</v>
      </c>
    </row>
    <row r="44" spans="1:4" x14ac:dyDescent="0.25">
      <c r="A44" s="147"/>
      <c r="B44" s="13"/>
      <c r="C44" s="7"/>
    </row>
    <row r="45" spans="1:4" ht="31.5" x14ac:dyDescent="0.25">
      <c r="A45" s="7">
        <v>1.1000000000000001</v>
      </c>
      <c r="B45" s="13" t="s">
        <v>740</v>
      </c>
      <c r="C45" s="7" t="s">
        <v>4217</v>
      </c>
      <c r="D45" s="101">
        <v>146</v>
      </c>
    </row>
    <row r="46" spans="1:4" x14ac:dyDescent="0.25">
      <c r="A46" s="147"/>
      <c r="B46" s="13"/>
      <c r="C46" s="7"/>
    </row>
    <row r="47" spans="1:4" x14ac:dyDescent="0.25">
      <c r="A47" s="147">
        <v>1.1100000000000001</v>
      </c>
      <c r="B47" s="13" t="s">
        <v>741</v>
      </c>
      <c r="C47" s="7" t="s">
        <v>4217</v>
      </c>
      <c r="D47" s="101">
        <v>215</v>
      </c>
    </row>
    <row r="48" spans="1:4" x14ac:dyDescent="0.25">
      <c r="A48" s="147"/>
      <c r="B48" s="13"/>
      <c r="C48" s="7"/>
    </row>
    <row r="49" spans="1:4" ht="31.5" x14ac:dyDescent="0.25">
      <c r="A49" s="147">
        <v>1.1200000000000001</v>
      </c>
      <c r="B49" s="13" t="s">
        <v>742</v>
      </c>
      <c r="C49" s="7" t="s">
        <v>4217</v>
      </c>
      <c r="D49" s="101">
        <v>544</v>
      </c>
    </row>
    <row r="50" spans="1:4" x14ac:dyDescent="0.25">
      <c r="A50" s="147"/>
      <c r="B50" s="13"/>
      <c r="C50" s="7"/>
    </row>
    <row r="51" spans="1:4" ht="78.75" x14ac:dyDescent="0.25">
      <c r="A51" s="147">
        <v>1.1299999999999999</v>
      </c>
      <c r="B51" s="13" t="s">
        <v>6173</v>
      </c>
      <c r="C51" s="7" t="s">
        <v>4217</v>
      </c>
      <c r="D51" s="101">
        <v>12114</v>
      </c>
    </row>
    <row r="52" spans="1:4" x14ac:dyDescent="0.25">
      <c r="A52" s="147"/>
      <c r="B52" s="13"/>
      <c r="C52" s="7"/>
    </row>
    <row r="53" spans="1:4" x14ac:dyDescent="0.25">
      <c r="A53" s="6"/>
      <c r="B53" s="125" t="s">
        <v>743</v>
      </c>
      <c r="C53" s="7"/>
    </row>
    <row r="54" spans="1:4" ht="47.25" x14ac:dyDescent="0.25">
      <c r="A54" s="147">
        <v>1.1399999999999999</v>
      </c>
      <c r="B54" s="191" t="s">
        <v>6174</v>
      </c>
      <c r="C54" s="7"/>
    </row>
    <row r="55" spans="1:4" x14ac:dyDescent="0.25">
      <c r="A55" s="147" t="s">
        <v>626</v>
      </c>
      <c r="B55" s="191" t="s">
        <v>744</v>
      </c>
      <c r="C55" s="7" t="s">
        <v>4217</v>
      </c>
      <c r="D55" s="101">
        <v>1832</v>
      </c>
    </row>
    <row r="56" spans="1:4" x14ac:dyDescent="0.25">
      <c r="A56" s="147" t="s">
        <v>627</v>
      </c>
      <c r="B56" s="191" t="s">
        <v>745</v>
      </c>
      <c r="C56" s="7" t="s">
        <v>4217</v>
      </c>
      <c r="D56" s="101">
        <v>4637</v>
      </c>
    </row>
    <row r="57" spans="1:4" x14ac:dyDescent="0.25">
      <c r="A57" s="147" t="s">
        <v>5098</v>
      </c>
      <c r="B57" s="191" t="s">
        <v>746</v>
      </c>
      <c r="C57" s="7" t="s">
        <v>4217</v>
      </c>
      <c r="D57" s="101">
        <v>2287</v>
      </c>
    </row>
    <row r="58" spans="1:4" x14ac:dyDescent="0.25">
      <c r="A58" s="147"/>
      <c r="B58" s="191"/>
      <c r="C58" s="7"/>
    </row>
    <row r="59" spans="1:4" x14ac:dyDescent="0.25">
      <c r="A59" s="147"/>
      <c r="B59" s="191"/>
      <c r="C59" s="7"/>
    </row>
    <row r="60" spans="1:4" ht="47.25" x14ac:dyDescent="0.25">
      <c r="A60" s="147">
        <v>1.1499999999999999</v>
      </c>
      <c r="B60" s="191" t="s">
        <v>6175</v>
      </c>
      <c r="C60" s="7" t="s">
        <v>422</v>
      </c>
      <c r="D60" s="101">
        <v>994</v>
      </c>
    </row>
    <row r="61" spans="1:4" x14ac:dyDescent="0.25">
      <c r="A61" s="147"/>
      <c r="B61" s="191"/>
      <c r="C61" s="7"/>
    </row>
    <row r="62" spans="1:4" ht="31.5" x14ac:dyDescent="0.25">
      <c r="A62" s="147">
        <v>1.1599999999999999</v>
      </c>
      <c r="B62" s="191" t="s">
        <v>6176</v>
      </c>
      <c r="C62" s="7"/>
    </row>
    <row r="63" spans="1:4" x14ac:dyDescent="0.25">
      <c r="A63" s="147" t="s">
        <v>2459</v>
      </c>
      <c r="B63" s="191" t="s">
        <v>747</v>
      </c>
      <c r="C63" s="7" t="s">
        <v>4217</v>
      </c>
      <c r="D63" s="101">
        <v>923</v>
      </c>
    </row>
    <row r="64" spans="1:4" x14ac:dyDescent="0.25">
      <c r="A64" s="147" t="s">
        <v>2460</v>
      </c>
      <c r="B64" s="191" t="s">
        <v>748</v>
      </c>
      <c r="C64" s="7" t="s">
        <v>4217</v>
      </c>
      <c r="D64" s="101">
        <v>862</v>
      </c>
    </row>
    <row r="65" spans="1:4" ht="34.5" x14ac:dyDescent="0.25">
      <c r="A65" s="147" t="s">
        <v>3144</v>
      </c>
      <c r="B65" s="191" t="s">
        <v>6177</v>
      </c>
      <c r="C65" s="7" t="s">
        <v>4217</v>
      </c>
      <c r="D65" s="101">
        <v>801</v>
      </c>
    </row>
    <row r="66" spans="1:4" x14ac:dyDescent="0.25">
      <c r="A66" s="147"/>
      <c r="B66" s="191"/>
      <c r="C66" s="7"/>
    </row>
    <row r="67" spans="1:4" ht="31.5" x14ac:dyDescent="0.25">
      <c r="A67" s="147">
        <v>1.17</v>
      </c>
      <c r="B67" s="191" t="s">
        <v>6178</v>
      </c>
      <c r="C67" s="7"/>
    </row>
    <row r="68" spans="1:4" x14ac:dyDescent="0.25">
      <c r="A68" s="147" t="s">
        <v>3906</v>
      </c>
      <c r="B68" s="191" t="s">
        <v>749</v>
      </c>
      <c r="C68" s="7" t="s">
        <v>2453</v>
      </c>
      <c r="D68" s="101">
        <v>585</v>
      </c>
    </row>
    <row r="69" spans="1:4" x14ac:dyDescent="0.25">
      <c r="A69" s="147" t="s">
        <v>3907</v>
      </c>
      <c r="B69" s="191" t="s">
        <v>750</v>
      </c>
      <c r="C69" s="7" t="s">
        <v>2453</v>
      </c>
      <c r="D69" s="101">
        <v>757</v>
      </c>
    </row>
    <row r="70" spans="1:4" x14ac:dyDescent="0.25">
      <c r="A70" s="147"/>
      <c r="B70" s="191"/>
      <c r="C70" s="7"/>
    </row>
    <row r="71" spans="1:4" ht="47.25" x14ac:dyDescent="0.25">
      <c r="A71" s="147">
        <v>1.18</v>
      </c>
      <c r="B71" s="191" t="s">
        <v>6179</v>
      </c>
      <c r="C71" s="7"/>
    </row>
    <row r="72" spans="1:4" x14ac:dyDescent="0.25">
      <c r="A72" s="147" t="s">
        <v>3170</v>
      </c>
      <c r="B72" s="191" t="s">
        <v>751</v>
      </c>
      <c r="C72" s="7" t="s">
        <v>4217</v>
      </c>
      <c r="D72" s="101">
        <v>853</v>
      </c>
    </row>
    <row r="73" spans="1:4" x14ac:dyDescent="0.25">
      <c r="A73" s="147"/>
      <c r="B73" s="191"/>
      <c r="C73" s="7"/>
    </row>
    <row r="74" spans="1:4" ht="31.5" x14ac:dyDescent="0.25">
      <c r="A74" s="147">
        <v>1.19</v>
      </c>
      <c r="B74" s="191" t="s">
        <v>752</v>
      </c>
      <c r="C74" s="7" t="s">
        <v>4217</v>
      </c>
      <c r="D74" s="101">
        <v>339</v>
      </c>
    </row>
    <row r="75" spans="1:4" x14ac:dyDescent="0.25">
      <c r="A75" s="147"/>
      <c r="B75" s="191"/>
      <c r="C75" s="7"/>
    </row>
    <row r="76" spans="1:4" ht="63" x14ac:dyDescent="0.25">
      <c r="A76" s="7">
        <v>1.2</v>
      </c>
      <c r="B76" s="191" t="s">
        <v>6338</v>
      </c>
      <c r="C76" s="7"/>
    </row>
    <row r="77" spans="1:4" x14ac:dyDescent="0.25">
      <c r="A77" s="147" t="s">
        <v>3152</v>
      </c>
      <c r="B77" s="191" t="s">
        <v>753</v>
      </c>
      <c r="C77" s="7" t="s">
        <v>4217</v>
      </c>
      <c r="D77" s="101">
        <v>2483</v>
      </c>
    </row>
    <row r="78" spans="1:4" x14ac:dyDescent="0.25">
      <c r="A78" s="147" t="s">
        <v>3153</v>
      </c>
      <c r="B78" s="191" t="s">
        <v>754</v>
      </c>
      <c r="C78" s="7" t="s">
        <v>4217</v>
      </c>
      <c r="D78" s="101">
        <v>1291</v>
      </c>
    </row>
    <row r="79" spans="1:4" ht="31.5" x14ac:dyDescent="0.25">
      <c r="A79" s="147" t="s">
        <v>3154</v>
      </c>
      <c r="B79" s="191" t="s">
        <v>6339</v>
      </c>
      <c r="C79" s="7" t="s">
        <v>4217</v>
      </c>
      <c r="D79" s="101">
        <v>1645</v>
      </c>
    </row>
    <row r="80" spans="1:4" x14ac:dyDescent="0.25">
      <c r="A80" s="147" t="s">
        <v>5203</v>
      </c>
      <c r="B80" s="191" t="s">
        <v>1241</v>
      </c>
      <c r="C80" s="7" t="s">
        <v>4217</v>
      </c>
      <c r="D80" s="101">
        <v>2599</v>
      </c>
    </row>
    <row r="81" spans="1:4" x14ac:dyDescent="0.25">
      <c r="A81" s="147" t="s">
        <v>5205</v>
      </c>
      <c r="B81" s="191" t="s">
        <v>6340</v>
      </c>
      <c r="C81" s="7" t="s">
        <v>4217</v>
      </c>
      <c r="D81" s="101">
        <v>1491</v>
      </c>
    </row>
    <row r="82" spans="1:4" x14ac:dyDescent="0.25">
      <c r="A82" s="147"/>
      <c r="B82" s="191"/>
      <c r="C82" s="7"/>
    </row>
    <row r="83" spans="1:4" ht="47.25" x14ac:dyDescent="0.25">
      <c r="A83" s="147">
        <v>1.21</v>
      </c>
      <c r="B83" s="191" t="s">
        <v>6180</v>
      </c>
      <c r="C83" s="7"/>
    </row>
    <row r="84" spans="1:4" x14ac:dyDescent="0.25">
      <c r="A84" s="147"/>
      <c r="B84" s="191" t="s">
        <v>755</v>
      </c>
      <c r="C84" s="7" t="s">
        <v>4217</v>
      </c>
      <c r="D84" s="101">
        <v>1087</v>
      </c>
    </row>
    <row r="85" spans="1:4" x14ac:dyDescent="0.25">
      <c r="A85" s="150" t="s">
        <v>2882</v>
      </c>
      <c r="B85" s="191" t="s">
        <v>756</v>
      </c>
      <c r="C85" s="7" t="s">
        <v>4217</v>
      </c>
      <c r="D85" s="101">
        <v>90</v>
      </c>
    </row>
    <row r="86" spans="1:4" x14ac:dyDescent="0.25">
      <c r="A86" s="147"/>
      <c r="B86" s="191"/>
      <c r="C86" s="7"/>
    </row>
    <row r="87" spans="1:4" x14ac:dyDescent="0.25">
      <c r="A87" s="147"/>
      <c r="B87" s="191"/>
      <c r="C87" s="7"/>
    </row>
    <row r="88" spans="1:4" x14ac:dyDescent="0.25">
      <c r="A88" s="147"/>
      <c r="B88" s="191"/>
      <c r="C88" s="7"/>
    </row>
    <row r="89" spans="1:4" ht="31.5" x14ac:dyDescent="0.25">
      <c r="A89" s="147">
        <v>1.22</v>
      </c>
      <c r="B89" s="191" t="s">
        <v>6181</v>
      </c>
      <c r="C89" s="7"/>
    </row>
    <row r="90" spans="1:4" x14ac:dyDescent="0.25">
      <c r="A90" s="147" t="s">
        <v>3175</v>
      </c>
      <c r="B90" s="191" t="s">
        <v>757</v>
      </c>
      <c r="C90" s="7" t="s">
        <v>4217</v>
      </c>
      <c r="D90" s="101">
        <v>439</v>
      </c>
    </row>
    <row r="91" spans="1:4" x14ac:dyDescent="0.25">
      <c r="A91" s="147" t="s">
        <v>3176</v>
      </c>
      <c r="B91" s="191" t="s">
        <v>758</v>
      </c>
      <c r="C91" s="7" t="s">
        <v>4217</v>
      </c>
      <c r="D91" s="101">
        <v>513</v>
      </c>
    </row>
    <row r="92" spans="1:4" x14ac:dyDescent="0.25">
      <c r="A92" s="147" t="s">
        <v>3177</v>
      </c>
      <c r="B92" s="191" t="s">
        <v>759</v>
      </c>
      <c r="C92" s="7" t="s">
        <v>4217</v>
      </c>
      <c r="D92" s="101">
        <v>168</v>
      </c>
    </row>
    <row r="93" spans="1:4" x14ac:dyDescent="0.25">
      <c r="A93" s="147" t="s">
        <v>1242</v>
      </c>
      <c r="B93" s="191" t="s">
        <v>213</v>
      </c>
      <c r="C93" s="7" t="s">
        <v>4217</v>
      </c>
      <c r="D93" s="101">
        <v>254</v>
      </c>
    </row>
    <row r="94" spans="1:4" x14ac:dyDescent="0.25">
      <c r="A94" s="147"/>
      <c r="B94" s="191" t="s">
        <v>2282</v>
      </c>
      <c r="C94" s="7"/>
    </row>
    <row r="95" spans="1:4" x14ac:dyDescent="0.25">
      <c r="A95" s="147">
        <v>1.23</v>
      </c>
      <c r="B95" s="191" t="s">
        <v>760</v>
      </c>
      <c r="C95" s="7" t="s">
        <v>4217</v>
      </c>
      <c r="D95" s="101">
        <v>828</v>
      </c>
    </row>
    <row r="96" spans="1:4" x14ac:dyDescent="0.25">
      <c r="A96" s="147"/>
      <c r="B96" s="191"/>
      <c r="C96" s="7"/>
    </row>
    <row r="97" spans="1:4" x14ac:dyDescent="0.25">
      <c r="A97" s="147">
        <v>1.24</v>
      </c>
      <c r="B97" s="191" t="s">
        <v>761</v>
      </c>
      <c r="C97" s="7" t="s">
        <v>4217</v>
      </c>
      <c r="D97" s="101">
        <v>306</v>
      </c>
    </row>
    <row r="98" spans="1:4" x14ac:dyDescent="0.25">
      <c r="A98" s="147"/>
      <c r="B98" s="191"/>
      <c r="C98" s="7"/>
    </row>
    <row r="99" spans="1:4" x14ac:dyDescent="0.25">
      <c r="A99" s="147">
        <v>1.25</v>
      </c>
      <c r="B99" s="191" t="s">
        <v>762</v>
      </c>
      <c r="C99" s="7" t="s">
        <v>4217</v>
      </c>
      <c r="D99" s="101">
        <v>244</v>
      </c>
    </row>
    <row r="100" spans="1:4" x14ac:dyDescent="0.25">
      <c r="A100" s="147"/>
      <c r="B100" s="191"/>
      <c r="C100" s="7"/>
    </row>
    <row r="101" spans="1:4" x14ac:dyDescent="0.25">
      <c r="A101" s="147">
        <v>1.26</v>
      </c>
      <c r="B101" s="191" t="s">
        <v>1243</v>
      </c>
      <c r="C101" s="7" t="s">
        <v>4217</v>
      </c>
      <c r="D101" s="101">
        <v>462</v>
      </c>
    </row>
    <row r="102" spans="1:4" x14ac:dyDescent="0.25">
      <c r="A102" s="147"/>
      <c r="B102" s="191"/>
      <c r="C102" s="7"/>
    </row>
    <row r="103" spans="1:4" x14ac:dyDescent="0.25">
      <c r="A103" s="147">
        <v>1.27</v>
      </c>
      <c r="B103" s="191" t="s">
        <v>763</v>
      </c>
      <c r="C103" s="7" t="s">
        <v>4217</v>
      </c>
      <c r="D103" s="101">
        <v>145</v>
      </c>
    </row>
    <row r="104" spans="1:4" x14ac:dyDescent="0.25">
      <c r="A104" s="147"/>
      <c r="B104" s="191"/>
      <c r="C104" s="7"/>
    </row>
    <row r="105" spans="1:4" ht="31.5" x14ac:dyDescent="0.25">
      <c r="A105" s="147">
        <v>1.28</v>
      </c>
      <c r="B105" s="191" t="s">
        <v>6182</v>
      </c>
      <c r="C105" s="7"/>
    </row>
    <row r="106" spans="1:4" x14ac:dyDescent="0.25">
      <c r="A106" s="147" t="s">
        <v>5361</v>
      </c>
      <c r="B106" s="191" t="s">
        <v>764</v>
      </c>
      <c r="C106" s="7" t="s">
        <v>4217</v>
      </c>
      <c r="D106" s="101">
        <v>1331</v>
      </c>
    </row>
    <row r="107" spans="1:4" x14ac:dyDescent="0.25">
      <c r="A107" s="147" t="s">
        <v>5362</v>
      </c>
      <c r="B107" s="191" t="s">
        <v>765</v>
      </c>
      <c r="C107" s="7" t="s">
        <v>4217</v>
      </c>
      <c r="D107" s="101">
        <v>1068</v>
      </c>
    </row>
    <row r="108" spans="1:4" x14ac:dyDescent="0.25">
      <c r="A108" s="147" t="s">
        <v>5363</v>
      </c>
      <c r="B108" s="191" t="s">
        <v>766</v>
      </c>
      <c r="C108" s="7" t="s">
        <v>4217</v>
      </c>
      <c r="D108" s="101">
        <v>736</v>
      </c>
    </row>
    <row r="109" spans="1:4" x14ac:dyDescent="0.25">
      <c r="A109" s="147" t="s">
        <v>5364</v>
      </c>
      <c r="B109" s="191" t="s">
        <v>767</v>
      </c>
      <c r="C109" s="7" t="s">
        <v>4217</v>
      </c>
      <c r="D109" s="101">
        <v>504</v>
      </c>
    </row>
    <row r="110" spans="1:4" x14ac:dyDescent="0.25">
      <c r="A110" s="147"/>
      <c r="B110" s="191"/>
      <c r="C110" s="7"/>
    </row>
    <row r="111" spans="1:4" ht="31.5" x14ac:dyDescent="0.25">
      <c r="A111" s="147" t="s">
        <v>5360</v>
      </c>
      <c r="B111" s="191" t="s">
        <v>6183</v>
      </c>
      <c r="C111" s="7" t="s">
        <v>4217</v>
      </c>
      <c r="D111" s="101">
        <v>363</v>
      </c>
    </row>
    <row r="112" spans="1:4" ht="31.5" x14ac:dyDescent="0.25">
      <c r="A112" s="147" t="s">
        <v>5365</v>
      </c>
      <c r="B112" s="191" t="s">
        <v>768</v>
      </c>
      <c r="C112" s="7" t="s">
        <v>4217</v>
      </c>
      <c r="D112" s="101">
        <v>246</v>
      </c>
    </row>
    <row r="113" spans="1:4" x14ac:dyDescent="0.25">
      <c r="A113" s="147"/>
      <c r="B113" s="191"/>
      <c r="C113" s="7"/>
    </row>
    <row r="114" spans="1:4" x14ac:dyDescent="0.25">
      <c r="A114" s="147" t="s">
        <v>3188</v>
      </c>
      <c r="B114" s="191" t="s">
        <v>6468</v>
      </c>
      <c r="C114" s="7" t="s">
        <v>4217</v>
      </c>
      <c r="D114" s="101">
        <v>152</v>
      </c>
    </row>
    <row r="115" spans="1:4" x14ac:dyDescent="0.25">
      <c r="A115" s="147" t="s">
        <v>3189</v>
      </c>
      <c r="B115" s="191" t="s">
        <v>6467</v>
      </c>
      <c r="C115" s="7" t="s">
        <v>4217</v>
      </c>
      <c r="D115" s="101">
        <v>206</v>
      </c>
    </row>
    <row r="116" spans="1:4" x14ac:dyDescent="0.25">
      <c r="A116" s="147"/>
      <c r="B116" s="191"/>
      <c r="C116" s="7"/>
    </row>
    <row r="117" spans="1:4" ht="31.5" x14ac:dyDescent="0.25">
      <c r="A117" s="147">
        <v>1.31</v>
      </c>
      <c r="B117" s="191" t="s">
        <v>6184</v>
      </c>
      <c r="C117" s="7" t="s">
        <v>769</v>
      </c>
      <c r="D117" s="101">
        <v>157</v>
      </c>
    </row>
    <row r="118" spans="1:4" x14ac:dyDescent="0.25">
      <c r="A118" s="147"/>
      <c r="B118" s="191"/>
      <c r="C118" s="7"/>
    </row>
    <row r="119" spans="1:4" x14ac:dyDescent="0.25">
      <c r="A119" s="147">
        <v>1.32</v>
      </c>
      <c r="B119" s="191" t="s">
        <v>1244</v>
      </c>
      <c r="C119" s="7" t="s">
        <v>4217</v>
      </c>
      <c r="D119" s="101">
        <v>375</v>
      </c>
    </row>
    <row r="120" spans="1:4" x14ac:dyDescent="0.25">
      <c r="A120" s="147"/>
      <c r="B120" s="191"/>
      <c r="C120" s="7"/>
    </row>
    <row r="121" spans="1:4" ht="31.5" x14ac:dyDescent="0.25">
      <c r="A121" s="147">
        <v>1.33</v>
      </c>
      <c r="B121" s="191" t="s">
        <v>770</v>
      </c>
      <c r="C121" s="7" t="s">
        <v>4217</v>
      </c>
      <c r="D121" s="101">
        <v>239</v>
      </c>
    </row>
    <row r="122" spans="1:4" x14ac:dyDescent="0.25">
      <c r="A122" s="147"/>
      <c r="B122" s="191"/>
      <c r="C122" s="7"/>
    </row>
    <row r="123" spans="1:4" ht="31.5" x14ac:dyDescent="0.25">
      <c r="A123" s="147">
        <v>1.34</v>
      </c>
      <c r="B123" s="191" t="s">
        <v>996</v>
      </c>
      <c r="C123" s="7" t="s">
        <v>728</v>
      </c>
      <c r="D123" s="101">
        <v>165</v>
      </c>
    </row>
    <row r="124" spans="1:4" x14ac:dyDescent="0.25">
      <c r="A124" s="147"/>
      <c r="B124" s="191"/>
      <c r="C124" s="7"/>
    </row>
    <row r="125" spans="1:4" x14ac:dyDescent="0.25">
      <c r="A125" s="147"/>
      <c r="B125" s="191"/>
      <c r="C125" s="7"/>
    </row>
    <row r="126" spans="1:4" x14ac:dyDescent="0.25">
      <c r="A126" s="147"/>
      <c r="B126" s="191"/>
      <c r="C126" s="7"/>
    </row>
    <row r="127" spans="1:4" ht="31.5" x14ac:dyDescent="0.25">
      <c r="A127" s="147">
        <v>1.35</v>
      </c>
      <c r="B127" s="191" t="s">
        <v>6185</v>
      </c>
      <c r="C127" s="7"/>
    </row>
    <row r="128" spans="1:4" x14ac:dyDescent="0.25">
      <c r="A128" s="147" t="s">
        <v>3203</v>
      </c>
      <c r="B128" s="191" t="s">
        <v>771</v>
      </c>
      <c r="C128" s="7" t="s">
        <v>4217</v>
      </c>
      <c r="D128" s="101">
        <v>3072</v>
      </c>
    </row>
    <row r="129" spans="1:4" x14ac:dyDescent="0.25">
      <c r="A129" s="147" t="s">
        <v>3204</v>
      </c>
      <c r="B129" s="191" t="s">
        <v>772</v>
      </c>
      <c r="C129" s="7" t="s">
        <v>4217</v>
      </c>
      <c r="D129" s="101">
        <v>3209</v>
      </c>
    </row>
    <row r="130" spans="1:4" x14ac:dyDescent="0.25">
      <c r="A130" s="147" t="s">
        <v>3205</v>
      </c>
      <c r="B130" s="191" t="s">
        <v>773</v>
      </c>
      <c r="C130" s="7" t="s">
        <v>4217</v>
      </c>
      <c r="D130" s="101">
        <v>3674</v>
      </c>
    </row>
    <row r="131" spans="1:4" x14ac:dyDescent="0.25">
      <c r="A131" s="147" t="s">
        <v>3206</v>
      </c>
      <c r="B131" s="191" t="s">
        <v>774</v>
      </c>
      <c r="C131" s="7" t="s">
        <v>4217</v>
      </c>
      <c r="D131" s="101">
        <v>3793</v>
      </c>
    </row>
    <row r="132" spans="1:4" x14ac:dyDescent="0.25">
      <c r="A132" s="147" t="s">
        <v>3207</v>
      </c>
      <c r="B132" s="191" t="s">
        <v>775</v>
      </c>
      <c r="C132" s="7" t="s">
        <v>4217</v>
      </c>
      <c r="D132" s="101">
        <v>2196</v>
      </c>
    </row>
    <row r="133" spans="1:4" x14ac:dyDescent="0.25">
      <c r="A133" s="147" t="s">
        <v>5366</v>
      </c>
      <c r="B133" s="191" t="s">
        <v>776</v>
      </c>
      <c r="C133" s="7" t="s">
        <v>4217</v>
      </c>
      <c r="D133" s="101">
        <v>2404</v>
      </c>
    </row>
    <row r="134" spans="1:4" x14ac:dyDescent="0.25">
      <c r="A134" s="147"/>
      <c r="B134" s="191"/>
      <c r="C134" s="7"/>
    </row>
    <row r="135" spans="1:4" x14ac:dyDescent="0.25">
      <c r="A135" s="6"/>
      <c r="B135" s="140" t="s">
        <v>777</v>
      </c>
      <c r="C135" s="7"/>
    </row>
    <row r="136" spans="1:4" ht="94.5" x14ac:dyDescent="0.25">
      <c r="A136" s="147">
        <v>1.36</v>
      </c>
      <c r="B136" s="191" t="s">
        <v>6201</v>
      </c>
      <c r="C136" s="7"/>
    </row>
    <row r="137" spans="1:4" x14ac:dyDescent="0.25">
      <c r="A137" s="147" t="s">
        <v>5367</v>
      </c>
      <c r="B137" s="191" t="s">
        <v>779</v>
      </c>
      <c r="C137" s="7" t="s">
        <v>4217</v>
      </c>
      <c r="D137" s="101">
        <v>2268</v>
      </c>
    </row>
    <row r="138" spans="1:4" x14ac:dyDescent="0.25">
      <c r="A138" s="147" t="s">
        <v>5368</v>
      </c>
      <c r="B138" s="191" t="s">
        <v>781</v>
      </c>
      <c r="C138" s="7" t="s">
        <v>4217</v>
      </c>
      <c r="D138" s="101">
        <v>2408</v>
      </c>
    </row>
    <row r="139" spans="1:4" x14ac:dyDescent="0.25">
      <c r="A139" s="147" t="s">
        <v>5369</v>
      </c>
      <c r="B139" s="191" t="s">
        <v>1247</v>
      </c>
      <c r="C139" s="7" t="s">
        <v>4217</v>
      </c>
      <c r="D139" s="101">
        <v>2598</v>
      </c>
    </row>
    <row r="140" spans="1:4" x14ac:dyDescent="0.25">
      <c r="A140" s="147" t="s">
        <v>5370</v>
      </c>
      <c r="B140" s="191" t="s">
        <v>784</v>
      </c>
      <c r="C140" s="7" t="s">
        <v>4217</v>
      </c>
      <c r="D140" s="101">
        <v>2745</v>
      </c>
    </row>
    <row r="141" spans="1:4" x14ac:dyDescent="0.25">
      <c r="A141" s="147" t="s">
        <v>5371</v>
      </c>
      <c r="B141" s="191" t="s">
        <v>1248</v>
      </c>
      <c r="C141" s="7" t="s">
        <v>4217</v>
      </c>
      <c r="D141" s="101">
        <v>3477</v>
      </c>
    </row>
    <row r="142" spans="1:4" x14ac:dyDescent="0.25">
      <c r="A142" s="147" t="s">
        <v>5372</v>
      </c>
      <c r="B142" s="191" t="s">
        <v>787</v>
      </c>
      <c r="C142" s="7" t="s">
        <v>4217</v>
      </c>
      <c r="D142" s="101">
        <v>2232</v>
      </c>
    </row>
    <row r="143" spans="1:4" x14ac:dyDescent="0.25">
      <c r="A143" s="147" t="s">
        <v>5373</v>
      </c>
      <c r="B143" s="191" t="s">
        <v>1007</v>
      </c>
      <c r="C143" s="7" t="s">
        <v>4217</v>
      </c>
      <c r="D143" s="101">
        <v>2957</v>
      </c>
    </row>
    <row r="144" spans="1:4" x14ac:dyDescent="0.25">
      <c r="A144" s="147" t="s">
        <v>5374</v>
      </c>
      <c r="B144" s="191" t="s">
        <v>1009</v>
      </c>
      <c r="C144" s="7" t="s">
        <v>4217</v>
      </c>
      <c r="D144" s="101">
        <v>2994</v>
      </c>
    </row>
    <row r="145" spans="1:4" x14ac:dyDescent="0.25">
      <c r="A145" s="147" t="s">
        <v>5375</v>
      </c>
      <c r="B145" s="191" t="s">
        <v>1011</v>
      </c>
      <c r="C145" s="7" t="s">
        <v>4217</v>
      </c>
      <c r="D145" s="101">
        <v>3265</v>
      </c>
    </row>
    <row r="146" spans="1:4" ht="31.5" x14ac:dyDescent="0.25">
      <c r="A146" s="147" t="s">
        <v>5376</v>
      </c>
      <c r="B146" s="191" t="s">
        <v>4658</v>
      </c>
      <c r="C146" s="7" t="s">
        <v>4217</v>
      </c>
      <c r="D146" s="101">
        <v>90</v>
      </c>
    </row>
    <row r="147" spans="1:4" x14ac:dyDescent="0.25">
      <c r="A147" s="147"/>
      <c r="B147" s="191"/>
      <c r="C147" s="7"/>
    </row>
    <row r="148" spans="1:4" ht="47.25" x14ac:dyDescent="0.25">
      <c r="A148" s="147">
        <v>1.37</v>
      </c>
      <c r="B148" s="191" t="s">
        <v>1012</v>
      </c>
      <c r="C148" s="7"/>
    </row>
    <row r="149" spans="1:4" x14ac:dyDescent="0.25">
      <c r="A149" s="147" t="s">
        <v>3164</v>
      </c>
      <c r="B149" s="191" t="s">
        <v>1013</v>
      </c>
      <c r="C149" s="7" t="s">
        <v>4217</v>
      </c>
      <c r="D149" s="101">
        <v>1058</v>
      </c>
    </row>
    <row r="150" spans="1:4" x14ac:dyDescent="0.25">
      <c r="A150" s="147" t="s">
        <v>3165</v>
      </c>
      <c r="B150" s="191" t="s">
        <v>1014</v>
      </c>
      <c r="C150" s="7" t="s">
        <v>4217</v>
      </c>
      <c r="D150" s="101">
        <v>1142</v>
      </c>
    </row>
    <row r="151" spans="1:4" x14ac:dyDescent="0.25">
      <c r="A151" s="147"/>
      <c r="B151" s="191"/>
      <c r="C151" s="7"/>
    </row>
    <row r="152" spans="1:4" x14ac:dyDescent="0.25">
      <c r="A152" s="6"/>
      <c r="B152" s="140" t="s">
        <v>1015</v>
      </c>
      <c r="C152" s="7"/>
    </row>
    <row r="153" spans="1:4" ht="78.75" x14ac:dyDescent="0.25">
      <c r="A153" s="7">
        <v>1.38</v>
      </c>
      <c r="B153" s="191" t="s">
        <v>6186</v>
      </c>
      <c r="C153" s="7"/>
    </row>
    <row r="154" spans="1:4" ht="31.5" x14ac:dyDescent="0.25">
      <c r="A154" s="147" t="s">
        <v>778</v>
      </c>
      <c r="B154" s="191" t="s">
        <v>436</v>
      </c>
      <c r="C154" s="7" t="s">
        <v>4217</v>
      </c>
      <c r="D154" s="101">
        <v>3890</v>
      </c>
    </row>
    <row r="155" spans="1:4" ht="31.5" x14ac:dyDescent="0.25">
      <c r="A155" s="147" t="s">
        <v>780</v>
      </c>
      <c r="B155" s="191" t="s">
        <v>437</v>
      </c>
      <c r="C155" s="7" t="s">
        <v>4217</v>
      </c>
      <c r="D155" s="101">
        <v>3743</v>
      </c>
    </row>
    <row r="156" spans="1:4" x14ac:dyDescent="0.25">
      <c r="A156" s="147"/>
      <c r="B156" s="191"/>
      <c r="C156" s="7"/>
      <c r="D156" s="101"/>
    </row>
    <row r="157" spans="1:4" x14ac:dyDescent="0.25">
      <c r="A157" s="147" t="s">
        <v>782</v>
      </c>
      <c r="B157" s="191" t="s">
        <v>1016</v>
      </c>
      <c r="C157" s="7" t="s">
        <v>4217</v>
      </c>
      <c r="D157" s="101">
        <v>2754</v>
      </c>
    </row>
    <row r="158" spans="1:4" x14ac:dyDescent="0.25">
      <c r="A158" s="147" t="s">
        <v>783</v>
      </c>
      <c r="B158" s="191" t="s">
        <v>1017</v>
      </c>
      <c r="C158" s="7" t="s">
        <v>4217</v>
      </c>
      <c r="D158" s="101">
        <v>2278</v>
      </c>
    </row>
    <row r="159" spans="1:4" x14ac:dyDescent="0.25">
      <c r="A159" s="147" t="s">
        <v>785</v>
      </c>
      <c r="B159" s="191" t="s">
        <v>1018</v>
      </c>
      <c r="C159" s="7" t="s">
        <v>4217</v>
      </c>
      <c r="D159" s="101">
        <v>2059</v>
      </c>
    </row>
    <row r="160" spans="1:4" x14ac:dyDescent="0.25">
      <c r="A160" s="147" t="s">
        <v>786</v>
      </c>
      <c r="B160" s="191" t="s">
        <v>1019</v>
      </c>
      <c r="C160" s="7" t="s">
        <v>4217</v>
      </c>
      <c r="D160" s="101">
        <v>1619</v>
      </c>
    </row>
    <row r="161" spans="1:4" x14ac:dyDescent="0.25">
      <c r="A161" s="147" t="s">
        <v>788</v>
      </c>
      <c r="B161" s="191" t="s">
        <v>1020</v>
      </c>
      <c r="C161" s="7" t="s">
        <v>4217</v>
      </c>
      <c r="D161" s="101">
        <v>1430</v>
      </c>
    </row>
    <row r="162" spans="1:4" ht="31.5" x14ac:dyDescent="0.25">
      <c r="A162" s="147" t="s">
        <v>1008</v>
      </c>
      <c r="B162" s="191" t="s">
        <v>1021</v>
      </c>
      <c r="C162" s="7" t="s">
        <v>4217</v>
      </c>
      <c r="D162" s="101">
        <v>1839</v>
      </c>
    </row>
    <row r="163" spans="1:4" ht="47.25" x14ac:dyDescent="0.25">
      <c r="A163" s="147" t="s">
        <v>1010</v>
      </c>
      <c r="B163" s="191" t="s">
        <v>5602</v>
      </c>
      <c r="C163" s="7"/>
    </row>
    <row r="164" spans="1:4" x14ac:dyDescent="0.25">
      <c r="A164" s="147"/>
      <c r="B164" s="191"/>
      <c r="C164" s="7"/>
    </row>
    <row r="165" spans="1:4" x14ac:dyDescent="0.25">
      <c r="A165" s="147"/>
      <c r="B165" s="191" t="s">
        <v>6187</v>
      </c>
      <c r="C165" s="7"/>
    </row>
    <row r="166" spans="1:4" x14ac:dyDescent="0.25">
      <c r="A166" s="147"/>
      <c r="B166" s="191" t="s">
        <v>1022</v>
      </c>
      <c r="C166" s="7"/>
    </row>
    <row r="167" spans="1:4" x14ac:dyDescent="0.25">
      <c r="A167" s="147" t="s">
        <v>5377</v>
      </c>
      <c r="B167" s="191" t="s">
        <v>1023</v>
      </c>
      <c r="C167" s="7" t="s">
        <v>4217</v>
      </c>
      <c r="D167" s="101">
        <v>3817</v>
      </c>
    </row>
    <row r="168" spans="1:4" x14ac:dyDescent="0.25">
      <c r="A168" s="147" t="s">
        <v>5378</v>
      </c>
      <c r="B168" s="191" t="s">
        <v>1024</v>
      </c>
      <c r="C168" s="7" t="s">
        <v>4217</v>
      </c>
      <c r="D168" s="101">
        <v>4330</v>
      </c>
    </row>
    <row r="169" spans="1:4" x14ac:dyDescent="0.25">
      <c r="A169" s="147" t="s">
        <v>5379</v>
      </c>
      <c r="B169" s="191" t="s">
        <v>1025</v>
      </c>
      <c r="C169" s="7" t="s">
        <v>4217</v>
      </c>
      <c r="D169" s="101">
        <v>5062</v>
      </c>
    </row>
    <row r="170" spans="1:4" x14ac:dyDescent="0.25">
      <c r="A170" s="147" t="s">
        <v>5380</v>
      </c>
      <c r="B170" s="191" t="s">
        <v>1026</v>
      </c>
      <c r="C170" s="7" t="s">
        <v>4217</v>
      </c>
      <c r="D170" s="101">
        <v>5576</v>
      </c>
    </row>
    <row r="171" spans="1:4" x14ac:dyDescent="0.25">
      <c r="A171" s="147" t="s">
        <v>5381</v>
      </c>
      <c r="B171" s="191" t="s">
        <v>1027</v>
      </c>
      <c r="C171" s="7" t="s">
        <v>4217</v>
      </c>
      <c r="D171" s="101">
        <v>8725</v>
      </c>
    </row>
    <row r="172" spans="1:4" ht="31.5" x14ac:dyDescent="0.25">
      <c r="A172" s="147" t="s">
        <v>2882</v>
      </c>
      <c r="B172" s="191" t="s">
        <v>5603</v>
      </c>
      <c r="C172" s="7" t="s">
        <v>4217</v>
      </c>
      <c r="D172" s="163">
        <v>0.35</v>
      </c>
    </row>
    <row r="173" spans="1:4" x14ac:dyDescent="0.25">
      <c r="A173" s="147"/>
      <c r="B173" s="191"/>
      <c r="C173" s="7"/>
    </row>
    <row r="174" spans="1:4" ht="47.25" x14ac:dyDescent="0.25">
      <c r="A174" s="147">
        <v>1.39</v>
      </c>
      <c r="B174" s="191" t="s">
        <v>6341</v>
      </c>
      <c r="C174" s="7"/>
    </row>
    <row r="175" spans="1:4" x14ac:dyDescent="0.25">
      <c r="A175" s="147" t="s">
        <v>1245</v>
      </c>
      <c r="B175" s="191" t="s">
        <v>1028</v>
      </c>
      <c r="C175" s="7" t="s">
        <v>4217</v>
      </c>
      <c r="D175" s="101">
        <v>1200</v>
      </c>
    </row>
    <row r="176" spans="1:4" x14ac:dyDescent="0.25">
      <c r="A176" s="147" t="s">
        <v>1246</v>
      </c>
      <c r="B176" s="191" t="s">
        <v>1029</v>
      </c>
      <c r="C176" s="7" t="s">
        <v>2217</v>
      </c>
      <c r="D176" s="101">
        <v>407</v>
      </c>
    </row>
    <row r="177" spans="1:4" x14ac:dyDescent="0.25">
      <c r="A177" s="147"/>
      <c r="B177" s="191"/>
      <c r="C177" s="7"/>
    </row>
    <row r="178" spans="1:4" ht="18.75" x14ac:dyDescent="0.25">
      <c r="A178" s="7">
        <v>1.4</v>
      </c>
      <c r="B178" s="191" t="s">
        <v>6188</v>
      </c>
      <c r="C178" s="7" t="s">
        <v>2217</v>
      </c>
      <c r="D178" s="101">
        <v>1444</v>
      </c>
    </row>
    <row r="179" spans="1:4" x14ac:dyDescent="0.25">
      <c r="A179" s="147"/>
      <c r="B179" s="191"/>
      <c r="C179" s="7"/>
    </row>
    <row r="180" spans="1:4" x14ac:dyDescent="0.25">
      <c r="A180" s="6"/>
      <c r="B180" s="140" t="s">
        <v>1030</v>
      </c>
      <c r="C180" s="7"/>
    </row>
    <row r="181" spans="1:4" x14ac:dyDescent="0.25">
      <c r="A181" s="147">
        <v>1.41</v>
      </c>
      <c r="B181" s="191" t="s">
        <v>1031</v>
      </c>
      <c r="C181" s="7"/>
    </row>
    <row r="182" spans="1:4" x14ac:dyDescent="0.25">
      <c r="A182" s="147" t="s">
        <v>1250</v>
      </c>
      <c r="B182" s="191" t="s">
        <v>1033</v>
      </c>
      <c r="C182" s="7" t="s">
        <v>4217</v>
      </c>
      <c r="D182" s="101">
        <v>584</v>
      </c>
    </row>
    <row r="183" spans="1:4" x14ac:dyDescent="0.25">
      <c r="A183" s="147" t="s">
        <v>1251</v>
      </c>
      <c r="B183" s="191" t="s">
        <v>1035</v>
      </c>
      <c r="C183" s="7" t="s">
        <v>4217</v>
      </c>
      <c r="D183" s="101">
        <v>633</v>
      </c>
    </row>
    <row r="184" spans="1:4" x14ac:dyDescent="0.25">
      <c r="A184" s="147" t="s">
        <v>5382</v>
      </c>
      <c r="B184" s="191" t="s">
        <v>1037</v>
      </c>
      <c r="C184" s="7" t="s">
        <v>4217</v>
      </c>
      <c r="D184" s="101">
        <v>512</v>
      </c>
    </row>
    <row r="185" spans="1:4" x14ac:dyDescent="0.25">
      <c r="A185" s="147" t="s">
        <v>5383</v>
      </c>
      <c r="B185" s="191" t="s">
        <v>1039</v>
      </c>
      <c r="C185" s="7" t="s">
        <v>4217</v>
      </c>
      <c r="D185" s="101">
        <v>572</v>
      </c>
    </row>
    <row r="186" spans="1:4" x14ac:dyDescent="0.25">
      <c r="A186" s="147" t="s">
        <v>5384</v>
      </c>
      <c r="B186" s="191" t="s">
        <v>1041</v>
      </c>
      <c r="C186" s="7" t="s">
        <v>4217</v>
      </c>
      <c r="D186" s="101">
        <v>130</v>
      </c>
    </row>
    <row r="187" spans="1:4" x14ac:dyDescent="0.25">
      <c r="A187" s="147"/>
      <c r="B187" s="191"/>
      <c r="C187" s="7"/>
    </row>
    <row r="188" spans="1:4" x14ac:dyDescent="0.25">
      <c r="A188" s="147">
        <v>1.42</v>
      </c>
      <c r="B188" s="191" t="s">
        <v>1042</v>
      </c>
      <c r="C188" s="7"/>
      <c r="D188" s="6"/>
    </row>
    <row r="189" spans="1:4" x14ac:dyDescent="0.25">
      <c r="A189" s="147" t="s">
        <v>5385</v>
      </c>
      <c r="B189" s="191" t="s">
        <v>1043</v>
      </c>
      <c r="C189" s="7" t="s">
        <v>4217</v>
      </c>
      <c r="D189" s="101">
        <v>143</v>
      </c>
    </row>
    <row r="190" spans="1:4" x14ac:dyDescent="0.25">
      <c r="A190" s="147" t="s">
        <v>5386</v>
      </c>
      <c r="B190" s="191" t="s">
        <v>1044</v>
      </c>
      <c r="C190" s="7" t="s">
        <v>4217</v>
      </c>
      <c r="D190" s="101">
        <v>218</v>
      </c>
    </row>
    <row r="191" spans="1:4" x14ac:dyDescent="0.25">
      <c r="A191" s="147" t="s">
        <v>5387</v>
      </c>
      <c r="B191" s="191" t="s">
        <v>424</v>
      </c>
      <c r="C191" s="7" t="s">
        <v>4217</v>
      </c>
      <c r="D191" s="101">
        <v>262</v>
      </c>
    </row>
    <row r="192" spans="1:4" x14ac:dyDescent="0.25">
      <c r="A192" s="147" t="s">
        <v>5388</v>
      </c>
      <c r="B192" s="191" t="s">
        <v>423</v>
      </c>
      <c r="C192" s="7" t="s">
        <v>4217</v>
      </c>
      <c r="D192" s="101">
        <v>305</v>
      </c>
    </row>
    <row r="193" spans="1:4" x14ac:dyDescent="0.25">
      <c r="A193" s="147"/>
      <c r="B193" s="191"/>
      <c r="C193" s="7"/>
    </row>
    <row r="194" spans="1:4" x14ac:dyDescent="0.25">
      <c r="A194" s="147"/>
      <c r="B194" s="191"/>
      <c r="C194" s="7"/>
    </row>
    <row r="195" spans="1:4" x14ac:dyDescent="0.25">
      <c r="A195" s="147">
        <v>1.43</v>
      </c>
      <c r="B195" s="191" t="s">
        <v>1045</v>
      </c>
      <c r="C195" s="7"/>
    </row>
    <row r="196" spans="1:4" x14ac:dyDescent="0.25">
      <c r="A196" s="147" t="s">
        <v>1032</v>
      </c>
      <c r="B196" s="191" t="s">
        <v>1047</v>
      </c>
      <c r="C196" s="7" t="s">
        <v>4217</v>
      </c>
      <c r="D196" s="101">
        <v>145</v>
      </c>
    </row>
    <row r="197" spans="1:4" x14ac:dyDescent="0.25">
      <c r="A197" s="147" t="s">
        <v>1034</v>
      </c>
      <c r="B197" s="191" t="s">
        <v>1049</v>
      </c>
      <c r="C197" s="7" t="s">
        <v>4217</v>
      </c>
      <c r="D197" s="101">
        <v>61</v>
      </c>
    </row>
    <row r="198" spans="1:4" x14ac:dyDescent="0.25">
      <c r="A198" s="147" t="s">
        <v>1036</v>
      </c>
      <c r="B198" s="191" t="s">
        <v>1051</v>
      </c>
      <c r="C198" s="7" t="s">
        <v>4217</v>
      </c>
      <c r="D198" s="101">
        <v>157</v>
      </c>
    </row>
    <row r="199" spans="1:4" x14ac:dyDescent="0.25">
      <c r="A199" s="147" t="s">
        <v>1038</v>
      </c>
      <c r="B199" s="191" t="s">
        <v>1052</v>
      </c>
      <c r="C199" s="7" t="s">
        <v>4217</v>
      </c>
      <c r="D199" s="101">
        <v>224</v>
      </c>
    </row>
    <row r="200" spans="1:4" x14ac:dyDescent="0.25">
      <c r="A200" s="147" t="s">
        <v>1040</v>
      </c>
      <c r="B200" s="191" t="s">
        <v>1053</v>
      </c>
      <c r="C200" s="7" t="s">
        <v>4217</v>
      </c>
      <c r="D200" s="101">
        <v>297</v>
      </c>
    </row>
    <row r="201" spans="1:4" x14ac:dyDescent="0.25">
      <c r="A201" s="147"/>
      <c r="B201" s="191"/>
      <c r="C201" s="7"/>
    </row>
    <row r="202" spans="1:4" ht="63" x14ac:dyDescent="0.25">
      <c r="A202" s="147">
        <v>1.44</v>
      </c>
      <c r="B202" s="191" t="s">
        <v>6189</v>
      </c>
      <c r="C202" s="7"/>
    </row>
    <row r="203" spans="1:4" x14ac:dyDescent="0.25">
      <c r="A203" s="147" t="s">
        <v>1254</v>
      </c>
      <c r="B203" s="191" t="s">
        <v>1055</v>
      </c>
      <c r="C203" s="7" t="s">
        <v>4217</v>
      </c>
      <c r="D203" s="101">
        <v>575</v>
      </c>
    </row>
    <row r="204" spans="1:4" x14ac:dyDescent="0.25">
      <c r="A204" s="147" t="s">
        <v>1255</v>
      </c>
      <c r="B204" s="191" t="s">
        <v>1057</v>
      </c>
      <c r="C204" s="7" t="s">
        <v>2606</v>
      </c>
      <c r="D204" s="101">
        <v>1538</v>
      </c>
    </row>
    <row r="205" spans="1:4" ht="31.5" x14ac:dyDescent="0.25">
      <c r="A205" s="147" t="s">
        <v>2882</v>
      </c>
      <c r="B205" s="191" t="s">
        <v>4308</v>
      </c>
      <c r="C205" s="7"/>
    </row>
    <row r="206" spans="1:4" x14ac:dyDescent="0.25">
      <c r="A206" s="147"/>
      <c r="B206" s="191"/>
      <c r="C206" s="7"/>
    </row>
    <row r="207" spans="1:4" ht="31.5" x14ac:dyDescent="0.25">
      <c r="A207" s="147">
        <v>1.45</v>
      </c>
      <c r="B207" s="191" t="s">
        <v>6190</v>
      </c>
      <c r="C207" s="7"/>
    </row>
    <row r="208" spans="1:4" x14ac:dyDescent="0.25">
      <c r="A208" s="147" t="s">
        <v>1046</v>
      </c>
      <c r="B208" s="191" t="s">
        <v>1059</v>
      </c>
      <c r="C208" s="7" t="s">
        <v>4217</v>
      </c>
      <c r="D208" s="101">
        <v>351</v>
      </c>
    </row>
    <row r="209" spans="1:4" x14ac:dyDescent="0.25">
      <c r="A209" s="147" t="s">
        <v>1048</v>
      </c>
      <c r="B209" s="191" t="s">
        <v>1061</v>
      </c>
      <c r="C209" s="7" t="s">
        <v>2217</v>
      </c>
      <c r="D209" s="101">
        <v>514</v>
      </c>
    </row>
    <row r="210" spans="1:4" x14ac:dyDescent="0.25">
      <c r="A210" s="147" t="s">
        <v>1050</v>
      </c>
      <c r="B210" s="191" t="s">
        <v>1063</v>
      </c>
      <c r="C210" s="7" t="s">
        <v>4217</v>
      </c>
      <c r="D210" s="101">
        <v>549</v>
      </c>
    </row>
    <row r="211" spans="1:4" ht="31.5" x14ac:dyDescent="0.25">
      <c r="A211" s="147" t="s">
        <v>2882</v>
      </c>
      <c r="B211" s="191" t="s">
        <v>4308</v>
      </c>
      <c r="C211" s="7"/>
    </row>
    <row r="212" spans="1:4" x14ac:dyDescent="0.25">
      <c r="A212" s="147"/>
      <c r="B212" s="191"/>
      <c r="C212" s="7"/>
    </row>
    <row r="213" spans="1:4" x14ac:dyDescent="0.25">
      <c r="A213" s="147">
        <v>1.46</v>
      </c>
      <c r="B213" s="191" t="s">
        <v>1064</v>
      </c>
      <c r="C213" s="7"/>
    </row>
    <row r="214" spans="1:4" x14ac:dyDescent="0.25">
      <c r="A214" s="147" t="s">
        <v>1054</v>
      </c>
      <c r="B214" s="191" t="s">
        <v>1066</v>
      </c>
      <c r="C214" s="7" t="s">
        <v>4217</v>
      </c>
      <c r="D214" s="101">
        <v>440</v>
      </c>
    </row>
    <row r="215" spans="1:4" x14ac:dyDescent="0.25">
      <c r="A215" s="147" t="s">
        <v>1056</v>
      </c>
      <c r="B215" s="191" t="s">
        <v>1068</v>
      </c>
      <c r="C215" s="7" t="s">
        <v>4217</v>
      </c>
      <c r="D215" s="101">
        <v>520</v>
      </c>
    </row>
    <row r="216" spans="1:4" ht="31.5" x14ac:dyDescent="0.25">
      <c r="A216" s="147" t="s">
        <v>5389</v>
      </c>
      <c r="B216" s="191" t="s">
        <v>1070</v>
      </c>
      <c r="C216" s="7" t="s">
        <v>4217</v>
      </c>
      <c r="D216" s="101">
        <v>431</v>
      </c>
    </row>
    <row r="217" spans="1:4" ht="31.5" x14ac:dyDescent="0.25">
      <c r="A217" s="147" t="s">
        <v>5390</v>
      </c>
      <c r="B217" s="191" t="s">
        <v>4310</v>
      </c>
      <c r="C217" s="7" t="s">
        <v>4217</v>
      </c>
      <c r="D217" s="101">
        <v>520</v>
      </c>
    </row>
    <row r="218" spans="1:4" ht="31.5" x14ac:dyDescent="0.25">
      <c r="A218" s="147" t="s">
        <v>5391</v>
      </c>
      <c r="B218" s="191" t="s">
        <v>4309</v>
      </c>
      <c r="C218" s="7" t="s">
        <v>4217</v>
      </c>
      <c r="D218" s="101">
        <v>997</v>
      </c>
    </row>
    <row r="219" spans="1:4" ht="47.25" x14ac:dyDescent="0.25">
      <c r="A219" s="147" t="s">
        <v>5392</v>
      </c>
      <c r="B219" s="191" t="s">
        <v>1074</v>
      </c>
      <c r="C219" s="7" t="s">
        <v>1075</v>
      </c>
      <c r="D219" s="101">
        <v>361</v>
      </c>
    </row>
    <row r="220" spans="1:4" x14ac:dyDescent="0.25">
      <c r="A220" s="147"/>
      <c r="B220" s="191"/>
      <c r="C220" s="7"/>
    </row>
    <row r="221" spans="1:4" x14ac:dyDescent="0.25">
      <c r="A221" s="147">
        <v>1.47</v>
      </c>
      <c r="B221" s="191" t="s">
        <v>6191</v>
      </c>
      <c r="C221" s="7"/>
    </row>
    <row r="222" spans="1:4" ht="31.5" x14ac:dyDescent="0.25">
      <c r="A222" s="147" t="s">
        <v>1058</v>
      </c>
      <c r="B222" s="191" t="s">
        <v>1077</v>
      </c>
      <c r="C222" s="7" t="s">
        <v>4217</v>
      </c>
      <c r="D222" s="101">
        <v>468</v>
      </c>
    </row>
    <row r="223" spans="1:4" ht="31.5" x14ac:dyDescent="0.25">
      <c r="A223" s="147" t="s">
        <v>1060</v>
      </c>
      <c r="B223" s="191" t="s">
        <v>1079</v>
      </c>
      <c r="C223" s="7" t="s">
        <v>4217</v>
      </c>
      <c r="D223" s="101">
        <v>516</v>
      </c>
    </row>
    <row r="224" spans="1:4" x14ac:dyDescent="0.25">
      <c r="A224" s="147" t="s">
        <v>1062</v>
      </c>
      <c r="B224" s="191" t="s">
        <v>1080</v>
      </c>
      <c r="C224" s="7" t="s">
        <v>4217</v>
      </c>
      <c r="D224" s="101">
        <v>296</v>
      </c>
    </row>
    <row r="225" spans="1:4" x14ac:dyDescent="0.25">
      <c r="A225" s="147" t="s">
        <v>5393</v>
      </c>
      <c r="B225" s="191" t="s">
        <v>1081</v>
      </c>
      <c r="C225" s="7" t="s">
        <v>4217</v>
      </c>
      <c r="D225" s="101">
        <v>337</v>
      </c>
    </row>
    <row r="226" spans="1:4" x14ac:dyDescent="0.25">
      <c r="A226" s="147"/>
      <c r="B226" s="191"/>
      <c r="C226" s="7"/>
      <c r="D226" s="101"/>
    </row>
    <row r="227" spans="1:4" ht="31.5" x14ac:dyDescent="0.25">
      <c r="A227" s="147" t="s">
        <v>5394</v>
      </c>
      <c r="B227" s="191" t="s">
        <v>1082</v>
      </c>
      <c r="C227" s="7" t="s">
        <v>4217</v>
      </c>
      <c r="D227" s="101">
        <v>152</v>
      </c>
    </row>
    <row r="228" spans="1:4" ht="31.5" x14ac:dyDescent="0.25">
      <c r="A228" s="147" t="s">
        <v>5395</v>
      </c>
      <c r="B228" s="191" t="s">
        <v>1083</v>
      </c>
      <c r="C228" s="7" t="s">
        <v>4217</v>
      </c>
      <c r="D228" s="101">
        <v>165</v>
      </c>
    </row>
    <row r="229" spans="1:4" ht="34.5" x14ac:dyDescent="0.25">
      <c r="A229" s="147" t="s">
        <v>5396</v>
      </c>
      <c r="B229" s="191" t="s">
        <v>6192</v>
      </c>
      <c r="C229" s="7" t="s">
        <v>4217</v>
      </c>
      <c r="D229" s="101">
        <v>144</v>
      </c>
    </row>
    <row r="230" spans="1:4" x14ac:dyDescent="0.25">
      <c r="A230" s="147" t="s">
        <v>5397</v>
      </c>
      <c r="B230" s="191" t="s">
        <v>1084</v>
      </c>
      <c r="C230" s="7" t="s">
        <v>4217</v>
      </c>
      <c r="D230" s="101">
        <v>254</v>
      </c>
    </row>
    <row r="231" spans="1:4" ht="31.5" x14ac:dyDescent="0.25">
      <c r="A231" s="147" t="s">
        <v>5398</v>
      </c>
      <c r="B231" s="191" t="s">
        <v>1085</v>
      </c>
      <c r="C231" s="7" t="s">
        <v>4217</v>
      </c>
      <c r="D231" s="101">
        <v>165</v>
      </c>
    </row>
    <row r="232" spans="1:4" x14ac:dyDescent="0.25">
      <c r="A232" s="147"/>
      <c r="B232" s="191"/>
      <c r="C232" s="7"/>
    </row>
    <row r="233" spans="1:4" x14ac:dyDescent="0.25">
      <c r="A233" s="7">
        <v>1.48</v>
      </c>
      <c r="B233" s="191" t="s">
        <v>1086</v>
      </c>
      <c r="C233" s="7"/>
    </row>
    <row r="234" spans="1:4" x14ac:dyDescent="0.25">
      <c r="A234" s="147" t="s">
        <v>1065</v>
      </c>
      <c r="B234" s="191" t="s">
        <v>1088</v>
      </c>
      <c r="C234" s="7" t="s">
        <v>4217</v>
      </c>
      <c r="D234" s="101">
        <v>62</v>
      </c>
    </row>
    <row r="235" spans="1:4" ht="31.5" x14ac:dyDescent="0.25">
      <c r="A235" s="147" t="s">
        <v>1067</v>
      </c>
      <c r="B235" s="191" t="s">
        <v>1090</v>
      </c>
      <c r="C235" s="7" t="s">
        <v>4217</v>
      </c>
      <c r="D235" s="101">
        <v>97</v>
      </c>
    </row>
    <row r="236" spans="1:4" ht="31.5" x14ac:dyDescent="0.25">
      <c r="A236" s="147" t="s">
        <v>1069</v>
      </c>
      <c r="B236" s="191" t="s">
        <v>1092</v>
      </c>
      <c r="C236" s="7" t="s">
        <v>4217</v>
      </c>
      <c r="D236" s="101">
        <v>89</v>
      </c>
    </row>
    <row r="237" spans="1:4" x14ac:dyDescent="0.25">
      <c r="A237" s="147" t="s">
        <v>1071</v>
      </c>
      <c r="B237" s="191" t="s">
        <v>1093</v>
      </c>
      <c r="C237" s="7" t="s">
        <v>4217</v>
      </c>
      <c r="D237" s="101">
        <v>97</v>
      </c>
    </row>
    <row r="238" spans="1:4" x14ac:dyDescent="0.25">
      <c r="A238" s="147" t="s">
        <v>1072</v>
      </c>
      <c r="B238" s="191" t="s">
        <v>1094</v>
      </c>
      <c r="C238" s="7" t="s">
        <v>4217</v>
      </c>
      <c r="D238" s="101">
        <v>358</v>
      </c>
    </row>
    <row r="239" spans="1:4" ht="31.5" x14ac:dyDescent="0.25">
      <c r="A239" s="147" t="s">
        <v>1073</v>
      </c>
      <c r="B239" s="191" t="s">
        <v>1095</v>
      </c>
      <c r="C239" s="7" t="s">
        <v>4217</v>
      </c>
      <c r="D239" s="101">
        <v>131</v>
      </c>
    </row>
    <row r="240" spans="1:4" x14ac:dyDescent="0.25">
      <c r="A240" s="147" t="s">
        <v>5399</v>
      </c>
      <c r="B240" s="191" t="s">
        <v>1096</v>
      </c>
      <c r="C240" s="7" t="s">
        <v>4217</v>
      </c>
      <c r="D240" s="101">
        <v>55</v>
      </c>
    </row>
    <row r="241" spans="1:4" x14ac:dyDescent="0.25">
      <c r="A241" s="147" t="s">
        <v>5400</v>
      </c>
      <c r="B241" s="191" t="s">
        <v>1097</v>
      </c>
      <c r="C241" s="7" t="s">
        <v>4217</v>
      </c>
      <c r="D241" s="101">
        <v>69</v>
      </c>
    </row>
    <row r="242" spans="1:4" x14ac:dyDescent="0.25">
      <c r="A242" s="147"/>
      <c r="B242" s="191"/>
      <c r="C242" s="7"/>
    </row>
    <row r="243" spans="1:4" ht="31.5" x14ac:dyDescent="0.25">
      <c r="A243" s="147">
        <v>1.49</v>
      </c>
      <c r="B243" s="191" t="s">
        <v>6193</v>
      </c>
      <c r="C243" s="7"/>
    </row>
    <row r="244" spans="1:4" x14ac:dyDescent="0.25">
      <c r="A244" s="147" t="s">
        <v>1076</v>
      </c>
      <c r="B244" s="191" t="s">
        <v>1099</v>
      </c>
      <c r="C244" s="7" t="s">
        <v>4217</v>
      </c>
      <c r="D244" s="101">
        <v>238</v>
      </c>
    </row>
    <row r="245" spans="1:4" x14ac:dyDescent="0.25">
      <c r="A245" s="147" t="s">
        <v>1078</v>
      </c>
      <c r="B245" s="191" t="s">
        <v>1101</v>
      </c>
      <c r="C245" s="7" t="s">
        <v>4217</v>
      </c>
      <c r="D245" s="101">
        <v>164</v>
      </c>
    </row>
    <row r="246" spans="1:4" x14ac:dyDescent="0.25">
      <c r="A246" s="147"/>
      <c r="B246" s="191"/>
      <c r="C246" s="7"/>
    </row>
    <row r="247" spans="1:4" ht="31.5" x14ac:dyDescent="0.25">
      <c r="A247" s="7">
        <v>1.5</v>
      </c>
      <c r="B247" s="191" t="s">
        <v>6194</v>
      </c>
      <c r="C247" s="7"/>
    </row>
    <row r="248" spans="1:4" x14ac:dyDescent="0.25">
      <c r="A248" s="147" t="s">
        <v>1087</v>
      </c>
      <c r="B248" s="191" t="s">
        <v>1103</v>
      </c>
      <c r="C248" s="7" t="s">
        <v>4217</v>
      </c>
      <c r="D248" s="101">
        <v>127</v>
      </c>
    </row>
    <row r="249" spans="1:4" x14ac:dyDescent="0.25">
      <c r="A249" s="147" t="s">
        <v>1089</v>
      </c>
      <c r="B249" s="191" t="s">
        <v>4301</v>
      </c>
      <c r="C249" s="7" t="s">
        <v>4217</v>
      </c>
      <c r="D249" s="101">
        <v>520</v>
      </c>
    </row>
    <row r="250" spans="1:4" x14ac:dyDescent="0.25">
      <c r="A250" s="147" t="s">
        <v>1091</v>
      </c>
      <c r="B250" s="191" t="s">
        <v>1106</v>
      </c>
      <c r="C250" s="7" t="s">
        <v>4217</v>
      </c>
      <c r="D250" s="101">
        <v>319</v>
      </c>
    </row>
    <row r="251" spans="1:4" x14ac:dyDescent="0.25">
      <c r="A251" s="147"/>
      <c r="B251" s="191"/>
      <c r="C251" s="7"/>
    </row>
    <row r="252" spans="1:4" ht="31.5" x14ac:dyDescent="0.25">
      <c r="A252" s="147">
        <v>1.51</v>
      </c>
      <c r="B252" s="191" t="s">
        <v>6195</v>
      </c>
      <c r="C252" s="7"/>
    </row>
    <row r="253" spans="1:4" x14ac:dyDescent="0.25">
      <c r="A253" s="147" t="s">
        <v>1098</v>
      </c>
      <c r="B253" s="191" t="s">
        <v>1103</v>
      </c>
      <c r="C253" s="7" t="s">
        <v>4217</v>
      </c>
      <c r="D253" s="101">
        <v>223</v>
      </c>
    </row>
    <row r="254" spans="1:4" x14ac:dyDescent="0.25">
      <c r="A254" s="147" t="s">
        <v>1100</v>
      </c>
      <c r="B254" s="191" t="s">
        <v>1109</v>
      </c>
      <c r="C254" s="7" t="s">
        <v>4217</v>
      </c>
      <c r="D254" s="101">
        <v>602</v>
      </c>
    </row>
    <row r="255" spans="1:4" ht="34.5" x14ac:dyDescent="0.25">
      <c r="A255" s="147" t="s">
        <v>5401</v>
      </c>
      <c r="B255" s="191" t="s">
        <v>6196</v>
      </c>
      <c r="C255" s="7" t="s">
        <v>4217</v>
      </c>
      <c r="D255" s="101">
        <v>305</v>
      </c>
    </row>
    <row r="256" spans="1:4" x14ac:dyDescent="0.25">
      <c r="A256" s="147" t="s">
        <v>5402</v>
      </c>
      <c r="B256" s="191" t="s">
        <v>1111</v>
      </c>
      <c r="C256" s="7" t="s">
        <v>4217</v>
      </c>
      <c r="D256" s="101">
        <v>238</v>
      </c>
    </row>
    <row r="257" spans="1:4" x14ac:dyDescent="0.25">
      <c r="A257" s="147"/>
      <c r="B257" s="191"/>
      <c r="C257" s="7"/>
    </row>
    <row r="258" spans="1:4" x14ac:dyDescent="0.25">
      <c r="A258" s="147"/>
      <c r="B258" s="191"/>
      <c r="C258" s="7"/>
    </row>
    <row r="259" spans="1:4" x14ac:dyDescent="0.25">
      <c r="A259" s="147"/>
      <c r="B259" s="191"/>
      <c r="C259" s="7"/>
    </row>
    <row r="260" spans="1:4" x14ac:dyDescent="0.25">
      <c r="A260" s="147">
        <v>1.52</v>
      </c>
      <c r="B260" s="191" t="s">
        <v>6197</v>
      </c>
      <c r="C260" s="7"/>
    </row>
    <row r="261" spans="1:4" x14ac:dyDescent="0.25">
      <c r="A261" s="147" t="s">
        <v>1102</v>
      </c>
      <c r="B261" s="191" t="s">
        <v>1103</v>
      </c>
      <c r="C261" s="7" t="s">
        <v>4217</v>
      </c>
      <c r="D261" s="101">
        <v>127</v>
      </c>
    </row>
    <row r="262" spans="1:4" x14ac:dyDescent="0.25">
      <c r="A262" s="147" t="s">
        <v>1104</v>
      </c>
      <c r="B262" s="191" t="s">
        <v>1114</v>
      </c>
      <c r="C262" s="7" t="s">
        <v>4217</v>
      </c>
      <c r="D262" s="101">
        <v>156</v>
      </c>
    </row>
    <row r="263" spans="1:4" ht="34.5" x14ac:dyDescent="0.25">
      <c r="A263" s="147" t="s">
        <v>1105</v>
      </c>
      <c r="B263" s="191" t="s">
        <v>6198</v>
      </c>
      <c r="C263" s="7" t="s">
        <v>4217</v>
      </c>
      <c r="D263" s="101">
        <v>283</v>
      </c>
    </row>
    <row r="264" spans="1:4" x14ac:dyDescent="0.25">
      <c r="A264" s="147" t="s">
        <v>5403</v>
      </c>
      <c r="B264" s="191" t="s">
        <v>1117</v>
      </c>
      <c r="C264" s="7" t="s">
        <v>4217</v>
      </c>
      <c r="D264" s="101">
        <v>327</v>
      </c>
    </row>
    <row r="265" spans="1:4" x14ac:dyDescent="0.25">
      <c r="A265" s="147" t="s">
        <v>5404</v>
      </c>
      <c r="B265" s="191" t="s">
        <v>1118</v>
      </c>
      <c r="C265" s="7" t="s">
        <v>4217</v>
      </c>
      <c r="D265" s="101">
        <v>245</v>
      </c>
    </row>
    <row r="266" spans="1:4" x14ac:dyDescent="0.25">
      <c r="A266" s="147" t="s">
        <v>5405</v>
      </c>
      <c r="B266" s="191" t="s">
        <v>1119</v>
      </c>
      <c r="C266" s="7" t="s">
        <v>4217</v>
      </c>
      <c r="D266" s="101">
        <v>327</v>
      </c>
    </row>
    <row r="267" spans="1:4" x14ac:dyDescent="0.25">
      <c r="A267" s="147"/>
      <c r="B267" s="191"/>
      <c r="C267" s="7"/>
    </row>
    <row r="268" spans="1:4" x14ac:dyDescent="0.25">
      <c r="A268" s="147">
        <v>1.53</v>
      </c>
      <c r="B268" s="191" t="s">
        <v>1120</v>
      </c>
      <c r="C268" s="7"/>
    </row>
    <row r="269" spans="1:4" x14ac:dyDescent="0.25">
      <c r="A269" s="147" t="s">
        <v>1107</v>
      </c>
      <c r="B269" s="191" t="s">
        <v>1099</v>
      </c>
      <c r="C269" s="7" t="s">
        <v>4217</v>
      </c>
      <c r="D269" s="101">
        <v>79</v>
      </c>
    </row>
    <row r="270" spans="1:4" x14ac:dyDescent="0.25">
      <c r="A270" s="147" t="s">
        <v>1108</v>
      </c>
      <c r="B270" s="191" t="s">
        <v>1123</v>
      </c>
      <c r="C270" s="7" t="s">
        <v>4217</v>
      </c>
      <c r="D270" s="101">
        <v>149</v>
      </c>
    </row>
    <row r="271" spans="1:4" x14ac:dyDescent="0.25">
      <c r="A271" s="147" t="s">
        <v>1110</v>
      </c>
      <c r="B271" s="191" t="s">
        <v>1125</v>
      </c>
      <c r="C271" s="7" t="s">
        <v>4217</v>
      </c>
      <c r="D271" s="101">
        <v>76</v>
      </c>
    </row>
    <row r="272" spans="1:4" x14ac:dyDescent="0.25">
      <c r="A272" s="147"/>
      <c r="B272" s="191"/>
      <c r="C272" s="7"/>
    </row>
    <row r="273" spans="1:4" x14ac:dyDescent="0.25">
      <c r="A273" s="147">
        <v>1.54</v>
      </c>
      <c r="B273" s="191" t="s">
        <v>1126</v>
      </c>
      <c r="C273" s="7"/>
    </row>
    <row r="274" spans="1:4" ht="31.5" x14ac:dyDescent="0.25">
      <c r="A274" s="147" t="s">
        <v>1112</v>
      </c>
      <c r="B274" s="191" t="s">
        <v>1128</v>
      </c>
      <c r="C274" s="7" t="s">
        <v>4217</v>
      </c>
      <c r="D274" s="101">
        <v>198</v>
      </c>
    </row>
    <row r="275" spans="1:4" x14ac:dyDescent="0.25">
      <c r="A275" s="147" t="s">
        <v>1113</v>
      </c>
      <c r="B275" s="191" t="s">
        <v>1130</v>
      </c>
      <c r="C275" s="7" t="s">
        <v>4217</v>
      </c>
      <c r="D275" s="101">
        <v>307</v>
      </c>
    </row>
    <row r="276" spans="1:4" x14ac:dyDescent="0.25">
      <c r="A276" s="147" t="s">
        <v>1115</v>
      </c>
      <c r="B276" s="191" t="s">
        <v>1131</v>
      </c>
      <c r="C276" s="7" t="s">
        <v>4217</v>
      </c>
      <c r="D276" s="101">
        <v>337</v>
      </c>
    </row>
    <row r="277" spans="1:4" x14ac:dyDescent="0.25">
      <c r="A277" s="147" t="s">
        <v>1116</v>
      </c>
      <c r="B277" s="191" t="s">
        <v>1132</v>
      </c>
      <c r="C277" s="7" t="s">
        <v>4217</v>
      </c>
      <c r="D277" s="101">
        <v>376</v>
      </c>
    </row>
    <row r="278" spans="1:4" x14ac:dyDescent="0.25">
      <c r="A278" s="147"/>
      <c r="B278" s="191"/>
      <c r="C278" s="7"/>
    </row>
    <row r="279" spans="1:4" x14ac:dyDescent="0.25">
      <c r="A279" s="147">
        <v>1.55</v>
      </c>
      <c r="B279" s="191" t="s">
        <v>1133</v>
      </c>
      <c r="C279" s="7"/>
    </row>
    <row r="280" spans="1:4" x14ac:dyDescent="0.25">
      <c r="A280" s="147" t="s">
        <v>1121</v>
      </c>
      <c r="B280" s="191" t="s">
        <v>1134</v>
      </c>
      <c r="C280" s="7" t="s">
        <v>4217</v>
      </c>
      <c r="D280" s="101">
        <v>149</v>
      </c>
    </row>
    <row r="281" spans="1:4" x14ac:dyDescent="0.25">
      <c r="A281" s="147" t="s">
        <v>1122</v>
      </c>
      <c r="B281" s="191" t="s">
        <v>196</v>
      </c>
      <c r="C281" s="7" t="s">
        <v>4217</v>
      </c>
      <c r="D281" s="101">
        <v>376</v>
      </c>
    </row>
    <row r="282" spans="1:4" ht="31.5" x14ac:dyDescent="0.25">
      <c r="A282" s="147" t="s">
        <v>1124</v>
      </c>
      <c r="B282" s="191" t="s">
        <v>197</v>
      </c>
      <c r="C282" s="7" t="s">
        <v>4217</v>
      </c>
      <c r="D282" s="101">
        <v>573</v>
      </c>
    </row>
    <row r="283" spans="1:4" x14ac:dyDescent="0.25">
      <c r="A283" s="147"/>
      <c r="B283" s="191"/>
      <c r="C283" s="7"/>
    </row>
    <row r="284" spans="1:4" ht="31.5" x14ac:dyDescent="0.25">
      <c r="A284" s="147">
        <v>1.56</v>
      </c>
      <c r="B284" s="191" t="s">
        <v>198</v>
      </c>
      <c r="C284" s="7"/>
    </row>
    <row r="285" spans="1:4" x14ac:dyDescent="0.25">
      <c r="A285" s="147" t="s">
        <v>1127</v>
      </c>
      <c r="B285" s="191" t="s">
        <v>200</v>
      </c>
      <c r="C285" s="7" t="s">
        <v>4217</v>
      </c>
      <c r="D285" s="101">
        <v>85</v>
      </c>
    </row>
    <row r="286" spans="1:4" x14ac:dyDescent="0.25">
      <c r="A286" s="147" t="s">
        <v>1129</v>
      </c>
      <c r="B286" s="191" t="s">
        <v>202</v>
      </c>
      <c r="C286" s="7" t="s">
        <v>4217</v>
      </c>
      <c r="D286" s="101">
        <v>119</v>
      </c>
    </row>
    <row r="287" spans="1:4" x14ac:dyDescent="0.25">
      <c r="A287" s="147" t="s">
        <v>5406</v>
      </c>
      <c r="B287" s="191" t="s">
        <v>204</v>
      </c>
      <c r="C287" s="7" t="s">
        <v>4217</v>
      </c>
      <c r="D287" s="101">
        <v>168</v>
      </c>
    </row>
    <row r="288" spans="1:4" x14ac:dyDescent="0.25">
      <c r="A288" s="147"/>
      <c r="B288" s="191"/>
      <c r="C288" s="7"/>
    </row>
    <row r="289" spans="1:6" ht="47.25" x14ac:dyDescent="0.25">
      <c r="A289" s="147">
        <v>1.57</v>
      </c>
      <c r="B289" s="191" t="s">
        <v>6199</v>
      </c>
      <c r="C289" s="7" t="s">
        <v>4217</v>
      </c>
      <c r="D289" s="101">
        <v>1179</v>
      </c>
    </row>
    <row r="290" spans="1:6" x14ac:dyDescent="0.25">
      <c r="A290" s="147"/>
      <c r="B290" s="191"/>
      <c r="C290" s="7"/>
    </row>
    <row r="291" spans="1:6" x14ac:dyDescent="0.25">
      <c r="A291" s="7">
        <v>1.58</v>
      </c>
      <c r="B291" s="191" t="s">
        <v>205</v>
      </c>
      <c r="C291" s="7"/>
    </row>
    <row r="292" spans="1:6" x14ac:dyDescent="0.25">
      <c r="A292" s="147" t="s">
        <v>199</v>
      </c>
      <c r="B292" s="191" t="s">
        <v>206</v>
      </c>
      <c r="C292" s="7" t="s">
        <v>4217</v>
      </c>
      <c r="D292" s="101">
        <v>227</v>
      </c>
    </row>
    <row r="293" spans="1:6" x14ac:dyDescent="0.25">
      <c r="A293" s="147" t="s">
        <v>201</v>
      </c>
      <c r="B293" s="191" t="s">
        <v>207</v>
      </c>
      <c r="C293" s="7" t="s">
        <v>4217</v>
      </c>
      <c r="D293" s="101">
        <v>227</v>
      </c>
    </row>
    <row r="294" spans="1:6" x14ac:dyDescent="0.25">
      <c r="A294" s="147" t="s">
        <v>203</v>
      </c>
      <c r="B294" s="191" t="s">
        <v>208</v>
      </c>
      <c r="C294" s="7" t="s">
        <v>4217</v>
      </c>
      <c r="D294" s="101">
        <v>96</v>
      </c>
    </row>
    <row r="295" spans="1:6" x14ac:dyDescent="0.25">
      <c r="A295" s="147"/>
      <c r="B295" s="191"/>
      <c r="C295" s="7"/>
    </row>
    <row r="296" spans="1:6" x14ac:dyDescent="0.25">
      <c r="A296" s="147"/>
      <c r="B296" s="191"/>
      <c r="C296" s="7"/>
    </row>
    <row r="297" spans="1:6" x14ac:dyDescent="0.25">
      <c r="A297" s="147"/>
      <c r="B297" s="191"/>
      <c r="C297" s="7"/>
    </row>
    <row r="298" spans="1:6" ht="31.5" x14ac:dyDescent="0.25">
      <c r="A298" s="147">
        <v>1.59</v>
      </c>
      <c r="B298" s="191" t="s">
        <v>6200</v>
      </c>
      <c r="C298" s="7" t="s">
        <v>4217</v>
      </c>
      <c r="D298" s="101">
        <v>381</v>
      </c>
    </row>
    <row r="299" spans="1:6" x14ac:dyDescent="0.25">
      <c r="A299" s="147"/>
      <c r="B299" s="191"/>
      <c r="C299" s="7"/>
    </row>
    <row r="300" spans="1:6" x14ac:dyDescent="0.25">
      <c r="A300" s="7">
        <v>1.6</v>
      </c>
      <c r="B300" s="191" t="s">
        <v>209</v>
      </c>
      <c r="C300" s="7" t="s">
        <v>4217</v>
      </c>
      <c r="D300" s="101">
        <v>18</v>
      </c>
    </row>
    <row r="301" spans="1:6" x14ac:dyDescent="0.25">
      <c r="B301" s="191"/>
    </row>
    <row r="302" spans="1:6" ht="110.25" x14ac:dyDescent="0.25">
      <c r="A302" s="147">
        <v>1.61</v>
      </c>
      <c r="B302" s="191" t="s">
        <v>6343</v>
      </c>
      <c r="C302" s="7" t="s">
        <v>2606</v>
      </c>
      <c r="D302" s="101">
        <v>674</v>
      </c>
    </row>
    <row r="303" spans="1:6" x14ac:dyDescent="0.25">
      <c r="A303" s="8"/>
      <c r="B303" s="191"/>
      <c r="C303" s="7"/>
    </row>
    <row r="304" spans="1:6" ht="110.25" x14ac:dyDescent="0.25">
      <c r="A304" s="147">
        <v>1.62</v>
      </c>
      <c r="B304" s="191" t="s">
        <v>6342</v>
      </c>
      <c r="C304" s="7" t="s">
        <v>2606</v>
      </c>
      <c r="D304" s="101">
        <v>748</v>
      </c>
      <c r="E304" s="17"/>
      <c r="F304" s="17"/>
    </row>
    <row r="305" spans="1:4" x14ac:dyDescent="0.25">
      <c r="A305" s="8"/>
      <c r="B305" s="191"/>
      <c r="C305" s="7"/>
    </row>
    <row r="306" spans="1:4" ht="63" x14ac:dyDescent="0.25">
      <c r="A306" s="147">
        <v>1.63</v>
      </c>
      <c r="B306" s="191" t="s">
        <v>589</v>
      </c>
      <c r="C306" s="7" t="s">
        <v>2437</v>
      </c>
      <c r="D306" s="163">
        <v>0.1</v>
      </c>
    </row>
    <row r="307" spans="1:4" x14ac:dyDescent="0.25">
      <c r="A307" s="8"/>
      <c r="B307" s="191"/>
      <c r="C307" s="7"/>
      <c r="D307" s="160"/>
    </row>
    <row r="308" spans="1:4" ht="47.25" x14ac:dyDescent="0.25">
      <c r="A308" s="147">
        <v>1.64</v>
      </c>
      <c r="B308" s="191" t="s">
        <v>590</v>
      </c>
      <c r="C308" s="7" t="s">
        <v>2437</v>
      </c>
      <c r="D308" s="163">
        <v>0.1</v>
      </c>
    </row>
    <row r="310" spans="1:4" ht="47.25" x14ac:dyDescent="0.25">
      <c r="A310" s="147">
        <v>1.65</v>
      </c>
      <c r="B310" s="191" t="s">
        <v>4342</v>
      </c>
      <c r="C310" s="147" t="s">
        <v>4217</v>
      </c>
      <c r="D310" s="101">
        <v>605</v>
      </c>
    </row>
    <row r="311" spans="1:4" x14ac:dyDescent="0.25">
      <c r="B311" s="191"/>
      <c r="C311" s="147"/>
    </row>
    <row r="312" spans="1:4" ht="47.25" x14ac:dyDescent="0.25">
      <c r="A312" s="5">
        <v>1.66</v>
      </c>
      <c r="B312" s="191" t="s">
        <v>4341</v>
      </c>
      <c r="C312" s="147" t="s">
        <v>4217</v>
      </c>
      <c r="D312" s="101">
        <v>617</v>
      </c>
    </row>
    <row r="313" spans="1:4" x14ac:dyDescent="0.25">
      <c r="B313" s="191"/>
      <c r="C313" s="149"/>
    </row>
    <row r="314" spans="1:4" ht="47.25" x14ac:dyDescent="0.25">
      <c r="A314" s="101">
        <v>1.67</v>
      </c>
      <c r="B314" s="191" t="s">
        <v>4340</v>
      </c>
      <c r="C314" s="147" t="s">
        <v>4217</v>
      </c>
      <c r="D314" s="101">
        <v>468</v>
      </c>
    </row>
    <row r="318" spans="1:4" s="100" customFormat="1" ht="63" x14ac:dyDescent="0.25">
      <c r="A318" s="101">
        <v>1.68</v>
      </c>
      <c r="B318" s="191" t="s">
        <v>4755</v>
      </c>
      <c r="C318" s="147"/>
      <c r="D318" s="8"/>
    </row>
    <row r="319" spans="1:4" s="100" customFormat="1" x14ac:dyDescent="0.25">
      <c r="A319" s="101"/>
      <c r="B319" s="191"/>
      <c r="C319" s="147"/>
      <c r="D319" s="8"/>
    </row>
    <row r="320" spans="1:4" s="100" customFormat="1" ht="31.5" x14ac:dyDescent="0.25">
      <c r="A320" s="101" t="s">
        <v>5554</v>
      </c>
      <c r="B320" s="191" t="s">
        <v>5605</v>
      </c>
      <c r="C320" s="147" t="s">
        <v>4217</v>
      </c>
      <c r="D320" s="7">
        <v>3065</v>
      </c>
    </row>
    <row r="321" spans="1:4" s="100" customFormat="1" x14ac:dyDescent="0.25">
      <c r="A321" s="101" t="s">
        <v>5555</v>
      </c>
      <c r="B321" s="191" t="s">
        <v>4756</v>
      </c>
      <c r="C321" s="147" t="s">
        <v>4217</v>
      </c>
      <c r="D321" s="7">
        <v>6386</v>
      </c>
    </row>
    <row r="322" spans="1:4" s="100" customFormat="1" x14ac:dyDescent="0.25">
      <c r="A322" s="101" t="s">
        <v>5556</v>
      </c>
      <c r="B322" s="191" t="s">
        <v>4757</v>
      </c>
      <c r="C322" s="147" t="s">
        <v>4217</v>
      </c>
      <c r="D322" s="7">
        <v>9072</v>
      </c>
    </row>
    <row r="323" spans="1:4" s="100" customFormat="1" ht="47.25" x14ac:dyDescent="0.25">
      <c r="A323" s="101" t="s">
        <v>5557</v>
      </c>
      <c r="B323" s="191" t="s">
        <v>4758</v>
      </c>
      <c r="C323" s="147" t="s">
        <v>4217</v>
      </c>
      <c r="D323" s="7">
        <v>17839</v>
      </c>
    </row>
    <row r="324" spans="1:4" s="100" customFormat="1" x14ac:dyDescent="0.25">
      <c r="A324" s="101"/>
      <c r="B324" s="191"/>
      <c r="C324" s="147"/>
      <c r="D324" s="7"/>
    </row>
    <row r="325" spans="1:4" s="100" customFormat="1" ht="47.25" x14ac:dyDescent="0.25">
      <c r="A325" s="101">
        <v>1.69</v>
      </c>
      <c r="B325" s="191" t="s">
        <v>4759</v>
      </c>
      <c r="C325" s="147"/>
      <c r="D325" s="7"/>
    </row>
    <row r="326" spans="1:4" s="100" customFormat="1" x14ac:dyDescent="0.25">
      <c r="A326" s="101" t="s">
        <v>5407</v>
      </c>
      <c r="B326" s="191" t="s">
        <v>608</v>
      </c>
      <c r="C326" s="147" t="s">
        <v>4217</v>
      </c>
      <c r="D326" s="7">
        <v>2619</v>
      </c>
    </row>
    <row r="327" spans="1:4" s="100" customFormat="1" x14ac:dyDescent="0.25">
      <c r="A327" s="101" t="s">
        <v>5558</v>
      </c>
      <c r="B327" s="191" t="s">
        <v>610</v>
      </c>
      <c r="C327" s="147" t="s">
        <v>4217</v>
      </c>
      <c r="D327" s="7">
        <v>6246</v>
      </c>
    </row>
    <row r="328" spans="1:4" s="100" customFormat="1" x14ac:dyDescent="0.25">
      <c r="A328" s="101"/>
      <c r="B328" s="191"/>
      <c r="C328" s="147"/>
      <c r="D328" s="7"/>
    </row>
    <row r="329" spans="1:4" s="100" customFormat="1" ht="31.5" x14ac:dyDescent="0.25">
      <c r="A329" s="101">
        <v>1.7</v>
      </c>
      <c r="B329" s="191" t="s">
        <v>4760</v>
      </c>
      <c r="C329" s="147" t="s">
        <v>4217</v>
      </c>
      <c r="D329" s="7">
        <v>2636</v>
      </c>
    </row>
    <row r="330" spans="1:4" s="100" customFormat="1" x14ac:dyDescent="0.25">
      <c r="A330" s="101"/>
      <c r="B330" s="191"/>
      <c r="C330" s="147"/>
      <c r="D330" s="7"/>
    </row>
    <row r="331" spans="1:4" s="100" customFormat="1" ht="47.25" x14ac:dyDescent="0.25">
      <c r="A331" s="101">
        <v>1.71</v>
      </c>
      <c r="B331" s="191" t="s">
        <v>4761</v>
      </c>
      <c r="C331" s="147"/>
      <c r="D331" s="7"/>
    </row>
    <row r="332" spans="1:4" s="100" customFormat="1" x14ac:dyDescent="0.25">
      <c r="A332" s="101" t="s">
        <v>4772</v>
      </c>
      <c r="B332" s="191" t="s">
        <v>1247</v>
      </c>
      <c r="C332" s="147" t="s">
        <v>4217</v>
      </c>
      <c r="D332" s="7">
        <v>2334</v>
      </c>
    </row>
    <row r="333" spans="1:4" s="100" customFormat="1" x14ac:dyDescent="0.25">
      <c r="A333" s="101" t="s">
        <v>4773</v>
      </c>
      <c r="B333" s="191" t="s">
        <v>1249</v>
      </c>
      <c r="C333" s="147" t="s">
        <v>4217</v>
      </c>
      <c r="D333" s="7">
        <v>3372</v>
      </c>
    </row>
    <row r="334" spans="1:4" s="100" customFormat="1" x14ac:dyDescent="0.25">
      <c r="A334" s="101"/>
      <c r="B334" s="191"/>
      <c r="C334" s="147"/>
      <c r="D334" s="7"/>
    </row>
    <row r="335" spans="1:4" s="100" customFormat="1" ht="47.25" x14ac:dyDescent="0.25">
      <c r="A335" s="101">
        <v>1.72</v>
      </c>
      <c r="B335" s="191" t="s">
        <v>4762</v>
      </c>
      <c r="C335" s="147" t="s">
        <v>4217</v>
      </c>
      <c r="D335" s="7">
        <v>714</v>
      </c>
    </row>
    <row r="336" spans="1:4" s="100" customFormat="1" x14ac:dyDescent="0.25">
      <c r="A336" s="101"/>
      <c r="B336" s="191"/>
      <c r="C336" s="147"/>
      <c r="D336" s="7"/>
    </row>
    <row r="337" spans="1:4" s="100" customFormat="1" ht="78.75" x14ac:dyDescent="0.25">
      <c r="A337" s="101">
        <v>1.73</v>
      </c>
      <c r="B337" s="191" t="s">
        <v>4763</v>
      </c>
      <c r="C337" s="147" t="s">
        <v>4217</v>
      </c>
      <c r="D337" s="7">
        <v>1823</v>
      </c>
    </row>
    <row r="338" spans="1:4" s="100" customFormat="1" x14ac:dyDescent="0.25">
      <c r="A338" s="101"/>
      <c r="B338" s="191"/>
      <c r="C338" s="147"/>
      <c r="D338" s="7"/>
    </row>
    <row r="339" spans="1:4" s="100" customFormat="1" ht="47.25" x14ac:dyDescent="0.25">
      <c r="A339" s="101">
        <v>1.74</v>
      </c>
      <c r="B339" s="191" t="s">
        <v>4764</v>
      </c>
      <c r="C339" s="147" t="s">
        <v>2437</v>
      </c>
      <c r="D339" s="7">
        <v>2544</v>
      </c>
    </row>
    <row r="340" spans="1:4" s="100" customFormat="1" x14ac:dyDescent="0.25">
      <c r="A340" s="101"/>
      <c r="B340" s="191"/>
      <c r="C340" s="147"/>
      <c r="D340" s="7"/>
    </row>
    <row r="341" spans="1:4" s="100" customFormat="1" ht="31.5" x14ac:dyDescent="0.25">
      <c r="A341" s="101">
        <v>1.75</v>
      </c>
      <c r="B341" s="191" t="s">
        <v>4765</v>
      </c>
      <c r="C341" s="147" t="s">
        <v>4217</v>
      </c>
      <c r="D341" s="7">
        <v>4057</v>
      </c>
    </row>
    <row r="342" spans="1:4" s="100" customFormat="1" x14ac:dyDescent="0.25">
      <c r="A342" s="101"/>
      <c r="B342" s="191"/>
      <c r="C342" s="147"/>
      <c r="D342" s="7"/>
    </row>
    <row r="343" spans="1:4" s="100" customFormat="1" x14ac:dyDescent="0.25">
      <c r="A343" s="101">
        <v>1.76</v>
      </c>
      <c r="B343" s="191" t="s">
        <v>4766</v>
      </c>
      <c r="C343" s="147" t="s">
        <v>4217</v>
      </c>
      <c r="D343" s="7">
        <v>1604</v>
      </c>
    </row>
    <row r="344" spans="1:4" s="100" customFormat="1" x14ac:dyDescent="0.25">
      <c r="A344" s="101"/>
      <c r="B344" s="191"/>
      <c r="C344" s="147"/>
      <c r="D344" s="7"/>
    </row>
    <row r="345" spans="1:4" s="100" customFormat="1" ht="47.25" x14ac:dyDescent="0.25">
      <c r="A345" s="101">
        <v>1.77</v>
      </c>
      <c r="B345" s="191" t="s">
        <v>4767</v>
      </c>
      <c r="C345" s="147" t="s">
        <v>4217</v>
      </c>
      <c r="D345" s="7">
        <v>8187</v>
      </c>
    </row>
    <row r="346" spans="1:4" s="100" customFormat="1" x14ac:dyDescent="0.25">
      <c r="A346" s="101"/>
      <c r="B346" s="191"/>
      <c r="C346" s="147"/>
      <c r="D346" s="7"/>
    </row>
    <row r="347" spans="1:4" s="100" customFormat="1" ht="47.25" x14ac:dyDescent="0.25">
      <c r="A347" s="101">
        <v>1.78</v>
      </c>
      <c r="B347" s="191" t="s">
        <v>4768</v>
      </c>
      <c r="C347" s="147" t="s">
        <v>4217</v>
      </c>
      <c r="D347" s="7">
        <v>114</v>
      </c>
    </row>
    <row r="348" spans="1:4" s="100" customFormat="1" x14ac:dyDescent="0.25">
      <c r="A348" s="101"/>
      <c r="B348" s="191"/>
      <c r="C348" s="147"/>
      <c r="D348" s="7"/>
    </row>
    <row r="349" spans="1:4" s="100" customFormat="1" ht="47.25" x14ac:dyDescent="0.25">
      <c r="A349" s="101">
        <v>1.79</v>
      </c>
      <c r="B349" s="191" t="s">
        <v>4769</v>
      </c>
      <c r="C349" s="147" t="s">
        <v>4217</v>
      </c>
      <c r="D349" s="7">
        <v>1562</v>
      </c>
    </row>
    <row r="350" spans="1:4" s="100" customFormat="1" x14ac:dyDescent="0.25">
      <c r="A350" s="101"/>
      <c r="B350" s="191"/>
      <c r="C350" s="147"/>
      <c r="D350" s="7"/>
    </row>
    <row r="351" spans="1:4" s="100" customFormat="1" ht="31.5" x14ac:dyDescent="0.25">
      <c r="A351" s="101">
        <v>1.8</v>
      </c>
      <c r="B351" s="191" t="s">
        <v>4770</v>
      </c>
      <c r="C351" s="147" t="s">
        <v>4217</v>
      </c>
      <c r="D351" s="7">
        <v>519</v>
      </c>
    </row>
    <row r="352" spans="1:4" s="100" customFormat="1" x14ac:dyDescent="0.25">
      <c r="A352" s="101"/>
      <c r="B352" s="191"/>
      <c r="C352" s="147"/>
      <c r="D352" s="7"/>
    </row>
    <row r="353" spans="1:4" ht="47.25" x14ac:dyDescent="0.25">
      <c r="A353" s="101">
        <v>1.81</v>
      </c>
      <c r="B353" s="191" t="s">
        <v>4771</v>
      </c>
      <c r="C353" s="147" t="s">
        <v>4217</v>
      </c>
      <c r="D353" s="7">
        <v>1599</v>
      </c>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tabColor rgb="FF00B0F0"/>
  </sheetPr>
  <dimension ref="A1:F448"/>
  <sheetViews>
    <sheetView view="pageBreakPreview" topLeftCell="A343" zoomScaleNormal="100" zoomScaleSheetLayoutView="100" workbookViewId="0">
      <selection activeCell="B358" sqref="B358"/>
    </sheetView>
  </sheetViews>
  <sheetFormatPr defaultRowHeight="15.75" x14ac:dyDescent="0.25"/>
  <cols>
    <col min="1" max="1" width="10" style="5" customWidth="1"/>
    <col min="2" max="2" width="55.7109375" style="30" customWidth="1"/>
    <col min="3" max="3" width="9.7109375" style="8" customWidth="1"/>
    <col min="4" max="4" width="11.7109375" style="5" customWidth="1"/>
    <col min="5" max="16384" width="9.140625" style="6"/>
  </cols>
  <sheetData>
    <row r="1" spans="1:4" ht="22.5" x14ac:dyDescent="0.25">
      <c r="A1" s="258" t="s">
        <v>214</v>
      </c>
      <c r="B1" s="258"/>
      <c r="C1" s="258"/>
      <c r="D1" s="258"/>
    </row>
    <row r="2" spans="1:4" ht="27" x14ac:dyDescent="0.25">
      <c r="A2" s="277" t="s">
        <v>215</v>
      </c>
      <c r="B2" s="277"/>
      <c r="C2" s="277"/>
      <c r="D2" s="277"/>
    </row>
    <row r="3" spans="1:4" x14ac:dyDescent="0.25">
      <c r="B3" s="13"/>
      <c r="C3" s="146"/>
    </row>
    <row r="4" spans="1:4" s="112" customFormat="1" ht="31.5" x14ac:dyDescent="0.2">
      <c r="A4" s="55" t="s">
        <v>6402</v>
      </c>
      <c r="B4" s="55" t="s">
        <v>2434</v>
      </c>
      <c r="C4" s="55" t="s">
        <v>2435</v>
      </c>
      <c r="D4" s="172" t="s">
        <v>18</v>
      </c>
    </row>
    <row r="5" spans="1:4" s="112" customFormat="1" x14ac:dyDescent="0.2">
      <c r="A5" s="55">
        <v>1</v>
      </c>
      <c r="B5" s="55">
        <v>2</v>
      </c>
      <c r="C5" s="55">
        <v>3</v>
      </c>
      <c r="D5" s="45">
        <v>4</v>
      </c>
    </row>
    <row r="6" spans="1:4" s="112" customFormat="1" x14ac:dyDescent="0.2">
      <c r="A6" s="117"/>
      <c r="B6" s="117"/>
      <c r="C6" s="117"/>
      <c r="D6" s="121"/>
    </row>
    <row r="7" spans="1:4" x14ac:dyDescent="0.25">
      <c r="A7" s="6"/>
      <c r="B7" s="140" t="s">
        <v>216</v>
      </c>
      <c r="C7" s="144"/>
    </row>
    <row r="8" spans="1:4" ht="47.25" x14ac:dyDescent="0.25">
      <c r="A8" s="147">
        <v>2.1</v>
      </c>
      <c r="B8" s="191" t="s">
        <v>6202</v>
      </c>
      <c r="C8" s="2"/>
    </row>
    <row r="9" spans="1:4" x14ac:dyDescent="0.25">
      <c r="A9" s="150" t="s">
        <v>1660</v>
      </c>
      <c r="B9" s="190" t="s">
        <v>217</v>
      </c>
      <c r="C9" s="7"/>
    </row>
    <row r="10" spans="1:4" x14ac:dyDescent="0.25">
      <c r="A10" s="147" t="s">
        <v>218</v>
      </c>
      <c r="B10" s="190" t="s">
        <v>219</v>
      </c>
      <c r="C10" s="7"/>
    </row>
    <row r="11" spans="1:4" x14ac:dyDescent="0.25">
      <c r="A11" s="147"/>
      <c r="B11" s="191" t="s">
        <v>220</v>
      </c>
      <c r="C11" s="7" t="s">
        <v>2453</v>
      </c>
      <c r="D11" s="101">
        <v>202</v>
      </c>
    </row>
    <row r="12" spans="1:4" s="179" customFormat="1" x14ac:dyDescent="0.2">
      <c r="A12" s="147"/>
      <c r="B12" s="191" t="s">
        <v>221</v>
      </c>
      <c r="C12" s="7" t="s">
        <v>2453</v>
      </c>
      <c r="D12" s="101">
        <v>230</v>
      </c>
    </row>
    <row r="13" spans="1:4" s="179" customFormat="1" x14ac:dyDescent="0.2">
      <c r="A13" s="147"/>
      <c r="B13" s="191"/>
      <c r="C13" s="7"/>
      <c r="D13" s="136"/>
    </row>
    <row r="14" spans="1:4" s="179" customFormat="1" x14ac:dyDescent="0.2">
      <c r="A14" s="147" t="s">
        <v>222</v>
      </c>
      <c r="B14" s="190" t="s">
        <v>223</v>
      </c>
      <c r="C14" s="7"/>
      <c r="D14" s="136"/>
    </row>
    <row r="15" spans="1:4" s="179" customFormat="1" x14ac:dyDescent="0.2">
      <c r="A15" s="147"/>
      <c r="B15" s="191" t="s">
        <v>220</v>
      </c>
      <c r="C15" s="7" t="s">
        <v>2453</v>
      </c>
      <c r="D15" s="101">
        <v>264</v>
      </c>
    </row>
    <row r="16" spans="1:4" x14ac:dyDescent="0.25">
      <c r="A16" s="147"/>
      <c r="B16" s="191" t="s">
        <v>221</v>
      </c>
      <c r="C16" s="7" t="s">
        <v>2453</v>
      </c>
      <c r="D16" s="101">
        <v>282</v>
      </c>
    </row>
    <row r="17" spans="1:4" x14ac:dyDescent="0.25">
      <c r="A17" s="147"/>
      <c r="B17" s="191"/>
      <c r="C17" s="7"/>
    </row>
    <row r="18" spans="1:4" x14ac:dyDescent="0.25">
      <c r="A18" s="147" t="s">
        <v>224</v>
      </c>
      <c r="B18" s="190" t="s">
        <v>225</v>
      </c>
      <c r="C18" s="7"/>
    </row>
    <row r="19" spans="1:4" x14ac:dyDescent="0.25">
      <c r="A19" s="147"/>
      <c r="B19" s="191" t="s">
        <v>220</v>
      </c>
      <c r="C19" s="7" t="s">
        <v>2453</v>
      </c>
      <c r="D19" s="101">
        <v>326</v>
      </c>
    </row>
    <row r="20" spans="1:4" x14ac:dyDescent="0.25">
      <c r="A20" s="147"/>
      <c r="B20" s="191" t="s">
        <v>221</v>
      </c>
      <c r="C20" s="7" t="s">
        <v>2453</v>
      </c>
      <c r="D20" s="101">
        <v>360</v>
      </c>
    </row>
    <row r="21" spans="1:4" x14ac:dyDescent="0.25">
      <c r="A21" s="147"/>
      <c r="B21" s="191"/>
      <c r="C21" s="7"/>
    </row>
    <row r="22" spans="1:4" x14ac:dyDescent="0.25">
      <c r="A22" s="147" t="s">
        <v>226</v>
      </c>
      <c r="B22" s="190" t="s">
        <v>227</v>
      </c>
      <c r="C22" s="7"/>
    </row>
    <row r="23" spans="1:4" x14ac:dyDescent="0.25">
      <c r="A23" s="147"/>
      <c r="B23" s="191" t="s">
        <v>220</v>
      </c>
      <c r="C23" s="7" t="s">
        <v>2453</v>
      </c>
      <c r="D23" s="101">
        <v>358</v>
      </c>
    </row>
    <row r="24" spans="1:4" x14ac:dyDescent="0.25">
      <c r="A24" s="147"/>
      <c r="B24" s="191" t="s">
        <v>221</v>
      </c>
      <c r="C24" s="7" t="s">
        <v>2453</v>
      </c>
      <c r="D24" s="101">
        <v>436</v>
      </c>
    </row>
    <row r="25" spans="1:4" x14ac:dyDescent="0.25">
      <c r="A25" s="147"/>
      <c r="B25" s="191"/>
      <c r="C25" s="7"/>
    </row>
    <row r="26" spans="1:4" x14ac:dyDescent="0.25">
      <c r="A26" s="147" t="s">
        <v>228</v>
      </c>
      <c r="B26" s="190" t="s">
        <v>229</v>
      </c>
      <c r="C26" s="7"/>
    </row>
    <row r="27" spans="1:4" x14ac:dyDescent="0.25">
      <c r="A27" s="147"/>
      <c r="B27" s="191" t="s">
        <v>220</v>
      </c>
      <c r="C27" s="7" t="s">
        <v>2453</v>
      </c>
      <c r="D27" s="101">
        <v>490</v>
      </c>
    </row>
    <row r="28" spans="1:4" x14ac:dyDescent="0.25">
      <c r="A28" s="147"/>
      <c r="B28" s="191" t="s">
        <v>221</v>
      </c>
      <c r="C28" s="7" t="s">
        <v>2453</v>
      </c>
      <c r="D28" s="101">
        <v>531</v>
      </c>
    </row>
    <row r="29" spans="1:4" x14ac:dyDescent="0.25">
      <c r="A29" s="147"/>
      <c r="B29" s="191"/>
      <c r="C29" s="7"/>
    </row>
    <row r="30" spans="1:4" x14ac:dyDescent="0.25">
      <c r="A30" s="147" t="s">
        <v>230</v>
      </c>
      <c r="B30" s="190" t="s">
        <v>231</v>
      </c>
      <c r="C30" s="7"/>
    </row>
    <row r="31" spans="1:4" x14ac:dyDescent="0.25">
      <c r="A31" s="147"/>
      <c r="B31" s="191" t="s">
        <v>220</v>
      </c>
      <c r="C31" s="7" t="s">
        <v>2453</v>
      </c>
      <c r="D31" s="101">
        <v>606</v>
      </c>
    </row>
    <row r="32" spans="1:4" x14ac:dyDescent="0.25">
      <c r="A32" s="147"/>
      <c r="B32" s="191" t="s">
        <v>221</v>
      </c>
      <c r="C32" s="7" t="s">
        <v>2453</v>
      </c>
      <c r="D32" s="101">
        <v>673</v>
      </c>
    </row>
    <row r="33" spans="1:4" x14ac:dyDescent="0.25">
      <c r="A33" s="147"/>
      <c r="B33" s="191"/>
      <c r="C33" s="7"/>
    </row>
    <row r="34" spans="1:4" x14ac:dyDescent="0.25">
      <c r="A34" s="147" t="s">
        <v>232</v>
      </c>
      <c r="B34" s="190" t="s">
        <v>233</v>
      </c>
      <c r="C34" s="7"/>
    </row>
    <row r="35" spans="1:4" x14ac:dyDescent="0.25">
      <c r="A35" s="147"/>
      <c r="B35" s="191" t="s">
        <v>220</v>
      </c>
      <c r="C35" s="7" t="s">
        <v>2453</v>
      </c>
      <c r="D35" s="101">
        <v>734</v>
      </c>
    </row>
    <row r="36" spans="1:4" x14ac:dyDescent="0.25">
      <c r="A36" s="147"/>
      <c r="B36" s="191" t="s">
        <v>221</v>
      </c>
      <c r="C36" s="7" t="s">
        <v>2453</v>
      </c>
      <c r="D36" s="101">
        <v>793</v>
      </c>
    </row>
    <row r="37" spans="1:4" x14ac:dyDescent="0.25">
      <c r="A37" s="147"/>
      <c r="B37" s="191"/>
      <c r="C37" s="7"/>
    </row>
    <row r="38" spans="1:4" x14ac:dyDescent="0.25">
      <c r="A38" s="147" t="s">
        <v>234</v>
      </c>
      <c r="B38" s="190" t="s">
        <v>235</v>
      </c>
      <c r="C38" s="7"/>
    </row>
    <row r="39" spans="1:4" x14ac:dyDescent="0.25">
      <c r="A39" s="147"/>
      <c r="B39" s="191" t="s">
        <v>220</v>
      </c>
      <c r="C39" s="7" t="s">
        <v>2453</v>
      </c>
      <c r="D39" s="101">
        <v>838</v>
      </c>
    </row>
    <row r="40" spans="1:4" x14ac:dyDescent="0.25">
      <c r="A40" s="147"/>
      <c r="B40" s="191" t="s">
        <v>221</v>
      </c>
      <c r="C40" s="7" t="s">
        <v>2453</v>
      </c>
      <c r="D40" s="101">
        <v>963</v>
      </c>
    </row>
    <row r="41" spans="1:4" x14ac:dyDescent="0.25">
      <c r="A41" s="147"/>
      <c r="B41" s="191"/>
      <c r="C41" s="7"/>
    </row>
    <row r="42" spans="1:4" x14ac:dyDescent="0.25">
      <c r="A42" s="147"/>
      <c r="B42" s="191"/>
      <c r="C42" s="7"/>
    </row>
    <row r="43" spans="1:4" x14ac:dyDescent="0.25">
      <c r="A43" s="147"/>
      <c r="B43" s="191"/>
      <c r="C43" s="7"/>
    </row>
    <row r="44" spans="1:4" x14ac:dyDescent="0.25">
      <c r="A44" s="147"/>
      <c r="B44" s="191"/>
      <c r="C44" s="7"/>
    </row>
    <row r="45" spans="1:4" ht="31.5" x14ac:dyDescent="0.25">
      <c r="A45" s="150" t="s">
        <v>1666</v>
      </c>
      <c r="B45" s="190" t="s">
        <v>236</v>
      </c>
      <c r="C45" s="7"/>
    </row>
    <row r="46" spans="1:4" x14ac:dyDescent="0.25">
      <c r="A46" s="147" t="s">
        <v>237</v>
      </c>
      <c r="B46" s="190" t="s">
        <v>219</v>
      </c>
      <c r="C46" s="7"/>
    </row>
    <row r="47" spans="1:4" x14ac:dyDescent="0.25">
      <c r="A47" s="147"/>
      <c r="B47" s="191" t="s">
        <v>220</v>
      </c>
      <c r="C47" s="7" t="s">
        <v>2453</v>
      </c>
      <c r="D47" s="101">
        <v>217</v>
      </c>
    </row>
    <row r="48" spans="1:4" x14ac:dyDescent="0.25">
      <c r="A48" s="147"/>
      <c r="B48" s="191" t="s">
        <v>221</v>
      </c>
      <c r="C48" s="7" t="s">
        <v>2453</v>
      </c>
      <c r="D48" s="101">
        <v>242</v>
      </c>
    </row>
    <row r="49" spans="1:4" x14ac:dyDescent="0.25">
      <c r="A49" s="147"/>
      <c r="B49" s="191"/>
      <c r="C49" s="7"/>
    </row>
    <row r="50" spans="1:4" x14ac:dyDescent="0.25">
      <c r="A50" s="147" t="s">
        <v>238</v>
      </c>
      <c r="B50" s="190" t="s">
        <v>223</v>
      </c>
      <c r="C50" s="7"/>
    </row>
    <row r="51" spans="1:4" x14ac:dyDescent="0.25">
      <c r="A51" s="147"/>
      <c r="B51" s="191" t="s">
        <v>220</v>
      </c>
      <c r="C51" s="7" t="s">
        <v>2680</v>
      </c>
      <c r="D51" s="101">
        <v>261</v>
      </c>
    </row>
    <row r="52" spans="1:4" x14ac:dyDescent="0.25">
      <c r="A52" s="147"/>
      <c r="B52" s="191" t="s">
        <v>221</v>
      </c>
      <c r="C52" s="7" t="s">
        <v>2680</v>
      </c>
      <c r="D52" s="101">
        <v>278</v>
      </c>
    </row>
    <row r="53" spans="1:4" x14ac:dyDescent="0.25">
      <c r="A53" s="147"/>
      <c r="B53" s="191"/>
      <c r="C53" s="7"/>
    </row>
    <row r="54" spans="1:4" x14ac:dyDescent="0.25">
      <c r="A54" s="147" t="s">
        <v>4628</v>
      </c>
      <c r="B54" s="190" t="s">
        <v>225</v>
      </c>
      <c r="C54" s="7"/>
    </row>
    <row r="55" spans="1:4" x14ac:dyDescent="0.25">
      <c r="A55" s="147" t="s">
        <v>4630</v>
      </c>
      <c r="B55" s="195" t="s">
        <v>4904</v>
      </c>
      <c r="C55" s="7" t="s">
        <v>2680</v>
      </c>
      <c r="D55" s="101">
        <v>342</v>
      </c>
    </row>
    <row r="56" spans="1:4" x14ac:dyDescent="0.25">
      <c r="A56" s="147" t="s">
        <v>4631</v>
      </c>
      <c r="B56" s="195" t="s">
        <v>4905</v>
      </c>
      <c r="C56" s="7" t="s">
        <v>2680</v>
      </c>
      <c r="D56" s="101">
        <v>429</v>
      </c>
    </row>
    <row r="57" spans="1:4" x14ac:dyDescent="0.25">
      <c r="A57" s="147"/>
      <c r="B57" s="191"/>
      <c r="C57" s="7"/>
    </row>
    <row r="58" spans="1:4" ht="30" x14ac:dyDescent="0.25">
      <c r="A58" s="147">
        <v>2.2000000000000002</v>
      </c>
      <c r="B58" s="203" t="s">
        <v>6469</v>
      </c>
      <c r="C58" s="7"/>
    </row>
    <row r="59" spans="1:4" x14ac:dyDescent="0.25">
      <c r="A59" s="147" t="s">
        <v>239</v>
      </c>
      <c r="B59" s="190" t="s">
        <v>240</v>
      </c>
      <c r="C59" s="7"/>
    </row>
    <row r="60" spans="1:4" x14ac:dyDescent="0.25">
      <c r="A60" s="147"/>
      <c r="B60" s="191" t="s">
        <v>220</v>
      </c>
      <c r="C60" s="7" t="s">
        <v>2453</v>
      </c>
      <c r="D60" s="101">
        <v>163</v>
      </c>
    </row>
    <row r="61" spans="1:4" x14ac:dyDescent="0.25">
      <c r="A61" s="147"/>
      <c r="B61" s="191" t="s">
        <v>221</v>
      </c>
      <c r="C61" s="7" t="s">
        <v>2453</v>
      </c>
      <c r="D61" s="101">
        <v>190</v>
      </c>
    </row>
    <row r="62" spans="1:4" x14ac:dyDescent="0.25">
      <c r="A62" s="147"/>
      <c r="B62" s="191"/>
      <c r="C62" s="7"/>
    </row>
    <row r="63" spans="1:4" x14ac:dyDescent="0.25">
      <c r="A63" s="147" t="s">
        <v>241</v>
      </c>
      <c r="B63" s="190" t="s">
        <v>223</v>
      </c>
      <c r="C63" s="7"/>
    </row>
    <row r="64" spans="1:4" x14ac:dyDescent="0.25">
      <c r="A64" s="147"/>
      <c r="B64" s="191" t="s">
        <v>220</v>
      </c>
      <c r="C64" s="7" t="s">
        <v>2453</v>
      </c>
      <c r="D64" s="101">
        <v>206</v>
      </c>
    </row>
    <row r="65" spans="1:4" x14ac:dyDescent="0.25">
      <c r="A65" s="147"/>
      <c r="B65" s="191" t="s">
        <v>221</v>
      </c>
      <c r="C65" s="7" t="s">
        <v>2453</v>
      </c>
      <c r="D65" s="101">
        <v>222</v>
      </c>
    </row>
    <row r="66" spans="1:4" x14ac:dyDescent="0.25">
      <c r="A66" s="147"/>
      <c r="B66" s="191"/>
      <c r="C66" s="7"/>
    </row>
    <row r="67" spans="1:4" x14ac:dyDescent="0.25">
      <c r="A67" s="147" t="s">
        <v>242</v>
      </c>
      <c r="B67" s="190" t="s">
        <v>225</v>
      </c>
      <c r="C67" s="7"/>
    </row>
    <row r="68" spans="1:4" x14ac:dyDescent="0.25">
      <c r="A68" s="147"/>
      <c r="B68" s="191" t="s">
        <v>220</v>
      </c>
      <c r="C68" s="7" t="s">
        <v>2453</v>
      </c>
      <c r="D68" s="101">
        <v>245</v>
      </c>
    </row>
    <row r="69" spans="1:4" x14ac:dyDescent="0.25">
      <c r="A69" s="147"/>
      <c r="B69" s="191" t="s">
        <v>221</v>
      </c>
      <c r="C69" s="7" t="s">
        <v>2453</v>
      </c>
      <c r="D69" s="101">
        <v>278</v>
      </c>
    </row>
    <row r="70" spans="1:4" x14ac:dyDescent="0.25">
      <c r="A70" s="147"/>
      <c r="B70" s="191"/>
      <c r="C70" s="7"/>
    </row>
    <row r="71" spans="1:4" x14ac:dyDescent="0.25">
      <c r="A71" s="147" t="s">
        <v>243</v>
      </c>
      <c r="B71" s="190" t="s">
        <v>227</v>
      </c>
      <c r="C71" s="7"/>
    </row>
    <row r="72" spans="1:4" x14ac:dyDescent="0.25">
      <c r="A72" s="147"/>
      <c r="B72" s="191" t="s">
        <v>220</v>
      </c>
      <c r="C72" s="7" t="s">
        <v>2453</v>
      </c>
      <c r="D72" s="101">
        <v>303</v>
      </c>
    </row>
    <row r="73" spans="1:4" x14ac:dyDescent="0.25">
      <c r="A73" s="147"/>
      <c r="B73" s="191" t="s">
        <v>221</v>
      </c>
      <c r="C73" s="7" t="s">
        <v>2453</v>
      </c>
      <c r="D73" s="101">
        <v>342</v>
      </c>
    </row>
    <row r="74" spans="1:4" x14ac:dyDescent="0.25">
      <c r="A74" s="147"/>
      <c r="B74" s="191"/>
      <c r="C74" s="7"/>
    </row>
    <row r="75" spans="1:4" x14ac:dyDescent="0.25">
      <c r="A75" s="147" t="s">
        <v>244</v>
      </c>
      <c r="B75" s="190" t="s">
        <v>229</v>
      </c>
      <c r="C75" s="7"/>
    </row>
    <row r="76" spans="1:4" x14ac:dyDescent="0.25">
      <c r="A76" s="147"/>
      <c r="B76" s="191" t="s">
        <v>220</v>
      </c>
      <c r="C76" s="7" t="s">
        <v>2453</v>
      </c>
      <c r="D76" s="101">
        <v>362</v>
      </c>
    </row>
    <row r="77" spans="1:4" x14ac:dyDescent="0.25">
      <c r="A77" s="147"/>
      <c r="B77" s="191" t="s">
        <v>221</v>
      </c>
      <c r="C77" s="7" t="s">
        <v>2453</v>
      </c>
      <c r="D77" s="101">
        <v>395</v>
      </c>
    </row>
    <row r="78" spans="1:4" x14ac:dyDescent="0.25">
      <c r="A78" s="147"/>
      <c r="B78" s="191"/>
      <c r="C78" s="7"/>
    </row>
    <row r="79" spans="1:4" x14ac:dyDescent="0.25">
      <c r="A79" s="147" t="s">
        <v>245</v>
      </c>
      <c r="B79" s="190" t="s">
        <v>231</v>
      </c>
      <c r="C79" s="7"/>
    </row>
    <row r="80" spans="1:4" x14ac:dyDescent="0.25">
      <c r="A80" s="147"/>
      <c r="B80" s="191" t="s">
        <v>220</v>
      </c>
      <c r="C80" s="7" t="s">
        <v>2453</v>
      </c>
      <c r="D80" s="101">
        <v>436</v>
      </c>
    </row>
    <row r="81" spans="1:4" x14ac:dyDescent="0.25">
      <c r="A81" s="147"/>
      <c r="B81" s="191" t="s">
        <v>221</v>
      </c>
      <c r="C81" s="7" t="s">
        <v>2453</v>
      </c>
      <c r="D81" s="101">
        <v>491</v>
      </c>
    </row>
    <row r="82" spans="1:4" x14ac:dyDescent="0.25">
      <c r="A82" s="147"/>
      <c r="B82" s="191"/>
      <c r="C82" s="7"/>
    </row>
    <row r="83" spans="1:4" x14ac:dyDescent="0.25">
      <c r="A83" s="147" t="s">
        <v>246</v>
      </c>
      <c r="B83" s="190" t="s">
        <v>233</v>
      </c>
      <c r="C83" s="7"/>
    </row>
    <row r="84" spans="1:4" x14ac:dyDescent="0.25">
      <c r="A84" s="147"/>
      <c r="B84" s="191" t="s">
        <v>220</v>
      </c>
      <c r="C84" s="7" t="s">
        <v>2453</v>
      </c>
      <c r="D84" s="101">
        <v>576</v>
      </c>
    </row>
    <row r="85" spans="1:4" x14ac:dyDescent="0.25">
      <c r="A85" s="147"/>
      <c r="B85" s="191" t="s">
        <v>221</v>
      </c>
      <c r="C85" s="7" t="s">
        <v>2453</v>
      </c>
      <c r="D85" s="101">
        <v>622</v>
      </c>
    </row>
    <row r="86" spans="1:4" x14ac:dyDescent="0.25">
      <c r="A86" s="147"/>
      <c r="B86" s="191"/>
      <c r="C86" s="7"/>
    </row>
    <row r="87" spans="1:4" x14ac:dyDescent="0.25">
      <c r="A87" s="147"/>
      <c r="B87" s="191"/>
      <c r="C87" s="7"/>
    </row>
    <row r="88" spans="1:4" x14ac:dyDescent="0.25">
      <c r="A88" s="147" t="s">
        <v>247</v>
      </c>
      <c r="B88" s="190" t="s">
        <v>235</v>
      </c>
      <c r="C88" s="7"/>
    </row>
    <row r="89" spans="1:4" x14ac:dyDescent="0.25">
      <c r="A89" s="147"/>
      <c r="B89" s="191" t="s">
        <v>220</v>
      </c>
      <c r="C89" s="7" t="s">
        <v>2453</v>
      </c>
      <c r="D89" s="101">
        <v>666</v>
      </c>
    </row>
    <row r="90" spans="1:4" x14ac:dyDescent="0.25">
      <c r="A90" s="147"/>
      <c r="B90" s="191" t="s">
        <v>221</v>
      </c>
      <c r="C90" s="7" t="s">
        <v>2453</v>
      </c>
      <c r="D90" s="101">
        <v>772</v>
      </c>
    </row>
    <row r="91" spans="1:4" x14ac:dyDescent="0.25">
      <c r="A91" s="147"/>
      <c r="B91" s="191"/>
      <c r="C91" s="7"/>
    </row>
    <row r="92" spans="1:4" x14ac:dyDescent="0.25">
      <c r="A92" s="147" t="s">
        <v>248</v>
      </c>
      <c r="B92" s="190" t="s">
        <v>249</v>
      </c>
      <c r="C92" s="7"/>
    </row>
    <row r="93" spans="1:4" x14ac:dyDescent="0.25">
      <c r="A93" s="147"/>
      <c r="B93" s="191" t="s">
        <v>220</v>
      </c>
      <c r="C93" s="7" t="s">
        <v>2453</v>
      </c>
      <c r="D93" s="101">
        <v>893</v>
      </c>
    </row>
    <row r="94" spans="1:4" x14ac:dyDescent="0.25">
      <c r="A94" s="147"/>
      <c r="B94" s="191" t="s">
        <v>221</v>
      </c>
      <c r="C94" s="7" t="s">
        <v>2453</v>
      </c>
      <c r="D94" s="101">
        <v>1064</v>
      </c>
    </row>
    <row r="95" spans="1:4" x14ac:dyDescent="0.25">
      <c r="A95" s="147"/>
      <c r="B95" s="191"/>
      <c r="C95" s="7"/>
    </row>
    <row r="96" spans="1:4" x14ac:dyDescent="0.25">
      <c r="A96" s="147" t="s">
        <v>250</v>
      </c>
      <c r="B96" s="190" t="s">
        <v>251</v>
      </c>
      <c r="C96" s="7"/>
    </row>
    <row r="97" spans="1:4" x14ac:dyDescent="0.25">
      <c r="A97" s="147"/>
      <c r="B97" s="191" t="s">
        <v>220</v>
      </c>
      <c r="C97" s="7" t="s">
        <v>2453</v>
      </c>
      <c r="D97" s="101">
        <v>1297</v>
      </c>
    </row>
    <row r="98" spans="1:4" x14ac:dyDescent="0.25">
      <c r="A98" s="147"/>
      <c r="B98" s="191" t="s">
        <v>221</v>
      </c>
      <c r="C98" s="7" t="s">
        <v>2453</v>
      </c>
      <c r="D98" s="101">
        <v>1455</v>
      </c>
    </row>
    <row r="99" spans="1:4" x14ac:dyDescent="0.25">
      <c r="A99" s="147"/>
      <c r="B99" s="191"/>
      <c r="C99" s="7"/>
    </row>
    <row r="100" spans="1:4" ht="31.5" x14ac:dyDescent="0.25">
      <c r="A100" s="147">
        <v>2.2999999999999998</v>
      </c>
      <c r="B100" s="191" t="s">
        <v>252</v>
      </c>
      <c r="C100" s="7"/>
    </row>
    <row r="101" spans="1:4" x14ac:dyDescent="0.25">
      <c r="A101" s="147" t="s">
        <v>253</v>
      </c>
      <c r="B101" s="191" t="s">
        <v>254</v>
      </c>
      <c r="C101" s="7" t="s">
        <v>4217</v>
      </c>
      <c r="D101" s="101">
        <v>265</v>
      </c>
    </row>
    <row r="102" spans="1:4" x14ac:dyDescent="0.25">
      <c r="A102" s="147" t="s">
        <v>255</v>
      </c>
      <c r="B102" s="191" t="s">
        <v>256</v>
      </c>
      <c r="C102" s="7" t="s">
        <v>4217</v>
      </c>
      <c r="D102" s="101">
        <v>389</v>
      </c>
    </row>
    <row r="103" spans="1:4" x14ac:dyDescent="0.25">
      <c r="A103" s="147"/>
      <c r="B103" s="191"/>
      <c r="C103" s="7"/>
    </row>
    <row r="104" spans="1:4" ht="47.25" x14ac:dyDescent="0.25">
      <c r="A104" s="147">
        <v>2.4</v>
      </c>
      <c r="B104" s="191" t="s">
        <v>257</v>
      </c>
      <c r="C104" s="7" t="s">
        <v>4217</v>
      </c>
      <c r="D104" s="101">
        <v>308</v>
      </c>
    </row>
    <row r="105" spans="1:4" x14ac:dyDescent="0.25">
      <c r="A105" s="147"/>
      <c r="B105" s="191"/>
      <c r="C105" s="7"/>
    </row>
    <row r="106" spans="1:4" x14ac:dyDescent="0.25">
      <c r="A106" s="147">
        <v>2.5</v>
      </c>
      <c r="B106" s="191" t="s">
        <v>258</v>
      </c>
      <c r="C106" s="7"/>
    </row>
    <row r="107" spans="1:4" x14ac:dyDescent="0.25">
      <c r="A107" s="147" t="s">
        <v>259</v>
      </c>
      <c r="B107" s="191" t="s">
        <v>260</v>
      </c>
      <c r="C107" s="7" t="s">
        <v>4217</v>
      </c>
      <c r="D107" s="101">
        <v>949</v>
      </c>
    </row>
    <row r="108" spans="1:4" x14ac:dyDescent="0.25">
      <c r="A108" s="147" t="s">
        <v>261</v>
      </c>
      <c r="B108" s="191" t="s">
        <v>262</v>
      </c>
      <c r="C108" s="7" t="s">
        <v>4217</v>
      </c>
      <c r="D108" s="101">
        <v>1734</v>
      </c>
    </row>
    <row r="109" spans="1:4" x14ac:dyDescent="0.25">
      <c r="A109" s="147" t="s">
        <v>263</v>
      </c>
      <c r="B109" s="191" t="s">
        <v>264</v>
      </c>
      <c r="C109" s="7" t="s">
        <v>4217</v>
      </c>
      <c r="D109" s="101">
        <v>2378</v>
      </c>
    </row>
    <row r="110" spans="1:4" x14ac:dyDescent="0.25">
      <c r="A110" s="147"/>
      <c r="B110" s="191"/>
      <c r="C110" s="7"/>
    </row>
    <row r="111" spans="1:4" x14ac:dyDescent="0.25">
      <c r="A111" s="6"/>
      <c r="B111" s="190" t="s">
        <v>265</v>
      </c>
      <c r="C111" s="7"/>
    </row>
    <row r="112" spans="1:4" x14ac:dyDescent="0.25">
      <c r="A112" s="150" t="s">
        <v>2620</v>
      </c>
      <c r="B112" s="191"/>
      <c r="C112" s="7"/>
    </row>
    <row r="113" spans="1:6" x14ac:dyDescent="0.25">
      <c r="A113" s="147" t="s">
        <v>1660</v>
      </c>
      <c r="B113" s="191" t="s">
        <v>266</v>
      </c>
      <c r="C113" s="7"/>
    </row>
    <row r="114" spans="1:6" x14ac:dyDescent="0.25">
      <c r="A114" s="147" t="s">
        <v>1666</v>
      </c>
      <c r="B114" s="191" t="s">
        <v>267</v>
      </c>
      <c r="C114" s="7"/>
    </row>
    <row r="115" spans="1:6" x14ac:dyDescent="0.25">
      <c r="A115" s="147"/>
      <c r="B115" s="191"/>
      <c r="C115" s="7"/>
    </row>
    <row r="116" spans="1:6" ht="31.5" x14ac:dyDescent="0.25">
      <c r="A116" s="147">
        <v>2.6</v>
      </c>
      <c r="B116" s="191" t="s">
        <v>6364</v>
      </c>
      <c r="C116" s="7"/>
      <c r="E116" s="8" t="s">
        <v>6344</v>
      </c>
      <c r="F116" s="8"/>
    </row>
    <row r="117" spans="1:6" x14ac:dyDescent="0.25">
      <c r="A117" s="147" t="s">
        <v>268</v>
      </c>
      <c r="B117" s="191" t="s">
        <v>269</v>
      </c>
      <c r="C117" s="7" t="s">
        <v>4217</v>
      </c>
      <c r="D117" s="101">
        <v>779</v>
      </c>
    </row>
    <row r="118" spans="1:6" ht="31.5" x14ac:dyDescent="0.25">
      <c r="A118" s="147" t="s">
        <v>270</v>
      </c>
      <c r="B118" s="191" t="s">
        <v>271</v>
      </c>
      <c r="C118" s="7" t="s">
        <v>4217</v>
      </c>
      <c r="D118" s="101">
        <v>820</v>
      </c>
    </row>
    <row r="119" spans="1:6" ht="31.5" x14ac:dyDescent="0.25">
      <c r="A119" s="147" t="s">
        <v>272</v>
      </c>
      <c r="B119" s="191" t="s">
        <v>273</v>
      </c>
      <c r="C119" s="7" t="s">
        <v>4217</v>
      </c>
      <c r="D119" s="101">
        <v>914</v>
      </c>
    </row>
    <row r="120" spans="1:6" ht="31.5" x14ac:dyDescent="0.25">
      <c r="A120" s="147" t="s">
        <v>274</v>
      </c>
      <c r="B120" s="191" t="s">
        <v>275</v>
      </c>
      <c r="C120" s="7" t="s">
        <v>4217</v>
      </c>
      <c r="D120" s="101">
        <v>1246</v>
      </c>
    </row>
    <row r="121" spans="1:6" x14ac:dyDescent="0.25">
      <c r="A121" s="147" t="s">
        <v>276</v>
      </c>
      <c r="B121" s="191" t="s">
        <v>277</v>
      </c>
      <c r="C121" s="7" t="s">
        <v>4217</v>
      </c>
      <c r="D121" s="101">
        <v>779</v>
      </c>
    </row>
    <row r="122" spans="1:6" ht="31.5" x14ac:dyDescent="0.25">
      <c r="A122" s="147" t="s">
        <v>278</v>
      </c>
      <c r="B122" s="191" t="s">
        <v>279</v>
      </c>
      <c r="C122" s="7" t="s">
        <v>4217</v>
      </c>
      <c r="D122" s="101">
        <v>388</v>
      </c>
    </row>
    <row r="123" spans="1:6" x14ac:dyDescent="0.25">
      <c r="A123" s="147"/>
      <c r="B123" s="191"/>
      <c r="C123" s="7"/>
    </row>
    <row r="124" spans="1:6" x14ac:dyDescent="0.25">
      <c r="A124" s="147"/>
      <c r="B124" s="191"/>
      <c r="C124" s="7"/>
    </row>
    <row r="125" spans="1:6" ht="31.5" x14ac:dyDescent="0.25">
      <c r="A125" s="147">
        <v>2.7</v>
      </c>
      <c r="B125" s="191" t="s">
        <v>280</v>
      </c>
      <c r="C125" s="7"/>
    </row>
    <row r="126" spans="1:6" x14ac:dyDescent="0.25">
      <c r="A126" s="147" t="s">
        <v>281</v>
      </c>
      <c r="B126" s="191" t="s">
        <v>6217</v>
      </c>
      <c r="C126" s="7" t="s">
        <v>4217</v>
      </c>
      <c r="D126" s="101">
        <v>298</v>
      </c>
    </row>
    <row r="127" spans="1:6" x14ac:dyDescent="0.25">
      <c r="A127" s="147" t="s">
        <v>282</v>
      </c>
      <c r="B127" s="191" t="s">
        <v>283</v>
      </c>
      <c r="C127" s="7" t="s">
        <v>4217</v>
      </c>
      <c r="D127" s="101">
        <v>106</v>
      </c>
    </row>
    <row r="128" spans="1:6" x14ac:dyDescent="0.25">
      <c r="A128" s="147" t="s">
        <v>284</v>
      </c>
      <c r="B128" s="191" t="s">
        <v>285</v>
      </c>
      <c r="C128" s="7" t="s">
        <v>4217</v>
      </c>
      <c r="D128" s="101">
        <v>590</v>
      </c>
    </row>
    <row r="129" spans="1:4" ht="31.5" x14ac:dyDescent="0.25">
      <c r="A129" s="147" t="s">
        <v>286</v>
      </c>
      <c r="B129" s="191" t="s">
        <v>288</v>
      </c>
      <c r="C129" s="7" t="s">
        <v>4217</v>
      </c>
      <c r="D129" s="101">
        <v>783</v>
      </c>
    </row>
    <row r="130" spans="1:4" ht="31.5" x14ac:dyDescent="0.25">
      <c r="A130" s="147" t="s">
        <v>287</v>
      </c>
      <c r="B130" s="191" t="s">
        <v>290</v>
      </c>
      <c r="C130" s="7" t="s">
        <v>4217</v>
      </c>
      <c r="D130" s="101">
        <v>1008</v>
      </c>
    </row>
    <row r="131" spans="1:4" x14ac:dyDescent="0.25">
      <c r="A131" s="147" t="s">
        <v>289</v>
      </c>
      <c r="B131" s="191" t="s">
        <v>292</v>
      </c>
      <c r="C131" s="7" t="s">
        <v>4217</v>
      </c>
      <c r="D131" s="101">
        <v>953</v>
      </c>
    </row>
    <row r="132" spans="1:4" ht="31.5" x14ac:dyDescent="0.25">
      <c r="A132" s="147" t="s">
        <v>291</v>
      </c>
      <c r="B132" s="191" t="s">
        <v>294</v>
      </c>
      <c r="C132" s="7" t="s">
        <v>4217</v>
      </c>
      <c r="D132" s="101">
        <v>187</v>
      </c>
    </row>
    <row r="133" spans="1:4" x14ac:dyDescent="0.25">
      <c r="A133" s="147" t="s">
        <v>293</v>
      </c>
      <c r="B133" s="191" t="s">
        <v>296</v>
      </c>
      <c r="C133" s="7" t="s">
        <v>4217</v>
      </c>
      <c r="D133" s="101">
        <v>232</v>
      </c>
    </row>
    <row r="134" spans="1:4" x14ac:dyDescent="0.25">
      <c r="A134" s="147" t="s">
        <v>295</v>
      </c>
      <c r="B134" s="191" t="s">
        <v>297</v>
      </c>
      <c r="C134" s="7" t="s">
        <v>4217</v>
      </c>
      <c r="D134" s="101">
        <v>295</v>
      </c>
    </row>
    <row r="135" spans="1:4" x14ac:dyDescent="0.25">
      <c r="A135" s="147"/>
      <c r="B135" s="191"/>
      <c r="C135" s="7"/>
    </row>
    <row r="136" spans="1:4" ht="31.5" x14ac:dyDescent="0.25">
      <c r="A136" s="147">
        <v>2.8</v>
      </c>
      <c r="B136" s="191" t="s">
        <v>6203</v>
      </c>
      <c r="C136" s="7"/>
    </row>
    <row r="137" spans="1:4" x14ac:dyDescent="0.25">
      <c r="A137" s="147" t="s">
        <v>298</v>
      </c>
      <c r="B137" s="191" t="s">
        <v>299</v>
      </c>
      <c r="C137" s="7" t="s">
        <v>4217</v>
      </c>
      <c r="D137" s="101">
        <v>319</v>
      </c>
    </row>
    <row r="138" spans="1:4" x14ac:dyDescent="0.25">
      <c r="A138" s="147" t="s">
        <v>300</v>
      </c>
      <c r="B138" s="191" t="s">
        <v>301</v>
      </c>
      <c r="C138" s="7" t="s">
        <v>4217</v>
      </c>
      <c r="D138" s="101">
        <v>460</v>
      </c>
    </row>
    <row r="139" spans="1:4" x14ac:dyDescent="0.25">
      <c r="A139" s="147" t="s">
        <v>302</v>
      </c>
      <c r="B139" s="191" t="s">
        <v>303</v>
      </c>
      <c r="C139" s="7" t="s">
        <v>4217</v>
      </c>
      <c r="D139" s="101">
        <v>729</v>
      </c>
    </row>
    <row r="140" spans="1:4" x14ac:dyDescent="0.25">
      <c r="A140" s="147" t="s">
        <v>304</v>
      </c>
      <c r="B140" s="191" t="s">
        <v>305</v>
      </c>
      <c r="C140" s="7" t="s">
        <v>4217</v>
      </c>
      <c r="D140" s="101">
        <v>477</v>
      </c>
    </row>
    <row r="141" spans="1:4" x14ac:dyDescent="0.25">
      <c r="A141" s="147" t="s">
        <v>306</v>
      </c>
      <c r="B141" s="191" t="s">
        <v>307</v>
      </c>
      <c r="C141" s="7" t="s">
        <v>4217</v>
      </c>
      <c r="D141" s="101">
        <v>1009</v>
      </c>
    </row>
    <row r="142" spans="1:4" ht="31.5" x14ac:dyDescent="0.25">
      <c r="A142" s="147" t="s">
        <v>308</v>
      </c>
      <c r="B142" s="191" t="s">
        <v>309</v>
      </c>
      <c r="C142" s="7" t="s">
        <v>4217</v>
      </c>
      <c r="D142" s="101">
        <v>231</v>
      </c>
    </row>
    <row r="143" spans="1:4" x14ac:dyDescent="0.25">
      <c r="A143" s="147" t="s">
        <v>310</v>
      </c>
      <c r="B143" s="191" t="s">
        <v>311</v>
      </c>
      <c r="C143" s="7" t="s">
        <v>4217</v>
      </c>
      <c r="D143" s="101">
        <v>259</v>
      </c>
    </row>
    <row r="144" spans="1:4" x14ac:dyDescent="0.25">
      <c r="A144" s="147"/>
      <c r="B144" s="191"/>
      <c r="C144" s="7"/>
    </row>
    <row r="145" spans="1:4" x14ac:dyDescent="0.25">
      <c r="A145" s="147">
        <v>2.9</v>
      </c>
      <c r="B145" s="191" t="s">
        <v>312</v>
      </c>
      <c r="C145" s="7"/>
    </row>
    <row r="146" spans="1:4" x14ac:dyDescent="0.25">
      <c r="A146" s="147" t="s">
        <v>313</v>
      </c>
      <c r="B146" s="191" t="s">
        <v>314</v>
      </c>
      <c r="C146" s="7" t="s">
        <v>4217</v>
      </c>
      <c r="D146" s="101">
        <v>977</v>
      </c>
    </row>
    <row r="147" spans="1:4" x14ac:dyDescent="0.25">
      <c r="A147" s="147" t="s">
        <v>315</v>
      </c>
      <c r="B147" s="191" t="s">
        <v>316</v>
      </c>
      <c r="C147" s="7" t="s">
        <v>4217</v>
      </c>
      <c r="D147" s="101">
        <v>977</v>
      </c>
    </row>
    <row r="148" spans="1:4" x14ac:dyDescent="0.25">
      <c r="A148" s="147"/>
      <c r="B148" s="191"/>
      <c r="C148" s="7"/>
    </row>
    <row r="149" spans="1:4" x14ac:dyDescent="0.25">
      <c r="A149" s="7">
        <v>2.1</v>
      </c>
      <c r="B149" s="191" t="s">
        <v>6204</v>
      </c>
      <c r="C149" s="7"/>
    </row>
    <row r="150" spans="1:4" x14ac:dyDescent="0.25">
      <c r="A150" s="147" t="s">
        <v>317</v>
      </c>
      <c r="B150" s="191" t="s">
        <v>318</v>
      </c>
      <c r="C150" s="7" t="s">
        <v>4217</v>
      </c>
      <c r="D150" s="101">
        <v>370</v>
      </c>
    </row>
    <row r="151" spans="1:4" ht="31.5" x14ac:dyDescent="0.25">
      <c r="A151" s="147" t="s">
        <v>319</v>
      </c>
      <c r="B151" s="191" t="s">
        <v>320</v>
      </c>
      <c r="C151" s="7" t="s">
        <v>4217</v>
      </c>
      <c r="D151" s="101">
        <v>205</v>
      </c>
    </row>
    <row r="152" spans="1:4" x14ac:dyDescent="0.25">
      <c r="A152" s="147"/>
      <c r="B152" s="191"/>
      <c r="C152" s="7"/>
    </row>
    <row r="153" spans="1:4" ht="31.5" x14ac:dyDescent="0.25">
      <c r="A153" s="147">
        <v>2.11</v>
      </c>
      <c r="B153" s="191" t="s">
        <v>6205</v>
      </c>
      <c r="C153" s="7"/>
    </row>
    <row r="154" spans="1:4" x14ac:dyDescent="0.25">
      <c r="A154" s="147" t="s">
        <v>321</v>
      </c>
      <c r="B154" s="191" t="s">
        <v>6218</v>
      </c>
      <c r="C154" s="7" t="s">
        <v>4217</v>
      </c>
      <c r="D154" s="101">
        <v>314</v>
      </c>
    </row>
    <row r="155" spans="1:4" x14ac:dyDescent="0.25">
      <c r="A155" s="147" t="s">
        <v>322</v>
      </c>
      <c r="B155" s="191" t="s">
        <v>6219</v>
      </c>
      <c r="C155" s="7" t="s">
        <v>4217</v>
      </c>
      <c r="D155" s="101">
        <v>372</v>
      </c>
    </row>
    <row r="156" spans="1:4" x14ac:dyDescent="0.25">
      <c r="A156" s="147" t="s">
        <v>323</v>
      </c>
      <c r="B156" s="191" t="s">
        <v>6220</v>
      </c>
      <c r="C156" s="7" t="s">
        <v>4217</v>
      </c>
      <c r="D156" s="101">
        <v>440</v>
      </c>
    </row>
    <row r="157" spans="1:4" x14ac:dyDescent="0.25">
      <c r="A157" s="147" t="s">
        <v>324</v>
      </c>
      <c r="B157" s="191" t="s">
        <v>6221</v>
      </c>
      <c r="C157" s="7" t="s">
        <v>4217</v>
      </c>
      <c r="D157" s="101">
        <v>480</v>
      </c>
    </row>
    <row r="158" spans="1:4" x14ac:dyDescent="0.25">
      <c r="A158" s="147" t="s">
        <v>325</v>
      </c>
      <c r="B158" s="191" t="s">
        <v>6222</v>
      </c>
      <c r="C158" s="7" t="s">
        <v>4217</v>
      </c>
      <c r="D158" s="101">
        <v>728</v>
      </c>
    </row>
    <row r="159" spans="1:4" x14ac:dyDescent="0.25">
      <c r="A159" s="147" t="s">
        <v>326</v>
      </c>
      <c r="B159" s="191" t="s">
        <v>6223</v>
      </c>
      <c r="C159" s="7" t="s">
        <v>4217</v>
      </c>
      <c r="D159" s="101">
        <v>789</v>
      </c>
    </row>
    <row r="160" spans="1:4" x14ac:dyDescent="0.25">
      <c r="A160" s="147"/>
      <c r="B160" s="191"/>
      <c r="C160" s="7"/>
    </row>
    <row r="161" spans="1:4" x14ac:dyDescent="0.25">
      <c r="A161" s="147"/>
      <c r="B161" s="191"/>
      <c r="C161" s="7"/>
    </row>
    <row r="162" spans="1:4" ht="31.5" x14ac:dyDescent="0.25">
      <c r="A162" s="147" t="s">
        <v>327</v>
      </c>
      <c r="B162" s="191" t="s">
        <v>328</v>
      </c>
      <c r="C162" s="7" t="s">
        <v>4217</v>
      </c>
      <c r="D162" s="101">
        <v>277</v>
      </c>
    </row>
    <row r="163" spans="1:4" x14ac:dyDescent="0.25">
      <c r="A163" s="147" t="s">
        <v>329</v>
      </c>
      <c r="B163" s="191" t="s">
        <v>330</v>
      </c>
      <c r="C163" s="7" t="s">
        <v>4217</v>
      </c>
      <c r="D163" s="101">
        <v>383</v>
      </c>
    </row>
    <row r="164" spans="1:4" x14ac:dyDescent="0.25">
      <c r="A164" s="147" t="s">
        <v>331</v>
      </c>
      <c r="B164" s="191" t="s">
        <v>332</v>
      </c>
      <c r="C164" s="7" t="s">
        <v>4217</v>
      </c>
      <c r="D164" s="101">
        <v>710</v>
      </c>
    </row>
    <row r="165" spans="1:4" x14ac:dyDescent="0.25">
      <c r="A165" s="147" t="s">
        <v>333</v>
      </c>
      <c r="B165" s="191" t="s">
        <v>334</v>
      </c>
      <c r="C165" s="7" t="s">
        <v>4217</v>
      </c>
      <c r="D165" s="101">
        <v>1841</v>
      </c>
    </row>
    <row r="166" spans="1:4" x14ac:dyDescent="0.25">
      <c r="A166" s="147"/>
      <c r="B166" s="191"/>
      <c r="C166" s="7"/>
    </row>
    <row r="167" spans="1:4" ht="31.5" x14ac:dyDescent="0.25">
      <c r="A167" s="147">
        <v>2.12</v>
      </c>
      <c r="B167" s="191" t="s">
        <v>6206</v>
      </c>
      <c r="C167" s="7"/>
    </row>
    <row r="168" spans="1:4" x14ac:dyDescent="0.25">
      <c r="A168" s="147" t="s">
        <v>335</v>
      </c>
      <c r="B168" s="191" t="s">
        <v>336</v>
      </c>
      <c r="C168" s="7" t="s">
        <v>4217</v>
      </c>
      <c r="D168" s="101">
        <v>501</v>
      </c>
    </row>
    <row r="169" spans="1:4" x14ac:dyDescent="0.25">
      <c r="A169" s="147" t="s">
        <v>337</v>
      </c>
      <c r="B169" s="191" t="s">
        <v>338</v>
      </c>
      <c r="C169" s="7" t="s">
        <v>4217</v>
      </c>
      <c r="D169" s="101">
        <v>590</v>
      </c>
    </row>
    <row r="170" spans="1:4" x14ac:dyDescent="0.25">
      <c r="A170" s="147" t="s">
        <v>339</v>
      </c>
      <c r="B170" s="195" t="s">
        <v>4629</v>
      </c>
      <c r="C170" s="7" t="s">
        <v>4217</v>
      </c>
      <c r="D170" s="101">
        <v>626</v>
      </c>
    </row>
    <row r="171" spans="1:4" ht="31.5" x14ac:dyDescent="0.25">
      <c r="A171" s="147" t="s">
        <v>340</v>
      </c>
      <c r="B171" s="191" t="s">
        <v>341</v>
      </c>
      <c r="C171" s="7" t="s">
        <v>4217</v>
      </c>
      <c r="D171" s="101">
        <v>240</v>
      </c>
    </row>
    <row r="172" spans="1:4" x14ac:dyDescent="0.25">
      <c r="A172" s="147"/>
      <c r="B172" s="191"/>
      <c r="C172" s="7"/>
    </row>
    <row r="173" spans="1:4" ht="31.5" x14ac:dyDescent="0.25">
      <c r="A173" s="147">
        <v>2.13</v>
      </c>
      <c r="B173" s="191" t="s">
        <v>6207</v>
      </c>
      <c r="C173" s="7"/>
    </row>
    <row r="174" spans="1:4" x14ac:dyDescent="0.25">
      <c r="A174" s="147" t="s">
        <v>342</v>
      </c>
      <c r="B174" s="191" t="s">
        <v>343</v>
      </c>
      <c r="C174" s="7" t="s">
        <v>4217</v>
      </c>
      <c r="D174" s="101">
        <v>73</v>
      </c>
    </row>
    <row r="175" spans="1:4" x14ac:dyDescent="0.25">
      <c r="A175" s="147" t="s">
        <v>344</v>
      </c>
      <c r="B175" s="191" t="s">
        <v>345</v>
      </c>
      <c r="C175" s="7" t="s">
        <v>4217</v>
      </c>
      <c r="D175" s="101">
        <v>79</v>
      </c>
    </row>
    <row r="176" spans="1:4" x14ac:dyDescent="0.25">
      <c r="A176" s="147" t="s">
        <v>346</v>
      </c>
      <c r="B176" s="191" t="s">
        <v>347</v>
      </c>
      <c r="C176" s="7" t="s">
        <v>4217</v>
      </c>
      <c r="D176" s="101">
        <v>101</v>
      </c>
    </row>
    <row r="177" spans="1:4" x14ac:dyDescent="0.25">
      <c r="A177" s="147" t="s">
        <v>348</v>
      </c>
      <c r="B177" s="191" t="s">
        <v>349</v>
      </c>
      <c r="C177" s="7" t="s">
        <v>4217</v>
      </c>
      <c r="D177" s="101">
        <v>116</v>
      </c>
    </row>
    <row r="178" spans="1:4" x14ac:dyDescent="0.25">
      <c r="A178" s="147" t="s">
        <v>350</v>
      </c>
      <c r="B178" s="191" t="s">
        <v>351</v>
      </c>
      <c r="C178" s="7" t="s">
        <v>4217</v>
      </c>
      <c r="D178" s="101">
        <v>97</v>
      </c>
    </row>
    <row r="179" spans="1:4" x14ac:dyDescent="0.25">
      <c r="A179" s="147" t="s">
        <v>352</v>
      </c>
      <c r="B179" s="191" t="s">
        <v>353</v>
      </c>
      <c r="C179" s="7" t="s">
        <v>4217</v>
      </c>
      <c r="D179" s="101">
        <v>123</v>
      </c>
    </row>
    <row r="180" spans="1:4" x14ac:dyDescent="0.25">
      <c r="A180" s="147" t="s">
        <v>354</v>
      </c>
      <c r="B180" s="191" t="s">
        <v>347</v>
      </c>
      <c r="C180" s="7" t="s">
        <v>4217</v>
      </c>
      <c r="D180" s="101">
        <v>136</v>
      </c>
    </row>
    <row r="181" spans="1:4" x14ac:dyDescent="0.25">
      <c r="A181" s="147" t="s">
        <v>355</v>
      </c>
      <c r="B181" s="191" t="s">
        <v>349</v>
      </c>
      <c r="C181" s="7" t="s">
        <v>4217</v>
      </c>
      <c r="D181" s="101">
        <v>176</v>
      </c>
    </row>
    <row r="182" spans="1:4" x14ac:dyDescent="0.25">
      <c r="A182" s="147"/>
      <c r="B182" s="191"/>
      <c r="C182" s="7"/>
    </row>
    <row r="183" spans="1:4" ht="31.5" x14ac:dyDescent="0.25">
      <c r="A183" s="147">
        <v>2.14</v>
      </c>
      <c r="B183" s="191" t="s">
        <v>6208</v>
      </c>
      <c r="C183" s="7"/>
    </row>
    <row r="184" spans="1:4" x14ac:dyDescent="0.25">
      <c r="A184" s="147" t="s">
        <v>356</v>
      </c>
      <c r="B184" s="191" t="s">
        <v>357</v>
      </c>
      <c r="C184" s="7" t="s">
        <v>4217</v>
      </c>
      <c r="D184" s="101">
        <v>358</v>
      </c>
    </row>
    <row r="185" spans="1:4" x14ac:dyDescent="0.25">
      <c r="A185" s="147" t="s">
        <v>358</v>
      </c>
      <c r="B185" s="191" t="s">
        <v>359</v>
      </c>
      <c r="C185" s="7" t="s">
        <v>4217</v>
      </c>
      <c r="D185" s="101">
        <v>541</v>
      </c>
    </row>
    <row r="186" spans="1:4" x14ac:dyDescent="0.25">
      <c r="A186" s="147" t="s">
        <v>360</v>
      </c>
      <c r="B186" s="191" t="s">
        <v>361</v>
      </c>
      <c r="C186" s="7" t="s">
        <v>4217</v>
      </c>
      <c r="D186" s="101">
        <v>961</v>
      </c>
    </row>
    <row r="187" spans="1:4" x14ac:dyDescent="0.25">
      <c r="A187" s="147" t="s">
        <v>362</v>
      </c>
      <c r="B187" s="191" t="s">
        <v>363</v>
      </c>
      <c r="C187" s="7" t="s">
        <v>4217</v>
      </c>
      <c r="D187" s="101">
        <v>1301</v>
      </c>
    </row>
    <row r="188" spans="1:4" x14ac:dyDescent="0.25">
      <c r="A188" s="147" t="s">
        <v>364</v>
      </c>
      <c r="B188" s="191" t="s">
        <v>365</v>
      </c>
      <c r="C188" s="7" t="s">
        <v>4217</v>
      </c>
      <c r="D188" s="101">
        <v>975</v>
      </c>
    </row>
    <row r="189" spans="1:4" x14ac:dyDescent="0.25">
      <c r="A189" s="147" t="s">
        <v>366</v>
      </c>
      <c r="B189" s="191" t="s">
        <v>367</v>
      </c>
      <c r="C189" s="7" t="s">
        <v>4217</v>
      </c>
      <c r="D189" s="101">
        <v>1422</v>
      </c>
    </row>
    <row r="190" spans="1:4" x14ac:dyDescent="0.25">
      <c r="A190" s="147" t="s">
        <v>368</v>
      </c>
      <c r="B190" s="191" t="s">
        <v>369</v>
      </c>
      <c r="C190" s="7" t="s">
        <v>4217</v>
      </c>
      <c r="D190" s="101">
        <v>783</v>
      </c>
    </row>
    <row r="191" spans="1:4" x14ac:dyDescent="0.25">
      <c r="A191" s="147" t="s">
        <v>370</v>
      </c>
      <c r="B191" s="191" t="s">
        <v>371</v>
      </c>
      <c r="C191" s="7" t="s">
        <v>4217</v>
      </c>
      <c r="D191" s="101">
        <v>902</v>
      </c>
    </row>
    <row r="192" spans="1:4" ht="31.5" x14ac:dyDescent="0.25">
      <c r="A192" s="147" t="s">
        <v>372</v>
      </c>
      <c r="B192" s="191" t="s">
        <v>373</v>
      </c>
      <c r="C192" s="7" t="s">
        <v>4217</v>
      </c>
      <c r="D192" s="101">
        <v>551</v>
      </c>
    </row>
    <row r="193" spans="1:4" x14ac:dyDescent="0.25">
      <c r="A193" s="147" t="s">
        <v>374</v>
      </c>
      <c r="B193" s="191" t="s">
        <v>375</v>
      </c>
      <c r="C193" s="7" t="s">
        <v>4217</v>
      </c>
      <c r="D193" s="101">
        <v>1993</v>
      </c>
    </row>
    <row r="194" spans="1:4" x14ac:dyDescent="0.25">
      <c r="A194" s="147"/>
      <c r="B194" s="191"/>
      <c r="C194" s="7"/>
    </row>
    <row r="195" spans="1:4" ht="31.5" x14ac:dyDescent="0.25">
      <c r="A195" s="147">
        <v>2.15</v>
      </c>
      <c r="B195" s="191" t="s">
        <v>6209</v>
      </c>
      <c r="C195" s="7"/>
    </row>
    <row r="196" spans="1:4" x14ac:dyDescent="0.25">
      <c r="A196" s="147" t="s">
        <v>376</v>
      </c>
      <c r="B196" s="191" t="s">
        <v>377</v>
      </c>
      <c r="C196" s="7" t="s">
        <v>4217</v>
      </c>
      <c r="D196" s="101">
        <v>227</v>
      </c>
    </row>
    <row r="197" spans="1:4" x14ac:dyDescent="0.25">
      <c r="A197" s="147" t="s">
        <v>378</v>
      </c>
      <c r="B197" s="191" t="s">
        <v>359</v>
      </c>
      <c r="C197" s="7" t="s">
        <v>4217</v>
      </c>
      <c r="D197" s="101">
        <v>358</v>
      </c>
    </row>
    <row r="198" spans="1:4" x14ac:dyDescent="0.25">
      <c r="A198" s="147" t="s">
        <v>379</v>
      </c>
      <c r="B198" s="191" t="s">
        <v>380</v>
      </c>
      <c r="C198" s="7" t="s">
        <v>4217</v>
      </c>
      <c r="D198" s="101">
        <v>529</v>
      </c>
    </row>
    <row r="199" spans="1:4" x14ac:dyDescent="0.25">
      <c r="A199" s="147"/>
      <c r="B199" s="191"/>
      <c r="C199" s="7"/>
      <c r="D199" s="101"/>
    </row>
    <row r="200" spans="1:4" x14ac:dyDescent="0.25">
      <c r="A200" s="147" t="s">
        <v>381</v>
      </c>
      <c r="B200" s="191" t="s">
        <v>363</v>
      </c>
      <c r="C200" s="7" t="s">
        <v>4217</v>
      </c>
      <c r="D200" s="101">
        <v>703</v>
      </c>
    </row>
    <row r="201" spans="1:4" x14ac:dyDescent="0.25">
      <c r="A201" s="147" t="s">
        <v>382</v>
      </c>
      <c r="B201" s="191" t="s">
        <v>383</v>
      </c>
      <c r="C201" s="7" t="s">
        <v>4217</v>
      </c>
      <c r="D201" s="101">
        <v>1074</v>
      </c>
    </row>
    <row r="202" spans="1:4" x14ac:dyDescent="0.25">
      <c r="A202" s="147" t="s">
        <v>384</v>
      </c>
      <c r="B202" s="191" t="s">
        <v>385</v>
      </c>
      <c r="C202" s="7" t="s">
        <v>4217</v>
      </c>
      <c r="D202" s="101">
        <v>1464</v>
      </c>
    </row>
    <row r="203" spans="1:4" x14ac:dyDescent="0.25">
      <c r="A203" s="147" t="s">
        <v>997</v>
      </c>
      <c r="B203" s="191" t="s">
        <v>999</v>
      </c>
      <c r="C203" s="7" t="s">
        <v>4217</v>
      </c>
      <c r="D203" s="101">
        <v>1783</v>
      </c>
    </row>
    <row r="204" spans="1:4" x14ac:dyDescent="0.25">
      <c r="A204" s="147" t="s">
        <v>998</v>
      </c>
      <c r="B204" s="191" t="s">
        <v>1000</v>
      </c>
      <c r="C204" s="7" t="s">
        <v>4217</v>
      </c>
      <c r="D204" s="101">
        <v>2670</v>
      </c>
    </row>
    <row r="205" spans="1:4" s="176" customFormat="1" x14ac:dyDescent="0.25">
      <c r="A205" s="147" t="s">
        <v>5707</v>
      </c>
      <c r="B205" s="191" t="s">
        <v>5708</v>
      </c>
      <c r="C205" s="7" t="s">
        <v>4217</v>
      </c>
      <c r="D205" s="5">
        <v>4400</v>
      </c>
    </row>
    <row r="206" spans="1:4" x14ac:dyDescent="0.25">
      <c r="A206" s="147"/>
      <c r="B206" s="191"/>
      <c r="C206" s="7"/>
    </row>
    <row r="207" spans="1:4" ht="31.5" x14ac:dyDescent="0.25">
      <c r="A207" s="147">
        <v>2.16</v>
      </c>
      <c r="B207" s="191" t="s">
        <v>6345</v>
      </c>
      <c r="C207" s="7"/>
    </row>
    <row r="208" spans="1:4" x14ac:dyDescent="0.25">
      <c r="A208" s="147" t="s">
        <v>386</v>
      </c>
      <c r="B208" s="190" t="s">
        <v>387</v>
      </c>
      <c r="C208" s="7"/>
    </row>
    <row r="209" spans="1:4" x14ac:dyDescent="0.25">
      <c r="A209" s="147" t="s">
        <v>1660</v>
      </c>
      <c r="B209" s="191" t="s">
        <v>388</v>
      </c>
      <c r="C209" s="7" t="s">
        <v>4217</v>
      </c>
      <c r="D209" s="101">
        <v>272</v>
      </c>
    </row>
    <row r="210" spans="1:4" x14ac:dyDescent="0.25">
      <c r="A210" s="147" t="s">
        <v>1666</v>
      </c>
      <c r="B210" s="191" t="s">
        <v>2238</v>
      </c>
      <c r="C210" s="7" t="s">
        <v>4217</v>
      </c>
      <c r="D210" s="101">
        <v>238</v>
      </c>
    </row>
    <row r="211" spans="1:4" x14ac:dyDescent="0.25">
      <c r="A211" s="147"/>
      <c r="B211" s="191"/>
      <c r="C211" s="7"/>
    </row>
    <row r="212" spans="1:4" x14ac:dyDescent="0.25">
      <c r="A212" s="147" t="s">
        <v>389</v>
      </c>
      <c r="B212" s="190" t="s">
        <v>390</v>
      </c>
      <c r="C212" s="7"/>
    </row>
    <row r="213" spans="1:4" x14ac:dyDescent="0.25">
      <c r="A213" s="147" t="s">
        <v>1660</v>
      </c>
      <c r="B213" s="191" t="s">
        <v>388</v>
      </c>
      <c r="C213" s="7" t="s">
        <v>4217</v>
      </c>
      <c r="D213" s="101">
        <v>343</v>
      </c>
    </row>
    <row r="214" spans="1:4" x14ac:dyDescent="0.25">
      <c r="A214" s="147" t="s">
        <v>1666</v>
      </c>
      <c r="B214" s="191" t="s">
        <v>2238</v>
      </c>
      <c r="C214" s="7" t="s">
        <v>4217</v>
      </c>
      <c r="D214" s="101">
        <v>304</v>
      </c>
    </row>
    <row r="215" spans="1:4" x14ac:dyDescent="0.25">
      <c r="A215" s="147"/>
      <c r="B215" s="191"/>
      <c r="C215" s="7"/>
    </row>
    <row r="216" spans="1:4" x14ac:dyDescent="0.25">
      <c r="A216" s="147" t="s">
        <v>391</v>
      </c>
      <c r="B216" s="190" t="s">
        <v>392</v>
      </c>
      <c r="C216" s="7"/>
    </row>
    <row r="217" spans="1:4" x14ac:dyDescent="0.25">
      <c r="A217" s="147" t="s">
        <v>1660</v>
      </c>
      <c r="B217" s="191" t="s">
        <v>388</v>
      </c>
      <c r="C217" s="7" t="s">
        <v>4217</v>
      </c>
      <c r="D217" s="101">
        <v>496</v>
      </c>
    </row>
    <row r="218" spans="1:4" x14ac:dyDescent="0.25">
      <c r="A218" s="147" t="s">
        <v>1666</v>
      </c>
      <c r="B218" s="191" t="s">
        <v>2238</v>
      </c>
      <c r="C218" s="7" t="s">
        <v>4217</v>
      </c>
      <c r="D218" s="101">
        <v>403</v>
      </c>
    </row>
    <row r="219" spans="1:4" x14ac:dyDescent="0.25">
      <c r="A219" s="147"/>
      <c r="B219" s="191"/>
      <c r="C219" s="7"/>
    </row>
    <row r="220" spans="1:4" x14ac:dyDescent="0.25">
      <c r="A220" s="147" t="s">
        <v>393</v>
      </c>
      <c r="B220" s="190" t="s">
        <v>394</v>
      </c>
      <c r="C220" s="7"/>
    </row>
    <row r="221" spans="1:4" x14ac:dyDescent="0.25">
      <c r="A221" s="147" t="s">
        <v>1660</v>
      </c>
      <c r="B221" s="191" t="s">
        <v>388</v>
      </c>
      <c r="C221" s="7" t="s">
        <v>4217</v>
      </c>
      <c r="D221" s="101">
        <v>697</v>
      </c>
    </row>
    <row r="222" spans="1:4" x14ac:dyDescent="0.25">
      <c r="A222" s="147" t="s">
        <v>1666</v>
      </c>
      <c r="B222" s="191" t="s">
        <v>2238</v>
      </c>
      <c r="C222" s="7" t="s">
        <v>4217</v>
      </c>
      <c r="D222" s="101">
        <v>583</v>
      </c>
    </row>
    <row r="223" spans="1:4" x14ac:dyDescent="0.25">
      <c r="A223" s="147"/>
      <c r="B223" s="191"/>
      <c r="C223" s="7"/>
    </row>
    <row r="224" spans="1:4" x14ac:dyDescent="0.25">
      <c r="A224" s="147" t="s">
        <v>395</v>
      </c>
      <c r="B224" s="190" t="s">
        <v>789</v>
      </c>
      <c r="C224" s="7"/>
    </row>
    <row r="225" spans="1:4" x14ac:dyDescent="0.25">
      <c r="A225" s="147" t="s">
        <v>1660</v>
      </c>
      <c r="B225" s="191" t="s">
        <v>388</v>
      </c>
      <c r="C225" s="7" t="s">
        <v>4217</v>
      </c>
      <c r="D225" s="101">
        <v>970</v>
      </c>
    </row>
    <row r="226" spans="1:4" x14ac:dyDescent="0.25">
      <c r="A226" s="147" t="s">
        <v>1666</v>
      </c>
      <c r="B226" s="191" t="s">
        <v>2238</v>
      </c>
      <c r="C226" s="7" t="s">
        <v>4217</v>
      </c>
      <c r="D226" s="101">
        <v>741</v>
      </c>
    </row>
    <row r="227" spans="1:4" x14ac:dyDescent="0.25">
      <c r="A227" s="147"/>
      <c r="B227" s="191"/>
      <c r="C227" s="7"/>
    </row>
    <row r="228" spans="1:4" x14ac:dyDescent="0.25">
      <c r="A228" s="147" t="s">
        <v>790</v>
      </c>
      <c r="B228" s="190" t="s">
        <v>791</v>
      </c>
      <c r="C228" s="7"/>
    </row>
    <row r="229" spans="1:4" x14ac:dyDescent="0.25">
      <c r="A229" s="147" t="s">
        <v>1660</v>
      </c>
      <c r="B229" s="191" t="s">
        <v>388</v>
      </c>
      <c r="C229" s="7" t="s">
        <v>4217</v>
      </c>
      <c r="D229" s="101">
        <v>1416</v>
      </c>
    </row>
    <row r="230" spans="1:4" x14ac:dyDescent="0.25">
      <c r="A230" s="147" t="s">
        <v>1666</v>
      </c>
      <c r="B230" s="191" t="s">
        <v>2238</v>
      </c>
      <c r="C230" s="7" t="s">
        <v>4217</v>
      </c>
      <c r="D230" s="5">
        <v>964</v>
      </c>
    </row>
    <row r="231" spans="1:4" x14ac:dyDescent="0.25">
      <c r="A231" s="147"/>
      <c r="B231" s="191"/>
      <c r="C231" s="7"/>
    </row>
    <row r="232" spans="1:4" ht="31.5" x14ac:dyDescent="0.25">
      <c r="A232" s="147">
        <v>2.17</v>
      </c>
      <c r="B232" s="191" t="s">
        <v>6210</v>
      </c>
      <c r="C232" s="7"/>
    </row>
    <row r="233" spans="1:4" x14ac:dyDescent="0.25">
      <c r="A233" s="147" t="s">
        <v>792</v>
      </c>
      <c r="B233" s="191" t="s">
        <v>394</v>
      </c>
      <c r="C233" s="7" t="s">
        <v>4217</v>
      </c>
      <c r="D233" s="101">
        <v>2650</v>
      </c>
    </row>
    <row r="234" spans="1:4" x14ac:dyDescent="0.25">
      <c r="A234" s="147"/>
      <c r="B234" s="191" t="s">
        <v>392</v>
      </c>
      <c r="C234" s="7" t="s">
        <v>4217</v>
      </c>
    </row>
    <row r="235" spans="1:4" x14ac:dyDescent="0.25">
      <c r="A235" s="147"/>
      <c r="B235" s="191"/>
      <c r="C235" s="7"/>
    </row>
    <row r="236" spans="1:4" ht="31.5" x14ac:dyDescent="0.25">
      <c r="A236" s="147">
        <v>2.1800000000000002</v>
      </c>
      <c r="B236" s="191" t="s">
        <v>793</v>
      </c>
      <c r="C236" s="7"/>
    </row>
    <row r="237" spans="1:4" x14ac:dyDescent="0.25">
      <c r="A237" s="147" t="s">
        <v>794</v>
      </c>
      <c r="B237" s="191" t="s">
        <v>795</v>
      </c>
      <c r="C237" s="7" t="s">
        <v>4217</v>
      </c>
      <c r="D237" s="101">
        <v>230</v>
      </c>
    </row>
    <row r="238" spans="1:4" x14ac:dyDescent="0.25">
      <c r="A238" s="147" t="s">
        <v>796</v>
      </c>
      <c r="B238" s="191" t="s">
        <v>797</v>
      </c>
      <c r="C238" s="7" t="s">
        <v>4217</v>
      </c>
      <c r="D238" s="101">
        <v>309</v>
      </c>
    </row>
    <row r="239" spans="1:4" x14ac:dyDescent="0.25">
      <c r="A239" s="147" t="s">
        <v>798</v>
      </c>
      <c r="B239" s="191" t="s">
        <v>799</v>
      </c>
      <c r="C239" s="7" t="s">
        <v>4217</v>
      </c>
      <c r="D239" s="101">
        <v>389</v>
      </c>
    </row>
    <row r="240" spans="1:4" x14ac:dyDescent="0.25">
      <c r="A240" s="147" t="s">
        <v>800</v>
      </c>
      <c r="B240" s="191" t="s">
        <v>801</v>
      </c>
      <c r="C240" s="7" t="s">
        <v>4217</v>
      </c>
      <c r="D240" s="101">
        <v>457</v>
      </c>
    </row>
    <row r="241" spans="1:4" x14ac:dyDescent="0.25">
      <c r="A241" s="147"/>
      <c r="B241" s="191"/>
      <c r="C241" s="7"/>
    </row>
    <row r="242" spans="1:4" ht="31.5" x14ac:dyDescent="0.25">
      <c r="A242" s="147">
        <v>2.19</v>
      </c>
      <c r="B242" s="191" t="s">
        <v>6211</v>
      </c>
      <c r="C242" s="7"/>
    </row>
    <row r="243" spans="1:4" x14ac:dyDescent="0.25">
      <c r="A243" s="147" t="s">
        <v>802</v>
      </c>
      <c r="B243" s="191" t="s">
        <v>795</v>
      </c>
      <c r="C243" s="7" t="s">
        <v>4217</v>
      </c>
      <c r="D243" s="101">
        <v>384</v>
      </c>
    </row>
    <row r="244" spans="1:4" x14ac:dyDescent="0.25">
      <c r="A244" s="147" t="s">
        <v>803</v>
      </c>
      <c r="B244" s="191" t="s">
        <v>797</v>
      </c>
      <c r="C244" s="7" t="s">
        <v>4217</v>
      </c>
      <c r="D244" s="101">
        <v>525</v>
      </c>
    </row>
    <row r="245" spans="1:4" x14ac:dyDescent="0.25">
      <c r="A245" s="147" t="s">
        <v>804</v>
      </c>
      <c r="B245" s="191" t="s">
        <v>799</v>
      </c>
      <c r="C245" s="7" t="s">
        <v>4217</v>
      </c>
      <c r="D245" s="101">
        <v>631</v>
      </c>
    </row>
    <row r="246" spans="1:4" x14ac:dyDescent="0.25">
      <c r="A246" s="147" t="s">
        <v>805</v>
      </c>
      <c r="B246" s="191" t="s">
        <v>801</v>
      </c>
      <c r="C246" s="7" t="s">
        <v>4217</v>
      </c>
      <c r="D246" s="101">
        <v>691</v>
      </c>
    </row>
    <row r="247" spans="1:4" x14ac:dyDescent="0.25">
      <c r="A247" s="147"/>
      <c r="B247" s="191"/>
      <c r="C247" s="7"/>
    </row>
    <row r="248" spans="1:4" x14ac:dyDescent="0.25">
      <c r="A248" s="7">
        <v>2.2000000000000002</v>
      </c>
      <c r="B248" s="191" t="s">
        <v>6212</v>
      </c>
      <c r="C248" s="7"/>
    </row>
    <row r="249" spans="1:4" x14ac:dyDescent="0.25">
      <c r="A249" s="147" t="s">
        <v>806</v>
      </c>
      <c r="B249" s="191" t="s">
        <v>807</v>
      </c>
      <c r="C249" s="7" t="s">
        <v>4217</v>
      </c>
      <c r="D249" s="101">
        <v>662</v>
      </c>
    </row>
    <row r="250" spans="1:4" x14ac:dyDescent="0.25">
      <c r="A250" s="147" t="s">
        <v>808</v>
      </c>
      <c r="B250" s="191" t="s">
        <v>809</v>
      </c>
      <c r="C250" s="7" t="s">
        <v>4217</v>
      </c>
      <c r="D250" s="101">
        <v>810</v>
      </c>
    </row>
    <row r="251" spans="1:4" x14ac:dyDescent="0.25">
      <c r="A251" s="147"/>
      <c r="B251" s="191"/>
      <c r="C251" s="7"/>
    </row>
    <row r="252" spans="1:4" x14ac:dyDescent="0.25">
      <c r="A252" s="147">
        <v>2.21</v>
      </c>
      <c r="B252" s="191" t="s">
        <v>6213</v>
      </c>
      <c r="C252" s="7"/>
    </row>
    <row r="253" spans="1:4" x14ac:dyDescent="0.25">
      <c r="A253" s="147" t="s">
        <v>810</v>
      </c>
      <c r="B253" s="191" t="s">
        <v>811</v>
      </c>
      <c r="C253" s="7" t="s">
        <v>4217</v>
      </c>
      <c r="D253" s="101">
        <v>1740</v>
      </c>
    </row>
    <row r="254" spans="1:4" x14ac:dyDescent="0.25">
      <c r="A254" s="147" t="s">
        <v>812</v>
      </c>
      <c r="B254" s="191" t="s">
        <v>813</v>
      </c>
      <c r="C254" s="7" t="s">
        <v>4217</v>
      </c>
      <c r="D254" s="101">
        <v>2001</v>
      </c>
    </row>
    <row r="255" spans="1:4" x14ac:dyDescent="0.25">
      <c r="A255" s="147" t="s">
        <v>814</v>
      </c>
      <c r="B255" s="191" t="s">
        <v>815</v>
      </c>
      <c r="C255" s="7" t="s">
        <v>4217</v>
      </c>
      <c r="D255" s="101">
        <v>1876</v>
      </c>
    </row>
    <row r="256" spans="1:4" x14ac:dyDescent="0.25">
      <c r="A256" s="147" t="s">
        <v>816</v>
      </c>
      <c r="B256" s="191" t="s">
        <v>817</v>
      </c>
      <c r="C256" s="7" t="s">
        <v>4217</v>
      </c>
      <c r="D256" s="101">
        <v>1936</v>
      </c>
    </row>
    <row r="257" spans="1:4" x14ac:dyDescent="0.25">
      <c r="A257" s="147" t="s">
        <v>818</v>
      </c>
      <c r="B257" s="191" t="s">
        <v>819</v>
      </c>
      <c r="C257" s="7" t="s">
        <v>4217</v>
      </c>
      <c r="D257" s="101">
        <v>1800</v>
      </c>
    </row>
    <row r="258" spans="1:4" x14ac:dyDescent="0.25">
      <c r="A258" s="147" t="s">
        <v>820</v>
      </c>
      <c r="B258" s="191" t="s">
        <v>821</v>
      </c>
      <c r="C258" s="7" t="s">
        <v>4217</v>
      </c>
      <c r="D258" s="101">
        <v>3179</v>
      </c>
    </row>
    <row r="259" spans="1:4" x14ac:dyDescent="0.25">
      <c r="A259" s="147" t="s">
        <v>822</v>
      </c>
      <c r="B259" s="191" t="s">
        <v>823</v>
      </c>
      <c r="C259" s="7" t="s">
        <v>4217</v>
      </c>
      <c r="D259" s="101">
        <v>2541</v>
      </c>
    </row>
    <row r="260" spans="1:4" ht="31.5" x14ac:dyDescent="0.25">
      <c r="A260" s="147" t="s">
        <v>824</v>
      </c>
      <c r="B260" s="191" t="s">
        <v>825</v>
      </c>
      <c r="C260" s="7" t="s">
        <v>4217</v>
      </c>
      <c r="D260" s="101">
        <v>3146</v>
      </c>
    </row>
    <row r="261" spans="1:4" x14ac:dyDescent="0.25">
      <c r="A261" s="147" t="s">
        <v>826</v>
      </c>
      <c r="B261" s="191" t="s">
        <v>827</v>
      </c>
      <c r="C261" s="7" t="s">
        <v>4217</v>
      </c>
      <c r="D261" s="101">
        <v>2541</v>
      </c>
    </row>
    <row r="262" spans="1:4" x14ac:dyDescent="0.25">
      <c r="A262" s="147" t="s">
        <v>828</v>
      </c>
      <c r="B262" s="191" t="s">
        <v>829</v>
      </c>
      <c r="C262" s="7" t="s">
        <v>4217</v>
      </c>
      <c r="D262" s="101">
        <v>4580</v>
      </c>
    </row>
    <row r="263" spans="1:4" x14ac:dyDescent="0.25">
      <c r="A263" s="147"/>
      <c r="B263" s="191"/>
      <c r="C263" s="7"/>
    </row>
    <row r="264" spans="1:4" ht="31.5" x14ac:dyDescent="0.25">
      <c r="A264" s="147">
        <v>2.2200000000000002</v>
      </c>
      <c r="B264" s="13" t="s">
        <v>6214</v>
      </c>
      <c r="C264" s="7"/>
    </row>
    <row r="265" spans="1:4" x14ac:dyDescent="0.25">
      <c r="A265" s="147" t="s">
        <v>830</v>
      </c>
      <c r="B265" s="191" t="s">
        <v>831</v>
      </c>
      <c r="C265" s="7" t="s">
        <v>4217</v>
      </c>
      <c r="D265" s="101">
        <v>2556</v>
      </c>
    </row>
    <row r="266" spans="1:4" x14ac:dyDescent="0.25">
      <c r="A266" s="147" t="s">
        <v>832</v>
      </c>
      <c r="B266" s="191" t="s">
        <v>834</v>
      </c>
      <c r="C266" s="7" t="s">
        <v>4217</v>
      </c>
      <c r="D266" s="101">
        <v>2456</v>
      </c>
    </row>
    <row r="267" spans="1:4" x14ac:dyDescent="0.25">
      <c r="A267" s="147" t="s">
        <v>833</v>
      </c>
      <c r="B267" s="191" t="s">
        <v>835</v>
      </c>
      <c r="C267" s="7" t="s">
        <v>4217</v>
      </c>
      <c r="D267" s="101">
        <v>1410</v>
      </c>
    </row>
    <row r="268" spans="1:4" x14ac:dyDescent="0.25">
      <c r="A268" s="147"/>
      <c r="B268" s="191"/>
      <c r="C268" s="7"/>
    </row>
    <row r="269" spans="1:4" ht="31.5" x14ac:dyDescent="0.25">
      <c r="A269" s="147">
        <v>2.23</v>
      </c>
      <c r="B269" s="191" t="s">
        <v>5628</v>
      </c>
      <c r="C269" s="7"/>
    </row>
    <row r="270" spans="1:4" x14ac:dyDescent="0.25">
      <c r="A270" s="147" t="s">
        <v>836</v>
      </c>
      <c r="B270" s="191" t="s">
        <v>1001</v>
      </c>
      <c r="C270" s="7" t="s">
        <v>4217</v>
      </c>
      <c r="D270" s="101">
        <v>172</v>
      </c>
    </row>
    <row r="271" spans="1:4" x14ac:dyDescent="0.25">
      <c r="A271" s="147" t="s">
        <v>837</v>
      </c>
      <c r="B271" s="191" t="s">
        <v>1002</v>
      </c>
      <c r="C271" s="7" t="s">
        <v>4217</v>
      </c>
      <c r="D271" s="101">
        <v>431</v>
      </c>
    </row>
    <row r="272" spans="1:4" x14ac:dyDescent="0.25">
      <c r="A272" s="147" t="s">
        <v>1003</v>
      </c>
      <c r="B272" s="191" t="s">
        <v>1005</v>
      </c>
      <c r="C272" s="7" t="s">
        <v>4217</v>
      </c>
      <c r="D272" s="101">
        <v>543</v>
      </c>
    </row>
    <row r="273" spans="1:4" x14ac:dyDescent="0.25">
      <c r="A273" s="147" t="s">
        <v>1004</v>
      </c>
      <c r="B273" s="191" t="s">
        <v>1006</v>
      </c>
      <c r="C273" s="7" t="s">
        <v>4217</v>
      </c>
      <c r="D273" s="101">
        <v>831</v>
      </c>
    </row>
    <row r="274" spans="1:4" s="176" customFormat="1" x14ac:dyDescent="0.25">
      <c r="A274" s="147" t="s">
        <v>5709</v>
      </c>
      <c r="B274" s="191" t="s">
        <v>5714</v>
      </c>
      <c r="C274" s="7" t="s">
        <v>4217</v>
      </c>
      <c r="D274" s="101">
        <v>1650</v>
      </c>
    </row>
    <row r="275" spans="1:4" x14ac:dyDescent="0.25">
      <c r="A275" s="101"/>
      <c r="C275" s="147"/>
    </row>
    <row r="276" spans="1:4" ht="63" x14ac:dyDescent="0.25">
      <c r="A276" s="147">
        <v>2.2400000000000002</v>
      </c>
      <c r="B276" s="13" t="s">
        <v>6215</v>
      </c>
      <c r="C276" s="7"/>
    </row>
    <row r="277" spans="1:4" x14ac:dyDescent="0.25">
      <c r="A277" s="147" t="s">
        <v>838</v>
      </c>
      <c r="B277" s="191" t="s">
        <v>839</v>
      </c>
      <c r="C277" s="7" t="s">
        <v>4217</v>
      </c>
      <c r="D277" s="101">
        <v>932</v>
      </c>
    </row>
    <row r="278" spans="1:4" x14ac:dyDescent="0.25">
      <c r="A278" s="147" t="s">
        <v>840</v>
      </c>
      <c r="B278" s="191" t="s">
        <v>841</v>
      </c>
      <c r="C278" s="7" t="s">
        <v>4217</v>
      </c>
      <c r="D278" s="101">
        <v>756</v>
      </c>
    </row>
    <row r="279" spans="1:4" x14ac:dyDescent="0.25">
      <c r="A279" s="147"/>
      <c r="B279" s="191"/>
      <c r="C279" s="7"/>
    </row>
    <row r="280" spans="1:4" ht="31.5" x14ac:dyDescent="0.25">
      <c r="A280" s="147">
        <v>2.25</v>
      </c>
      <c r="B280" s="191" t="s">
        <v>842</v>
      </c>
      <c r="C280" s="7"/>
    </row>
    <row r="281" spans="1:4" x14ac:dyDescent="0.25">
      <c r="A281" s="147" t="s">
        <v>843</v>
      </c>
      <c r="B281" s="191" t="s">
        <v>844</v>
      </c>
      <c r="C281" s="7" t="s">
        <v>4217</v>
      </c>
      <c r="D281" s="101">
        <v>218</v>
      </c>
    </row>
    <row r="282" spans="1:4" x14ac:dyDescent="0.25">
      <c r="A282" s="147" t="s">
        <v>845</v>
      </c>
      <c r="B282" s="191" t="s">
        <v>846</v>
      </c>
      <c r="C282" s="7" t="s">
        <v>4217</v>
      </c>
      <c r="D282" s="101">
        <v>162</v>
      </c>
    </row>
    <row r="283" spans="1:4" x14ac:dyDescent="0.25">
      <c r="A283" s="147"/>
      <c r="B283" s="191"/>
      <c r="C283" s="7"/>
    </row>
    <row r="284" spans="1:4" ht="78.75" x14ac:dyDescent="0.25">
      <c r="A284" s="147">
        <v>2.2599999999999998</v>
      </c>
      <c r="B284" s="13" t="s">
        <v>6216</v>
      </c>
      <c r="C284" s="7"/>
    </row>
    <row r="285" spans="1:4" x14ac:dyDescent="0.25">
      <c r="A285" s="147"/>
      <c r="B285" s="191"/>
      <c r="C285" s="7"/>
    </row>
    <row r="286" spans="1:4" x14ac:dyDescent="0.25">
      <c r="A286" s="147" t="s">
        <v>847</v>
      </c>
      <c r="B286" s="191" t="s">
        <v>848</v>
      </c>
      <c r="C286" s="7" t="s">
        <v>4217</v>
      </c>
      <c r="D286" s="101">
        <v>1569</v>
      </c>
    </row>
    <row r="287" spans="1:4" x14ac:dyDescent="0.25">
      <c r="A287" s="147" t="s">
        <v>849</v>
      </c>
      <c r="B287" s="191" t="s">
        <v>850</v>
      </c>
      <c r="C287" s="7" t="s">
        <v>4217</v>
      </c>
      <c r="D287" s="101">
        <v>2352</v>
      </c>
    </row>
    <row r="288" spans="1:4" x14ac:dyDescent="0.25">
      <c r="A288" s="147" t="s">
        <v>851</v>
      </c>
      <c r="B288" s="191" t="s">
        <v>852</v>
      </c>
      <c r="C288" s="7" t="s">
        <v>4217</v>
      </c>
      <c r="D288" s="101">
        <v>3920</v>
      </c>
    </row>
    <row r="289" spans="1:4" x14ac:dyDescent="0.25">
      <c r="A289" s="147" t="s">
        <v>853</v>
      </c>
      <c r="B289" s="191" t="s">
        <v>854</v>
      </c>
      <c r="C289" s="7" t="s">
        <v>4217</v>
      </c>
      <c r="D289" s="101">
        <v>5881</v>
      </c>
    </row>
    <row r="290" spans="1:4" x14ac:dyDescent="0.25">
      <c r="A290" s="147" t="s">
        <v>855</v>
      </c>
      <c r="B290" s="191" t="s">
        <v>856</v>
      </c>
      <c r="C290" s="7" t="s">
        <v>4217</v>
      </c>
      <c r="D290" s="101">
        <v>7841</v>
      </c>
    </row>
    <row r="291" spans="1:4" x14ac:dyDescent="0.25">
      <c r="A291" s="147" t="s">
        <v>857</v>
      </c>
      <c r="B291" s="191" t="s">
        <v>858</v>
      </c>
      <c r="C291" s="7" t="s">
        <v>4217</v>
      </c>
      <c r="D291" s="101">
        <v>15682</v>
      </c>
    </row>
    <row r="292" spans="1:4" x14ac:dyDescent="0.25">
      <c r="A292" s="147" t="s">
        <v>859</v>
      </c>
      <c r="B292" s="191" t="s">
        <v>860</v>
      </c>
      <c r="C292" s="7" t="s">
        <v>4217</v>
      </c>
      <c r="D292" s="101">
        <v>23522</v>
      </c>
    </row>
    <row r="293" spans="1:4" x14ac:dyDescent="0.25">
      <c r="A293" s="147" t="s">
        <v>861</v>
      </c>
      <c r="B293" s="191" t="s">
        <v>862</v>
      </c>
      <c r="C293" s="7" t="s">
        <v>4217</v>
      </c>
      <c r="D293" s="101">
        <v>39204</v>
      </c>
    </row>
    <row r="294" spans="1:4" x14ac:dyDescent="0.25">
      <c r="A294" s="147"/>
      <c r="B294" s="191"/>
      <c r="C294" s="7"/>
    </row>
    <row r="295" spans="1:4" x14ac:dyDescent="0.25">
      <c r="A295" s="147">
        <v>2.27</v>
      </c>
      <c r="B295" s="191" t="s">
        <v>863</v>
      </c>
      <c r="C295" s="7"/>
    </row>
    <row r="296" spans="1:4" x14ac:dyDescent="0.25">
      <c r="A296" s="147" t="s">
        <v>864</v>
      </c>
      <c r="B296" s="191" t="s">
        <v>865</v>
      </c>
      <c r="C296" s="7" t="s">
        <v>4217</v>
      </c>
      <c r="D296" s="101">
        <v>110</v>
      </c>
    </row>
    <row r="297" spans="1:4" x14ac:dyDescent="0.25">
      <c r="A297" s="147" t="s">
        <v>866</v>
      </c>
      <c r="B297" s="191" t="s">
        <v>867</v>
      </c>
      <c r="C297" s="7" t="s">
        <v>4217</v>
      </c>
      <c r="D297" s="101">
        <v>157</v>
      </c>
    </row>
    <row r="298" spans="1:4" x14ac:dyDescent="0.25">
      <c r="A298" s="147"/>
      <c r="B298" s="191"/>
      <c r="C298" s="7"/>
    </row>
    <row r="299" spans="1:4" ht="31.5" x14ac:dyDescent="0.25">
      <c r="A299" s="147">
        <v>2.2799999999999998</v>
      </c>
      <c r="B299" s="191" t="s">
        <v>868</v>
      </c>
      <c r="C299" s="7"/>
    </row>
    <row r="300" spans="1:4" x14ac:dyDescent="0.25">
      <c r="A300" s="147" t="s">
        <v>869</v>
      </c>
      <c r="B300" s="191" t="s">
        <v>870</v>
      </c>
      <c r="C300" s="7" t="s">
        <v>2356</v>
      </c>
      <c r="D300" s="101">
        <v>1.5</v>
      </c>
    </row>
    <row r="301" spans="1:4" x14ac:dyDescent="0.25">
      <c r="A301" s="147" t="s">
        <v>871</v>
      </c>
      <c r="B301" s="191" t="s">
        <v>1777</v>
      </c>
      <c r="C301" s="7" t="s">
        <v>2356</v>
      </c>
      <c r="D301" s="101">
        <v>2</v>
      </c>
    </row>
    <row r="302" spans="1:4" x14ac:dyDescent="0.25">
      <c r="A302" s="147" t="s">
        <v>872</v>
      </c>
      <c r="B302" s="191" t="s">
        <v>873</v>
      </c>
      <c r="C302" s="7" t="s">
        <v>2356</v>
      </c>
      <c r="D302" s="101">
        <v>2.5</v>
      </c>
    </row>
    <row r="303" spans="1:4" x14ac:dyDescent="0.25">
      <c r="A303" s="147" t="s">
        <v>874</v>
      </c>
      <c r="B303" s="191" t="s">
        <v>875</v>
      </c>
      <c r="C303" s="7" t="s">
        <v>2356</v>
      </c>
      <c r="D303" s="101">
        <v>4</v>
      </c>
    </row>
    <row r="304" spans="1:4" x14ac:dyDescent="0.25">
      <c r="A304" s="147"/>
      <c r="B304" s="191"/>
      <c r="C304" s="7"/>
    </row>
    <row r="305" spans="1:4" ht="173.25" x14ac:dyDescent="0.25">
      <c r="A305" s="147">
        <v>2.29</v>
      </c>
      <c r="B305" s="13" t="s">
        <v>6346</v>
      </c>
      <c r="C305" s="7"/>
    </row>
    <row r="306" spans="1:4" x14ac:dyDescent="0.25">
      <c r="A306" s="147" t="s">
        <v>876</v>
      </c>
      <c r="B306" s="191" t="s">
        <v>877</v>
      </c>
      <c r="C306" s="7" t="s">
        <v>3756</v>
      </c>
      <c r="D306" s="101">
        <v>235</v>
      </c>
    </row>
    <row r="307" spans="1:4" x14ac:dyDescent="0.25">
      <c r="A307" s="147" t="s">
        <v>187</v>
      </c>
      <c r="B307" s="191" t="s">
        <v>878</v>
      </c>
      <c r="C307" s="7" t="s">
        <v>3756</v>
      </c>
      <c r="D307" s="101">
        <v>270</v>
      </c>
    </row>
    <row r="308" spans="1:4" x14ac:dyDescent="0.25">
      <c r="A308" s="147"/>
      <c r="B308" s="191"/>
      <c r="C308" s="7"/>
      <c r="D308" s="101"/>
    </row>
    <row r="309" spans="1:4" x14ac:dyDescent="0.25">
      <c r="A309" s="147" t="s">
        <v>188</v>
      </c>
      <c r="B309" s="191" t="s">
        <v>879</v>
      </c>
      <c r="C309" s="7" t="s">
        <v>3756</v>
      </c>
      <c r="D309" s="101">
        <v>328</v>
      </c>
    </row>
    <row r="310" spans="1:4" x14ac:dyDescent="0.25">
      <c r="A310" s="147" t="s">
        <v>189</v>
      </c>
      <c r="B310" s="191" t="s">
        <v>880</v>
      </c>
      <c r="C310" s="7" t="s">
        <v>3756</v>
      </c>
      <c r="D310" s="101">
        <v>435</v>
      </c>
    </row>
    <row r="311" spans="1:4" x14ac:dyDescent="0.25">
      <c r="A311" s="147" t="s">
        <v>190</v>
      </c>
      <c r="B311" s="191" t="s">
        <v>881</v>
      </c>
      <c r="C311" s="7" t="s">
        <v>3756</v>
      </c>
      <c r="D311" s="101">
        <v>559</v>
      </c>
    </row>
    <row r="312" spans="1:4" x14ac:dyDescent="0.25">
      <c r="A312" s="147"/>
      <c r="B312" s="191"/>
      <c r="C312" s="7"/>
    </row>
    <row r="313" spans="1:4" ht="189" x14ac:dyDescent="0.25">
      <c r="A313" s="7">
        <v>2.2999999999999998</v>
      </c>
      <c r="B313" s="13" t="s">
        <v>6347</v>
      </c>
      <c r="C313" s="7"/>
    </row>
    <row r="314" spans="1:4" x14ac:dyDescent="0.25">
      <c r="A314" s="147" t="s">
        <v>882</v>
      </c>
      <c r="B314" s="191" t="s">
        <v>877</v>
      </c>
      <c r="C314" s="7" t="s">
        <v>3756</v>
      </c>
      <c r="D314" s="101">
        <v>200</v>
      </c>
    </row>
    <row r="315" spans="1:4" x14ac:dyDescent="0.25">
      <c r="A315" s="147" t="s">
        <v>191</v>
      </c>
      <c r="B315" s="191" t="s">
        <v>878</v>
      </c>
      <c r="C315" s="7" t="s">
        <v>3756</v>
      </c>
      <c r="D315" s="101">
        <v>221</v>
      </c>
    </row>
    <row r="316" spans="1:4" x14ac:dyDescent="0.25">
      <c r="A316" s="147" t="s">
        <v>192</v>
      </c>
      <c r="B316" s="191" t="s">
        <v>879</v>
      </c>
      <c r="C316" s="7" t="s">
        <v>3756</v>
      </c>
      <c r="D316" s="101">
        <v>261</v>
      </c>
    </row>
    <row r="317" spans="1:4" x14ac:dyDescent="0.25">
      <c r="A317" s="147" t="s">
        <v>193</v>
      </c>
      <c r="B317" s="191" t="s">
        <v>880</v>
      </c>
      <c r="C317" s="7" t="s">
        <v>3756</v>
      </c>
      <c r="D317" s="101">
        <v>339</v>
      </c>
    </row>
    <row r="318" spans="1:4" x14ac:dyDescent="0.25">
      <c r="A318" s="147" t="s">
        <v>194</v>
      </c>
      <c r="B318" s="191" t="s">
        <v>881</v>
      </c>
      <c r="C318" s="7" t="s">
        <v>3756</v>
      </c>
      <c r="D318" s="101">
        <v>414</v>
      </c>
    </row>
    <row r="319" spans="1:4" x14ac:dyDescent="0.25">
      <c r="A319" s="147"/>
      <c r="B319" s="191"/>
      <c r="C319" s="7"/>
    </row>
    <row r="320" spans="1:4" ht="157.5" x14ac:dyDescent="0.25">
      <c r="A320" s="147">
        <v>2.31</v>
      </c>
      <c r="B320" s="13" t="s">
        <v>6348</v>
      </c>
      <c r="C320" s="7"/>
    </row>
    <row r="321" spans="1:4" x14ac:dyDescent="0.25">
      <c r="A321" s="147" t="s">
        <v>883</v>
      </c>
      <c r="B321" s="191" t="s">
        <v>877</v>
      </c>
      <c r="C321" s="7" t="s">
        <v>3756</v>
      </c>
      <c r="D321" s="101">
        <v>178</v>
      </c>
    </row>
    <row r="322" spans="1:4" x14ac:dyDescent="0.25">
      <c r="A322" s="147" t="s">
        <v>884</v>
      </c>
      <c r="B322" s="191" t="s">
        <v>878</v>
      </c>
      <c r="C322" s="7" t="s">
        <v>3756</v>
      </c>
      <c r="D322" s="101">
        <v>199</v>
      </c>
    </row>
    <row r="323" spans="1:4" x14ac:dyDescent="0.25">
      <c r="A323" s="147" t="s">
        <v>885</v>
      </c>
      <c r="B323" s="191" t="s">
        <v>879</v>
      </c>
      <c r="C323" s="7" t="s">
        <v>3756</v>
      </c>
      <c r="D323" s="101">
        <v>239</v>
      </c>
    </row>
    <row r="324" spans="1:4" x14ac:dyDescent="0.25">
      <c r="A324" s="147" t="s">
        <v>886</v>
      </c>
      <c r="B324" s="191" t="s">
        <v>880</v>
      </c>
      <c r="C324" s="7" t="s">
        <v>3756</v>
      </c>
      <c r="D324" s="101">
        <v>317</v>
      </c>
    </row>
    <row r="325" spans="1:4" x14ac:dyDescent="0.25">
      <c r="A325" s="147" t="s">
        <v>887</v>
      </c>
      <c r="B325" s="191" t="s">
        <v>881</v>
      </c>
      <c r="C325" s="7" t="s">
        <v>3756</v>
      </c>
      <c r="D325" s="101">
        <v>392</v>
      </c>
    </row>
    <row r="326" spans="1:4" x14ac:dyDescent="0.25">
      <c r="A326" s="147"/>
      <c r="B326" s="191"/>
      <c r="C326" s="7"/>
    </row>
    <row r="327" spans="1:4" ht="31.5" x14ac:dyDescent="0.25">
      <c r="A327" s="147">
        <v>2.3199999999999998</v>
      </c>
      <c r="B327" s="191" t="s">
        <v>888</v>
      </c>
      <c r="C327" s="7"/>
    </row>
    <row r="328" spans="1:4" x14ac:dyDescent="0.25">
      <c r="A328" s="147" t="s">
        <v>889</v>
      </c>
      <c r="B328" s="191" t="s">
        <v>240</v>
      </c>
      <c r="C328" s="7" t="s">
        <v>4217</v>
      </c>
      <c r="D328" s="101">
        <v>101</v>
      </c>
    </row>
    <row r="329" spans="1:4" x14ac:dyDescent="0.25">
      <c r="A329" s="147" t="s">
        <v>890</v>
      </c>
      <c r="B329" s="191" t="s">
        <v>891</v>
      </c>
      <c r="C329" s="7" t="s">
        <v>4217</v>
      </c>
      <c r="D329" s="101">
        <v>140</v>
      </c>
    </row>
    <row r="330" spans="1:4" x14ac:dyDescent="0.25">
      <c r="A330" s="147" t="s">
        <v>892</v>
      </c>
      <c r="B330" s="191" t="s">
        <v>893</v>
      </c>
      <c r="C330" s="7" t="s">
        <v>4217</v>
      </c>
      <c r="D330" s="101">
        <v>164</v>
      </c>
    </row>
    <row r="331" spans="1:4" x14ac:dyDescent="0.25">
      <c r="A331" s="147" t="s">
        <v>894</v>
      </c>
      <c r="B331" s="191" t="s">
        <v>895</v>
      </c>
      <c r="C331" s="7" t="s">
        <v>4217</v>
      </c>
      <c r="D331" s="101">
        <v>242</v>
      </c>
    </row>
    <row r="332" spans="1:4" x14ac:dyDescent="0.25">
      <c r="A332" s="147"/>
      <c r="B332" s="191"/>
      <c r="C332" s="7"/>
      <c r="D332" s="101"/>
    </row>
    <row r="333" spans="1:4" x14ac:dyDescent="0.25">
      <c r="A333" s="147" t="s">
        <v>896</v>
      </c>
      <c r="B333" s="191" t="s">
        <v>897</v>
      </c>
      <c r="C333" s="7" t="s">
        <v>4217</v>
      </c>
      <c r="D333" s="101">
        <v>306</v>
      </c>
    </row>
    <row r="334" spans="1:4" x14ac:dyDescent="0.25">
      <c r="A334" s="147" t="s">
        <v>898</v>
      </c>
      <c r="B334" s="191" t="s">
        <v>899</v>
      </c>
      <c r="C334" s="7" t="s">
        <v>4217</v>
      </c>
      <c r="D334" s="101">
        <v>463</v>
      </c>
    </row>
    <row r="335" spans="1:4" x14ac:dyDescent="0.25">
      <c r="A335" s="147" t="s">
        <v>900</v>
      </c>
      <c r="B335" s="191" t="s">
        <v>901</v>
      </c>
      <c r="C335" s="7" t="s">
        <v>4217</v>
      </c>
      <c r="D335" s="101">
        <v>902</v>
      </c>
    </row>
    <row r="336" spans="1:4" x14ac:dyDescent="0.25">
      <c r="A336" s="147" t="s">
        <v>902</v>
      </c>
      <c r="B336" s="191" t="s">
        <v>903</v>
      </c>
      <c r="C336" s="7" t="s">
        <v>4217</v>
      </c>
      <c r="D336" s="101">
        <v>1041</v>
      </c>
    </row>
    <row r="337" spans="1:4" x14ac:dyDescent="0.25">
      <c r="A337" s="147"/>
      <c r="B337" s="191"/>
      <c r="C337" s="7"/>
    </row>
    <row r="338" spans="1:4" x14ac:dyDescent="0.25">
      <c r="A338" s="147"/>
      <c r="B338" s="191"/>
      <c r="C338" s="7"/>
    </row>
    <row r="339" spans="1:4" ht="31.5" x14ac:dyDescent="0.25">
      <c r="A339" s="147">
        <v>2.33</v>
      </c>
      <c r="B339" s="13" t="s">
        <v>4364</v>
      </c>
      <c r="C339" s="7"/>
    </row>
    <row r="340" spans="1:4" x14ac:dyDescent="0.25">
      <c r="A340" s="147"/>
      <c r="B340" s="13"/>
      <c r="C340" s="7"/>
    </row>
    <row r="341" spans="1:4" x14ac:dyDescent="0.25">
      <c r="A341" s="147" t="s">
        <v>904</v>
      </c>
      <c r="B341" s="191" t="s">
        <v>905</v>
      </c>
      <c r="C341" s="7" t="s">
        <v>4217</v>
      </c>
      <c r="D341" s="101">
        <v>823</v>
      </c>
    </row>
    <row r="342" spans="1:4" x14ac:dyDescent="0.25">
      <c r="A342" s="147" t="s">
        <v>906</v>
      </c>
      <c r="B342" s="191" t="s">
        <v>907</v>
      </c>
      <c r="C342" s="7" t="s">
        <v>4217</v>
      </c>
      <c r="D342" s="101">
        <v>1580</v>
      </c>
    </row>
    <row r="343" spans="1:4" x14ac:dyDescent="0.25">
      <c r="A343" s="147" t="s">
        <v>908</v>
      </c>
      <c r="B343" s="191" t="s">
        <v>909</v>
      </c>
      <c r="C343" s="7" t="s">
        <v>4217</v>
      </c>
      <c r="D343" s="101">
        <v>823</v>
      </c>
    </row>
    <row r="344" spans="1:4" x14ac:dyDescent="0.25">
      <c r="A344" s="147" t="s">
        <v>910</v>
      </c>
      <c r="B344" s="191" t="s">
        <v>911</v>
      </c>
      <c r="C344" s="7" t="s">
        <v>4217</v>
      </c>
      <c r="D344" s="101">
        <v>1084</v>
      </c>
    </row>
    <row r="345" spans="1:4" x14ac:dyDescent="0.25">
      <c r="A345" s="147" t="s">
        <v>912</v>
      </c>
      <c r="B345" s="191" t="s">
        <v>913</v>
      </c>
      <c r="C345" s="7" t="s">
        <v>4217</v>
      </c>
      <c r="D345" s="101">
        <v>1174</v>
      </c>
    </row>
    <row r="346" spans="1:4" x14ac:dyDescent="0.25">
      <c r="A346" s="147" t="s">
        <v>914</v>
      </c>
      <c r="B346" s="191" t="s">
        <v>915</v>
      </c>
      <c r="C346" s="7" t="s">
        <v>4217</v>
      </c>
      <c r="D346" s="101">
        <v>762</v>
      </c>
    </row>
    <row r="347" spans="1:4" x14ac:dyDescent="0.25">
      <c r="A347" s="147" t="s">
        <v>916</v>
      </c>
      <c r="B347" s="191" t="s">
        <v>917</v>
      </c>
      <c r="C347" s="7" t="s">
        <v>4217</v>
      </c>
      <c r="D347" s="101">
        <v>799</v>
      </c>
    </row>
    <row r="348" spans="1:4" x14ac:dyDescent="0.25">
      <c r="A348" s="147" t="s">
        <v>918</v>
      </c>
      <c r="B348" s="191" t="s">
        <v>919</v>
      </c>
      <c r="C348" s="7" t="s">
        <v>4217</v>
      </c>
      <c r="D348" s="101">
        <v>1016</v>
      </c>
    </row>
    <row r="349" spans="1:4" x14ac:dyDescent="0.25">
      <c r="A349" s="147" t="s">
        <v>920</v>
      </c>
      <c r="B349" s="191" t="s">
        <v>921</v>
      </c>
      <c r="C349" s="7" t="s">
        <v>4217</v>
      </c>
      <c r="D349" s="101">
        <v>1162</v>
      </c>
    </row>
    <row r="350" spans="1:4" ht="31.5" x14ac:dyDescent="0.25">
      <c r="A350" s="147" t="s">
        <v>922</v>
      </c>
      <c r="B350" s="191" t="s">
        <v>923</v>
      </c>
      <c r="C350" s="7" t="s">
        <v>4217</v>
      </c>
      <c r="D350" s="101">
        <v>1621</v>
      </c>
    </row>
    <row r="351" spans="1:4" ht="31.5" x14ac:dyDescent="0.25">
      <c r="A351" s="147" t="s">
        <v>924</v>
      </c>
      <c r="B351" s="191" t="s">
        <v>925</v>
      </c>
      <c r="C351" s="7" t="s">
        <v>4217</v>
      </c>
      <c r="D351" s="101">
        <v>4659</v>
      </c>
    </row>
    <row r="352" spans="1:4" x14ac:dyDescent="0.25">
      <c r="A352" s="147" t="s">
        <v>926</v>
      </c>
      <c r="B352" s="191" t="s">
        <v>927</v>
      </c>
      <c r="C352" s="7" t="s">
        <v>4217</v>
      </c>
      <c r="D352" s="101">
        <v>2698</v>
      </c>
    </row>
    <row r="353" spans="1:4" ht="31.5" x14ac:dyDescent="0.25">
      <c r="A353" s="147" t="s">
        <v>928</v>
      </c>
      <c r="B353" s="191" t="s">
        <v>929</v>
      </c>
      <c r="C353" s="7" t="s">
        <v>4217</v>
      </c>
      <c r="D353" s="101">
        <v>3743</v>
      </c>
    </row>
    <row r="354" spans="1:4" x14ac:dyDescent="0.25">
      <c r="A354" s="147" t="s">
        <v>930</v>
      </c>
      <c r="B354" s="191" t="s">
        <v>931</v>
      </c>
      <c r="C354" s="7" t="s">
        <v>4217</v>
      </c>
      <c r="D354" s="101">
        <v>1801</v>
      </c>
    </row>
    <row r="355" spans="1:4" x14ac:dyDescent="0.25">
      <c r="A355" s="147" t="s">
        <v>932</v>
      </c>
      <c r="B355" s="191" t="s">
        <v>933</v>
      </c>
      <c r="C355" s="7" t="s">
        <v>4217</v>
      </c>
      <c r="D355" s="101">
        <v>1101</v>
      </c>
    </row>
    <row r="356" spans="1:4" x14ac:dyDescent="0.25">
      <c r="A356" s="147" t="s">
        <v>934</v>
      </c>
      <c r="B356" s="191" t="s">
        <v>935</v>
      </c>
      <c r="C356" s="7" t="s">
        <v>4217</v>
      </c>
      <c r="D356" s="101">
        <v>1071</v>
      </c>
    </row>
    <row r="357" spans="1:4" x14ac:dyDescent="0.25">
      <c r="A357" s="147" t="s">
        <v>936</v>
      </c>
      <c r="B357" s="191" t="s">
        <v>937</v>
      </c>
      <c r="C357" s="7" t="s">
        <v>4217</v>
      </c>
      <c r="D357" s="101">
        <v>823</v>
      </c>
    </row>
    <row r="358" spans="1:4" x14ac:dyDescent="0.25">
      <c r="A358" s="147" t="s">
        <v>938</v>
      </c>
      <c r="B358" s="191" t="s">
        <v>939</v>
      </c>
      <c r="C358" s="7" t="s">
        <v>4217</v>
      </c>
      <c r="D358" s="101">
        <v>5583</v>
      </c>
    </row>
    <row r="359" spans="1:4" x14ac:dyDescent="0.25">
      <c r="A359" s="147" t="s">
        <v>940</v>
      </c>
      <c r="B359" s="191" t="s">
        <v>941</v>
      </c>
      <c r="C359" s="7" t="s">
        <v>4217</v>
      </c>
      <c r="D359" s="101">
        <v>1210</v>
      </c>
    </row>
    <row r="360" spans="1:4" x14ac:dyDescent="0.25">
      <c r="A360" s="147" t="s">
        <v>942</v>
      </c>
      <c r="B360" s="191" t="s">
        <v>943</v>
      </c>
      <c r="C360" s="7" t="s">
        <v>4217</v>
      </c>
      <c r="D360" s="101">
        <v>1125</v>
      </c>
    </row>
    <row r="361" spans="1:4" ht="31.5" x14ac:dyDescent="0.25">
      <c r="A361" s="147" t="s">
        <v>944</v>
      </c>
      <c r="B361" s="191" t="s">
        <v>945</v>
      </c>
      <c r="C361" s="7" t="s">
        <v>4217</v>
      </c>
      <c r="D361" s="101">
        <v>1832</v>
      </c>
    </row>
    <row r="362" spans="1:4" s="176" customFormat="1" ht="31.5" x14ac:dyDescent="0.25">
      <c r="A362" s="147" t="s">
        <v>4632</v>
      </c>
      <c r="B362" s="191" t="s">
        <v>6373</v>
      </c>
      <c r="C362" s="7" t="s">
        <v>4217</v>
      </c>
      <c r="D362" s="101">
        <v>950</v>
      </c>
    </row>
    <row r="363" spans="1:4" s="176" customFormat="1" ht="31.5" x14ac:dyDescent="0.25">
      <c r="A363" s="147" t="s">
        <v>5712</v>
      </c>
      <c r="B363" s="191" t="s">
        <v>6374</v>
      </c>
      <c r="C363" s="7" t="s">
        <v>4217</v>
      </c>
      <c r="D363" s="101">
        <v>600</v>
      </c>
    </row>
    <row r="364" spans="1:4" x14ac:dyDescent="0.25">
      <c r="A364" s="147"/>
      <c r="B364" s="191"/>
      <c r="C364" s="7"/>
    </row>
    <row r="365" spans="1:4" x14ac:dyDescent="0.25">
      <c r="A365" s="147"/>
      <c r="B365" s="191"/>
      <c r="C365" s="7"/>
    </row>
    <row r="366" spans="1:4" x14ac:dyDescent="0.25">
      <c r="A366" s="147"/>
      <c r="B366" s="191"/>
      <c r="C366" s="7"/>
    </row>
    <row r="367" spans="1:4" x14ac:dyDescent="0.25">
      <c r="A367" s="147"/>
      <c r="B367" s="191"/>
      <c r="C367" s="7"/>
    </row>
    <row r="368" spans="1:4" x14ac:dyDescent="0.25">
      <c r="A368" s="147"/>
      <c r="B368" s="191"/>
      <c r="C368" s="7"/>
    </row>
    <row r="369" spans="1:4" x14ac:dyDescent="0.25">
      <c r="A369" s="147"/>
      <c r="B369" s="191"/>
      <c r="C369" s="7"/>
    </row>
    <row r="370" spans="1:4" x14ac:dyDescent="0.25">
      <c r="A370" s="147"/>
      <c r="B370" s="191"/>
      <c r="C370" s="7"/>
    </row>
    <row r="371" spans="1:4" ht="126" x14ac:dyDescent="0.25">
      <c r="A371" s="147">
        <v>2.34</v>
      </c>
      <c r="B371" s="13" t="s">
        <v>6349</v>
      </c>
      <c r="C371" s="7"/>
    </row>
    <row r="372" spans="1:4" x14ac:dyDescent="0.25">
      <c r="A372" s="147" t="s">
        <v>946</v>
      </c>
      <c r="B372" s="191" t="s">
        <v>947</v>
      </c>
      <c r="C372" s="7" t="s">
        <v>2785</v>
      </c>
      <c r="D372" s="101">
        <v>173</v>
      </c>
    </row>
    <row r="373" spans="1:4" x14ac:dyDescent="0.25">
      <c r="A373" s="147" t="s">
        <v>948</v>
      </c>
      <c r="B373" s="191" t="s">
        <v>949</v>
      </c>
      <c r="C373" s="7" t="s">
        <v>2785</v>
      </c>
      <c r="D373" s="101">
        <v>198</v>
      </c>
    </row>
    <row r="374" spans="1:4" x14ac:dyDescent="0.25">
      <c r="A374" s="147" t="s">
        <v>950</v>
      </c>
      <c r="B374" s="191" t="s">
        <v>951</v>
      </c>
      <c r="C374" s="7" t="s">
        <v>2785</v>
      </c>
      <c r="D374" s="101">
        <v>284</v>
      </c>
    </row>
    <row r="375" spans="1:4" x14ac:dyDescent="0.25">
      <c r="A375" s="147" t="s">
        <v>952</v>
      </c>
      <c r="B375" s="191" t="s">
        <v>953</v>
      </c>
      <c r="C375" s="7" t="s">
        <v>2785</v>
      </c>
      <c r="D375" s="101">
        <v>397</v>
      </c>
    </row>
    <row r="376" spans="1:4" x14ac:dyDescent="0.25">
      <c r="A376" s="147" t="s">
        <v>954</v>
      </c>
      <c r="B376" s="191" t="s">
        <v>955</v>
      </c>
      <c r="C376" s="7" t="s">
        <v>2785</v>
      </c>
      <c r="D376" s="101">
        <v>550</v>
      </c>
    </row>
    <row r="377" spans="1:4" x14ac:dyDescent="0.25">
      <c r="A377" s="147" t="s">
        <v>956</v>
      </c>
      <c r="B377" s="191" t="s">
        <v>957</v>
      </c>
      <c r="C377" s="7" t="s">
        <v>2785</v>
      </c>
      <c r="D377" s="101">
        <v>799</v>
      </c>
    </row>
    <row r="378" spans="1:4" x14ac:dyDescent="0.25">
      <c r="A378" s="147"/>
      <c r="B378" s="191"/>
      <c r="C378" s="7"/>
    </row>
    <row r="379" spans="1:4" ht="157.5" x14ac:dyDescent="0.25">
      <c r="A379" s="147">
        <v>2.35</v>
      </c>
      <c r="B379" s="13" t="s">
        <v>6350</v>
      </c>
      <c r="C379" s="7"/>
    </row>
    <row r="380" spans="1:4" x14ac:dyDescent="0.25">
      <c r="A380" s="147" t="s">
        <v>958</v>
      </c>
      <c r="B380" s="191" t="s">
        <v>947</v>
      </c>
      <c r="C380" s="7" t="s">
        <v>2785</v>
      </c>
      <c r="D380" s="101">
        <v>237</v>
      </c>
    </row>
    <row r="381" spans="1:4" x14ac:dyDescent="0.25">
      <c r="A381" s="147" t="s">
        <v>959</v>
      </c>
      <c r="B381" s="191" t="s">
        <v>949</v>
      </c>
      <c r="C381" s="7" t="s">
        <v>2785</v>
      </c>
      <c r="D381" s="101">
        <v>265</v>
      </c>
    </row>
    <row r="382" spans="1:4" x14ac:dyDescent="0.25">
      <c r="A382" s="147" t="s">
        <v>960</v>
      </c>
      <c r="B382" s="191" t="s">
        <v>951</v>
      </c>
      <c r="C382" s="7" t="s">
        <v>2785</v>
      </c>
      <c r="D382" s="101">
        <v>342</v>
      </c>
    </row>
    <row r="383" spans="1:4" x14ac:dyDescent="0.25">
      <c r="A383" s="147" t="s">
        <v>961</v>
      </c>
      <c r="B383" s="191" t="s">
        <v>953</v>
      </c>
      <c r="C383" s="7" t="s">
        <v>2785</v>
      </c>
      <c r="D383" s="101">
        <v>455</v>
      </c>
    </row>
    <row r="384" spans="1:4" x14ac:dyDescent="0.25">
      <c r="A384" s="147"/>
      <c r="B384" s="191"/>
      <c r="C384" s="7"/>
    </row>
    <row r="385" spans="1:4" ht="110.25" x14ac:dyDescent="0.25">
      <c r="A385" s="147">
        <v>2.36</v>
      </c>
      <c r="B385" s="13" t="s">
        <v>5629</v>
      </c>
      <c r="C385" s="7"/>
    </row>
    <row r="386" spans="1:4" x14ac:dyDescent="0.25">
      <c r="A386" s="147" t="s">
        <v>962</v>
      </c>
      <c r="B386" s="191" t="s">
        <v>947</v>
      </c>
      <c r="C386" s="7" t="s">
        <v>2785</v>
      </c>
      <c r="D386" s="101">
        <v>156</v>
      </c>
    </row>
    <row r="387" spans="1:4" x14ac:dyDescent="0.25">
      <c r="A387" s="147" t="s">
        <v>963</v>
      </c>
      <c r="B387" s="191" t="s">
        <v>949</v>
      </c>
      <c r="C387" s="7" t="s">
        <v>2785</v>
      </c>
      <c r="D387" s="101">
        <v>185</v>
      </c>
    </row>
    <row r="388" spans="1:4" x14ac:dyDescent="0.25">
      <c r="A388" s="147" t="s">
        <v>964</v>
      </c>
      <c r="B388" s="191" t="s">
        <v>951</v>
      </c>
      <c r="C388" s="7" t="s">
        <v>2785</v>
      </c>
      <c r="D388" s="101">
        <v>262</v>
      </c>
    </row>
    <row r="389" spans="1:4" x14ac:dyDescent="0.25">
      <c r="A389" s="147" t="s">
        <v>965</v>
      </c>
      <c r="B389" s="191" t="s">
        <v>953</v>
      </c>
      <c r="C389" s="7" t="s">
        <v>2785</v>
      </c>
      <c r="D389" s="101">
        <v>376</v>
      </c>
    </row>
    <row r="390" spans="1:4" x14ac:dyDescent="0.25">
      <c r="A390" s="147" t="s">
        <v>966</v>
      </c>
      <c r="B390" s="191" t="s">
        <v>955</v>
      </c>
      <c r="C390" s="7" t="s">
        <v>2785</v>
      </c>
      <c r="D390" s="101">
        <v>528</v>
      </c>
    </row>
    <row r="391" spans="1:4" x14ac:dyDescent="0.25">
      <c r="A391" s="147" t="s">
        <v>967</v>
      </c>
      <c r="B391" s="191" t="s">
        <v>957</v>
      </c>
      <c r="C391" s="7" t="s">
        <v>2785</v>
      </c>
      <c r="D391" s="101">
        <v>681</v>
      </c>
    </row>
    <row r="392" spans="1:4" x14ac:dyDescent="0.25">
      <c r="A392" s="147" t="s">
        <v>968</v>
      </c>
      <c r="B392" s="191" t="s">
        <v>969</v>
      </c>
      <c r="C392" s="7" t="s">
        <v>2785</v>
      </c>
      <c r="D392" s="101">
        <v>1146</v>
      </c>
    </row>
    <row r="393" spans="1:4" x14ac:dyDescent="0.25">
      <c r="A393" s="147"/>
      <c r="B393" s="191"/>
      <c r="C393" s="7"/>
    </row>
    <row r="394" spans="1:4" ht="126" x14ac:dyDescent="0.25">
      <c r="A394" s="147">
        <v>2.37</v>
      </c>
      <c r="B394" s="13" t="s">
        <v>6351</v>
      </c>
      <c r="C394" s="7"/>
    </row>
    <row r="395" spans="1:4" x14ac:dyDescent="0.25">
      <c r="A395" s="147" t="s">
        <v>970</v>
      </c>
      <c r="B395" s="191" t="s">
        <v>6352</v>
      </c>
      <c r="C395" s="7" t="s">
        <v>2785</v>
      </c>
      <c r="D395" s="101">
        <v>191</v>
      </c>
    </row>
    <row r="396" spans="1:4" x14ac:dyDescent="0.25">
      <c r="A396" s="147" t="s">
        <v>971</v>
      </c>
      <c r="B396" s="191" t="s">
        <v>6353</v>
      </c>
      <c r="C396" s="7" t="s">
        <v>2785</v>
      </c>
      <c r="D396" s="101">
        <v>222</v>
      </c>
    </row>
    <row r="397" spans="1:4" x14ac:dyDescent="0.25">
      <c r="A397" s="147" t="s">
        <v>972</v>
      </c>
      <c r="B397" s="191" t="s">
        <v>6354</v>
      </c>
      <c r="C397" s="7" t="s">
        <v>2785</v>
      </c>
      <c r="D397" s="101">
        <v>282</v>
      </c>
    </row>
    <row r="398" spans="1:4" x14ac:dyDescent="0.25">
      <c r="A398" s="147" t="s">
        <v>973</v>
      </c>
      <c r="B398" s="191" t="s">
        <v>6355</v>
      </c>
      <c r="C398" s="7" t="s">
        <v>2785</v>
      </c>
      <c r="D398" s="101">
        <v>369</v>
      </c>
    </row>
    <row r="399" spans="1:4" x14ac:dyDescent="0.25">
      <c r="A399" s="147" t="s">
        <v>974</v>
      </c>
      <c r="B399" s="191" t="s">
        <v>6356</v>
      </c>
      <c r="C399" s="7" t="s">
        <v>2785</v>
      </c>
      <c r="D399" s="101">
        <v>519</v>
      </c>
    </row>
    <row r="400" spans="1:4" x14ac:dyDescent="0.25">
      <c r="A400" s="147" t="s">
        <v>975</v>
      </c>
      <c r="B400" s="191" t="s">
        <v>6357</v>
      </c>
      <c r="C400" s="7" t="s">
        <v>2785</v>
      </c>
      <c r="D400" s="101">
        <v>802</v>
      </c>
    </row>
    <row r="401" spans="1:4" x14ac:dyDescent="0.25">
      <c r="A401" s="147"/>
      <c r="B401" s="191"/>
      <c r="C401" s="7"/>
    </row>
    <row r="402" spans="1:4" ht="141.75" x14ac:dyDescent="0.25">
      <c r="A402" s="147">
        <v>2.38</v>
      </c>
      <c r="B402" s="13" t="s">
        <v>6358</v>
      </c>
      <c r="C402" s="7"/>
    </row>
    <row r="403" spans="1:4" x14ac:dyDescent="0.25">
      <c r="A403" s="147" t="s">
        <v>976</v>
      </c>
      <c r="B403" s="191" t="s">
        <v>6352</v>
      </c>
      <c r="C403" s="7" t="s">
        <v>2785</v>
      </c>
      <c r="D403" s="101">
        <v>279</v>
      </c>
    </row>
    <row r="404" spans="1:4" x14ac:dyDescent="0.25">
      <c r="A404" s="147" t="s">
        <v>977</v>
      </c>
      <c r="B404" s="191" t="s">
        <v>6353</v>
      </c>
      <c r="C404" s="7" t="s">
        <v>2785</v>
      </c>
      <c r="D404" s="101">
        <v>289</v>
      </c>
    </row>
    <row r="405" spans="1:4" x14ac:dyDescent="0.25">
      <c r="A405" s="147" t="s">
        <v>978</v>
      </c>
      <c r="B405" s="191" t="s">
        <v>6354</v>
      </c>
      <c r="C405" s="7" t="s">
        <v>2785</v>
      </c>
      <c r="D405" s="101">
        <v>376</v>
      </c>
    </row>
    <row r="406" spans="1:4" x14ac:dyDescent="0.25">
      <c r="A406" s="147" t="s">
        <v>979</v>
      </c>
      <c r="B406" s="191" t="s">
        <v>6355</v>
      </c>
      <c r="C406" s="7" t="s">
        <v>2785</v>
      </c>
      <c r="D406" s="101">
        <v>476</v>
      </c>
    </row>
    <row r="407" spans="1:4" x14ac:dyDescent="0.25">
      <c r="A407" s="147"/>
      <c r="B407" s="191"/>
      <c r="C407" s="7"/>
    </row>
    <row r="408" spans="1:4" ht="126" x14ac:dyDescent="0.25">
      <c r="A408" s="147">
        <v>2.39</v>
      </c>
      <c r="B408" s="13" t="s">
        <v>6359</v>
      </c>
      <c r="C408" s="7"/>
    </row>
    <row r="409" spans="1:4" x14ac:dyDescent="0.25">
      <c r="A409" s="147" t="s">
        <v>980</v>
      </c>
      <c r="B409" s="191" t="s">
        <v>6352</v>
      </c>
      <c r="C409" s="7" t="s">
        <v>2785</v>
      </c>
      <c r="D409" s="101">
        <v>167</v>
      </c>
    </row>
    <row r="410" spans="1:4" x14ac:dyDescent="0.25">
      <c r="A410" s="147" t="s">
        <v>981</v>
      </c>
      <c r="B410" s="191" t="s">
        <v>6353</v>
      </c>
      <c r="C410" s="7" t="s">
        <v>2785</v>
      </c>
      <c r="D410" s="101">
        <v>196</v>
      </c>
    </row>
    <row r="411" spans="1:4" x14ac:dyDescent="0.25">
      <c r="A411" s="147" t="s">
        <v>982</v>
      </c>
      <c r="B411" s="191" t="s">
        <v>6354</v>
      </c>
      <c r="C411" s="7" t="s">
        <v>2785</v>
      </c>
      <c r="D411" s="101">
        <v>262</v>
      </c>
    </row>
    <row r="412" spans="1:4" x14ac:dyDescent="0.25">
      <c r="A412" s="147" t="s">
        <v>983</v>
      </c>
      <c r="B412" s="191" t="s">
        <v>6355</v>
      </c>
      <c r="C412" s="7" t="s">
        <v>2785</v>
      </c>
      <c r="D412" s="101">
        <v>343</v>
      </c>
    </row>
    <row r="413" spans="1:4" x14ac:dyDescent="0.25">
      <c r="A413" s="147" t="s">
        <v>984</v>
      </c>
      <c r="B413" s="191" t="s">
        <v>6356</v>
      </c>
      <c r="C413" s="7" t="s">
        <v>2785</v>
      </c>
      <c r="D413" s="101">
        <v>471</v>
      </c>
    </row>
    <row r="414" spans="1:4" x14ac:dyDescent="0.25">
      <c r="A414" s="147" t="s">
        <v>985</v>
      </c>
      <c r="B414" s="191" t="s">
        <v>6357</v>
      </c>
      <c r="C414" s="7" t="s">
        <v>2785</v>
      </c>
      <c r="D414" s="101">
        <v>757</v>
      </c>
    </row>
    <row r="417" spans="1:4" ht="47.25" x14ac:dyDescent="0.25">
      <c r="A417" s="101">
        <v>2.4</v>
      </c>
      <c r="B417" s="191" t="s">
        <v>4774</v>
      </c>
      <c r="C417" s="147" t="s">
        <v>4217</v>
      </c>
      <c r="D417" s="101">
        <v>3089</v>
      </c>
    </row>
    <row r="418" spans="1:4" x14ac:dyDescent="0.25">
      <c r="A418" s="101"/>
      <c r="B418" s="191"/>
      <c r="C418" s="147"/>
      <c r="D418" s="101"/>
    </row>
    <row r="419" spans="1:4" ht="63" x14ac:dyDescent="0.25">
      <c r="A419" s="101">
        <v>2.41</v>
      </c>
      <c r="B419" s="191" t="s">
        <v>4775</v>
      </c>
      <c r="C419" s="147" t="s">
        <v>4217</v>
      </c>
      <c r="D419" s="101">
        <v>369</v>
      </c>
    </row>
    <row r="420" spans="1:4" x14ac:dyDescent="0.25">
      <c r="A420" s="101"/>
      <c r="B420" s="191"/>
      <c r="C420" s="147"/>
      <c r="D420" s="101"/>
    </row>
    <row r="421" spans="1:4" ht="47.25" x14ac:dyDescent="0.25">
      <c r="A421" s="101">
        <v>2.42</v>
      </c>
      <c r="B421" s="191" t="s">
        <v>5606</v>
      </c>
      <c r="C421" s="147" t="s">
        <v>4217</v>
      </c>
      <c r="D421" s="101">
        <v>1572</v>
      </c>
    </row>
    <row r="422" spans="1:4" x14ac:dyDescent="0.25">
      <c r="A422" s="101"/>
      <c r="B422" s="191"/>
      <c r="C422" s="147"/>
      <c r="D422" s="101"/>
    </row>
    <row r="423" spans="1:4" ht="47.25" x14ac:dyDescent="0.25">
      <c r="A423" s="101">
        <v>2.4300000000000002</v>
      </c>
      <c r="B423" s="191" t="s">
        <v>5607</v>
      </c>
      <c r="C423" s="147" t="s">
        <v>4217</v>
      </c>
      <c r="D423" s="101">
        <v>2335</v>
      </c>
    </row>
    <row r="424" spans="1:4" x14ac:dyDescent="0.25">
      <c r="A424" s="101"/>
      <c r="B424" s="191"/>
      <c r="C424" s="147"/>
      <c r="D424" s="101"/>
    </row>
    <row r="425" spans="1:4" ht="31.5" x14ac:dyDescent="0.25">
      <c r="A425" s="101">
        <v>2.44</v>
      </c>
      <c r="B425" s="191" t="s">
        <v>4776</v>
      </c>
      <c r="C425" s="147"/>
      <c r="D425" s="101"/>
    </row>
    <row r="426" spans="1:4" x14ac:dyDescent="0.25">
      <c r="A426" s="101"/>
      <c r="B426" s="191"/>
      <c r="C426" s="147"/>
      <c r="D426" s="101"/>
    </row>
    <row r="427" spans="1:4" x14ac:dyDescent="0.25">
      <c r="A427" s="101" t="s">
        <v>4814</v>
      </c>
      <c r="B427" s="191" t="s">
        <v>5598</v>
      </c>
      <c r="C427" s="147" t="s">
        <v>4217</v>
      </c>
      <c r="D427" s="101">
        <v>186</v>
      </c>
    </row>
    <row r="428" spans="1:4" x14ac:dyDescent="0.25">
      <c r="A428" s="101"/>
      <c r="B428" s="191"/>
      <c r="C428" s="147"/>
      <c r="D428" s="101"/>
    </row>
    <row r="429" spans="1:4" x14ac:dyDescent="0.25">
      <c r="A429" s="101" t="s">
        <v>4815</v>
      </c>
      <c r="B429" s="191" t="s">
        <v>5597</v>
      </c>
      <c r="C429" s="147" t="s">
        <v>4217</v>
      </c>
      <c r="D429" s="101">
        <v>201</v>
      </c>
    </row>
    <row r="430" spans="1:4" x14ac:dyDescent="0.25">
      <c r="A430" s="101"/>
      <c r="B430" s="191"/>
      <c r="C430" s="147"/>
      <c r="D430" s="101"/>
    </row>
    <row r="431" spans="1:4" x14ac:dyDescent="0.25">
      <c r="A431" s="101" t="s">
        <v>4816</v>
      </c>
      <c r="B431" s="191" t="s">
        <v>5599</v>
      </c>
      <c r="C431" s="147" t="s">
        <v>4217</v>
      </c>
      <c r="D431" s="101">
        <v>216</v>
      </c>
    </row>
    <row r="432" spans="1:4" x14ac:dyDescent="0.25">
      <c r="A432" s="101"/>
      <c r="B432" s="191"/>
      <c r="C432" s="147"/>
      <c r="D432" s="101"/>
    </row>
    <row r="433" spans="1:4" ht="47.25" x14ac:dyDescent="0.25">
      <c r="A433" s="101">
        <v>2.4500000000000002</v>
      </c>
      <c r="B433" s="191" t="s">
        <v>4777</v>
      </c>
      <c r="C433" s="147" t="s">
        <v>4217</v>
      </c>
      <c r="D433" s="101">
        <v>196</v>
      </c>
    </row>
    <row r="434" spans="1:4" x14ac:dyDescent="0.25">
      <c r="A434" s="101"/>
      <c r="B434" s="191"/>
      <c r="C434" s="147"/>
      <c r="D434" s="101"/>
    </row>
    <row r="435" spans="1:4" ht="30" x14ac:dyDescent="0.25">
      <c r="A435" s="101">
        <v>2.46</v>
      </c>
      <c r="B435" s="203" t="s">
        <v>4778</v>
      </c>
      <c r="C435" s="147" t="s">
        <v>4217</v>
      </c>
      <c r="D435" s="101">
        <v>5042</v>
      </c>
    </row>
    <row r="436" spans="1:4" x14ac:dyDescent="0.25">
      <c r="A436" s="101"/>
      <c r="B436" s="191"/>
      <c r="C436" s="147"/>
      <c r="D436" s="101"/>
    </row>
    <row r="437" spans="1:4" ht="94.5" x14ac:dyDescent="0.25">
      <c r="A437" s="101">
        <v>2.4700000000000002</v>
      </c>
      <c r="B437" s="191" t="s">
        <v>4779</v>
      </c>
      <c r="C437" s="147" t="s">
        <v>2680</v>
      </c>
      <c r="D437" s="101">
        <v>1088</v>
      </c>
    </row>
    <row r="438" spans="1:4" x14ac:dyDescent="0.25">
      <c r="A438" s="101"/>
      <c r="B438" s="191"/>
      <c r="C438" s="147"/>
      <c r="D438" s="101"/>
    </row>
    <row r="439" spans="1:4" s="176" customFormat="1" x14ac:dyDescent="0.25">
      <c r="A439" s="101">
        <v>2.48</v>
      </c>
      <c r="B439" s="191" t="s">
        <v>6362</v>
      </c>
      <c r="C439" s="147"/>
      <c r="D439" s="5"/>
    </row>
    <row r="440" spans="1:4" s="176" customFormat="1" x14ac:dyDescent="0.25">
      <c r="A440" s="101" t="s">
        <v>5710</v>
      </c>
      <c r="B440" s="191" t="s">
        <v>6360</v>
      </c>
      <c r="C440" s="147" t="s">
        <v>4217</v>
      </c>
      <c r="D440" s="101">
        <v>10175</v>
      </c>
    </row>
    <row r="441" spans="1:4" s="176" customFormat="1" x14ac:dyDescent="0.25">
      <c r="A441" s="101" t="s">
        <v>5711</v>
      </c>
      <c r="B441" s="191" t="s">
        <v>6361</v>
      </c>
      <c r="C441" s="147" t="s">
        <v>4217</v>
      </c>
      <c r="D441" s="101">
        <v>9625</v>
      </c>
    </row>
    <row r="442" spans="1:4" s="176" customFormat="1" x14ac:dyDescent="0.25">
      <c r="A442" s="101"/>
      <c r="B442" s="191"/>
      <c r="C442" s="147"/>
      <c r="D442" s="101"/>
    </row>
    <row r="443" spans="1:4" s="176" customFormat="1" x14ac:dyDescent="0.25">
      <c r="A443" s="101"/>
      <c r="B443" s="191"/>
      <c r="C443" s="147"/>
      <c r="D443" s="101"/>
    </row>
    <row r="444" spans="1:4" s="176" customFormat="1" x14ac:dyDescent="0.25">
      <c r="A444" s="101">
        <v>2.4900000000000002</v>
      </c>
      <c r="B444" s="191" t="s">
        <v>6470</v>
      </c>
      <c r="C444" s="147" t="s">
        <v>4217</v>
      </c>
      <c r="D444" s="101">
        <v>10450</v>
      </c>
    </row>
    <row r="445" spans="1:4" s="176" customFormat="1" x14ac:dyDescent="0.25">
      <c r="A445" s="101"/>
      <c r="B445" s="191"/>
      <c r="C445" s="147"/>
      <c r="D445" s="101"/>
    </row>
    <row r="446" spans="1:4" s="176" customFormat="1" x14ac:dyDescent="0.25">
      <c r="A446" s="101">
        <v>2.5</v>
      </c>
      <c r="B446" s="191" t="s">
        <v>5713</v>
      </c>
      <c r="C446" s="147" t="s">
        <v>4217</v>
      </c>
      <c r="D446" s="101">
        <v>1870</v>
      </c>
    </row>
    <row r="447" spans="1:4" s="176" customFormat="1" x14ac:dyDescent="0.25">
      <c r="A447" s="101"/>
      <c r="B447" s="191"/>
      <c r="C447" s="147"/>
      <c r="D447" s="101"/>
    </row>
    <row r="448" spans="1:4" s="176" customFormat="1" ht="31.5" x14ac:dyDescent="0.25">
      <c r="A448" s="101">
        <v>2.5099999999999998</v>
      </c>
      <c r="B448" s="191" t="s">
        <v>6363</v>
      </c>
      <c r="C448" s="147" t="s">
        <v>4217</v>
      </c>
      <c r="D448" s="101">
        <v>5060</v>
      </c>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tabColor rgb="FF00B0F0"/>
  </sheetPr>
  <dimension ref="A1:H684"/>
  <sheetViews>
    <sheetView view="pageBreakPreview" topLeftCell="A546" zoomScale="90" zoomScaleNormal="100" zoomScaleSheetLayoutView="90" workbookViewId="0">
      <selection activeCell="B575" sqref="B575"/>
    </sheetView>
  </sheetViews>
  <sheetFormatPr defaultRowHeight="15.75" x14ac:dyDescent="0.25"/>
  <cols>
    <col min="1" max="1" width="10" style="5" customWidth="1"/>
    <col min="2" max="2" width="55.7109375" style="30" customWidth="1"/>
    <col min="3" max="3" width="9.7109375" style="8" customWidth="1"/>
    <col min="4" max="4" width="11.7109375" style="31" customWidth="1"/>
    <col min="5" max="5" width="9.140625" style="8"/>
    <col min="6" max="6" width="9.140625" style="6"/>
    <col min="7" max="7" width="9.140625" style="8"/>
    <col min="8" max="16384" width="9.140625" style="6"/>
  </cols>
  <sheetData>
    <row r="1" spans="1:8" s="14" customFormat="1" ht="22.5" x14ac:dyDescent="0.2">
      <c r="A1" s="258" t="s">
        <v>1203</v>
      </c>
      <c r="B1" s="258"/>
      <c r="C1" s="258"/>
      <c r="D1" s="258"/>
    </row>
    <row r="2" spans="1:8" s="14" customFormat="1" ht="27" x14ac:dyDescent="0.2">
      <c r="A2" s="277" t="s">
        <v>614</v>
      </c>
      <c r="B2" s="277"/>
      <c r="C2" s="277"/>
      <c r="D2" s="277"/>
    </row>
    <row r="3" spans="1:8" x14ac:dyDescent="0.25">
      <c r="B3" s="13"/>
      <c r="C3" s="146"/>
      <c r="D3" s="146"/>
    </row>
    <row r="4" spans="1:8" x14ac:dyDescent="0.25">
      <c r="A4" s="124" t="s">
        <v>2882</v>
      </c>
      <c r="C4" s="146"/>
      <c r="D4" s="146"/>
    </row>
    <row r="5" spans="1:8" ht="47.25" x14ac:dyDescent="0.25">
      <c r="A5" s="3">
        <v>1</v>
      </c>
      <c r="B5" s="13" t="s">
        <v>615</v>
      </c>
      <c r="C5" s="146"/>
      <c r="D5" s="146"/>
    </row>
    <row r="6" spans="1:8" ht="47.25" x14ac:dyDescent="0.25">
      <c r="A6" s="3">
        <v>2</v>
      </c>
      <c r="B6" s="13" t="s">
        <v>616</v>
      </c>
      <c r="C6" s="146"/>
      <c r="D6" s="146"/>
    </row>
    <row r="7" spans="1:8" x14ac:dyDescent="0.25">
      <c r="A7" s="3">
        <v>3</v>
      </c>
      <c r="B7" s="13" t="s">
        <v>617</v>
      </c>
      <c r="C7" s="146"/>
      <c r="D7" s="146"/>
    </row>
    <row r="8" spans="1:8" x14ac:dyDescent="0.25">
      <c r="A8" s="3"/>
      <c r="B8" s="13"/>
      <c r="C8" s="146"/>
      <c r="D8" s="146"/>
    </row>
    <row r="9" spans="1:8" s="112" customFormat="1" ht="31.5" x14ac:dyDescent="0.2">
      <c r="A9" s="55" t="s">
        <v>6402</v>
      </c>
      <c r="B9" s="55" t="s">
        <v>2434</v>
      </c>
      <c r="C9" s="55" t="s">
        <v>2435</v>
      </c>
      <c r="D9" s="172" t="s">
        <v>18</v>
      </c>
      <c r="E9" s="8"/>
      <c r="G9" s="5"/>
      <c r="H9" s="5"/>
    </row>
    <row r="10" spans="1:8" s="112" customFormat="1" x14ac:dyDescent="0.2">
      <c r="A10" s="55">
        <v>1</v>
      </c>
      <c r="B10" s="55">
        <v>2</v>
      </c>
      <c r="C10" s="55">
        <v>3</v>
      </c>
      <c r="D10" s="45">
        <v>4</v>
      </c>
      <c r="E10" s="8"/>
      <c r="G10" s="5"/>
    </row>
    <row r="11" spans="1:8" s="112" customFormat="1" x14ac:dyDescent="0.2">
      <c r="A11" s="117"/>
      <c r="B11" s="117"/>
      <c r="C11" s="117"/>
      <c r="D11" s="121"/>
      <c r="E11" s="8"/>
      <c r="G11" s="5"/>
    </row>
    <row r="12" spans="1:8" s="179" customFormat="1" x14ac:dyDescent="0.25">
      <c r="A12" s="14"/>
      <c r="B12" s="140" t="s">
        <v>1204</v>
      </c>
      <c r="C12" s="132"/>
      <c r="D12" s="14"/>
      <c r="E12" s="126"/>
      <c r="G12" s="126"/>
    </row>
    <row r="13" spans="1:8" ht="78.75" x14ac:dyDescent="0.25">
      <c r="A13" s="147">
        <v>3.1</v>
      </c>
      <c r="B13" s="30" t="s">
        <v>1205</v>
      </c>
      <c r="C13" s="132"/>
      <c r="D13" s="6"/>
    </row>
    <row r="14" spans="1:8" x14ac:dyDescent="0.25">
      <c r="A14" s="147" t="s">
        <v>2587</v>
      </c>
      <c r="B14" s="30" t="s">
        <v>1164</v>
      </c>
      <c r="C14" s="7" t="s">
        <v>2453</v>
      </c>
      <c r="D14" s="7">
        <v>252</v>
      </c>
      <c r="E14" s="173"/>
      <c r="F14" s="8"/>
    </row>
    <row r="15" spans="1:8" x14ac:dyDescent="0.25">
      <c r="A15" s="147" t="s">
        <v>2588</v>
      </c>
      <c r="B15" s="30" t="s">
        <v>1168</v>
      </c>
      <c r="C15" s="7" t="s">
        <v>2453</v>
      </c>
      <c r="D15" s="7">
        <v>406</v>
      </c>
      <c r="E15" s="173"/>
      <c r="F15" s="8"/>
    </row>
    <row r="16" spans="1:8" x14ac:dyDescent="0.25">
      <c r="A16" s="147" t="s">
        <v>2589</v>
      </c>
      <c r="B16" s="30" t="s">
        <v>1170</v>
      </c>
      <c r="C16" s="7" t="s">
        <v>2453</v>
      </c>
      <c r="D16" s="7">
        <v>565</v>
      </c>
      <c r="E16" s="173"/>
      <c r="F16" s="8"/>
    </row>
    <row r="17" spans="1:6" x14ac:dyDescent="0.25">
      <c r="A17" s="147" t="s">
        <v>2590</v>
      </c>
      <c r="B17" s="30" t="s">
        <v>1206</v>
      </c>
      <c r="C17" s="7" t="s">
        <v>2453</v>
      </c>
      <c r="D17" s="7">
        <v>639</v>
      </c>
      <c r="E17" s="173"/>
      <c r="F17" s="8"/>
    </row>
    <row r="18" spans="1:6" x14ac:dyDescent="0.25">
      <c r="A18" s="147" t="s">
        <v>2591</v>
      </c>
      <c r="B18" s="30" t="s">
        <v>1172</v>
      </c>
      <c r="C18" s="7" t="s">
        <v>2453</v>
      </c>
      <c r="D18" s="7">
        <v>745</v>
      </c>
      <c r="E18" s="173"/>
      <c r="F18" s="8"/>
    </row>
    <row r="19" spans="1:6" x14ac:dyDescent="0.25">
      <c r="A19" s="147" t="s">
        <v>2592</v>
      </c>
      <c r="B19" s="30" t="s">
        <v>1207</v>
      </c>
      <c r="C19" s="7" t="s">
        <v>2453</v>
      </c>
      <c r="D19" s="7">
        <v>1044</v>
      </c>
      <c r="E19" s="173"/>
      <c r="F19" s="8"/>
    </row>
    <row r="20" spans="1:6" x14ac:dyDescent="0.25">
      <c r="A20" s="147" t="s">
        <v>2594</v>
      </c>
      <c r="B20" s="30" t="s">
        <v>1208</v>
      </c>
      <c r="C20" s="7" t="s">
        <v>2453</v>
      </c>
      <c r="D20" s="7">
        <v>1526</v>
      </c>
      <c r="E20" s="173"/>
      <c r="F20" s="8"/>
    </row>
    <row r="21" spans="1:6" x14ac:dyDescent="0.25">
      <c r="A21" s="150" t="s">
        <v>1209</v>
      </c>
      <c r="C21" s="7"/>
      <c r="D21" s="7"/>
      <c r="E21" s="173"/>
      <c r="F21" s="8"/>
    </row>
    <row r="22" spans="1:6" ht="31.5" x14ac:dyDescent="0.25">
      <c r="A22" s="147">
        <v>1</v>
      </c>
      <c r="B22" s="30" t="s">
        <v>1210</v>
      </c>
      <c r="C22" s="7"/>
      <c r="D22" s="7"/>
      <c r="E22" s="173"/>
      <c r="F22" s="8"/>
    </row>
    <row r="23" spans="1:6" x14ac:dyDescent="0.25">
      <c r="A23" s="147">
        <v>2</v>
      </c>
      <c r="B23" s="30" t="s">
        <v>1211</v>
      </c>
      <c r="C23" s="7"/>
      <c r="D23" s="7"/>
      <c r="E23" s="173"/>
      <c r="F23" s="8"/>
    </row>
    <row r="24" spans="1:6" x14ac:dyDescent="0.25">
      <c r="A24" s="147"/>
      <c r="C24" s="7"/>
      <c r="D24" s="7"/>
      <c r="E24" s="173"/>
      <c r="F24" s="8"/>
    </row>
    <row r="25" spans="1:6" ht="63" x14ac:dyDescent="0.25">
      <c r="A25" s="147">
        <v>3.2</v>
      </c>
      <c r="B25" s="30" t="s">
        <v>1212</v>
      </c>
      <c r="C25" s="7"/>
      <c r="D25" s="7"/>
      <c r="E25" s="173"/>
      <c r="F25" s="8"/>
    </row>
    <row r="26" spans="1:6" x14ac:dyDescent="0.25">
      <c r="A26" s="147" t="s">
        <v>2612</v>
      </c>
      <c r="B26" s="30" t="s">
        <v>1213</v>
      </c>
      <c r="C26" s="7" t="s">
        <v>2453</v>
      </c>
      <c r="D26" s="7">
        <v>457</v>
      </c>
      <c r="E26" s="173"/>
      <c r="F26" s="8"/>
    </row>
    <row r="27" spans="1:6" x14ac:dyDescent="0.25">
      <c r="A27" s="147" t="s">
        <v>2596</v>
      </c>
      <c r="B27" s="30" t="s">
        <v>1214</v>
      </c>
      <c r="C27" s="7" t="s">
        <v>2453</v>
      </c>
      <c r="D27" s="7">
        <v>550</v>
      </c>
      <c r="E27" s="173"/>
      <c r="F27" s="8"/>
    </row>
    <row r="28" spans="1:6" x14ac:dyDescent="0.25">
      <c r="A28" s="147" t="s">
        <v>2597</v>
      </c>
      <c r="B28" s="30" t="s">
        <v>1215</v>
      </c>
      <c r="C28" s="7" t="s">
        <v>2453</v>
      </c>
      <c r="D28" s="7">
        <v>560</v>
      </c>
      <c r="E28" s="173"/>
      <c r="F28" s="8"/>
    </row>
    <row r="29" spans="1:6" x14ac:dyDescent="0.25">
      <c r="A29" s="147" t="s">
        <v>2598</v>
      </c>
      <c r="B29" s="30" t="s">
        <v>1216</v>
      </c>
      <c r="C29" s="7" t="s">
        <v>2453</v>
      </c>
      <c r="D29" s="7">
        <v>713</v>
      </c>
      <c r="E29" s="173"/>
      <c r="F29" s="8"/>
    </row>
    <row r="30" spans="1:6" x14ac:dyDescent="0.25">
      <c r="A30" s="147" t="s">
        <v>2599</v>
      </c>
      <c r="B30" s="30" t="s">
        <v>1217</v>
      </c>
      <c r="C30" s="7" t="s">
        <v>2453</v>
      </c>
      <c r="D30" s="7">
        <v>754</v>
      </c>
      <c r="E30" s="173"/>
      <c r="F30" s="8"/>
    </row>
    <row r="31" spans="1:6" x14ac:dyDescent="0.25">
      <c r="A31" s="147" t="s">
        <v>1218</v>
      </c>
      <c r="B31" s="30" t="s">
        <v>1219</v>
      </c>
      <c r="C31" s="7" t="s">
        <v>2453</v>
      </c>
      <c r="D31" s="7">
        <v>867</v>
      </c>
      <c r="E31" s="173"/>
      <c r="F31" s="8"/>
    </row>
    <row r="32" spans="1:6" x14ac:dyDescent="0.25">
      <c r="A32" s="147" t="s">
        <v>1220</v>
      </c>
      <c r="B32" s="30" t="s">
        <v>1221</v>
      </c>
      <c r="C32" s="7" t="s">
        <v>2453</v>
      </c>
      <c r="D32" s="7">
        <v>981</v>
      </c>
      <c r="E32" s="173"/>
      <c r="F32" s="8"/>
    </row>
    <row r="33" spans="1:6" x14ac:dyDescent="0.25">
      <c r="A33" s="147" t="s">
        <v>1222</v>
      </c>
      <c r="B33" s="30" t="s">
        <v>1223</v>
      </c>
      <c r="C33" s="7" t="s">
        <v>2453</v>
      </c>
      <c r="D33" s="7">
        <v>1095</v>
      </c>
      <c r="E33" s="173"/>
      <c r="F33" s="8"/>
    </row>
    <row r="34" spans="1:6" x14ac:dyDescent="0.25">
      <c r="A34" s="147"/>
      <c r="C34" s="7"/>
      <c r="D34" s="7"/>
      <c r="E34" s="173"/>
      <c r="F34" s="8"/>
    </row>
    <row r="35" spans="1:6" ht="78.75" x14ac:dyDescent="0.25">
      <c r="A35" s="147">
        <v>3.3</v>
      </c>
      <c r="B35" s="30" t="s">
        <v>1224</v>
      </c>
      <c r="C35" s="7"/>
      <c r="D35" s="7"/>
      <c r="F35" s="8"/>
    </row>
    <row r="36" spans="1:6" x14ac:dyDescent="0.25">
      <c r="A36" s="147" t="s">
        <v>2613</v>
      </c>
      <c r="B36" s="30" t="s">
        <v>1213</v>
      </c>
      <c r="C36" s="7" t="s">
        <v>2453</v>
      </c>
      <c r="D36" s="7">
        <v>217</v>
      </c>
      <c r="F36" s="8"/>
    </row>
    <row r="37" spans="1:6" x14ac:dyDescent="0.25">
      <c r="A37" s="147" t="s">
        <v>2614</v>
      </c>
      <c r="B37" s="30" t="s">
        <v>1214</v>
      </c>
      <c r="C37" s="7" t="s">
        <v>2453</v>
      </c>
      <c r="D37" s="7">
        <v>353</v>
      </c>
      <c r="F37" s="8"/>
    </row>
    <row r="38" spans="1:6" x14ac:dyDescent="0.25">
      <c r="A38" s="147" t="s">
        <v>1225</v>
      </c>
      <c r="B38" s="30" t="s">
        <v>1215</v>
      </c>
      <c r="C38" s="7" t="s">
        <v>2453</v>
      </c>
      <c r="D38" s="7">
        <v>413</v>
      </c>
      <c r="F38" s="8"/>
    </row>
    <row r="39" spans="1:6" x14ac:dyDescent="0.25">
      <c r="A39" s="147" t="s">
        <v>1226</v>
      </c>
      <c r="B39" s="30" t="s">
        <v>1216</v>
      </c>
      <c r="C39" s="7" t="s">
        <v>2453</v>
      </c>
      <c r="D39" s="7">
        <v>453</v>
      </c>
      <c r="F39" s="8"/>
    </row>
    <row r="40" spans="1:6" x14ac:dyDescent="0.25">
      <c r="A40" s="147" t="s">
        <v>1227</v>
      </c>
      <c r="B40" s="30" t="s">
        <v>1217</v>
      </c>
      <c r="C40" s="7" t="s">
        <v>2453</v>
      </c>
      <c r="D40" s="7">
        <v>482</v>
      </c>
      <c r="F40" s="8"/>
    </row>
    <row r="41" spans="1:6" x14ac:dyDescent="0.25">
      <c r="A41" s="147" t="s">
        <v>1228</v>
      </c>
      <c r="B41" s="30" t="s">
        <v>1219</v>
      </c>
      <c r="C41" s="7" t="s">
        <v>2453</v>
      </c>
      <c r="D41" s="7">
        <v>557</v>
      </c>
      <c r="F41" s="8"/>
    </row>
    <row r="42" spans="1:6" x14ac:dyDescent="0.25">
      <c r="A42" s="147" t="s">
        <v>1229</v>
      </c>
      <c r="B42" s="30" t="s">
        <v>1221</v>
      </c>
      <c r="C42" s="7" t="s">
        <v>2453</v>
      </c>
      <c r="D42" s="7">
        <v>635</v>
      </c>
      <c r="F42" s="8"/>
    </row>
    <row r="43" spans="1:6" x14ac:dyDescent="0.25">
      <c r="A43" s="147" t="s">
        <v>1230</v>
      </c>
      <c r="B43" s="30" t="s">
        <v>1223</v>
      </c>
      <c r="C43" s="7" t="s">
        <v>2453</v>
      </c>
      <c r="D43" s="7">
        <v>713</v>
      </c>
      <c r="F43" s="8"/>
    </row>
    <row r="44" spans="1:6" x14ac:dyDescent="0.25">
      <c r="A44" s="147"/>
      <c r="C44" s="7"/>
      <c r="D44" s="7"/>
      <c r="F44" s="8"/>
    </row>
    <row r="45" spans="1:6" ht="47.25" x14ac:dyDescent="0.25">
      <c r="A45" s="147">
        <v>3.4</v>
      </c>
      <c r="B45" s="30" t="s">
        <v>6224</v>
      </c>
      <c r="C45" s="7"/>
      <c r="D45" s="7"/>
      <c r="F45" s="8"/>
    </row>
    <row r="46" spans="1:6" x14ac:dyDescent="0.25">
      <c r="A46" s="147" t="s">
        <v>1231</v>
      </c>
      <c r="B46" s="30" t="s">
        <v>1232</v>
      </c>
      <c r="C46" s="7" t="s">
        <v>4217</v>
      </c>
      <c r="D46" s="7">
        <v>182</v>
      </c>
      <c r="F46" s="8"/>
    </row>
    <row r="47" spans="1:6" x14ac:dyDescent="0.25">
      <c r="A47" s="147" t="s">
        <v>1233</v>
      </c>
      <c r="B47" s="30" t="s">
        <v>1234</v>
      </c>
      <c r="C47" s="7" t="s">
        <v>4217</v>
      </c>
      <c r="D47" s="7">
        <v>195</v>
      </c>
      <c r="F47" s="8"/>
    </row>
    <row r="48" spans="1:6" x14ac:dyDescent="0.25">
      <c r="A48" s="147" t="s">
        <v>1235</v>
      </c>
      <c r="B48" s="30" t="s">
        <v>1236</v>
      </c>
      <c r="C48" s="7" t="s">
        <v>4217</v>
      </c>
      <c r="D48" s="7">
        <v>253</v>
      </c>
      <c r="F48" s="8"/>
    </row>
    <row r="49" spans="1:6" x14ac:dyDescent="0.25">
      <c r="A49" s="147"/>
      <c r="C49" s="7"/>
      <c r="D49" s="7"/>
      <c r="F49" s="8"/>
    </row>
    <row r="50" spans="1:6" ht="94.5" x14ac:dyDescent="0.25">
      <c r="A50" s="147">
        <v>3.5</v>
      </c>
      <c r="B50" s="30" t="s">
        <v>6225</v>
      </c>
      <c r="C50" s="7"/>
      <c r="D50" s="7"/>
      <c r="F50" s="8"/>
    </row>
    <row r="51" spans="1:6" ht="31.5" x14ac:dyDescent="0.25">
      <c r="A51" s="147" t="s">
        <v>1237</v>
      </c>
      <c r="B51" s="30" t="s">
        <v>989</v>
      </c>
      <c r="C51" s="7" t="s">
        <v>4217</v>
      </c>
      <c r="D51" s="15">
        <v>1150</v>
      </c>
      <c r="F51" s="8"/>
    </row>
    <row r="52" spans="1:6" ht="31.5" x14ac:dyDescent="0.25">
      <c r="A52" s="147" t="s">
        <v>1238</v>
      </c>
      <c r="B52" s="30" t="s">
        <v>988</v>
      </c>
      <c r="C52" s="7" t="s">
        <v>4217</v>
      </c>
      <c r="D52" s="15">
        <v>1529</v>
      </c>
      <c r="F52" s="8"/>
    </row>
    <row r="53" spans="1:6" x14ac:dyDescent="0.25">
      <c r="A53" s="147"/>
      <c r="C53" s="7"/>
      <c r="D53" s="7"/>
      <c r="F53" s="8"/>
    </row>
    <row r="54" spans="1:6" ht="31.5" x14ac:dyDescent="0.25">
      <c r="A54" s="147">
        <v>3.6</v>
      </c>
      <c r="B54" s="30" t="s">
        <v>6226</v>
      </c>
      <c r="C54" s="7"/>
      <c r="D54" s="7"/>
      <c r="F54" s="8"/>
    </row>
    <row r="55" spans="1:6" x14ac:dyDescent="0.25">
      <c r="A55" s="147" t="s">
        <v>1239</v>
      </c>
      <c r="B55" s="30" t="s">
        <v>1164</v>
      </c>
      <c r="C55" s="7" t="s">
        <v>4217</v>
      </c>
      <c r="D55" s="15">
        <v>344</v>
      </c>
      <c r="F55" s="8"/>
    </row>
    <row r="56" spans="1:6" x14ac:dyDescent="0.25">
      <c r="A56" s="147" t="s">
        <v>1240</v>
      </c>
      <c r="B56" s="30" t="s">
        <v>1168</v>
      </c>
      <c r="C56" s="7" t="s">
        <v>4217</v>
      </c>
      <c r="D56" s="15">
        <v>486</v>
      </c>
      <c r="F56" s="8"/>
    </row>
    <row r="57" spans="1:6" x14ac:dyDescent="0.25">
      <c r="A57" s="147"/>
      <c r="C57" s="7"/>
      <c r="D57" s="7"/>
      <c r="F57" s="8"/>
    </row>
    <row r="58" spans="1:6" ht="63" x14ac:dyDescent="0.25">
      <c r="A58" s="147">
        <v>3.7</v>
      </c>
      <c r="B58" s="30" t="s">
        <v>438</v>
      </c>
      <c r="C58" s="7"/>
      <c r="D58" s="7"/>
      <c r="F58" s="8"/>
    </row>
    <row r="59" spans="1:6" x14ac:dyDescent="0.25">
      <c r="A59" s="147" t="s">
        <v>2604</v>
      </c>
      <c r="B59" s="30" t="s">
        <v>439</v>
      </c>
      <c r="C59" s="7" t="s">
        <v>2453</v>
      </c>
      <c r="D59" s="15">
        <v>23</v>
      </c>
      <c r="F59" s="8"/>
    </row>
    <row r="60" spans="1:6" x14ac:dyDescent="0.25">
      <c r="A60" s="147" t="s">
        <v>2605</v>
      </c>
      <c r="B60" s="30" t="s">
        <v>440</v>
      </c>
      <c r="C60" s="7" t="s">
        <v>2453</v>
      </c>
      <c r="D60" s="15">
        <v>25</v>
      </c>
      <c r="F60" s="8"/>
    </row>
    <row r="61" spans="1:6" x14ac:dyDescent="0.25">
      <c r="A61" s="147"/>
      <c r="C61" s="7"/>
      <c r="D61" s="15"/>
      <c r="F61" s="8"/>
    </row>
    <row r="62" spans="1:6" x14ac:dyDescent="0.25">
      <c r="A62" s="147"/>
      <c r="C62" s="7"/>
      <c r="D62" s="15"/>
      <c r="F62" s="8"/>
    </row>
    <row r="63" spans="1:6" x14ac:dyDescent="0.25">
      <c r="A63" s="147" t="s">
        <v>441</v>
      </c>
      <c r="B63" s="30" t="s">
        <v>442</v>
      </c>
      <c r="C63" s="7" t="s">
        <v>2453</v>
      </c>
      <c r="D63" s="15">
        <v>26</v>
      </c>
      <c r="F63" s="8"/>
    </row>
    <row r="64" spans="1:6" x14ac:dyDescent="0.25">
      <c r="A64" s="147" t="s">
        <v>443</v>
      </c>
      <c r="B64" s="30" t="s">
        <v>444</v>
      </c>
      <c r="C64" s="7" t="s">
        <v>2453</v>
      </c>
      <c r="D64" s="15">
        <v>30</v>
      </c>
      <c r="F64" s="8"/>
    </row>
    <row r="65" spans="1:6" x14ac:dyDescent="0.25">
      <c r="A65" s="147" t="s">
        <v>445</v>
      </c>
      <c r="B65" s="30" t="s">
        <v>446</v>
      </c>
      <c r="C65" s="7" t="s">
        <v>2453</v>
      </c>
      <c r="D65" s="15">
        <v>31</v>
      </c>
      <c r="F65" s="8"/>
    </row>
    <row r="66" spans="1:6" x14ac:dyDescent="0.25">
      <c r="A66" s="147"/>
      <c r="C66" s="7"/>
      <c r="D66" s="7"/>
      <c r="F66" s="8"/>
    </row>
    <row r="67" spans="1:6" x14ac:dyDescent="0.25">
      <c r="A67" s="147"/>
      <c r="B67" s="29" t="s">
        <v>447</v>
      </c>
      <c r="C67" s="7"/>
      <c r="D67" s="7"/>
      <c r="F67" s="8"/>
    </row>
    <row r="68" spans="1:6" ht="78.75" x14ac:dyDescent="0.25">
      <c r="A68" s="147">
        <v>3.8</v>
      </c>
      <c r="B68" s="30" t="s">
        <v>448</v>
      </c>
      <c r="C68" s="7"/>
      <c r="D68" s="7"/>
      <c r="F68" s="8"/>
    </row>
    <row r="69" spans="1:6" x14ac:dyDescent="0.25">
      <c r="A69" s="147" t="s">
        <v>449</v>
      </c>
      <c r="B69" s="30" t="s">
        <v>450</v>
      </c>
      <c r="C69" s="7" t="s">
        <v>2453</v>
      </c>
      <c r="D69" s="15">
        <v>488</v>
      </c>
      <c r="F69" s="8"/>
    </row>
    <row r="70" spans="1:6" x14ac:dyDescent="0.25">
      <c r="A70" s="147" t="s">
        <v>451</v>
      </c>
      <c r="B70" s="30" t="s">
        <v>452</v>
      </c>
      <c r="C70" s="7" t="s">
        <v>2453</v>
      </c>
      <c r="D70" s="15">
        <v>600</v>
      </c>
      <c r="F70" s="8"/>
    </row>
    <row r="71" spans="1:6" x14ac:dyDescent="0.25">
      <c r="A71" s="147" t="s">
        <v>453</v>
      </c>
      <c r="B71" s="30" t="s">
        <v>454</v>
      </c>
      <c r="C71" s="7" t="s">
        <v>2453</v>
      </c>
      <c r="D71" s="15">
        <v>674</v>
      </c>
      <c r="F71" s="8"/>
    </row>
    <row r="72" spans="1:6" x14ac:dyDescent="0.25">
      <c r="A72" s="147" t="s">
        <v>455</v>
      </c>
      <c r="B72" s="30" t="s">
        <v>456</v>
      </c>
      <c r="C72" s="7" t="s">
        <v>2453</v>
      </c>
      <c r="D72" s="15">
        <v>891</v>
      </c>
      <c r="F72" s="8"/>
    </row>
    <row r="73" spans="1:6" x14ac:dyDescent="0.25">
      <c r="A73" s="147" t="s">
        <v>457</v>
      </c>
      <c r="B73" s="30" t="s">
        <v>458</v>
      </c>
      <c r="C73" s="7" t="s">
        <v>2453</v>
      </c>
      <c r="D73" s="15">
        <v>991</v>
      </c>
      <c r="F73" s="8"/>
    </row>
    <row r="74" spans="1:6" x14ac:dyDescent="0.25">
      <c r="A74" s="147" t="s">
        <v>459</v>
      </c>
      <c r="B74" s="30" t="s">
        <v>460</v>
      </c>
      <c r="C74" s="7" t="s">
        <v>2453</v>
      </c>
      <c r="D74" s="15">
        <v>1550</v>
      </c>
      <c r="F74" s="8"/>
    </row>
    <row r="75" spans="1:6" x14ac:dyDescent="0.25">
      <c r="A75" s="147" t="s">
        <v>461</v>
      </c>
      <c r="B75" s="30" t="s">
        <v>462</v>
      </c>
      <c r="C75" s="7" t="s">
        <v>2453</v>
      </c>
      <c r="D75" s="15">
        <v>1736</v>
      </c>
      <c r="F75" s="8"/>
    </row>
    <row r="76" spans="1:6" x14ac:dyDescent="0.25">
      <c r="A76" s="147" t="s">
        <v>463</v>
      </c>
      <c r="B76" s="30" t="s">
        <v>464</v>
      </c>
      <c r="C76" s="7" t="s">
        <v>2453</v>
      </c>
      <c r="D76" s="15">
        <v>2229</v>
      </c>
      <c r="F76" s="8"/>
    </row>
    <row r="77" spans="1:6" x14ac:dyDescent="0.25">
      <c r="A77" s="147" t="s">
        <v>465</v>
      </c>
      <c r="B77" s="30" t="s">
        <v>466</v>
      </c>
      <c r="C77" s="7" t="s">
        <v>2453</v>
      </c>
      <c r="D77" s="15">
        <v>2721</v>
      </c>
      <c r="F77" s="8"/>
    </row>
    <row r="78" spans="1:6" x14ac:dyDescent="0.25">
      <c r="A78" s="147" t="s">
        <v>467</v>
      </c>
      <c r="B78" s="30" t="s">
        <v>468</v>
      </c>
      <c r="C78" s="7" t="s">
        <v>2453</v>
      </c>
      <c r="D78" s="15">
        <v>3744</v>
      </c>
      <c r="F78" s="8"/>
    </row>
    <row r="79" spans="1:6" x14ac:dyDescent="0.25">
      <c r="A79" s="147" t="s">
        <v>469</v>
      </c>
      <c r="B79" s="30" t="s">
        <v>470</v>
      </c>
      <c r="C79" s="7" t="s">
        <v>2453</v>
      </c>
      <c r="D79" s="15">
        <v>4424</v>
      </c>
      <c r="F79" s="8"/>
    </row>
    <row r="80" spans="1:6" x14ac:dyDescent="0.25">
      <c r="A80" s="150" t="s">
        <v>2432</v>
      </c>
      <c r="B80" s="29" t="s">
        <v>471</v>
      </c>
      <c r="C80" s="7"/>
      <c r="D80" s="7"/>
      <c r="F80" s="8"/>
    </row>
    <row r="81" spans="1:6" x14ac:dyDescent="0.25">
      <c r="A81" s="147"/>
      <c r="C81" s="7"/>
      <c r="D81" s="7"/>
      <c r="F81" s="8"/>
    </row>
    <row r="82" spans="1:6" ht="31.5" x14ac:dyDescent="0.25">
      <c r="A82" s="147"/>
      <c r="B82" s="29" t="s">
        <v>472</v>
      </c>
      <c r="C82" s="7"/>
      <c r="D82" s="7"/>
      <c r="F82" s="8"/>
    </row>
    <row r="83" spans="1:6" ht="78.75" x14ac:dyDescent="0.25">
      <c r="A83" s="147">
        <v>3.9</v>
      </c>
      <c r="B83" s="30" t="s">
        <v>6227</v>
      </c>
      <c r="C83" s="7" t="s">
        <v>473</v>
      </c>
      <c r="D83" s="7"/>
      <c r="F83" s="8"/>
    </row>
    <row r="84" spans="1:6" x14ac:dyDescent="0.25">
      <c r="A84" s="147" t="s">
        <v>474</v>
      </c>
      <c r="B84" s="30" t="s">
        <v>475</v>
      </c>
      <c r="C84" s="7" t="s">
        <v>2453</v>
      </c>
      <c r="D84" s="15">
        <v>759</v>
      </c>
      <c r="F84" s="8"/>
    </row>
    <row r="85" spans="1:6" x14ac:dyDescent="0.25">
      <c r="A85" s="147" t="s">
        <v>476</v>
      </c>
      <c r="B85" s="30" t="s">
        <v>477</v>
      </c>
      <c r="C85" s="7" t="s">
        <v>2453</v>
      </c>
      <c r="D85" s="15">
        <v>952</v>
      </c>
      <c r="F85" s="8"/>
    </row>
    <row r="86" spans="1:6" x14ac:dyDescent="0.25">
      <c r="A86" s="147" t="s">
        <v>478</v>
      </c>
      <c r="B86" s="30" t="s">
        <v>1164</v>
      </c>
      <c r="C86" s="7" t="s">
        <v>2453</v>
      </c>
      <c r="D86" s="15">
        <v>1228</v>
      </c>
      <c r="F86" s="8"/>
    </row>
    <row r="87" spans="1:6" x14ac:dyDescent="0.25">
      <c r="A87" s="147" t="s">
        <v>479</v>
      </c>
      <c r="B87" s="30" t="s">
        <v>1168</v>
      </c>
      <c r="C87" s="7" t="s">
        <v>2453</v>
      </c>
      <c r="D87" s="15">
        <v>2036</v>
      </c>
      <c r="F87" s="8"/>
    </row>
    <row r="88" spans="1:6" x14ac:dyDescent="0.25">
      <c r="A88" s="147"/>
      <c r="C88" s="7"/>
      <c r="D88" s="7"/>
      <c r="F88" s="8"/>
    </row>
    <row r="89" spans="1:6" ht="31.5" x14ac:dyDescent="0.25">
      <c r="A89" s="7">
        <v>3.1</v>
      </c>
      <c r="B89" s="30" t="s">
        <v>6228</v>
      </c>
      <c r="C89" s="7"/>
      <c r="D89" s="7"/>
      <c r="F89" s="8"/>
    </row>
    <row r="90" spans="1:6" x14ac:dyDescent="0.25">
      <c r="A90" s="147" t="s">
        <v>480</v>
      </c>
      <c r="B90" s="30" t="s">
        <v>481</v>
      </c>
      <c r="C90" s="7" t="s">
        <v>4217</v>
      </c>
      <c r="D90" s="15">
        <v>289</v>
      </c>
      <c r="F90" s="8"/>
    </row>
    <row r="91" spans="1:6" x14ac:dyDescent="0.25">
      <c r="A91" s="147" t="s">
        <v>482</v>
      </c>
      <c r="B91" s="30" t="s">
        <v>483</v>
      </c>
      <c r="C91" s="7" t="s">
        <v>4217</v>
      </c>
      <c r="D91" s="15">
        <v>349</v>
      </c>
      <c r="F91" s="8"/>
    </row>
    <row r="92" spans="1:6" x14ac:dyDescent="0.25">
      <c r="A92" s="147" t="s">
        <v>484</v>
      </c>
      <c r="B92" s="30" t="s">
        <v>485</v>
      </c>
      <c r="C92" s="7" t="s">
        <v>4217</v>
      </c>
      <c r="D92" s="15">
        <v>452</v>
      </c>
      <c r="F92" s="8"/>
    </row>
    <row r="93" spans="1:6" x14ac:dyDescent="0.25">
      <c r="A93" s="147"/>
      <c r="C93" s="7"/>
      <c r="D93" s="7"/>
      <c r="F93" s="8"/>
    </row>
    <row r="94" spans="1:6" x14ac:dyDescent="0.25">
      <c r="A94" s="147"/>
      <c r="C94" s="7"/>
      <c r="D94" s="7"/>
      <c r="F94" s="8"/>
    </row>
    <row r="95" spans="1:6" x14ac:dyDescent="0.25">
      <c r="A95" s="147"/>
      <c r="C95" s="7"/>
      <c r="D95" s="7"/>
      <c r="F95" s="8"/>
    </row>
    <row r="96" spans="1:6" x14ac:dyDescent="0.25">
      <c r="A96" s="147"/>
      <c r="C96" s="7"/>
      <c r="D96" s="7"/>
      <c r="F96" s="8"/>
    </row>
    <row r="97" spans="1:6" x14ac:dyDescent="0.25">
      <c r="A97" s="147"/>
      <c r="C97" s="7"/>
      <c r="D97" s="7"/>
      <c r="F97" s="8"/>
    </row>
    <row r="98" spans="1:6" ht="31.5" x14ac:dyDescent="0.25">
      <c r="A98" s="147">
        <v>3.11</v>
      </c>
      <c r="B98" s="30" t="s">
        <v>6229</v>
      </c>
      <c r="C98" s="7"/>
      <c r="D98" s="7"/>
      <c r="F98" s="8"/>
    </row>
    <row r="99" spans="1:6" x14ac:dyDescent="0.25">
      <c r="A99" s="147" t="s">
        <v>486</v>
      </c>
      <c r="B99" s="30" t="s">
        <v>487</v>
      </c>
      <c r="C99" s="7"/>
      <c r="D99" s="7"/>
      <c r="F99" s="8"/>
    </row>
    <row r="100" spans="1:6" x14ac:dyDescent="0.25">
      <c r="A100" s="118" t="s">
        <v>1662</v>
      </c>
      <c r="B100" s="30" t="s">
        <v>488</v>
      </c>
      <c r="C100" s="7" t="s">
        <v>4217</v>
      </c>
      <c r="D100" s="15">
        <v>319</v>
      </c>
      <c r="F100" s="8"/>
    </row>
    <row r="101" spans="1:6" x14ac:dyDescent="0.25">
      <c r="A101" s="118" t="s">
        <v>1664</v>
      </c>
      <c r="B101" s="30" t="s">
        <v>489</v>
      </c>
      <c r="C101" s="7" t="s">
        <v>4217</v>
      </c>
      <c r="D101" s="15">
        <v>405</v>
      </c>
      <c r="F101" s="8"/>
    </row>
    <row r="102" spans="1:6" x14ac:dyDescent="0.25">
      <c r="A102" s="118" t="s">
        <v>1670</v>
      </c>
      <c r="B102" s="30" t="s">
        <v>490</v>
      </c>
      <c r="C102" s="7" t="s">
        <v>4217</v>
      </c>
      <c r="D102" s="15">
        <v>587</v>
      </c>
      <c r="F102" s="8"/>
    </row>
    <row r="103" spans="1:6" x14ac:dyDescent="0.25">
      <c r="A103" s="118" t="s">
        <v>400</v>
      </c>
      <c r="B103" s="30" t="s">
        <v>491</v>
      </c>
      <c r="C103" s="7" t="s">
        <v>4217</v>
      </c>
      <c r="D103" s="15">
        <v>476</v>
      </c>
      <c r="F103" s="8"/>
    </row>
    <row r="104" spans="1:6" x14ac:dyDescent="0.25">
      <c r="A104" s="147"/>
      <c r="C104" s="7"/>
      <c r="D104" s="7"/>
      <c r="F104" s="8"/>
    </row>
    <row r="105" spans="1:6" x14ac:dyDescent="0.25">
      <c r="A105" s="147" t="s">
        <v>492</v>
      </c>
      <c r="B105" s="30" t="s">
        <v>493</v>
      </c>
      <c r="C105" s="7"/>
      <c r="D105" s="7"/>
      <c r="F105" s="8"/>
    </row>
    <row r="106" spans="1:6" x14ac:dyDescent="0.25">
      <c r="A106" s="118" t="s">
        <v>1662</v>
      </c>
      <c r="B106" s="30" t="s">
        <v>494</v>
      </c>
      <c r="C106" s="7" t="s">
        <v>4217</v>
      </c>
      <c r="D106" s="15">
        <v>535</v>
      </c>
      <c r="F106" s="8"/>
    </row>
    <row r="107" spans="1:6" x14ac:dyDescent="0.25">
      <c r="A107" s="118" t="s">
        <v>1664</v>
      </c>
      <c r="B107" s="30" t="s">
        <v>488</v>
      </c>
      <c r="C107" s="7" t="s">
        <v>4217</v>
      </c>
      <c r="D107" s="15">
        <v>376</v>
      </c>
      <c r="F107" s="8"/>
    </row>
    <row r="108" spans="1:6" x14ac:dyDescent="0.25">
      <c r="A108" s="118" t="s">
        <v>1670</v>
      </c>
      <c r="B108" s="30" t="s">
        <v>495</v>
      </c>
      <c r="C108" s="7" t="s">
        <v>4217</v>
      </c>
      <c r="D108" s="15">
        <v>883</v>
      </c>
      <c r="F108" s="8"/>
    </row>
    <row r="109" spans="1:6" x14ac:dyDescent="0.25">
      <c r="A109" s="118" t="s">
        <v>400</v>
      </c>
      <c r="B109" s="30" t="s">
        <v>489</v>
      </c>
      <c r="C109" s="7" t="s">
        <v>4217</v>
      </c>
      <c r="D109" s="15">
        <v>475</v>
      </c>
      <c r="F109" s="8"/>
    </row>
    <row r="110" spans="1:6" x14ac:dyDescent="0.25">
      <c r="A110" s="118" t="s">
        <v>401</v>
      </c>
      <c r="B110" s="30" t="s">
        <v>490</v>
      </c>
      <c r="C110" s="7" t="s">
        <v>4217</v>
      </c>
      <c r="D110" s="15">
        <v>668</v>
      </c>
      <c r="F110" s="8"/>
    </row>
    <row r="111" spans="1:6" x14ac:dyDescent="0.25">
      <c r="A111" s="118" t="s">
        <v>402</v>
      </c>
      <c r="B111" s="30" t="s">
        <v>491</v>
      </c>
      <c r="C111" s="7" t="s">
        <v>4217</v>
      </c>
      <c r="D111" s="15">
        <v>549</v>
      </c>
      <c r="F111" s="8"/>
    </row>
    <row r="112" spans="1:6" x14ac:dyDescent="0.25">
      <c r="A112" s="118" t="s">
        <v>403</v>
      </c>
      <c r="B112" s="30" t="s">
        <v>496</v>
      </c>
      <c r="C112" s="7" t="s">
        <v>4217</v>
      </c>
      <c r="D112" s="15">
        <v>648</v>
      </c>
      <c r="F112" s="8"/>
    </row>
    <row r="113" spans="1:6" x14ac:dyDescent="0.25">
      <c r="A113" s="6"/>
      <c r="C113" s="7"/>
      <c r="D113" s="7"/>
      <c r="F113" s="8"/>
    </row>
    <row r="114" spans="1:6" x14ac:dyDescent="0.25">
      <c r="A114" s="147" t="s">
        <v>497</v>
      </c>
      <c r="B114" s="30" t="s">
        <v>498</v>
      </c>
      <c r="C114" s="7"/>
      <c r="D114" s="7"/>
      <c r="F114" s="8"/>
    </row>
    <row r="115" spans="1:6" x14ac:dyDescent="0.25">
      <c r="A115" s="118" t="s">
        <v>1662</v>
      </c>
      <c r="B115" s="30" t="s">
        <v>494</v>
      </c>
      <c r="C115" s="7" t="s">
        <v>4217</v>
      </c>
      <c r="D115" s="15">
        <v>884</v>
      </c>
      <c r="F115" s="8"/>
    </row>
    <row r="116" spans="1:6" x14ac:dyDescent="0.25">
      <c r="A116" s="118" t="s">
        <v>1664</v>
      </c>
      <c r="B116" s="30" t="s">
        <v>488</v>
      </c>
      <c r="C116" s="7" t="s">
        <v>4217</v>
      </c>
      <c r="D116" s="15">
        <v>450</v>
      </c>
      <c r="F116" s="8"/>
    </row>
    <row r="117" spans="1:6" x14ac:dyDescent="0.25">
      <c r="A117" s="118" t="s">
        <v>1670</v>
      </c>
      <c r="B117" s="30" t="s">
        <v>495</v>
      </c>
      <c r="C117" s="7" t="s">
        <v>4217</v>
      </c>
      <c r="D117" s="15">
        <v>1230</v>
      </c>
      <c r="F117" s="8"/>
    </row>
    <row r="118" spans="1:6" x14ac:dyDescent="0.25">
      <c r="A118" s="118" t="s">
        <v>400</v>
      </c>
      <c r="B118" s="30" t="s">
        <v>489</v>
      </c>
      <c r="C118" s="7" t="s">
        <v>4217</v>
      </c>
      <c r="D118" s="15">
        <v>561</v>
      </c>
      <c r="F118" s="8"/>
    </row>
    <row r="119" spans="1:6" x14ac:dyDescent="0.25">
      <c r="A119" s="118" t="s">
        <v>401</v>
      </c>
      <c r="B119" s="30" t="s">
        <v>490</v>
      </c>
      <c r="C119" s="7" t="s">
        <v>4217</v>
      </c>
      <c r="D119" s="15">
        <v>915</v>
      </c>
      <c r="F119" s="8"/>
    </row>
    <row r="120" spans="1:6" x14ac:dyDescent="0.25">
      <c r="A120" s="118" t="s">
        <v>402</v>
      </c>
      <c r="B120" s="30" t="s">
        <v>491</v>
      </c>
      <c r="C120" s="7" t="s">
        <v>4217</v>
      </c>
      <c r="D120" s="15">
        <v>662</v>
      </c>
      <c r="F120" s="8"/>
    </row>
    <row r="121" spans="1:6" x14ac:dyDescent="0.25">
      <c r="A121" s="118" t="s">
        <v>403</v>
      </c>
      <c r="B121" s="30" t="s">
        <v>496</v>
      </c>
      <c r="C121" s="7" t="s">
        <v>4217</v>
      </c>
      <c r="D121" s="15">
        <v>706</v>
      </c>
      <c r="F121" s="8"/>
    </row>
    <row r="122" spans="1:6" x14ac:dyDescent="0.25">
      <c r="A122" s="147"/>
      <c r="C122" s="7"/>
      <c r="D122" s="7"/>
      <c r="F122" s="8"/>
    </row>
    <row r="123" spans="1:6" x14ac:dyDescent="0.25">
      <c r="A123" s="147" t="s">
        <v>499</v>
      </c>
      <c r="B123" s="30" t="s">
        <v>500</v>
      </c>
      <c r="C123" s="7"/>
      <c r="D123" s="7"/>
      <c r="F123" s="8"/>
    </row>
    <row r="124" spans="1:6" x14ac:dyDescent="0.25">
      <c r="A124" s="118" t="s">
        <v>1662</v>
      </c>
      <c r="B124" s="30" t="s">
        <v>488</v>
      </c>
      <c r="C124" s="7" t="s">
        <v>4217</v>
      </c>
      <c r="D124" s="15">
        <v>1008</v>
      </c>
      <c r="F124" s="8"/>
    </row>
    <row r="125" spans="1:6" x14ac:dyDescent="0.25">
      <c r="A125" s="118" t="s">
        <v>1664</v>
      </c>
      <c r="B125" s="30" t="s">
        <v>489</v>
      </c>
      <c r="C125" s="7" t="s">
        <v>4217</v>
      </c>
      <c r="D125" s="15">
        <v>1133</v>
      </c>
      <c r="F125" s="8"/>
    </row>
    <row r="126" spans="1:6" x14ac:dyDescent="0.25">
      <c r="A126" s="118" t="s">
        <v>1670</v>
      </c>
      <c r="B126" s="30" t="s">
        <v>491</v>
      </c>
      <c r="C126" s="7" t="s">
        <v>4217</v>
      </c>
      <c r="D126" s="15">
        <v>1412</v>
      </c>
      <c r="F126" s="8"/>
    </row>
    <row r="127" spans="1:6" x14ac:dyDescent="0.25">
      <c r="A127" s="147"/>
      <c r="C127" s="7"/>
      <c r="D127" s="7"/>
      <c r="F127" s="8"/>
    </row>
    <row r="128" spans="1:6" x14ac:dyDescent="0.25">
      <c r="A128" s="147" t="s">
        <v>501</v>
      </c>
      <c r="B128" s="30" t="s">
        <v>502</v>
      </c>
      <c r="C128" s="7"/>
      <c r="D128" s="7"/>
      <c r="F128" s="8"/>
    </row>
    <row r="129" spans="1:6" x14ac:dyDescent="0.25">
      <c r="A129" s="118" t="s">
        <v>1662</v>
      </c>
      <c r="B129" s="30" t="s">
        <v>490</v>
      </c>
      <c r="C129" s="7" t="s">
        <v>4217</v>
      </c>
      <c r="D129" s="15">
        <v>684</v>
      </c>
      <c r="F129" s="8"/>
    </row>
    <row r="130" spans="1:6" x14ac:dyDescent="0.25">
      <c r="A130" s="118" t="s">
        <v>1664</v>
      </c>
      <c r="B130" s="30" t="s">
        <v>491</v>
      </c>
      <c r="C130" s="7" t="s">
        <v>4217</v>
      </c>
      <c r="D130" s="15">
        <v>547</v>
      </c>
      <c r="F130" s="8"/>
    </row>
    <row r="131" spans="1:6" x14ac:dyDescent="0.25">
      <c r="A131" s="147"/>
      <c r="C131" s="7"/>
      <c r="D131" s="7"/>
      <c r="F131" s="8"/>
    </row>
    <row r="132" spans="1:6" x14ac:dyDescent="0.25">
      <c r="A132" s="147" t="s">
        <v>503</v>
      </c>
      <c r="B132" s="30" t="s">
        <v>504</v>
      </c>
      <c r="C132" s="7"/>
      <c r="D132" s="7"/>
      <c r="F132" s="8"/>
    </row>
    <row r="133" spans="1:6" x14ac:dyDescent="0.25">
      <c r="A133" s="118" t="s">
        <v>1662</v>
      </c>
      <c r="B133" s="30" t="s">
        <v>490</v>
      </c>
      <c r="C133" s="7" t="s">
        <v>4217</v>
      </c>
      <c r="D133" s="15">
        <v>711</v>
      </c>
      <c r="F133" s="8"/>
    </row>
    <row r="134" spans="1:6" x14ac:dyDescent="0.25">
      <c r="A134" s="118" t="s">
        <v>1664</v>
      </c>
      <c r="B134" s="30" t="s">
        <v>491</v>
      </c>
      <c r="C134" s="7" t="s">
        <v>4217</v>
      </c>
      <c r="D134" s="15">
        <v>605</v>
      </c>
      <c r="F134" s="8"/>
    </row>
    <row r="135" spans="1:6" x14ac:dyDescent="0.25">
      <c r="A135" s="147"/>
      <c r="C135" s="7"/>
      <c r="D135" s="7"/>
      <c r="F135" s="8"/>
    </row>
    <row r="136" spans="1:6" x14ac:dyDescent="0.25">
      <c r="A136" s="147" t="s">
        <v>505</v>
      </c>
      <c r="B136" s="30" t="s">
        <v>498</v>
      </c>
      <c r="C136" s="7"/>
      <c r="D136" s="7"/>
      <c r="F136" s="8"/>
    </row>
    <row r="137" spans="1:6" x14ac:dyDescent="0.25">
      <c r="A137" s="118" t="s">
        <v>1662</v>
      </c>
      <c r="B137" s="30" t="s">
        <v>490</v>
      </c>
      <c r="C137" s="7" t="s">
        <v>4217</v>
      </c>
      <c r="D137" s="15">
        <v>949</v>
      </c>
      <c r="F137" s="8"/>
    </row>
    <row r="138" spans="1:6" x14ac:dyDescent="0.25">
      <c r="A138" s="118" t="s">
        <v>1664</v>
      </c>
      <c r="B138" s="30" t="s">
        <v>491</v>
      </c>
      <c r="C138" s="7" t="s">
        <v>4217</v>
      </c>
      <c r="D138" s="15">
        <v>765</v>
      </c>
      <c r="F138" s="8"/>
    </row>
    <row r="139" spans="1:6" x14ac:dyDescent="0.25">
      <c r="A139" s="147"/>
      <c r="C139" s="7"/>
      <c r="D139" s="7"/>
      <c r="F139" s="8"/>
    </row>
    <row r="140" spans="1:6" x14ac:dyDescent="0.25">
      <c r="A140" s="147"/>
      <c r="C140" s="7"/>
      <c r="D140" s="7"/>
      <c r="F140" s="8"/>
    </row>
    <row r="141" spans="1:6" x14ac:dyDescent="0.25">
      <c r="A141" s="147"/>
      <c r="C141" s="7"/>
      <c r="D141" s="7"/>
      <c r="F141" s="8"/>
    </row>
    <row r="142" spans="1:6" x14ac:dyDescent="0.25">
      <c r="A142" s="147" t="s">
        <v>506</v>
      </c>
      <c r="B142" s="30" t="s">
        <v>1143</v>
      </c>
      <c r="C142" s="7"/>
      <c r="D142" s="7"/>
      <c r="F142" s="8"/>
    </row>
    <row r="143" spans="1:6" x14ac:dyDescent="0.25">
      <c r="A143" s="118" t="s">
        <v>1662</v>
      </c>
      <c r="B143" s="30" t="s">
        <v>490</v>
      </c>
      <c r="C143" s="7" t="s">
        <v>4217</v>
      </c>
      <c r="D143" s="15">
        <v>1979</v>
      </c>
      <c r="F143" s="8"/>
    </row>
    <row r="144" spans="1:6" x14ac:dyDescent="0.25">
      <c r="A144" s="118" t="s">
        <v>1664</v>
      </c>
      <c r="B144" s="30" t="s">
        <v>491</v>
      </c>
      <c r="C144" s="7" t="s">
        <v>4217</v>
      </c>
      <c r="D144" s="15">
        <v>1642</v>
      </c>
      <c r="F144" s="8"/>
    </row>
    <row r="145" spans="1:6" x14ac:dyDescent="0.25">
      <c r="A145" s="147"/>
      <c r="C145" s="7"/>
      <c r="D145" s="7"/>
      <c r="F145" s="8"/>
    </row>
    <row r="146" spans="1:6" ht="47.25" x14ac:dyDescent="0.25">
      <c r="A146" s="147">
        <v>3.12</v>
      </c>
      <c r="B146" s="30" t="s">
        <v>6230</v>
      </c>
      <c r="C146" s="7"/>
      <c r="D146" s="7"/>
      <c r="F146" s="8"/>
    </row>
    <row r="147" spans="1:6" x14ac:dyDescent="0.25">
      <c r="A147" s="147" t="s">
        <v>507</v>
      </c>
      <c r="B147" s="30" t="s">
        <v>508</v>
      </c>
      <c r="C147" s="7" t="s">
        <v>4217</v>
      </c>
      <c r="D147" s="15">
        <v>832</v>
      </c>
      <c r="F147" s="8"/>
    </row>
    <row r="148" spans="1:6" x14ac:dyDescent="0.25">
      <c r="A148" s="147" t="s">
        <v>509</v>
      </c>
      <c r="B148" s="30" t="s">
        <v>2520</v>
      </c>
      <c r="C148" s="7" t="s">
        <v>4217</v>
      </c>
      <c r="D148" s="15">
        <v>792</v>
      </c>
      <c r="F148" s="8"/>
    </row>
    <row r="149" spans="1:6" x14ac:dyDescent="0.25">
      <c r="A149" s="147" t="s">
        <v>510</v>
      </c>
      <c r="B149" s="30" t="s">
        <v>511</v>
      </c>
      <c r="C149" s="7" t="s">
        <v>4217</v>
      </c>
      <c r="D149" s="15">
        <v>436</v>
      </c>
      <c r="F149" s="8"/>
    </row>
    <row r="150" spans="1:6" x14ac:dyDescent="0.25">
      <c r="A150" s="147"/>
      <c r="C150" s="7"/>
      <c r="D150" s="7"/>
      <c r="F150" s="8"/>
    </row>
    <row r="151" spans="1:6" ht="31.5" x14ac:dyDescent="0.25">
      <c r="A151" s="147">
        <v>3.13</v>
      </c>
      <c r="B151" s="30" t="s">
        <v>6231</v>
      </c>
      <c r="C151" s="7" t="s">
        <v>4217</v>
      </c>
      <c r="D151" s="15">
        <v>927</v>
      </c>
      <c r="F151" s="8"/>
    </row>
    <row r="152" spans="1:6" x14ac:dyDescent="0.25">
      <c r="A152" s="147"/>
      <c r="C152" s="7"/>
      <c r="D152" s="7"/>
      <c r="F152" s="8"/>
    </row>
    <row r="153" spans="1:6" ht="31.5" x14ac:dyDescent="0.25">
      <c r="A153" s="147">
        <v>3.14</v>
      </c>
      <c r="B153" s="30" t="s">
        <v>512</v>
      </c>
      <c r="C153" s="7" t="s">
        <v>4217</v>
      </c>
      <c r="D153" s="15">
        <v>649</v>
      </c>
      <c r="F153" s="8"/>
    </row>
    <row r="154" spans="1:6" x14ac:dyDescent="0.25">
      <c r="A154" s="147"/>
      <c r="C154" s="7"/>
      <c r="D154" s="7"/>
      <c r="F154" s="8"/>
    </row>
    <row r="155" spans="1:6" ht="47.25" x14ac:dyDescent="0.25">
      <c r="A155" s="147">
        <v>3.15</v>
      </c>
      <c r="B155" s="30" t="s">
        <v>6232</v>
      </c>
      <c r="C155" s="7" t="s">
        <v>2453</v>
      </c>
      <c r="D155" s="15">
        <v>33</v>
      </c>
      <c r="F155" s="8"/>
    </row>
    <row r="156" spans="1:6" x14ac:dyDescent="0.25">
      <c r="A156" s="147"/>
      <c r="C156" s="7"/>
      <c r="D156" s="7"/>
      <c r="F156" s="8"/>
    </row>
    <row r="157" spans="1:6" x14ac:dyDescent="0.25">
      <c r="A157" s="147"/>
      <c r="B157" s="29" t="s">
        <v>4644</v>
      </c>
      <c r="C157" s="7"/>
      <c r="D157" s="7"/>
      <c r="F157" s="8"/>
    </row>
    <row r="158" spans="1:6" ht="50.25" x14ac:dyDescent="0.25">
      <c r="A158" s="147">
        <v>3.16</v>
      </c>
      <c r="B158" s="30" t="s">
        <v>6233</v>
      </c>
      <c r="C158" s="7"/>
      <c r="D158" s="7"/>
      <c r="F158" s="8"/>
    </row>
    <row r="159" spans="1:6" x14ac:dyDescent="0.25">
      <c r="A159" s="147" t="s">
        <v>5408</v>
      </c>
      <c r="B159" s="30" t="s">
        <v>517</v>
      </c>
      <c r="C159" s="7" t="s">
        <v>2680</v>
      </c>
      <c r="D159" s="8">
        <v>147</v>
      </c>
      <c r="E159" s="8">
        <v>147</v>
      </c>
      <c r="F159" s="8"/>
    </row>
    <row r="160" spans="1:6" x14ac:dyDescent="0.25">
      <c r="A160" s="147" t="s">
        <v>5409</v>
      </c>
      <c r="B160" s="30" t="s">
        <v>518</v>
      </c>
      <c r="C160" s="7" t="s">
        <v>2680</v>
      </c>
      <c r="D160" s="8">
        <v>177</v>
      </c>
      <c r="E160" s="8">
        <v>177</v>
      </c>
      <c r="F160" s="8"/>
    </row>
    <row r="161" spans="1:6" x14ac:dyDescent="0.25">
      <c r="A161" s="147" t="s">
        <v>5410</v>
      </c>
      <c r="B161" s="30" t="s">
        <v>519</v>
      </c>
      <c r="C161" s="7" t="s">
        <v>2680</v>
      </c>
      <c r="D161" s="8">
        <v>282</v>
      </c>
      <c r="E161" s="8">
        <v>282</v>
      </c>
      <c r="F161" s="8"/>
    </row>
    <row r="162" spans="1:6" x14ac:dyDescent="0.25">
      <c r="A162" s="147" t="s">
        <v>5411</v>
      </c>
      <c r="B162" s="30" t="s">
        <v>520</v>
      </c>
      <c r="C162" s="7" t="s">
        <v>2680</v>
      </c>
      <c r="D162" s="8">
        <v>463</v>
      </c>
      <c r="E162" s="8">
        <v>463</v>
      </c>
      <c r="F162" s="8"/>
    </row>
    <row r="163" spans="1:6" ht="63" x14ac:dyDescent="0.25">
      <c r="A163" s="147" t="s">
        <v>5412</v>
      </c>
      <c r="B163" s="30" t="s">
        <v>4641</v>
      </c>
      <c r="C163" s="7"/>
      <c r="D163" s="12"/>
      <c r="F163" s="8"/>
    </row>
    <row r="164" spans="1:6" x14ac:dyDescent="0.25">
      <c r="A164" s="147" t="s">
        <v>5414</v>
      </c>
      <c r="B164" s="30" t="s">
        <v>4642</v>
      </c>
      <c r="C164" s="7" t="s">
        <v>2453</v>
      </c>
      <c r="D164" s="8">
        <v>325</v>
      </c>
      <c r="E164" s="8">
        <v>325</v>
      </c>
      <c r="F164" s="8"/>
    </row>
    <row r="165" spans="1:6" x14ac:dyDescent="0.25">
      <c r="A165" s="147" t="s">
        <v>5413</v>
      </c>
      <c r="B165" s="30" t="s">
        <v>4643</v>
      </c>
      <c r="C165" s="7" t="s">
        <v>2453</v>
      </c>
      <c r="D165" s="8">
        <v>425</v>
      </c>
      <c r="E165" s="8">
        <v>425</v>
      </c>
      <c r="F165" s="8"/>
    </row>
    <row r="166" spans="1:6" x14ac:dyDescent="0.25">
      <c r="A166" s="147"/>
      <c r="C166" s="7"/>
      <c r="D166" s="7"/>
      <c r="F166" s="8"/>
    </row>
    <row r="167" spans="1:6" ht="47.25" x14ac:dyDescent="0.25">
      <c r="A167" s="147">
        <v>3.17</v>
      </c>
      <c r="B167" s="30" t="s">
        <v>6234</v>
      </c>
      <c r="C167" s="7"/>
      <c r="D167" s="7"/>
      <c r="F167" s="8"/>
    </row>
    <row r="168" spans="1:6" x14ac:dyDescent="0.25">
      <c r="A168" s="147" t="s">
        <v>513</v>
      </c>
      <c r="B168" s="30" t="s">
        <v>522</v>
      </c>
      <c r="C168" s="7"/>
      <c r="D168" s="7"/>
      <c r="F168" s="8"/>
    </row>
    <row r="169" spans="1:6" x14ac:dyDescent="0.25">
      <c r="A169" s="118" t="s">
        <v>1662</v>
      </c>
      <c r="B169" s="30" t="s">
        <v>477</v>
      </c>
      <c r="C169" s="7" t="s">
        <v>4217</v>
      </c>
      <c r="D169" s="8">
        <v>87</v>
      </c>
      <c r="E169" s="8">
        <v>87</v>
      </c>
      <c r="F169" s="8"/>
    </row>
    <row r="170" spans="1:6" x14ac:dyDescent="0.25">
      <c r="A170" s="118" t="s">
        <v>1664</v>
      </c>
      <c r="B170" s="30" t="s">
        <v>523</v>
      </c>
      <c r="C170" s="7" t="s">
        <v>4217</v>
      </c>
      <c r="D170" s="8">
        <v>108</v>
      </c>
      <c r="E170" s="8">
        <v>108</v>
      </c>
      <c r="F170" s="8"/>
    </row>
    <row r="171" spans="1:6" x14ac:dyDescent="0.25">
      <c r="A171" s="118" t="s">
        <v>1670</v>
      </c>
      <c r="B171" s="30" t="s">
        <v>520</v>
      </c>
      <c r="C171" s="7" t="s">
        <v>4217</v>
      </c>
      <c r="D171" s="8">
        <v>119</v>
      </c>
      <c r="E171" s="8">
        <v>119</v>
      </c>
      <c r="F171" s="8"/>
    </row>
    <row r="172" spans="1:6" x14ac:dyDescent="0.25">
      <c r="A172" s="147"/>
      <c r="C172" s="7"/>
      <c r="D172" s="7"/>
      <c r="F172" s="8"/>
    </row>
    <row r="173" spans="1:6" x14ac:dyDescent="0.25">
      <c r="A173" s="147" t="s">
        <v>514</v>
      </c>
      <c r="B173" s="30" t="s">
        <v>525</v>
      </c>
      <c r="C173" s="7"/>
      <c r="D173" s="7"/>
      <c r="F173" s="8"/>
    </row>
    <row r="174" spans="1:6" x14ac:dyDescent="0.25">
      <c r="A174" s="118" t="s">
        <v>1662</v>
      </c>
      <c r="B174" s="30" t="s">
        <v>477</v>
      </c>
      <c r="C174" s="7" t="s">
        <v>4217</v>
      </c>
      <c r="D174" s="8">
        <v>90</v>
      </c>
      <c r="E174" s="8">
        <v>90</v>
      </c>
      <c r="F174" s="8"/>
    </row>
    <row r="175" spans="1:6" x14ac:dyDescent="0.25">
      <c r="A175" s="118" t="s">
        <v>1664</v>
      </c>
      <c r="B175" s="30" t="s">
        <v>523</v>
      </c>
      <c r="C175" s="7" t="s">
        <v>4217</v>
      </c>
      <c r="D175" s="8">
        <v>97</v>
      </c>
      <c r="E175" s="8">
        <v>97</v>
      </c>
      <c r="F175" s="8"/>
    </row>
    <row r="176" spans="1:6" x14ac:dyDescent="0.25">
      <c r="A176" s="118" t="s">
        <v>1670</v>
      </c>
      <c r="B176" s="30" t="s">
        <v>520</v>
      </c>
      <c r="C176" s="7" t="s">
        <v>4217</v>
      </c>
      <c r="D176" s="8">
        <v>114</v>
      </c>
      <c r="E176" s="8">
        <v>114</v>
      </c>
      <c r="F176" s="8"/>
    </row>
    <row r="177" spans="1:6" x14ac:dyDescent="0.25">
      <c r="A177" s="147"/>
      <c r="C177" s="7"/>
      <c r="D177" s="7"/>
      <c r="F177" s="8"/>
    </row>
    <row r="178" spans="1:6" x14ac:dyDescent="0.25">
      <c r="A178" s="147" t="s">
        <v>515</v>
      </c>
      <c r="B178" s="30" t="s">
        <v>526</v>
      </c>
      <c r="C178" s="7"/>
      <c r="D178" s="7"/>
      <c r="F178" s="8"/>
    </row>
    <row r="179" spans="1:6" x14ac:dyDescent="0.25">
      <c r="A179" s="118" t="s">
        <v>1662</v>
      </c>
      <c r="B179" s="30" t="s">
        <v>477</v>
      </c>
      <c r="C179" s="7" t="s">
        <v>4217</v>
      </c>
      <c r="D179" s="8">
        <v>114</v>
      </c>
      <c r="E179" s="8">
        <v>114</v>
      </c>
      <c r="F179" s="8"/>
    </row>
    <row r="180" spans="1:6" x14ac:dyDescent="0.25">
      <c r="A180" s="118" t="s">
        <v>1664</v>
      </c>
      <c r="B180" s="30" t="s">
        <v>523</v>
      </c>
      <c r="C180" s="7" t="s">
        <v>4217</v>
      </c>
      <c r="D180" s="8">
        <v>187</v>
      </c>
      <c r="E180" s="8">
        <v>187</v>
      </c>
      <c r="F180" s="8"/>
    </row>
    <row r="181" spans="1:6" x14ac:dyDescent="0.25">
      <c r="A181" s="118" t="s">
        <v>1670</v>
      </c>
      <c r="B181" s="30" t="s">
        <v>520</v>
      </c>
      <c r="C181" s="7" t="s">
        <v>4217</v>
      </c>
      <c r="D181" s="8">
        <v>205</v>
      </c>
      <c r="E181" s="8">
        <v>205</v>
      </c>
      <c r="F181" s="8"/>
    </row>
    <row r="182" spans="1:6" x14ac:dyDescent="0.25">
      <c r="A182" s="147"/>
      <c r="C182" s="7"/>
      <c r="D182" s="7"/>
      <c r="F182" s="8"/>
    </row>
    <row r="183" spans="1:6" x14ac:dyDescent="0.25">
      <c r="A183" s="147" t="s">
        <v>516</v>
      </c>
      <c r="B183" s="30" t="s">
        <v>527</v>
      </c>
      <c r="C183" s="7"/>
      <c r="D183" s="7"/>
      <c r="F183" s="8"/>
    </row>
    <row r="184" spans="1:6" x14ac:dyDescent="0.25">
      <c r="A184" s="118" t="s">
        <v>1662</v>
      </c>
      <c r="B184" s="30" t="s">
        <v>477</v>
      </c>
      <c r="C184" s="7" t="s">
        <v>4217</v>
      </c>
      <c r="D184" s="8">
        <v>177</v>
      </c>
      <c r="E184" s="8">
        <v>177</v>
      </c>
      <c r="F184" s="8"/>
    </row>
    <row r="185" spans="1:6" x14ac:dyDescent="0.25">
      <c r="A185" s="118" t="s">
        <v>1664</v>
      </c>
      <c r="B185" s="30" t="s">
        <v>523</v>
      </c>
      <c r="C185" s="7" t="s">
        <v>4217</v>
      </c>
      <c r="D185" s="8">
        <v>213</v>
      </c>
      <c r="E185" s="8">
        <v>213</v>
      </c>
      <c r="F185" s="8"/>
    </row>
    <row r="186" spans="1:6" x14ac:dyDescent="0.25">
      <c r="A186" s="118" t="s">
        <v>1670</v>
      </c>
      <c r="B186" s="30" t="s">
        <v>520</v>
      </c>
      <c r="C186" s="7" t="s">
        <v>4217</v>
      </c>
      <c r="D186" s="8">
        <v>229</v>
      </c>
      <c r="E186" s="8">
        <v>229</v>
      </c>
      <c r="F186" s="8"/>
    </row>
    <row r="187" spans="1:6" x14ac:dyDescent="0.25">
      <c r="A187" s="147"/>
      <c r="C187" s="7"/>
      <c r="D187" s="7"/>
      <c r="F187" s="8"/>
    </row>
    <row r="188" spans="1:6" x14ac:dyDescent="0.25">
      <c r="A188" s="147" t="s">
        <v>4640</v>
      </c>
      <c r="B188" s="30" t="s">
        <v>528</v>
      </c>
      <c r="C188" s="7"/>
      <c r="D188" s="7"/>
      <c r="F188" s="8"/>
    </row>
    <row r="189" spans="1:6" x14ac:dyDescent="0.25">
      <c r="A189" s="118" t="s">
        <v>1662</v>
      </c>
      <c r="B189" s="30" t="s">
        <v>477</v>
      </c>
      <c r="C189" s="7" t="s">
        <v>4217</v>
      </c>
      <c r="D189" s="8">
        <v>187</v>
      </c>
      <c r="E189" s="8">
        <v>187</v>
      </c>
      <c r="F189" s="8"/>
    </row>
    <row r="190" spans="1:6" x14ac:dyDescent="0.25">
      <c r="A190" s="118" t="s">
        <v>1664</v>
      </c>
      <c r="B190" s="30" t="s">
        <v>523</v>
      </c>
      <c r="C190" s="7" t="s">
        <v>4217</v>
      </c>
      <c r="D190" s="8">
        <v>230</v>
      </c>
      <c r="E190" s="8">
        <v>230</v>
      </c>
      <c r="F190" s="8"/>
    </row>
    <row r="191" spans="1:6" x14ac:dyDescent="0.25">
      <c r="A191" s="118" t="s">
        <v>1670</v>
      </c>
      <c r="B191" s="30" t="s">
        <v>520</v>
      </c>
      <c r="C191" s="7" t="s">
        <v>4217</v>
      </c>
      <c r="D191" s="8">
        <v>246</v>
      </c>
      <c r="E191" s="8">
        <v>246</v>
      </c>
      <c r="F191" s="8"/>
    </row>
    <row r="192" spans="1:6" x14ac:dyDescent="0.25">
      <c r="A192" s="147"/>
      <c r="C192" s="7"/>
      <c r="D192" s="7"/>
      <c r="F192" s="8"/>
    </row>
    <row r="193" spans="1:6" x14ac:dyDescent="0.25">
      <c r="A193" s="147" t="s">
        <v>5415</v>
      </c>
      <c r="B193" s="30" t="s">
        <v>529</v>
      </c>
      <c r="C193" s="7"/>
      <c r="D193" s="7"/>
      <c r="F193" s="8"/>
    </row>
    <row r="194" spans="1:6" x14ac:dyDescent="0.25">
      <c r="A194" s="118" t="s">
        <v>1662</v>
      </c>
      <c r="B194" s="30" t="s">
        <v>477</v>
      </c>
      <c r="C194" s="7" t="s">
        <v>4217</v>
      </c>
      <c r="D194" s="8">
        <v>195</v>
      </c>
      <c r="E194" s="8">
        <v>195</v>
      </c>
      <c r="F194" s="8"/>
    </row>
    <row r="195" spans="1:6" x14ac:dyDescent="0.25">
      <c r="A195" s="118" t="s">
        <v>1664</v>
      </c>
      <c r="B195" s="30" t="s">
        <v>523</v>
      </c>
      <c r="C195" s="7" t="s">
        <v>4217</v>
      </c>
      <c r="D195" s="8">
        <v>310</v>
      </c>
      <c r="E195" s="8">
        <v>310</v>
      </c>
      <c r="F195" s="8"/>
    </row>
    <row r="196" spans="1:6" x14ac:dyDescent="0.25">
      <c r="A196" s="118" t="s">
        <v>1670</v>
      </c>
      <c r="B196" s="30" t="s">
        <v>520</v>
      </c>
      <c r="C196" s="7" t="s">
        <v>4217</v>
      </c>
      <c r="D196" s="8">
        <v>330</v>
      </c>
      <c r="E196" s="8">
        <v>330</v>
      </c>
      <c r="F196" s="8"/>
    </row>
    <row r="197" spans="1:6" x14ac:dyDescent="0.25">
      <c r="A197" s="147"/>
      <c r="C197" s="7"/>
      <c r="D197" s="7"/>
      <c r="F197" s="8"/>
    </row>
    <row r="198" spans="1:6" x14ac:dyDescent="0.25">
      <c r="A198" s="147" t="s">
        <v>5416</v>
      </c>
      <c r="B198" s="30" t="s">
        <v>530</v>
      </c>
      <c r="C198" s="7"/>
      <c r="D198" s="7"/>
      <c r="F198" s="8"/>
    </row>
    <row r="199" spans="1:6" x14ac:dyDescent="0.25">
      <c r="A199" s="118" t="s">
        <v>1662</v>
      </c>
      <c r="B199" s="30" t="s">
        <v>477</v>
      </c>
      <c r="C199" s="7" t="s">
        <v>4217</v>
      </c>
      <c r="D199" s="8">
        <v>229</v>
      </c>
      <c r="E199" s="8">
        <v>229</v>
      </c>
      <c r="F199" s="8"/>
    </row>
    <row r="200" spans="1:6" x14ac:dyDescent="0.25">
      <c r="A200" s="118" t="s">
        <v>1664</v>
      </c>
      <c r="B200" s="30" t="s">
        <v>523</v>
      </c>
      <c r="C200" s="7" t="s">
        <v>4217</v>
      </c>
      <c r="D200" s="8">
        <v>391</v>
      </c>
      <c r="E200" s="8">
        <v>391</v>
      </c>
      <c r="F200" s="8"/>
    </row>
    <row r="201" spans="1:6" x14ac:dyDescent="0.25">
      <c r="A201" s="118" t="s">
        <v>1670</v>
      </c>
      <c r="B201" s="30" t="s">
        <v>520</v>
      </c>
      <c r="C201" s="7" t="s">
        <v>4217</v>
      </c>
      <c r="D201" s="8">
        <v>408</v>
      </c>
      <c r="E201" s="8">
        <v>408</v>
      </c>
      <c r="F201" s="8"/>
    </row>
    <row r="202" spans="1:6" x14ac:dyDescent="0.25">
      <c r="A202" s="147"/>
      <c r="C202" s="7"/>
      <c r="D202" s="7"/>
      <c r="F202" s="8"/>
    </row>
    <row r="203" spans="1:6" x14ac:dyDescent="0.25">
      <c r="A203" s="147" t="s">
        <v>5417</v>
      </c>
      <c r="B203" s="30" t="s">
        <v>531</v>
      </c>
      <c r="C203" s="7"/>
      <c r="D203" s="7"/>
      <c r="F203" s="8"/>
    </row>
    <row r="204" spans="1:6" x14ac:dyDescent="0.25">
      <c r="A204" s="118" t="s">
        <v>1662</v>
      </c>
      <c r="B204" s="30" t="s">
        <v>477</v>
      </c>
      <c r="C204" s="7" t="s">
        <v>4217</v>
      </c>
      <c r="D204" s="8">
        <v>80</v>
      </c>
      <c r="E204" s="8">
        <v>80</v>
      </c>
      <c r="F204" s="8"/>
    </row>
    <row r="205" spans="1:6" x14ac:dyDescent="0.25">
      <c r="A205" s="118" t="s">
        <v>1664</v>
      </c>
      <c r="B205" s="30" t="s">
        <v>523</v>
      </c>
      <c r="C205" s="7" t="s">
        <v>4217</v>
      </c>
      <c r="D205" s="8">
        <v>128</v>
      </c>
      <c r="E205" s="8">
        <v>128</v>
      </c>
      <c r="F205" s="8"/>
    </row>
    <row r="206" spans="1:6" x14ac:dyDescent="0.25">
      <c r="A206" s="118" t="s">
        <v>1670</v>
      </c>
      <c r="B206" s="30" t="s">
        <v>520</v>
      </c>
      <c r="C206" s="7" t="s">
        <v>4217</v>
      </c>
      <c r="D206" s="8">
        <v>143</v>
      </c>
      <c r="E206" s="8">
        <v>143</v>
      </c>
      <c r="F206" s="8"/>
    </row>
    <row r="207" spans="1:6" x14ac:dyDescent="0.25">
      <c r="A207" s="147"/>
      <c r="C207" s="7"/>
      <c r="D207" s="7"/>
      <c r="F207" s="8"/>
    </row>
    <row r="208" spans="1:6" x14ac:dyDescent="0.25">
      <c r="A208" s="147" t="s">
        <v>5418</v>
      </c>
      <c r="B208" s="30" t="s">
        <v>532</v>
      </c>
      <c r="C208" s="7"/>
      <c r="D208" s="7"/>
      <c r="F208" s="8"/>
    </row>
    <row r="209" spans="1:6" x14ac:dyDescent="0.25">
      <c r="A209" s="118" t="s">
        <v>1662</v>
      </c>
      <c r="B209" s="30" t="s">
        <v>477</v>
      </c>
      <c r="C209" s="7" t="s">
        <v>4217</v>
      </c>
      <c r="D209" s="8">
        <v>97</v>
      </c>
      <c r="E209" s="8">
        <v>97</v>
      </c>
      <c r="F209" s="8"/>
    </row>
    <row r="210" spans="1:6" x14ac:dyDescent="0.25">
      <c r="A210" s="118" t="s">
        <v>1664</v>
      </c>
      <c r="B210" s="30" t="s">
        <v>523</v>
      </c>
      <c r="C210" s="7" t="s">
        <v>4217</v>
      </c>
      <c r="D210" s="8">
        <v>161</v>
      </c>
      <c r="E210" s="8">
        <v>161</v>
      </c>
      <c r="F210" s="8"/>
    </row>
    <row r="211" spans="1:6" x14ac:dyDescent="0.25">
      <c r="A211" s="118" t="s">
        <v>1670</v>
      </c>
      <c r="B211" s="30" t="s">
        <v>520</v>
      </c>
      <c r="C211" s="7" t="s">
        <v>4217</v>
      </c>
      <c r="D211" s="8">
        <v>177</v>
      </c>
      <c r="E211" s="8">
        <v>177</v>
      </c>
      <c r="F211" s="8"/>
    </row>
    <row r="212" spans="1:6" x14ac:dyDescent="0.25">
      <c r="A212" s="147"/>
      <c r="C212" s="7"/>
      <c r="D212" s="7"/>
      <c r="F212" s="8"/>
    </row>
    <row r="213" spans="1:6" x14ac:dyDescent="0.25">
      <c r="A213" s="147" t="s">
        <v>5419</v>
      </c>
      <c r="B213" s="30" t="s">
        <v>533</v>
      </c>
      <c r="C213" s="7"/>
      <c r="D213" s="7"/>
      <c r="F213" s="8"/>
    </row>
    <row r="214" spans="1:6" x14ac:dyDescent="0.25">
      <c r="A214" s="118" t="s">
        <v>1662</v>
      </c>
      <c r="B214" s="30" t="s">
        <v>477</v>
      </c>
      <c r="C214" s="7" t="s">
        <v>4217</v>
      </c>
      <c r="D214" s="8">
        <v>132</v>
      </c>
      <c r="E214" s="8">
        <v>132</v>
      </c>
      <c r="F214" s="8"/>
    </row>
    <row r="215" spans="1:6" x14ac:dyDescent="0.25">
      <c r="A215" s="118" t="s">
        <v>1664</v>
      </c>
      <c r="B215" s="30" t="s">
        <v>523</v>
      </c>
      <c r="C215" s="7" t="s">
        <v>4217</v>
      </c>
      <c r="D215" s="8">
        <v>154</v>
      </c>
      <c r="E215" s="8">
        <v>154</v>
      </c>
      <c r="F215" s="8"/>
    </row>
    <row r="216" spans="1:6" x14ac:dyDescent="0.25">
      <c r="A216" s="118" t="s">
        <v>1670</v>
      </c>
      <c r="B216" s="30" t="s">
        <v>520</v>
      </c>
      <c r="C216" s="7" t="s">
        <v>4217</v>
      </c>
      <c r="D216" s="8">
        <v>172</v>
      </c>
      <c r="E216" s="8">
        <v>172</v>
      </c>
      <c r="F216" s="8"/>
    </row>
    <row r="217" spans="1:6" x14ac:dyDescent="0.25">
      <c r="A217" s="147"/>
      <c r="C217" s="7"/>
      <c r="D217" s="7"/>
      <c r="F217" s="8"/>
    </row>
    <row r="218" spans="1:6" x14ac:dyDescent="0.25">
      <c r="A218" s="147" t="s">
        <v>5420</v>
      </c>
      <c r="B218" s="30" t="s">
        <v>534</v>
      </c>
      <c r="C218" s="7"/>
      <c r="D218" s="7"/>
      <c r="F218" s="8"/>
    </row>
    <row r="219" spans="1:6" x14ac:dyDescent="0.25">
      <c r="A219" s="118" t="s">
        <v>1662</v>
      </c>
      <c r="B219" s="30" t="s">
        <v>477</v>
      </c>
      <c r="C219" s="7" t="s">
        <v>4217</v>
      </c>
      <c r="D219" s="8">
        <v>158</v>
      </c>
      <c r="E219" s="8">
        <v>158</v>
      </c>
      <c r="F219" s="8"/>
    </row>
    <row r="220" spans="1:6" x14ac:dyDescent="0.25">
      <c r="A220" s="118" t="s">
        <v>1664</v>
      </c>
      <c r="B220" s="30" t="s">
        <v>523</v>
      </c>
      <c r="C220" s="7" t="s">
        <v>4217</v>
      </c>
      <c r="D220" s="8">
        <v>195</v>
      </c>
      <c r="E220" s="8">
        <v>195</v>
      </c>
      <c r="F220" s="8"/>
    </row>
    <row r="221" spans="1:6" x14ac:dyDescent="0.25">
      <c r="A221" s="118" t="s">
        <v>1670</v>
      </c>
      <c r="B221" s="30" t="s">
        <v>520</v>
      </c>
      <c r="C221" s="7" t="s">
        <v>4217</v>
      </c>
      <c r="D221" s="8">
        <v>211</v>
      </c>
      <c r="E221" s="8">
        <v>211</v>
      </c>
      <c r="F221" s="8"/>
    </row>
    <row r="222" spans="1:6" x14ac:dyDescent="0.25">
      <c r="A222" s="147"/>
      <c r="C222" s="7"/>
      <c r="D222" s="7"/>
      <c r="F222" s="8"/>
    </row>
    <row r="223" spans="1:6" x14ac:dyDescent="0.25">
      <c r="A223" s="147" t="s">
        <v>5421</v>
      </c>
      <c r="B223" s="30" t="s">
        <v>535</v>
      </c>
      <c r="C223" s="7"/>
      <c r="D223" s="7"/>
      <c r="F223" s="8"/>
    </row>
    <row r="224" spans="1:6" x14ac:dyDescent="0.25">
      <c r="A224" s="118" t="s">
        <v>1662</v>
      </c>
      <c r="B224" s="30" t="s">
        <v>477</v>
      </c>
      <c r="C224" s="7" t="s">
        <v>4217</v>
      </c>
      <c r="D224" s="8">
        <v>43</v>
      </c>
      <c r="E224" s="8">
        <v>43</v>
      </c>
      <c r="F224" s="8"/>
    </row>
    <row r="225" spans="1:6" x14ac:dyDescent="0.25">
      <c r="A225" s="118" t="s">
        <v>1664</v>
      </c>
      <c r="B225" s="30" t="s">
        <v>523</v>
      </c>
      <c r="C225" s="7" t="s">
        <v>4217</v>
      </c>
      <c r="D225" s="8">
        <v>56</v>
      </c>
      <c r="E225" s="8">
        <v>56</v>
      </c>
      <c r="F225" s="8"/>
    </row>
    <row r="226" spans="1:6" x14ac:dyDescent="0.25">
      <c r="A226" s="118" t="s">
        <v>1670</v>
      </c>
      <c r="B226" s="30" t="s">
        <v>520</v>
      </c>
      <c r="C226" s="7" t="s">
        <v>4217</v>
      </c>
      <c r="D226" s="8">
        <v>76</v>
      </c>
      <c r="E226" s="8">
        <v>76</v>
      </c>
      <c r="F226" s="8"/>
    </row>
    <row r="227" spans="1:6" x14ac:dyDescent="0.25">
      <c r="A227" s="147"/>
      <c r="C227" s="7"/>
      <c r="D227" s="7"/>
      <c r="F227" s="8"/>
    </row>
    <row r="228" spans="1:6" x14ac:dyDescent="0.25">
      <c r="A228" s="147" t="s">
        <v>5422</v>
      </c>
      <c r="B228" s="30" t="s">
        <v>536</v>
      </c>
      <c r="C228" s="7"/>
      <c r="D228" s="7"/>
      <c r="F228" s="8"/>
    </row>
    <row r="229" spans="1:6" x14ac:dyDescent="0.25">
      <c r="A229" s="118" t="s">
        <v>1662</v>
      </c>
      <c r="B229" s="30" t="s">
        <v>477</v>
      </c>
      <c r="C229" s="7" t="s">
        <v>4217</v>
      </c>
      <c r="D229" s="8">
        <v>68</v>
      </c>
      <c r="E229" s="8">
        <v>68</v>
      </c>
      <c r="F229" s="8"/>
    </row>
    <row r="230" spans="1:6" x14ac:dyDescent="0.25">
      <c r="A230" s="118" t="s">
        <v>1664</v>
      </c>
      <c r="B230" s="30" t="s">
        <v>523</v>
      </c>
      <c r="C230" s="7" t="s">
        <v>4217</v>
      </c>
      <c r="D230" s="8">
        <v>81</v>
      </c>
      <c r="E230" s="8">
        <v>81</v>
      </c>
      <c r="F230" s="8"/>
    </row>
    <row r="231" spans="1:6" x14ac:dyDescent="0.25">
      <c r="A231" s="118" t="s">
        <v>1670</v>
      </c>
      <c r="B231" s="30" t="s">
        <v>520</v>
      </c>
      <c r="C231" s="7" t="s">
        <v>4217</v>
      </c>
      <c r="D231" s="8">
        <v>101</v>
      </c>
      <c r="E231" s="8">
        <v>101</v>
      </c>
      <c r="F231" s="8"/>
    </row>
    <row r="232" spans="1:6" x14ac:dyDescent="0.25">
      <c r="A232" s="147"/>
      <c r="C232" s="7"/>
      <c r="D232" s="8"/>
      <c r="F232" s="8"/>
    </row>
    <row r="233" spans="1:6" x14ac:dyDescent="0.25">
      <c r="A233" s="147" t="s">
        <v>5423</v>
      </c>
      <c r="B233" s="30" t="s">
        <v>537</v>
      </c>
      <c r="C233" s="7"/>
      <c r="D233" s="8"/>
      <c r="F233" s="8"/>
    </row>
    <row r="234" spans="1:6" x14ac:dyDescent="0.25">
      <c r="A234" s="118" t="s">
        <v>1662</v>
      </c>
      <c r="B234" s="30" t="s">
        <v>477</v>
      </c>
      <c r="C234" s="7" t="s">
        <v>4217</v>
      </c>
      <c r="D234" s="8">
        <v>44</v>
      </c>
      <c r="E234" s="8">
        <v>44</v>
      </c>
      <c r="F234" s="8"/>
    </row>
    <row r="235" spans="1:6" x14ac:dyDescent="0.25">
      <c r="A235" s="118" t="s">
        <v>1664</v>
      </c>
      <c r="B235" s="30" t="s">
        <v>523</v>
      </c>
      <c r="C235" s="7" t="s">
        <v>4217</v>
      </c>
      <c r="D235" s="8">
        <v>62</v>
      </c>
      <c r="E235" s="8">
        <v>62</v>
      </c>
      <c r="F235" s="8"/>
    </row>
    <row r="236" spans="1:6" x14ac:dyDescent="0.25">
      <c r="A236" s="118" t="s">
        <v>1670</v>
      </c>
      <c r="B236" s="30" t="s">
        <v>520</v>
      </c>
      <c r="C236" s="7" t="s">
        <v>4217</v>
      </c>
      <c r="D236" s="8">
        <v>79</v>
      </c>
      <c r="E236" s="8">
        <v>79</v>
      </c>
      <c r="F236" s="8"/>
    </row>
    <row r="237" spans="1:6" x14ac:dyDescent="0.25">
      <c r="A237" s="147"/>
      <c r="C237" s="7"/>
      <c r="D237" s="7"/>
      <c r="F237" s="8"/>
    </row>
    <row r="238" spans="1:6" x14ac:dyDescent="0.25">
      <c r="A238" s="147" t="s">
        <v>5424</v>
      </c>
      <c r="B238" s="30" t="s">
        <v>538</v>
      </c>
      <c r="C238" s="7"/>
      <c r="D238" s="7"/>
      <c r="F238" s="8"/>
    </row>
    <row r="239" spans="1:6" x14ac:dyDescent="0.25">
      <c r="A239" s="118" t="s">
        <v>1662</v>
      </c>
      <c r="B239" s="30" t="s">
        <v>477</v>
      </c>
      <c r="C239" s="7" t="s">
        <v>4217</v>
      </c>
      <c r="D239" s="8">
        <v>24</v>
      </c>
      <c r="E239" s="8">
        <v>24</v>
      </c>
      <c r="F239" s="8"/>
    </row>
    <row r="240" spans="1:6" x14ac:dyDescent="0.25">
      <c r="A240" s="118" t="s">
        <v>1664</v>
      </c>
      <c r="B240" s="30" t="s">
        <v>523</v>
      </c>
      <c r="C240" s="7" t="s">
        <v>4217</v>
      </c>
      <c r="D240" s="8">
        <v>36</v>
      </c>
      <c r="E240" s="8">
        <v>36</v>
      </c>
      <c r="F240" s="8"/>
    </row>
    <row r="241" spans="1:6" x14ac:dyDescent="0.25">
      <c r="A241" s="118" t="s">
        <v>1670</v>
      </c>
      <c r="B241" s="30" t="s">
        <v>520</v>
      </c>
      <c r="C241" s="7" t="s">
        <v>4217</v>
      </c>
      <c r="D241" s="8">
        <v>53</v>
      </c>
      <c r="E241" s="8">
        <v>53</v>
      </c>
      <c r="F241" s="8"/>
    </row>
    <row r="242" spans="1:6" x14ac:dyDescent="0.25">
      <c r="A242" s="147"/>
      <c r="C242" s="7"/>
      <c r="D242" s="8"/>
      <c r="F242" s="8"/>
    </row>
    <row r="243" spans="1:6" x14ac:dyDescent="0.25">
      <c r="A243" s="147" t="s">
        <v>5425</v>
      </c>
      <c r="B243" s="30" t="s">
        <v>539</v>
      </c>
      <c r="C243" s="7"/>
      <c r="D243" s="8"/>
      <c r="F243" s="8"/>
    </row>
    <row r="244" spans="1:6" x14ac:dyDescent="0.25">
      <c r="A244" s="147"/>
      <c r="B244" s="30" t="s">
        <v>523</v>
      </c>
      <c r="C244" s="7" t="s">
        <v>4217</v>
      </c>
      <c r="D244" s="8">
        <v>213</v>
      </c>
      <c r="E244" s="8">
        <v>213</v>
      </c>
      <c r="F244" s="8"/>
    </row>
    <row r="245" spans="1:6" x14ac:dyDescent="0.25">
      <c r="A245" s="147"/>
      <c r="C245" s="7"/>
      <c r="D245" s="8"/>
      <c r="F245" s="8"/>
    </row>
    <row r="246" spans="1:6" x14ac:dyDescent="0.25">
      <c r="A246" s="147" t="s">
        <v>5426</v>
      </c>
      <c r="B246" s="30" t="s">
        <v>540</v>
      </c>
      <c r="C246" s="7"/>
      <c r="D246" s="8"/>
      <c r="F246" s="8"/>
    </row>
    <row r="247" spans="1:6" x14ac:dyDescent="0.25">
      <c r="A247" s="147"/>
      <c r="B247" s="30" t="s">
        <v>523</v>
      </c>
      <c r="C247" s="7" t="s">
        <v>4217</v>
      </c>
      <c r="D247" s="8">
        <v>223</v>
      </c>
      <c r="E247" s="8">
        <v>223</v>
      </c>
      <c r="F247" s="8"/>
    </row>
    <row r="248" spans="1:6" x14ac:dyDescent="0.25">
      <c r="A248" s="147"/>
      <c r="C248" s="7"/>
      <c r="D248" s="7"/>
      <c r="F248" s="8"/>
    </row>
    <row r="249" spans="1:6" x14ac:dyDescent="0.25">
      <c r="A249" s="147" t="s">
        <v>5427</v>
      </c>
      <c r="B249" s="30" t="s">
        <v>541</v>
      </c>
      <c r="C249" s="7"/>
      <c r="D249" s="7"/>
      <c r="F249" s="8"/>
    </row>
    <row r="250" spans="1:6" x14ac:dyDescent="0.25">
      <c r="A250" s="147"/>
      <c r="B250" s="30" t="s">
        <v>523</v>
      </c>
      <c r="C250" s="7" t="s">
        <v>4217</v>
      </c>
      <c r="D250" s="8">
        <v>230</v>
      </c>
      <c r="E250" s="8">
        <v>230</v>
      </c>
      <c r="F250" s="8"/>
    </row>
    <row r="251" spans="1:6" x14ac:dyDescent="0.25">
      <c r="A251" s="147"/>
      <c r="C251" s="7"/>
      <c r="D251" s="8"/>
      <c r="F251" s="8"/>
    </row>
    <row r="252" spans="1:6" x14ac:dyDescent="0.25">
      <c r="A252" s="147" t="s">
        <v>5428</v>
      </c>
      <c r="B252" s="30" t="s">
        <v>542</v>
      </c>
      <c r="C252" s="7"/>
      <c r="D252" s="8"/>
      <c r="F252" s="8"/>
    </row>
    <row r="253" spans="1:6" x14ac:dyDescent="0.25">
      <c r="A253" s="147"/>
      <c r="B253" s="30" t="s">
        <v>523</v>
      </c>
      <c r="C253" s="7" t="s">
        <v>4217</v>
      </c>
      <c r="D253" s="8">
        <v>266</v>
      </c>
      <c r="E253" s="8">
        <v>266</v>
      </c>
      <c r="F253" s="8"/>
    </row>
    <row r="254" spans="1:6" x14ac:dyDescent="0.25">
      <c r="A254" s="147"/>
      <c r="C254" s="7"/>
      <c r="D254" s="8"/>
      <c r="F254" s="8"/>
    </row>
    <row r="255" spans="1:6" x14ac:dyDescent="0.25">
      <c r="A255" s="147" t="s">
        <v>5429</v>
      </c>
      <c r="B255" s="30" t="s">
        <v>543</v>
      </c>
      <c r="C255" s="7"/>
      <c r="D255" s="8"/>
      <c r="F255" s="8"/>
    </row>
    <row r="256" spans="1:6" x14ac:dyDescent="0.25">
      <c r="A256" s="147"/>
      <c r="B256" s="30" t="s">
        <v>523</v>
      </c>
      <c r="C256" s="7" t="s">
        <v>4217</v>
      </c>
      <c r="D256" s="8">
        <v>213</v>
      </c>
      <c r="E256" s="8">
        <v>213</v>
      </c>
      <c r="F256" s="8"/>
    </row>
    <row r="257" spans="1:6" x14ac:dyDescent="0.25">
      <c r="A257" s="147"/>
      <c r="C257" s="7"/>
      <c r="D257" s="8"/>
      <c r="F257" s="8"/>
    </row>
    <row r="258" spans="1:6" x14ac:dyDescent="0.25">
      <c r="A258" s="147" t="s">
        <v>5430</v>
      </c>
      <c r="B258" s="30" t="s">
        <v>544</v>
      </c>
      <c r="C258" s="7"/>
      <c r="D258" s="8"/>
      <c r="F258" s="8"/>
    </row>
    <row r="259" spans="1:6" x14ac:dyDescent="0.25">
      <c r="A259" s="147"/>
      <c r="B259" s="30" t="s">
        <v>523</v>
      </c>
      <c r="C259" s="7" t="s">
        <v>4217</v>
      </c>
      <c r="D259" s="8">
        <v>80</v>
      </c>
      <c r="E259" s="8">
        <v>80</v>
      </c>
      <c r="F259" s="8"/>
    </row>
    <row r="260" spans="1:6" x14ac:dyDescent="0.25">
      <c r="A260" s="147"/>
      <c r="C260" s="7"/>
      <c r="D260" s="8"/>
      <c r="F260" s="8"/>
    </row>
    <row r="261" spans="1:6" x14ac:dyDescent="0.25">
      <c r="A261" s="147"/>
      <c r="C261" s="7"/>
      <c r="D261" s="8"/>
      <c r="F261" s="8"/>
    </row>
    <row r="262" spans="1:6" x14ac:dyDescent="0.25">
      <c r="A262" s="147"/>
      <c r="C262" s="7"/>
      <c r="D262" s="8"/>
      <c r="F262" s="8"/>
    </row>
    <row r="263" spans="1:6" x14ac:dyDescent="0.25">
      <c r="A263" s="147" t="s">
        <v>5431</v>
      </c>
      <c r="B263" s="30" t="s">
        <v>545</v>
      </c>
      <c r="C263" s="7"/>
      <c r="D263" s="8"/>
      <c r="F263" s="8"/>
    </row>
    <row r="264" spans="1:6" x14ac:dyDescent="0.25">
      <c r="A264" s="147"/>
      <c r="B264" s="30" t="s">
        <v>523</v>
      </c>
      <c r="C264" s="7" t="s">
        <v>4217</v>
      </c>
      <c r="D264" s="8">
        <v>62</v>
      </c>
      <c r="E264" s="8">
        <v>62</v>
      </c>
      <c r="F264" s="8"/>
    </row>
    <row r="265" spans="1:6" x14ac:dyDescent="0.25">
      <c r="A265" s="147"/>
      <c r="C265" s="7"/>
      <c r="D265" s="7"/>
      <c r="F265" s="8"/>
    </row>
    <row r="266" spans="1:6" x14ac:dyDescent="0.25">
      <c r="A266" s="147" t="s">
        <v>5432</v>
      </c>
      <c r="B266" s="30" t="s">
        <v>546</v>
      </c>
      <c r="C266" s="7"/>
      <c r="D266" s="7"/>
      <c r="F266" s="8"/>
    </row>
    <row r="267" spans="1:6" x14ac:dyDescent="0.25">
      <c r="A267" s="147"/>
      <c r="B267" s="30" t="s">
        <v>523</v>
      </c>
      <c r="C267" s="7" t="s">
        <v>4217</v>
      </c>
      <c r="D267" s="8">
        <v>382</v>
      </c>
      <c r="E267" s="8">
        <v>382</v>
      </c>
      <c r="F267" s="8"/>
    </row>
    <row r="268" spans="1:6" x14ac:dyDescent="0.25">
      <c r="A268" s="147"/>
      <c r="C268" s="7"/>
      <c r="D268" s="8"/>
      <c r="F268" s="8"/>
    </row>
    <row r="269" spans="1:6" x14ac:dyDescent="0.25">
      <c r="A269" s="147" t="s">
        <v>5433</v>
      </c>
      <c r="B269" s="30" t="s">
        <v>547</v>
      </c>
      <c r="C269" s="7"/>
      <c r="D269" s="8"/>
      <c r="F269" s="8"/>
    </row>
    <row r="270" spans="1:6" x14ac:dyDescent="0.25">
      <c r="A270" s="147"/>
      <c r="B270" s="30" t="s">
        <v>523</v>
      </c>
      <c r="C270" s="7" t="s">
        <v>4217</v>
      </c>
      <c r="D270" s="8">
        <v>428</v>
      </c>
      <c r="E270" s="8">
        <v>428</v>
      </c>
      <c r="F270" s="8"/>
    </row>
    <row r="271" spans="1:6" x14ac:dyDescent="0.25">
      <c r="A271" s="147"/>
      <c r="C271" s="7"/>
      <c r="D271" s="8"/>
      <c r="F271" s="8"/>
    </row>
    <row r="272" spans="1:6" x14ac:dyDescent="0.25">
      <c r="A272" s="147" t="s">
        <v>5434</v>
      </c>
      <c r="B272" s="30" t="s">
        <v>548</v>
      </c>
      <c r="C272" s="7"/>
      <c r="D272" s="8"/>
      <c r="F272" s="8"/>
    </row>
    <row r="273" spans="1:6" x14ac:dyDescent="0.25">
      <c r="A273" s="147"/>
      <c r="B273" s="30" t="s">
        <v>523</v>
      </c>
      <c r="C273" s="7" t="s">
        <v>4217</v>
      </c>
      <c r="D273" s="8">
        <v>535</v>
      </c>
      <c r="E273" s="8">
        <v>535</v>
      </c>
      <c r="F273" s="8"/>
    </row>
    <row r="274" spans="1:6" x14ac:dyDescent="0.25">
      <c r="A274" s="147"/>
      <c r="C274" s="7"/>
      <c r="D274" s="8"/>
      <c r="F274" s="8"/>
    </row>
    <row r="275" spans="1:6" x14ac:dyDescent="0.25">
      <c r="A275" s="147" t="s">
        <v>5435</v>
      </c>
      <c r="B275" s="30" t="s">
        <v>549</v>
      </c>
      <c r="C275" s="7"/>
      <c r="D275" s="8"/>
      <c r="F275" s="8"/>
    </row>
    <row r="276" spans="1:6" x14ac:dyDescent="0.25">
      <c r="A276" s="147"/>
      <c r="B276" s="30" t="s">
        <v>523</v>
      </c>
      <c r="C276" s="7" t="s">
        <v>4217</v>
      </c>
      <c r="D276" s="8">
        <v>108</v>
      </c>
      <c r="E276" s="8">
        <v>108</v>
      </c>
      <c r="F276" s="8"/>
    </row>
    <row r="277" spans="1:6" x14ac:dyDescent="0.25">
      <c r="A277" s="147"/>
      <c r="C277" s="7"/>
      <c r="D277" s="7"/>
      <c r="F277" s="8"/>
    </row>
    <row r="278" spans="1:6" x14ac:dyDescent="0.25">
      <c r="A278" s="147" t="s">
        <v>5436</v>
      </c>
      <c r="B278" s="30" t="s">
        <v>550</v>
      </c>
      <c r="C278" s="7"/>
      <c r="D278" s="7"/>
      <c r="F278" s="8"/>
    </row>
    <row r="279" spans="1:6" x14ac:dyDescent="0.25">
      <c r="A279" s="147"/>
      <c r="B279" s="30" t="s">
        <v>523</v>
      </c>
      <c r="C279" s="7" t="s">
        <v>4217</v>
      </c>
      <c r="D279" s="8">
        <v>561</v>
      </c>
      <c r="E279" s="8">
        <v>561</v>
      </c>
      <c r="F279" s="8"/>
    </row>
    <row r="280" spans="1:6" x14ac:dyDescent="0.25">
      <c r="A280" s="147"/>
      <c r="C280" s="7"/>
      <c r="D280" s="8"/>
      <c r="F280" s="8"/>
    </row>
    <row r="281" spans="1:6" ht="75.75" customHeight="1" x14ac:dyDescent="0.25">
      <c r="A281" s="7">
        <v>3.18</v>
      </c>
      <c r="B281" s="30" t="s">
        <v>551</v>
      </c>
      <c r="C281" s="7"/>
      <c r="D281" s="8"/>
      <c r="F281" s="8"/>
    </row>
    <row r="282" spans="1:6" x14ac:dyDescent="0.25">
      <c r="A282" s="147" t="s">
        <v>173</v>
      </c>
      <c r="B282" s="30" t="s">
        <v>553</v>
      </c>
      <c r="C282" s="7" t="s">
        <v>4217</v>
      </c>
      <c r="D282" s="8">
        <v>972</v>
      </c>
      <c r="E282" s="8">
        <v>972</v>
      </c>
      <c r="F282" s="8"/>
    </row>
    <row r="283" spans="1:6" x14ac:dyDescent="0.25">
      <c r="A283" s="147" t="s">
        <v>174</v>
      </c>
      <c r="B283" s="30" t="s">
        <v>555</v>
      </c>
      <c r="C283" s="7" t="s">
        <v>4217</v>
      </c>
      <c r="D283" s="8">
        <v>1487</v>
      </c>
      <c r="E283" s="8">
        <v>1487</v>
      </c>
      <c r="F283" s="8"/>
    </row>
    <row r="284" spans="1:6" x14ac:dyDescent="0.25">
      <c r="A284" s="147"/>
      <c r="C284" s="7"/>
      <c r="D284" s="7"/>
      <c r="F284" s="8"/>
    </row>
    <row r="285" spans="1:6" ht="185.25" customHeight="1" x14ac:dyDescent="0.25">
      <c r="A285" s="7">
        <v>3.19</v>
      </c>
      <c r="B285" s="30" t="s">
        <v>6235</v>
      </c>
      <c r="C285" s="7"/>
      <c r="D285" s="7"/>
      <c r="F285" s="8"/>
    </row>
    <row r="286" spans="1:6" x14ac:dyDescent="0.25">
      <c r="A286" s="147" t="s">
        <v>521</v>
      </c>
      <c r="B286" s="30" t="s">
        <v>557</v>
      </c>
      <c r="C286" s="7" t="s">
        <v>4217</v>
      </c>
      <c r="D286" s="8">
        <v>5489</v>
      </c>
      <c r="E286" s="8">
        <v>5489</v>
      </c>
      <c r="F286" s="8"/>
    </row>
    <row r="287" spans="1:6" ht="31.5" x14ac:dyDescent="0.25">
      <c r="A287" s="147" t="s">
        <v>524</v>
      </c>
      <c r="B287" s="30" t="s">
        <v>5594</v>
      </c>
      <c r="C287" s="7" t="s">
        <v>4217</v>
      </c>
      <c r="D287" s="8">
        <v>206</v>
      </c>
      <c r="E287" s="8">
        <v>206</v>
      </c>
      <c r="F287" s="8"/>
    </row>
    <row r="288" spans="1:6" ht="31.5" x14ac:dyDescent="0.25">
      <c r="A288" s="147" t="s">
        <v>5437</v>
      </c>
      <c r="B288" s="30" t="s">
        <v>5595</v>
      </c>
      <c r="C288" s="7" t="s">
        <v>4217</v>
      </c>
      <c r="D288" s="8">
        <v>1042</v>
      </c>
      <c r="E288" s="8">
        <v>1042</v>
      </c>
      <c r="F288" s="8"/>
    </row>
    <row r="289" spans="1:7" x14ac:dyDescent="0.25">
      <c r="A289" s="147"/>
      <c r="C289" s="7"/>
      <c r="D289" s="7"/>
      <c r="F289" s="8"/>
    </row>
    <row r="290" spans="1:7" x14ac:dyDescent="0.25">
      <c r="A290" s="147"/>
      <c r="C290" s="7"/>
      <c r="D290" s="7"/>
      <c r="F290" s="8"/>
    </row>
    <row r="291" spans="1:7" ht="161.25" customHeight="1" x14ac:dyDescent="0.25">
      <c r="A291" s="7">
        <v>3.2</v>
      </c>
      <c r="B291" s="30" t="s">
        <v>559</v>
      </c>
      <c r="C291" s="7"/>
      <c r="D291" s="7"/>
      <c r="F291" s="8"/>
    </row>
    <row r="292" spans="1:7" x14ac:dyDescent="0.25">
      <c r="A292" s="7"/>
      <c r="C292" s="7"/>
      <c r="D292" s="7"/>
      <c r="F292" s="8"/>
    </row>
    <row r="293" spans="1:7" x14ac:dyDescent="0.25">
      <c r="A293" s="147" t="s">
        <v>552</v>
      </c>
      <c r="B293" s="30" t="s">
        <v>561</v>
      </c>
      <c r="C293" s="7" t="s">
        <v>4217</v>
      </c>
      <c r="D293" s="8">
        <v>20016</v>
      </c>
      <c r="E293" s="8">
        <v>20016</v>
      </c>
      <c r="F293" s="8"/>
    </row>
    <row r="294" spans="1:7" x14ac:dyDescent="0.25">
      <c r="A294" s="147"/>
      <c r="C294" s="7"/>
      <c r="D294" s="8"/>
      <c r="F294" s="8"/>
    </row>
    <row r="295" spans="1:7" ht="31.5" x14ac:dyDescent="0.25">
      <c r="A295" s="147" t="s">
        <v>554</v>
      </c>
      <c r="B295" s="30" t="s">
        <v>5596</v>
      </c>
      <c r="C295" s="7" t="s">
        <v>4217</v>
      </c>
      <c r="D295" s="8">
        <v>703</v>
      </c>
      <c r="E295" s="8">
        <v>703</v>
      </c>
      <c r="F295" s="8"/>
    </row>
    <row r="296" spans="1:7" x14ac:dyDescent="0.25">
      <c r="A296" s="147"/>
      <c r="C296" s="7"/>
      <c r="D296" s="7"/>
      <c r="F296" s="8"/>
    </row>
    <row r="297" spans="1:7" ht="114" customHeight="1" x14ac:dyDescent="0.25">
      <c r="A297" s="147">
        <v>3.21</v>
      </c>
      <c r="B297" s="30" t="s">
        <v>6236</v>
      </c>
      <c r="C297" s="7"/>
      <c r="D297" s="7"/>
      <c r="F297" s="8"/>
    </row>
    <row r="298" spans="1:7" x14ac:dyDescent="0.25">
      <c r="A298" s="147"/>
      <c r="C298" s="7"/>
      <c r="D298" s="7"/>
      <c r="F298" s="8"/>
    </row>
    <row r="299" spans="1:7" ht="31.5" x14ac:dyDescent="0.25">
      <c r="A299" s="147" t="s">
        <v>556</v>
      </c>
      <c r="B299" s="30" t="s">
        <v>564</v>
      </c>
      <c r="C299" s="7" t="s">
        <v>4217</v>
      </c>
      <c r="D299" s="8">
        <v>1049</v>
      </c>
      <c r="F299" s="8"/>
    </row>
    <row r="300" spans="1:7" s="100" customFormat="1" ht="31.5" x14ac:dyDescent="0.25">
      <c r="A300" s="147" t="s">
        <v>5439</v>
      </c>
      <c r="B300" s="30" t="s">
        <v>4636</v>
      </c>
      <c r="C300" s="7"/>
      <c r="D300" s="8">
        <v>455</v>
      </c>
      <c r="E300" s="8">
        <v>1049</v>
      </c>
      <c r="F300" s="8"/>
      <c r="G300" s="21"/>
    </row>
    <row r="301" spans="1:7" s="100" customFormat="1" x14ac:dyDescent="0.25">
      <c r="A301" s="147"/>
      <c r="B301" s="30"/>
      <c r="C301" s="7"/>
      <c r="D301" s="12"/>
      <c r="E301" s="8">
        <v>455</v>
      </c>
      <c r="F301" s="8"/>
      <c r="G301" s="21"/>
    </row>
    <row r="302" spans="1:7" ht="31.5" x14ac:dyDescent="0.25">
      <c r="A302" s="147" t="s">
        <v>558</v>
      </c>
      <c r="B302" s="30" t="s">
        <v>566</v>
      </c>
      <c r="C302" s="7" t="s">
        <v>4217</v>
      </c>
      <c r="D302" s="8">
        <v>2332</v>
      </c>
      <c r="E302" s="8">
        <v>2332</v>
      </c>
      <c r="F302" s="8"/>
    </row>
    <row r="303" spans="1:7" s="100" customFormat="1" ht="31.5" x14ac:dyDescent="0.25">
      <c r="A303" s="147" t="s">
        <v>5440</v>
      </c>
      <c r="B303" s="30" t="s">
        <v>4636</v>
      </c>
      <c r="C303" s="7"/>
      <c r="D303" s="8">
        <v>508</v>
      </c>
      <c r="E303" s="8">
        <v>508</v>
      </c>
      <c r="F303" s="8"/>
      <c r="G303" s="21"/>
    </row>
    <row r="304" spans="1:7" s="100" customFormat="1" x14ac:dyDescent="0.25">
      <c r="A304" s="147"/>
      <c r="B304" s="30"/>
      <c r="C304" s="7"/>
      <c r="D304" s="12"/>
      <c r="E304" s="8">
        <v>3299</v>
      </c>
      <c r="F304" s="8"/>
      <c r="G304" s="21"/>
    </row>
    <row r="305" spans="1:7" ht="31.5" x14ac:dyDescent="0.25">
      <c r="A305" s="147" t="s">
        <v>5438</v>
      </c>
      <c r="B305" s="30" t="s">
        <v>567</v>
      </c>
      <c r="C305" s="7" t="s">
        <v>4217</v>
      </c>
      <c r="D305" s="8">
        <v>3299</v>
      </c>
      <c r="E305" s="8">
        <v>529</v>
      </c>
      <c r="F305" s="8"/>
    </row>
    <row r="306" spans="1:7" s="100" customFormat="1" ht="31.5" x14ac:dyDescent="0.25">
      <c r="A306" s="147" t="s">
        <v>5441</v>
      </c>
      <c r="B306" s="30" t="s">
        <v>4636</v>
      </c>
      <c r="C306" s="7"/>
      <c r="D306" s="8">
        <v>529</v>
      </c>
      <c r="E306" s="8">
        <v>3628</v>
      </c>
      <c r="F306" s="8"/>
      <c r="G306" s="21"/>
    </row>
    <row r="307" spans="1:7" s="100" customFormat="1" x14ac:dyDescent="0.25">
      <c r="A307" s="147"/>
      <c r="B307" s="30"/>
      <c r="C307" s="7"/>
      <c r="D307" s="12"/>
      <c r="E307" s="8">
        <v>811</v>
      </c>
      <c r="F307" s="8"/>
      <c r="G307" s="21"/>
    </row>
    <row r="308" spans="1:7" x14ac:dyDescent="0.25">
      <c r="A308" s="147" t="s">
        <v>176</v>
      </c>
      <c r="B308" s="30" t="s">
        <v>568</v>
      </c>
      <c r="C308" s="7" t="s">
        <v>4217</v>
      </c>
      <c r="D308" s="8">
        <v>3628</v>
      </c>
      <c r="F308" s="8"/>
    </row>
    <row r="309" spans="1:7" s="100" customFormat="1" ht="31.5" x14ac:dyDescent="0.25">
      <c r="A309" s="147" t="s">
        <v>5442</v>
      </c>
      <c r="B309" s="30" t="s">
        <v>4636</v>
      </c>
      <c r="C309" s="7"/>
      <c r="D309" s="8">
        <v>811</v>
      </c>
      <c r="E309" s="8"/>
      <c r="F309" s="8"/>
      <c r="G309" s="21"/>
    </row>
    <row r="310" spans="1:7" x14ac:dyDescent="0.25">
      <c r="A310" s="147"/>
      <c r="C310" s="7"/>
      <c r="D310" s="8"/>
      <c r="E310" s="8">
        <v>24135</v>
      </c>
      <c r="F310" s="8"/>
    </row>
    <row r="311" spans="1:7" x14ac:dyDescent="0.25">
      <c r="A311" s="147"/>
      <c r="C311" s="7"/>
      <c r="D311" s="8"/>
      <c r="F311" s="8"/>
    </row>
    <row r="312" spans="1:7" ht="94.5" x14ac:dyDescent="0.25">
      <c r="A312" s="147">
        <v>3.22</v>
      </c>
      <c r="B312" s="30" t="s">
        <v>569</v>
      </c>
      <c r="C312" s="7"/>
      <c r="D312" s="7"/>
      <c r="E312" s="8">
        <v>22138</v>
      </c>
      <c r="F312" s="8"/>
    </row>
    <row r="313" spans="1:7" x14ac:dyDescent="0.25">
      <c r="A313" s="147" t="s">
        <v>560</v>
      </c>
      <c r="B313" s="30" t="s">
        <v>571</v>
      </c>
      <c r="C313" s="7" t="s">
        <v>4217</v>
      </c>
      <c r="D313" s="8">
        <v>24135</v>
      </c>
      <c r="E313" s="8">
        <v>16100</v>
      </c>
      <c r="F313" s="8"/>
    </row>
    <row r="314" spans="1:7" x14ac:dyDescent="0.25">
      <c r="A314" s="147" t="s">
        <v>562</v>
      </c>
      <c r="B314" s="30" t="s">
        <v>573</v>
      </c>
      <c r="C314" s="7" t="s">
        <v>4217</v>
      </c>
      <c r="D314" s="8">
        <v>22138</v>
      </c>
      <c r="F314" s="8"/>
    </row>
    <row r="315" spans="1:7" x14ac:dyDescent="0.25">
      <c r="A315" s="147" t="s">
        <v>175</v>
      </c>
      <c r="B315" s="30" t="s">
        <v>574</v>
      </c>
      <c r="C315" s="7" t="s">
        <v>4217</v>
      </c>
      <c r="D315" s="8">
        <v>16100</v>
      </c>
      <c r="F315" s="8"/>
    </row>
    <row r="316" spans="1:7" x14ac:dyDescent="0.25">
      <c r="A316" s="147"/>
      <c r="C316" s="7"/>
      <c r="D316" s="7"/>
      <c r="E316" s="8">
        <v>6149</v>
      </c>
      <c r="F316" s="8"/>
    </row>
    <row r="317" spans="1:7" ht="94.5" x14ac:dyDescent="0.25">
      <c r="A317" s="147">
        <v>3.23</v>
      </c>
      <c r="B317" s="30" t="s">
        <v>575</v>
      </c>
      <c r="C317" s="7"/>
      <c r="D317" s="7"/>
      <c r="E317" s="8">
        <v>10397</v>
      </c>
      <c r="F317" s="8"/>
    </row>
    <row r="318" spans="1:7" x14ac:dyDescent="0.25">
      <c r="A318" s="147" t="s">
        <v>563</v>
      </c>
      <c r="B318" s="30" t="s">
        <v>576</v>
      </c>
      <c r="C318" s="7" t="s">
        <v>2453</v>
      </c>
      <c r="D318" s="8">
        <v>6149</v>
      </c>
      <c r="F318" s="8"/>
    </row>
    <row r="319" spans="1:7" x14ac:dyDescent="0.25">
      <c r="A319" s="147" t="s">
        <v>565</v>
      </c>
      <c r="B319" s="30" t="s">
        <v>577</v>
      </c>
      <c r="C319" s="7" t="s">
        <v>2453</v>
      </c>
      <c r="D319" s="8">
        <v>10397</v>
      </c>
      <c r="F319" s="8"/>
    </row>
    <row r="320" spans="1:7" x14ac:dyDescent="0.25">
      <c r="A320" s="147"/>
      <c r="C320" s="7"/>
      <c r="D320" s="15"/>
      <c r="E320" s="8">
        <v>5478</v>
      </c>
      <c r="F320" s="8"/>
    </row>
    <row r="321" spans="1:6" ht="94.5" x14ac:dyDescent="0.25">
      <c r="A321" s="147">
        <v>3.24</v>
      </c>
      <c r="B321" s="30" t="s">
        <v>578</v>
      </c>
      <c r="C321" s="7"/>
      <c r="D321" s="7"/>
      <c r="E321" s="8">
        <v>5160</v>
      </c>
      <c r="F321" s="8"/>
    </row>
    <row r="322" spans="1:6" x14ac:dyDescent="0.25">
      <c r="A322" s="147" t="s">
        <v>570</v>
      </c>
      <c r="B322" s="30" t="s">
        <v>579</v>
      </c>
      <c r="C322" s="7" t="s">
        <v>4217</v>
      </c>
      <c r="D322" s="8">
        <v>5478</v>
      </c>
      <c r="F322" s="8"/>
    </row>
    <row r="323" spans="1:6" x14ac:dyDescent="0.25">
      <c r="A323" s="147" t="s">
        <v>572</v>
      </c>
      <c r="B323" s="30" t="s">
        <v>580</v>
      </c>
      <c r="C323" s="7" t="s">
        <v>4217</v>
      </c>
      <c r="D323" s="8">
        <v>5160</v>
      </c>
      <c r="E323" s="8">
        <v>99</v>
      </c>
      <c r="F323" s="8"/>
    </row>
    <row r="324" spans="1:6" x14ac:dyDescent="0.25">
      <c r="A324" s="147"/>
      <c r="C324" s="7"/>
      <c r="D324" s="7"/>
      <c r="F324" s="8"/>
    </row>
    <row r="325" spans="1:6" ht="47.25" x14ac:dyDescent="0.25">
      <c r="A325" s="147">
        <v>3.25</v>
      </c>
      <c r="B325" s="30" t="s">
        <v>581</v>
      </c>
      <c r="C325" s="7" t="s">
        <v>2680</v>
      </c>
      <c r="D325" s="8">
        <v>99</v>
      </c>
      <c r="E325" s="8">
        <v>399</v>
      </c>
      <c r="F325" s="8"/>
    </row>
    <row r="326" spans="1:6" x14ac:dyDescent="0.25">
      <c r="A326" s="147"/>
      <c r="C326" s="7"/>
      <c r="D326" s="8"/>
      <c r="F326" s="8"/>
    </row>
    <row r="327" spans="1:6" x14ac:dyDescent="0.25">
      <c r="A327" s="147">
        <v>3.26</v>
      </c>
      <c r="B327" s="30" t="s">
        <v>582</v>
      </c>
      <c r="C327" s="7" t="s">
        <v>2439</v>
      </c>
      <c r="D327" s="8">
        <v>399</v>
      </c>
      <c r="F327" s="8"/>
    </row>
    <row r="328" spans="1:6" x14ac:dyDescent="0.25">
      <c r="A328" s="147"/>
      <c r="C328" s="7"/>
      <c r="D328" s="7"/>
      <c r="E328" s="8">
        <v>27322</v>
      </c>
      <c r="F328" s="8"/>
    </row>
    <row r="329" spans="1:6" ht="141.75" x14ac:dyDescent="0.25">
      <c r="A329" s="147">
        <v>3.27</v>
      </c>
      <c r="B329" s="30" t="s">
        <v>6238</v>
      </c>
      <c r="C329" s="7"/>
      <c r="D329" s="7"/>
      <c r="E329" s="8">
        <v>38499</v>
      </c>
      <c r="F329" s="8"/>
    </row>
    <row r="330" spans="1:6" x14ac:dyDescent="0.25">
      <c r="A330" s="147"/>
      <c r="C330" s="7"/>
      <c r="D330" s="7"/>
      <c r="F330" s="8"/>
    </row>
    <row r="331" spans="1:6" x14ac:dyDescent="0.25">
      <c r="A331" s="147"/>
      <c r="C331" s="7"/>
      <c r="D331" s="7"/>
      <c r="F331" s="8"/>
    </row>
    <row r="332" spans="1:6" ht="47.25" x14ac:dyDescent="0.25">
      <c r="A332" s="147" t="s">
        <v>5443</v>
      </c>
      <c r="B332" s="30" t="s">
        <v>4637</v>
      </c>
      <c r="C332" s="7" t="s">
        <v>4217</v>
      </c>
      <c r="D332" s="8">
        <v>27322</v>
      </c>
      <c r="E332" s="8">
        <v>59860</v>
      </c>
      <c r="F332" s="8"/>
    </row>
    <row r="333" spans="1:6" ht="63" x14ac:dyDescent="0.25">
      <c r="A333" s="147" t="s">
        <v>5444</v>
      </c>
      <c r="B333" s="30" t="s">
        <v>4638</v>
      </c>
      <c r="C333" s="7" t="s">
        <v>4217</v>
      </c>
      <c r="D333" s="8">
        <v>38499</v>
      </c>
      <c r="F333" s="8"/>
    </row>
    <row r="334" spans="1:6" ht="63" x14ac:dyDescent="0.25">
      <c r="A334" s="147" t="s">
        <v>5445</v>
      </c>
      <c r="B334" s="30" t="s">
        <v>4639</v>
      </c>
      <c r="C334" s="7" t="s">
        <v>4217</v>
      </c>
      <c r="D334" s="8">
        <v>59860</v>
      </c>
      <c r="F334" s="8"/>
    </row>
    <row r="335" spans="1:6" ht="47.25" x14ac:dyDescent="0.25">
      <c r="A335" s="150" t="s">
        <v>2882</v>
      </c>
      <c r="B335" s="29" t="s">
        <v>583</v>
      </c>
      <c r="C335" s="7"/>
      <c r="D335" s="7"/>
      <c r="E335" s="8">
        <v>286</v>
      </c>
      <c r="F335" s="8"/>
    </row>
    <row r="336" spans="1:6" x14ac:dyDescent="0.25">
      <c r="A336" s="147"/>
      <c r="C336" s="7"/>
      <c r="D336" s="7"/>
      <c r="F336" s="8"/>
    </row>
    <row r="337" spans="1:6" ht="47.25" x14ac:dyDescent="0.25">
      <c r="A337" s="147">
        <v>3.28</v>
      </c>
      <c r="B337" s="30" t="s">
        <v>584</v>
      </c>
      <c r="C337" s="7" t="s">
        <v>2439</v>
      </c>
      <c r="D337" s="8">
        <v>286</v>
      </c>
      <c r="E337" s="8">
        <v>215</v>
      </c>
      <c r="F337" s="8"/>
    </row>
    <row r="338" spans="1:6" x14ac:dyDescent="0.25">
      <c r="A338" s="147"/>
      <c r="C338" s="7"/>
      <c r="D338" s="7"/>
      <c r="F338" s="8"/>
    </row>
    <row r="339" spans="1:6" ht="47.25" x14ac:dyDescent="0.25">
      <c r="A339" s="7">
        <v>3.29</v>
      </c>
      <c r="B339" s="30" t="s">
        <v>48</v>
      </c>
      <c r="C339" s="7" t="s">
        <v>2437</v>
      </c>
      <c r="D339" s="8">
        <v>215</v>
      </c>
      <c r="E339" s="8">
        <v>223</v>
      </c>
      <c r="F339" s="8"/>
    </row>
    <row r="340" spans="1:6" x14ac:dyDescent="0.25">
      <c r="A340" s="147"/>
      <c r="C340" s="7"/>
      <c r="D340" s="7"/>
      <c r="F340" s="8"/>
    </row>
    <row r="341" spans="1:6" ht="47.25" x14ac:dyDescent="0.25">
      <c r="A341" s="7">
        <v>3.3</v>
      </c>
      <c r="B341" s="30" t="s">
        <v>49</v>
      </c>
      <c r="C341" s="7" t="s">
        <v>4217</v>
      </c>
      <c r="D341" s="8">
        <v>223</v>
      </c>
      <c r="E341" s="8">
        <v>72</v>
      </c>
      <c r="F341" s="8"/>
    </row>
    <row r="342" spans="1:6" x14ac:dyDescent="0.25">
      <c r="A342" s="147"/>
      <c r="C342" s="7"/>
      <c r="D342" s="7"/>
      <c r="F342" s="8"/>
    </row>
    <row r="343" spans="1:6" ht="31.5" x14ac:dyDescent="0.25">
      <c r="A343" s="147">
        <v>3.31</v>
      </c>
      <c r="B343" s="30" t="s">
        <v>50</v>
      </c>
      <c r="C343" s="7" t="s">
        <v>2650</v>
      </c>
      <c r="D343" s="8">
        <v>72</v>
      </c>
      <c r="F343" s="8"/>
    </row>
    <row r="344" spans="1:6" x14ac:dyDescent="0.25">
      <c r="A344" s="147"/>
      <c r="C344" s="7"/>
      <c r="D344" s="7"/>
      <c r="E344" s="8">
        <v>1355</v>
      </c>
      <c r="F344" s="8"/>
    </row>
    <row r="345" spans="1:6" ht="31.5" x14ac:dyDescent="0.25">
      <c r="A345" s="147">
        <v>3.32</v>
      </c>
      <c r="B345" s="30" t="s">
        <v>51</v>
      </c>
      <c r="C345" s="7"/>
      <c r="D345" s="7"/>
      <c r="E345" s="8">
        <v>2487</v>
      </c>
      <c r="F345" s="8"/>
    </row>
    <row r="346" spans="1:6" ht="47.25" x14ac:dyDescent="0.25">
      <c r="A346" s="147" t="s">
        <v>5446</v>
      </c>
      <c r="B346" s="30" t="s">
        <v>53</v>
      </c>
      <c r="C346" s="7" t="s">
        <v>4217</v>
      </c>
      <c r="D346" s="8">
        <v>1355</v>
      </c>
      <c r="E346" s="8">
        <v>3906</v>
      </c>
      <c r="F346" s="8"/>
    </row>
    <row r="347" spans="1:6" ht="31.5" x14ac:dyDescent="0.25">
      <c r="A347" s="147" t="s">
        <v>5448</v>
      </c>
      <c r="B347" s="30" t="s">
        <v>55</v>
      </c>
      <c r="C347" s="7" t="s">
        <v>4217</v>
      </c>
      <c r="D347" s="8">
        <v>2487</v>
      </c>
      <c r="E347" s="8">
        <v>4080</v>
      </c>
      <c r="F347" s="8"/>
    </row>
    <row r="348" spans="1:6" ht="31.5" x14ac:dyDescent="0.25">
      <c r="A348" s="147" t="s">
        <v>5447</v>
      </c>
      <c r="B348" s="30" t="s">
        <v>57</v>
      </c>
      <c r="C348" s="7" t="s">
        <v>4217</v>
      </c>
      <c r="D348" s="8">
        <v>3906</v>
      </c>
      <c r="E348" s="8">
        <v>1357</v>
      </c>
      <c r="F348" s="8"/>
    </row>
    <row r="349" spans="1:6" ht="31.5" x14ac:dyDescent="0.25">
      <c r="A349" s="147" t="s">
        <v>5449</v>
      </c>
      <c r="B349" s="30" t="s">
        <v>58</v>
      </c>
      <c r="C349" s="7" t="s">
        <v>4217</v>
      </c>
      <c r="D349" s="8">
        <v>4080</v>
      </c>
      <c r="F349" s="8"/>
    </row>
    <row r="350" spans="1:6" ht="47.25" x14ac:dyDescent="0.25">
      <c r="A350" s="147" t="s">
        <v>5450</v>
      </c>
      <c r="B350" s="30" t="s">
        <v>59</v>
      </c>
      <c r="C350" s="7" t="s">
        <v>4217</v>
      </c>
      <c r="D350" s="8">
        <v>1357</v>
      </c>
      <c r="F350" s="8"/>
    </row>
    <row r="351" spans="1:6" x14ac:dyDescent="0.25">
      <c r="A351" s="147"/>
      <c r="C351" s="7"/>
      <c r="D351" s="7"/>
      <c r="E351" s="8">
        <v>329</v>
      </c>
      <c r="F351" s="8"/>
    </row>
    <row r="352" spans="1:6" ht="31.5" x14ac:dyDescent="0.25">
      <c r="A352" s="147">
        <v>3.33</v>
      </c>
      <c r="B352" s="30" t="s">
        <v>60</v>
      </c>
      <c r="C352" s="7"/>
      <c r="D352" s="7"/>
      <c r="E352" s="8">
        <v>292</v>
      </c>
      <c r="F352" s="8"/>
    </row>
    <row r="353" spans="1:6" x14ac:dyDescent="0.25">
      <c r="A353" s="147"/>
      <c r="C353" s="7"/>
      <c r="D353" s="7"/>
      <c r="F353" s="8"/>
    </row>
    <row r="354" spans="1:6" x14ac:dyDescent="0.25">
      <c r="A354" s="147" t="s">
        <v>177</v>
      </c>
      <c r="B354" s="30" t="s">
        <v>62</v>
      </c>
      <c r="C354" s="7" t="s">
        <v>4217</v>
      </c>
      <c r="D354" s="8">
        <v>329</v>
      </c>
      <c r="E354" s="8">
        <v>219</v>
      </c>
      <c r="F354" s="8"/>
    </row>
    <row r="355" spans="1:6" x14ac:dyDescent="0.25">
      <c r="A355" s="147" t="s">
        <v>178</v>
      </c>
      <c r="B355" s="30" t="s">
        <v>64</v>
      </c>
      <c r="C355" s="7" t="s">
        <v>4217</v>
      </c>
      <c r="D355" s="8">
        <v>292</v>
      </c>
      <c r="E355" s="8">
        <v>502</v>
      </c>
      <c r="F355" s="8"/>
    </row>
    <row r="356" spans="1:6" x14ac:dyDescent="0.25">
      <c r="A356" s="147" t="s">
        <v>179</v>
      </c>
      <c r="B356" s="30" t="s">
        <v>66</v>
      </c>
      <c r="C356" s="7" t="s">
        <v>4217</v>
      </c>
      <c r="D356" s="8">
        <v>219</v>
      </c>
      <c r="E356" s="8">
        <v>421</v>
      </c>
      <c r="F356" s="8"/>
    </row>
    <row r="357" spans="1:6" x14ac:dyDescent="0.25">
      <c r="A357" s="147" t="s">
        <v>180</v>
      </c>
      <c r="B357" s="30" t="s">
        <v>67</v>
      </c>
      <c r="C357" s="7" t="s">
        <v>4217</v>
      </c>
      <c r="D357" s="8">
        <v>502</v>
      </c>
      <c r="E357" s="8">
        <v>319</v>
      </c>
      <c r="F357" s="8"/>
    </row>
    <row r="358" spans="1:6" x14ac:dyDescent="0.25">
      <c r="A358" s="147" t="s">
        <v>181</v>
      </c>
      <c r="B358" s="30" t="s">
        <v>68</v>
      </c>
      <c r="C358" s="7" t="s">
        <v>4217</v>
      </c>
      <c r="D358" s="8">
        <v>421</v>
      </c>
      <c r="E358" s="8">
        <v>99</v>
      </c>
      <c r="F358" s="8"/>
    </row>
    <row r="359" spans="1:6" x14ac:dyDescent="0.25">
      <c r="A359" s="147" t="s">
        <v>5451</v>
      </c>
      <c r="B359" s="30" t="s">
        <v>69</v>
      </c>
      <c r="C359" s="7" t="s">
        <v>4217</v>
      </c>
      <c r="D359" s="8">
        <v>319</v>
      </c>
      <c r="E359" s="8">
        <v>81</v>
      </c>
      <c r="F359" s="8"/>
    </row>
    <row r="360" spans="1:6" x14ac:dyDescent="0.25">
      <c r="A360" s="147" t="s">
        <v>5452</v>
      </c>
      <c r="B360" s="30" t="s">
        <v>70</v>
      </c>
      <c r="C360" s="7" t="s">
        <v>4217</v>
      </c>
      <c r="D360" s="8">
        <v>99</v>
      </c>
      <c r="E360" s="8">
        <v>73</v>
      </c>
      <c r="F360" s="8"/>
    </row>
    <row r="361" spans="1:6" x14ac:dyDescent="0.25">
      <c r="A361" s="147" t="s">
        <v>5453</v>
      </c>
      <c r="B361" s="30" t="s">
        <v>71</v>
      </c>
      <c r="C361" s="7" t="s">
        <v>4217</v>
      </c>
      <c r="D361" s="8">
        <v>81</v>
      </c>
      <c r="F361" s="8"/>
    </row>
    <row r="362" spans="1:6" x14ac:dyDescent="0.25">
      <c r="A362" s="147" t="s">
        <v>5454</v>
      </c>
      <c r="B362" s="30" t="s">
        <v>72</v>
      </c>
      <c r="C362" s="7" t="s">
        <v>4217</v>
      </c>
      <c r="D362" s="8">
        <v>73</v>
      </c>
      <c r="F362" s="8"/>
    </row>
    <row r="363" spans="1:6" x14ac:dyDescent="0.25">
      <c r="A363" s="147"/>
      <c r="C363" s="7"/>
      <c r="D363" s="7"/>
      <c r="E363" s="8">
        <v>271</v>
      </c>
      <c r="F363" s="8"/>
    </row>
    <row r="364" spans="1:6" ht="94.5" x14ac:dyDescent="0.25">
      <c r="A364" s="147">
        <v>3.34</v>
      </c>
      <c r="B364" s="30" t="s">
        <v>73</v>
      </c>
      <c r="C364" s="7"/>
      <c r="D364" s="7"/>
      <c r="E364" s="8">
        <v>284</v>
      </c>
      <c r="F364" s="8"/>
    </row>
    <row r="365" spans="1:6" x14ac:dyDescent="0.25">
      <c r="A365" s="147"/>
      <c r="C365" s="7"/>
      <c r="D365" s="7"/>
      <c r="F365" s="8"/>
    </row>
    <row r="366" spans="1:6" x14ac:dyDescent="0.25">
      <c r="A366" s="147" t="s">
        <v>52</v>
      </c>
      <c r="B366" s="30" t="s">
        <v>74</v>
      </c>
      <c r="C366" s="7" t="s">
        <v>2453</v>
      </c>
      <c r="D366" s="8">
        <v>271</v>
      </c>
      <c r="E366" s="8">
        <v>380</v>
      </c>
      <c r="F366" s="8"/>
    </row>
    <row r="367" spans="1:6" x14ac:dyDescent="0.25">
      <c r="A367" s="147" t="s">
        <v>54</v>
      </c>
      <c r="B367" s="30" t="s">
        <v>75</v>
      </c>
      <c r="C367" s="7" t="s">
        <v>2453</v>
      </c>
      <c r="D367" s="8">
        <v>284</v>
      </c>
      <c r="F367" s="8"/>
    </row>
    <row r="368" spans="1:6" x14ac:dyDescent="0.25">
      <c r="A368" s="147" t="s">
        <v>56</v>
      </c>
      <c r="B368" s="30" t="s">
        <v>76</v>
      </c>
      <c r="C368" s="7" t="s">
        <v>2453</v>
      </c>
      <c r="D368" s="8">
        <v>380</v>
      </c>
      <c r="F368" s="8"/>
    </row>
    <row r="369" spans="1:6" x14ac:dyDescent="0.25">
      <c r="A369" s="147"/>
      <c r="C369" s="7"/>
      <c r="D369" s="7"/>
      <c r="E369" s="8">
        <v>435</v>
      </c>
      <c r="F369" s="8"/>
    </row>
    <row r="370" spans="1:6" ht="110.25" x14ac:dyDescent="0.25">
      <c r="A370" s="147">
        <v>3.35</v>
      </c>
      <c r="B370" s="30" t="s">
        <v>77</v>
      </c>
      <c r="C370" s="7"/>
      <c r="D370" s="7"/>
      <c r="E370" s="8">
        <v>502</v>
      </c>
      <c r="F370" s="8"/>
    </row>
    <row r="371" spans="1:6" x14ac:dyDescent="0.25">
      <c r="A371" s="147"/>
      <c r="C371" s="7"/>
      <c r="D371" s="7"/>
      <c r="F371" s="8"/>
    </row>
    <row r="372" spans="1:6" ht="31.5" x14ac:dyDescent="0.25">
      <c r="A372" s="147" t="s">
        <v>61</v>
      </c>
      <c r="B372" s="30" t="s">
        <v>78</v>
      </c>
      <c r="C372" s="7" t="s">
        <v>2680</v>
      </c>
      <c r="D372" s="8">
        <v>435</v>
      </c>
      <c r="E372" s="8">
        <v>876</v>
      </c>
      <c r="F372" s="8"/>
    </row>
    <row r="373" spans="1:6" ht="31.5" x14ac:dyDescent="0.25">
      <c r="A373" s="147" t="s">
        <v>63</v>
      </c>
      <c r="B373" s="30" t="s">
        <v>79</v>
      </c>
      <c r="C373" s="7" t="s">
        <v>2453</v>
      </c>
      <c r="D373" s="8">
        <v>502</v>
      </c>
      <c r="F373" s="8"/>
    </row>
    <row r="374" spans="1:6" ht="31.5" x14ac:dyDescent="0.25">
      <c r="A374" s="147" t="s">
        <v>65</v>
      </c>
      <c r="B374" s="30" t="s">
        <v>6239</v>
      </c>
      <c r="C374" s="7" t="s">
        <v>2453</v>
      </c>
      <c r="D374" s="8">
        <v>876</v>
      </c>
      <c r="E374" s="8">
        <v>35</v>
      </c>
      <c r="F374" s="8"/>
    </row>
    <row r="375" spans="1:6" x14ac:dyDescent="0.25">
      <c r="A375" s="147"/>
      <c r="C375" s="7"/>
      <c r="D375" s="7"/>
      <c r="F375" s="8"/>
    </row>
    <row r="376" spans="1:6" ht="31.5" x14ac:dyDescent="0.25">
      <c r="A376" s="147">
        <v>3.36</v>
      </c>
      <c r="B376" s="30" t="s">
        <v>80</v>
      </c>
      <c r="C376" s="7" t="s">
        <v>995</v>
      </c>
      <c r="D376" s="8">
        <v>35</v>
      </c>
      <c r="F376" s="8"/>
    </row>
    <row r="377" spans="1:6" x14ac:dyDescent="0.25">
      <c r="A377" s="147"/>
      <c r="C377" s="7"/>
      <c r="D377" s="7"/>
      <c r="E377" s="8">
        <v>418</v>
      </c>
      <c r="F377" s="8"/>
    </row>
    <row r="378" spans="1:6" x14ac:dyDescent="0.25">
      <c r="A378" s="147"/>
      <c r="C378" s="7"/>
      <c r="D378" s="7"/>
      <c r="F378" s="8"/>
    </row>
    <row r="379" spans="1:6" x14ac:dyDescent="0.25">
      <c r="A379" s="147"/>
      <c r="C379" s="7"/>
      <c r="D379" s="7"/>
      <c r="F379" s="8"/>
    </row>
    <row r="380" spans="1:6" x14ac:dyDescent="0.25">
      <c r="A380" s="147"/>
      <c r="C380" s="7"/>
      <c r="D380" s="7"/>
      <c r="F380" s="8"/>
    </row>
    <row r="381" spans="1:6" ht="196.5" customHeight="1" x14ac:dyDescent="0.25">
      <c r="A381" s="147">
        <v>3.37</v>
      </c>
      <c r="B381" s="30" t="s">
        <v>6237</v>
      </c>
      <c r="C381" s="7"/>
      <c r="D381" s="7"/>
      <c r="E381" s="8">
        <v>518</v>
      </c>
      <c r="F381" s="8"/>
    </row>
    <row r="382" spans="1:6" x14ac:dyDescent="0.25">
      <c r="A382" s="147"/>
      <c r="C382" s="7"/>
      <c r="D382" s="7"/>
      <c r="F382" s="8"/>
    </row>
    <row r="383" spans="1:6" x14ac:dyDescent="0.25">
      <c r="A383" s="147" t="s">
        <v>5455</v>
      </c>
      <c r="B383" s="30" t="s">
        <v>82</v>
      </c>
      <c r="C383" s="7" t="s">
        <v>2606</v>
      </c>
      <c r="D383" s="8">
        <v>418</v>
      </c>
      <c r="E383" s="8">
        <v>634</v>
      </c>
      <c r="F383" s="8"/>
    </row>
    <row r="384" spans="1:6" x14ac:dyDescent="0.25">
      <c r="A384" s="147" t="s">
        <v>5456</v>
      </c>
      <c r="B384" s="30" t="s">
        <v>84</v>
      </c>
      <c r="C384" s="7" t="s">
        <v>2606</v>
      </c>
      <c r="D384" s="8">
        <v>518</v>
      </c>
      <c r="F384" s="8"/>
    </row>
    <row r="385" spans="1:6" x14ac:dyDescent="0.25">
      <c r="A385" s="147" t="s">
        <v>5457</v>
      </c>
      <c r="B385" s="30" t="s">
        <v>85</v>
      </c>
      <c r="C385" s="7" t="s">
        <v>2606</v>
      </c>
      <c r="D385" s="8">
        <v>634</v>
      </c>
      <c r="F385" s="8"/>
    </row>
    <row r="386" spans="1:6" x14ac:dyDescent="0.25">
      <c r="A386" s="147"/>
      <c r="C386" s="7"/>
      <c r="D386" s="7"/>
      <c r="E386" s="8">
        <v>167</v>
      </c>
      <c r="F386" s="8"/>
    </row>
    <row r="387" spans="1:6" ht="31.5" x14ac:dyDescent="0.25">
      <c r="A387" s="147">
        <v>3.38</v>
      </c>
      <c r="B387" s="30" t="s">
        <v>86</v>
      </c>
      <c r="C387" s="7"/>
      <c r="D387" s="7"/>
      <c r="E387" s="8">
        <v>177</v>
      </c>
      <c r="F387" s="8"/>
    </row>
    <row r="388" spans="1:6" x14ac:dyDescent="0.25">
      <c r="A388" s="147" t="s">
        <v>183</v>
      </c>
      <c r="B388" s="30" t="s">
        <v>88</v>
      </c>
      <c r="C388" s="7" t="s">
        <v>4217</v>
      </c>
      <c r="D388" s="8">
        <v>167</v>
      </c>
      <c r="E388" s="8">
        <v>152</v>
      </c>
      <c r="F388" s="8"/>
    </row>
    <row r="389" spans="1:6" x14ac:dyDescent="0.25">
      <c r="A389" s="147" t="s">
        <v>184</v>
      </c>
      <c r="B389" s="30" t="s">
        <v>90</v>
      </c>
      <c r="C389" s="7" t="s">
        <v>4217</v>
      </c>
      <c r="D389" s="8">
        <v>177</v>
      </c>
      <c r="E389" s="8">
        <v>171</v>
      </c>
      <c r="F389" s="8"/>
    </row>
    <row r="390" spans="1:6" x14ac:dyDescent="0.25">
      <c r="A390" s="147" t="s">
        <v>185</v>
      </c>
      <c r="B390" s="30" t="s">
        <v>92</v>
      </c>
      <c r="C390" s="7" t="s">
        <v>4217</v>
      </c>
      <c r="D390" s="8">
        <v>152</v>
      </c>
      <c r="F390" s="8"/>
    </row>
    <row r="391" spans="1:6" x14ac:dyDescent="0.25">
      <c r="A391" s="147" t="s">
        <v>5458</v>
      </c>
      <c r="B391" s="30" t="s">
        <v>93</v>
      </c>
      <c r="C391" s="7" t="s">
        <v>4217</v>
      </c>
      <c r="D391" s="8">
        <v>171</v>
      </c>
      <c r="F391" s="8"/>
    </row>
    <row r="392" spans="1:6" x14ac:dyDescent="0.25">
      <c r="A392" s="147"/>
      <c r="C392" s="7"/>
      <c r="D392" s="7"/>
      <c r="E392" s="8">
        <v>237</v>
      </c>
      <c r="F392" s="8"/>
    </row>
    <row r="393" spans="1:6" ht="31.5" x14ac:dyDescent="0.25">
      <c r="A393" s="7">
        <v>3.39</v>
      </c>
      <c r="B393" s="30" t="s">
        <v>94</v>
      </c>
      <c r="C393" s="7"/>
      <c r="D393" s="7"/>
      <c r="E393" s="8">
        <v>263</v>
      </c>
      <c r="F393" s="8"/>
    </row>
    <row r="394" spans="1:6" x14ac:dyDescent="0.25">
      <c r="A394" s="7"/>
      <c r="C394" s="7"/>
      <c r="D394" s="7"/>
      <c r="F394" s="8"/>
    </row>
    <row r="395" spans="1:6" x14ac:dyDescent="0.25">
      <c r="A395" s="147" t="s">
        <v>81</v>
      </c>
      <c r="B395" s="30" t="s">
        <v>88</v>
      </c>
      <c r="C395" s="7" t="s">
        <v>4217</v>
      </c>
      <c r="D395" s="8">
        <v>237</v>
      </c>
      <c r="E395" s="8">
        <v>218</v>
      </c>
      <c r="F395" s="8"/>
    </row>
    <row r="396" spans="1:6" x14ac:dyDescent="0.25">
      <c r="A396" s="147" t="s">
        <v>83</v>
      </c>
      <c r="B396" s="30" t="s">
        <v>95</v>
      </c>
      <c r="C396" s="7" t="s">
        <v>4217</v>
      </c>
      <c r="D396" s="8">
        <v>263</v>
      </c>
      <c r="E396" s="8">
        <v>237</v>
      </c>
      <c r="F396" s="8"/>
    </row>
    <row r="397" spans="1:6" x14ac:dyDescent="0.25">
      <c r="A397" s="147" t="s">
        <v>182</v>
      </c>
      <c r="B397" s="30" t="s">
        <v>92</v>
      </c>
      <c r="C397" s="7" t="s">
        <v>4217</v>
      </c>
      <c r="D397" s="8">
        <v>218</v>
      </c>
      <c r="F397" s="8"/>
    </row>
    <row r="398" spans="1:6" x14ac:dyDescent="0.25">
      <c r="A398" s="147" t="s">
        <v>186</v>
      </c>
      <c r="B398" s="30" t="s">
        <v>93</v>
      </c>
      <c r="C398" s="7" t="s">
        <v>4217</v>
      </c>
      <c r="D398" s="8">
        <v>237</v>
      </c>
      <c r="F398" s="8"/>
    </row>
    <row r="399" spans="1:6" x14ac:dyDescent="0.25">
      <c r="A399" s="147"/>
      <c r="C399" s="7"/>
      <c r="D399" s="7"/>
      <c r="F399" s="8"/>
    </row>
    <row r="400" spans="1:6" ht="31.5" x14ac:dyDescent="0.25">
      <c r="A400" s="147"/>
      <c r="B400" s="29" t="s">
        <v>96</v>
      </c>
      <c r="C400" s="7"/>
      <c r="D400" s="7"/>
      <c r="E400" s="8">
        <v>1062</v>
      </c>
      <c r="F400" s="8"/>
    </row>
    <row r="401" spans="1:6" ht="83.25" customHeight="1" x14ac:dyDescent="0.25">
      <c r="A401" s="7">
        <v>3.4</v>
      </c>
      <c r="B401" s="30" t="s">
        <v>97</v>
      </c>
      <c r="C401" s="7"/>
      <c r="D401" s="7"/>
      <c r="E401" s="8">
        <v>1299</v>
      </c>
      <c r="F401" s="8"/>
    </row>
    <row r="402" spans="1:6" x14ac:dyDescent="0.25">
      <c r="A402" s="147" t="s">
        <v>87</v>
      </c>
      <c r="B402" s="30" t="s">
        <v>518</v>
      </c>
      <c r="C402" s="7" t="s">
        <v>2680</v>
      </c>
      <c r="D402" s="8">
        <v>1062</v>
      </c>
      <c r="E402" s="8">
        <v>2186</v>
      </c>
      <c r="F402" s="8"/>
    </row>
    <row r="403" spans="1:6" x14ac:dyDescent="0.25">
      <c r="A403" s="147" t="s">
        <v>89</v>
      </c>
      <c r="B403" s="30" t="s">
        <v>100</v>
      </c>
      <c r="C403" s="7" t="s">
        <v>2680</v>
      </c>
      <c r="D403" s="8">
        <v>1299</v>
      </c>
      <c r="F403" s="8"/>
    </row>
    <row r="404" spans="1:6" x14ac:dyDescent="0.25">
      <c r="A404" s="147" t="s">
        <v>91</v>
      </c>
      <c r="B404" s="30" t="s">
        <v>102</v>
      </c>
      <c r="C404" s="7" t="s">
        <v>2680</v>
      </c>
      <c r="D404" s="8">
        <v>2186</v>
      </c>
      <c r="F404" s="8"/>
    </row>
    <row r="405" spans="1:6" x14ac:dyDescent="0.25">
      <c r="A405" s="147"/>
      <c r="C405" s="7"/>
      <c r="D405" s="7"/>
      <c r="F405" s="8"/>
    </row>
    <row r="406" spans="1:6" x14ac:dyDescent="0.25">
      <c r="A406" s="147"/>
      <c r="C406" s="7"/>
      <c r="D406" s="7"/>
      <c r="F406" s="8"/>
    </row>
    <row r="407" spans="1:6" ht="31.5" x14ac:dyDescent="0.25">
      <c r="A407" s="147">
        <v>3.41</v>
      </c>
      <c r="B407" s="30" t="s">
        <v>103</v>
      </c>
      <c r="C407" s="7"/>
      <c r="D407" s="7"/>
      <c r="E407" s="8">
        <v>594</v>
      </c>
      <c r="F407" s="8"/>
    </row>
    <row r="408" spans="1:6" x14ac:dyDescent="0.25">
      <c r="A408" s="147" t="s">
        <v>98</v>
      </c>
      <c r="B408" s="30" t="s">
        <v>105</v>
      </c>
      <c r="C408" s="7"/>
      <c r="D408" s="7"/>
      <c r="E408" s="8">
        <v>362</v>
      </c>
      <c r="F408" s="8"/>
    </row>
    <row r="409" spans="1:6" x14ac:dyDescent="0.25">
      <c r="A409" s="118" t="s">
        <v>1662</v>
      </c>
      <c r="B409" s="30" t="s">
        <v>494</v>
      </c>
      <c r="C409" s="7" t="s">
        <v>4217</v>
      </c>
      <c r="D409" s="8">
        <v>594</v>
      </c>
      <c r="E409" s="8">
        <v>867</v>
      </c>
      <c r="F409" s="8"/>
    </row>
    <row r="410" spans="1:6" x14ac:dyDescent="0.25">
      <c r="A410" s="118" t="s">
        <v>1664</v>
      </c>
      <c r="B410" s="30" t="s">
        <v>488</v>
      </c>
      <c r="C410" s="7" t="s">
        <v>4217</v>
      </c>
      <c r="D410" s="8">
        <v>362</v>
      </c>
      <c r="E410" s="8">
        <v>472</v>
      </c>
      <c r="F410" s="8"/>
    </row>
    <row r="411" spans="1:6" x14ac:dyDescent="0.25">
      <c r="A411" s="118" t="s">
        <v>1670</v>
      </c>
      <c r="B411" s="30" t="s">
        <v>106</v>
      </c>
      <c r="C411" s="7" t="s">
        <v>4217</v>
      </c>
      <c r="D411" s="8">
        <v>867</v>
      </c>
      <c r="E411" s="8">
        <v>1187</v>
      </c>
      <c r="F411" s="8"/>
    </row>
    <row r="412" spans="1:6" x14ac:dyDescent="0.25">
      <c r="A412" s="118" t="s">
        <v>400</v>
      </c>
      <c r="B412" s="30" t="s">
        <v>491</v>
      </c>
      <c r="C412" s="7" t="s">
        <v>4217</v>
      </c>
      <c r="D412" s="8">
        <v>472</v>
      </c>
      <c r="E412" s="8">
        <v>432</v>
      </c>
      <c r="F412" s="8"/>
    </row>
    <row r="413" spans="1:6" x14ac:dyDescent="0.25">
      <c r="A413" s="118" t="s">
        <v>401</v>
      </c>
      <c r="B413" s="30" t="s">
        <v>496</v>
      </c>
      <c r="C413" s="7" t="s">
        <v>4217</v>
      </c>
      <c r="D413" s="8">
        <v>1187</v>
      </c>
      <c r="E413" s="8">
        <v>670</v>
      </c>
      <c r="F413" s="8"/>
    </row>
    <row r="414" spans="1:6" x14ac:dyDescent="0.25">
      <c r="A414" s="118" t="s">
        <v>402</v>
      </c>
      <c r="B414" s="30" t="s">
        <v>489</v>
      </c>
      <c r="C414" s="7" t="s">
        <v>4217</v>
      </c>
      <c r="D414" s="8">
        <v>432</v>
      </c>
      <c r="F414" s="8"/>
    </row>
    <row r="415" spans="1:6" x14ac:dyDescent="0.25">
      <c r="A415" s="118" t="s">
        <v>403</v>
      </c>
      <c r="B415" s="30" t="s">
        <v>490</v>
      </c>
      <c r="C415" s="7" t="s">
        <v>4217</v>
      </c>
      <c r="D415" s="8">
        <v>670</v>
      </c>
      <c r="F415" s="8"/>
    </row>
    <row r="416" spans="1:6" x14ac:dyDescent="0.25">
      <c r="A416" s="6"/>
      <c r="C416" s="7"/>
      <c r="D416" s="7"/>
      <c r="E416" s="8">
        <v>809</v>
      </c>
      <c r="F416" s="8"/>
    </row>
    <row r="417" spans="1:6" x14ac:dyDescent="0.25">
      <c r="A417" s="147" t="s">
        <v>99</v>
      </c>
      <c r="B417" s="30" t="s">
        <v>108</v>
      </c>
      <c r="C417" s="7"/>
      <c r="D417" s="7"/>
      <c r="E417" s="8">
        <v>519</v>
      </c>
      <c r="F417" s="8"/>
    </row>
    <row r="418" spans="1:6" x14ac:dyDescent="0.25">
      <c r="A418" s="118" t="s">
        <v>1662</v>
      </c>
      <c r="B418" s="30" t="s">
        <v>494</v>
      </c>
      <c r="C418" s="7" t="s">
        <v>4217</v>
      </c>
      <c r="D418" s="8">
        <v>809</v>
      </c>
      <c r="E418" s="8">
        <v>1144</v>
      </c>
      <c r="F418" s="8"/>
    </row>
    <row r="419" spans="1:6" x14ac:dyDescent="0.25">
      <c r="A419" s="118" t="s">
        <v>1664</v>
      </c>
      <c r="B419" s="30" t="s">
        <v>488</v>
      </c>
      <c r="C419" s="7" t="s">
        <v>4217</v>
      </c>
      <c r="D419" s="8">
        <v>519</v>
      </c>
      <c r="E419" s="8">
        <v>655</v>
      </c>
      <c r="F419" s="8"/>
    </row>
    <row r="420" spans="1:6" x14ac:dyDescent="0.25">
      <c r="A420" s="118" t="s">
        <v>1670</v>
      </c>
      <c r="B420" s="30" t="s">
        <v>106</v>
      </c>
      <c r="C420" s="7" t="s">
        <v>4217</v>
      </c>
      <c r="D420" s="8">
        <v>1144</v>
      </c>
      <c r="E420" s="8">
        <v>1272</v>
      </c>
      <c r="F420" s="8"/>
    </row>
    <row r="421" spans="1:6" x14ac:dyDescent="0.25">
      <c r="A421" s="118" t="s">
        <v>400</v>
      </c>
      <c r="B421" s="30" t="s">
        <v>491</v>
      </c>
      <c r="C421" s="7" t="s">
        <v>4217</v>
      </c>
      <c r="D421" s="8">
        <v>655</v>
      </c>
      <c r="E421" s="8">
        <v>539</v>
      </c>
      <c r="F421" s="8"/>
    </row>
    <row r="422" spans="1:6" x14ac:dyDescent="0.25">
      <c r="A422" s="118" t="s">
        <v>401</v>
      </c>
      <c r="B422" s="30" t="s">
        <v>496</v>
      </c>
      <c r="C422" s="7" t="s">
        <v>4217</v>
      </c>
      <c r="D422" s="8">
        <v>1272</v>
      </c>
      <c r="E422" s="8">
        <v>895</v>
      </c>
      <c r="F422" s="8"/>
    </row>
    <row r="423" spans="1:6" x14ac:dyDescent="0.25">
      <c r="A423" s="118" t="s">
        <v>402</v>
      </c>
      <c r="B423" s="30" t="s">
        <v>489</v>
      </c>
      <c r="C423" s="7" t="s">
        <v>4217</v>
      </c>
      <c r="D423" s="8">
        <v>539</v>
      </c>
      <c r="F423" s="8"/>
    </row>
    <row r="424" spans="1:6" x14ac:dyDescent="0.25">
      <c r="A424" s="118" t="s">
        <v>403</v>
      </c>
      <c r="B424" s="30" t="s">
        <v>490</v>
      </c>
      <c r="C424" s="7" t="s">
        <v>4217</v>
      </c>
      <c r="D424" s="8">
        <v>895</v>
      </c>
      <c r="F424" s="8"/>
    </row>
    <row r="425" spans="1:6" x14ac:dyDescent="0.25">
      <c r="A425" s="147"/>
      <c r="C425" s="7"/>
      <c r="D425" s="7"/>
      <c r="E425" s="8">
        <v>1045</v>
      </c>
      <c r="F425" s="8"/>
    </row>
    <row r="426" spans="1:6" x14ac:dyDescent="0.25">
      <c r="A426" s="147" t="s">
        <v>101</v>
      </c>
      <c r="B426" s="30" t="s">
        <v>109</v>
      </c>
      <c r="C426" s="7"/>
      <c r="D426" s="7"/>
      <c r="E426" s="8">
        <v>2628</v>
      </c>
      <c r="F426" s="8"/>
    </row>
    <row r="427" spans="1:6" x14ac:dyDescent="0.25">
      <c r="A427" s="118" t="s">
        <v>1662</v>
      </c>
      <c r="B427" s="30" t="s">
        <v>488</v>
      </c>
      <c r="C427" s="7" t="s">
        <v>4217</v>
      </c>
      <c r="D427" s="8">
        <v>1045</v>
      </c>
      <c r="E427" s="8">
        <v>1315</v>
      </c>
      <c r="F427" s="8"/>
    </row>
    <row r="428" spans="1:6" x14ac:dyDescent="0.25">
      <c r="A428" s="118" t="s">
        <v>1664</v>
      </c>
      <c r="B428" s="30" t="s">
        <v>106</v>
      </c>
      <c r="C428" s="7" t="s">
        <v>4217</v>
      </c>
      <c r="D428" s="8">
        <v>2628</v>
      </c>
      <c r="E428" s="8">
        <v>2409</v>
      </c>
      <c r="F428" s="8"/>
    </row>
    <row r="429" spans="1:6" x14ac:dyDescent="0.25">
      <c r="A429" s="118" t="s">
        <v>1670</v>
      </c>
      <c r="B429" s="30" t="s">
        <v>491</v>
      </c>
      <c r="C429" s="7" t="s">
        <v>4217</v>
      </c>
      <c r="D429" s="8">
        <v>1315</v>
      </c>
      <c r="E429" s="8">
        <v>1079</v>
      </c>
      <c r="F429" s="8"/>
    </row>
    <row r="430" spans="1:6" x14ac:dyDescent="0.25">
      <c r="A430" s="118" t="s">
        <v>400</v>
      </c>
      <c r="B430" s="30" t="s">
        <v>496</v>
      </c>
      <c r="C430" s="7" t="s">
        <v>4217</v>
      </c>
      <c r="D430" s="8">
        <v>2409</v>
      </c>
      <c r="E430" s="8">
        <v>1964</v>
      </c>
      <c r="F430" s="8"/>
    </row>
    <row r="431" spans="1:6" x14ac:dyDescent="0.25">
      <c r="A431" s="118" t="s">
        <v>401</v>
      </c>
      <c r="B431" s="30" t="s">
        <v>489</v>
      </c>
      <c r="C431" s="7" t="s">
        <v>4217</v>
      </c>
      <c r="D431" s="8">
        <v>1079</v>
      </c>
      <c r="F431" s="8"/>
    </row>
    <row r="432" spans="1:6" x14ac:dyDescent="0.25">
      <c r="A432" s="118" t="s">
        <v>402</v>
      </c>
      <c r="B432" s="30" t="s">
        <v>490</v>
      </c>
      <c r="C432" s="7" t="s">
        <v>4217</v>
      </c>
      <c r="D432" s="8">
        <v>1964</v>
      </c>
      <c r="F432" s="8"/>
    </row>
    <row r="433" spans="1:6" x14ac:dyDescent="0.25">
      <c r="A433" s="118"/>
      <c r="C433" s="7"/>
      <c r="D433" s="7"/>
      <c r="E433" s="8">
        <v>552</v>
      </c>
      <c r="F433" s="8"/>
    </row>
    <row r="434" spans="1:6" x14ac:dyDescent="0.25">
      <c r="A434" s="147" t="s">
        <v>5459</v>
      </c>
      <c r="B434" s="30" t="s">
        <v>110</v>
      </c>
      <c r="C434" s="7"/>
      <c r="D434" s="7"/>
      <c r="E434" s="8">
        <v>777</v>
      </c>
      <c r="F434" s="8"/>
    </row>
    <row r="435" spans="1:6" x14ac:dyDescent="0.25">
      <c r="A435" s="118" t="s">
        <v>1662</v>
      </c>
      <c r="B435" s="30" t="s">
        <v>491</v>
      </c>
      <c r="C435" s="7" t="s">
        <v>4217</v>
      </c>
      <c r="D435" s="8">
        <v>552</v>
      </c>
      <c r="E435" s="8">
        <v>722</v>
      </c>
      <c r="F435" s="8"/>
    </row>
    <row r="436" spans="1:6" x14ac:dyDescent="0.25">
      <c r="A436" s="118" t="s">
        <v>1664</v>
      </c>
      <c r="B436" s="30" t="s">
        <v>496</v>
      </c>
      <c r="C436" s="7" t="s">
        <v>4217</v>
      </c>
      <c r="D436" s="8">
        <v>777</v>
      </c>
      <c r="F436" s="8"/>
    </row>
    <row r="437" spans="1:6" x14ac:dyDescent="0.25">
      <c r="A437" s="118" t="s">
        <v>1670</v>
      </c>
      <c r="B437" s="30" t="s">
        <v>490</v>
      </c>
      <c r="C437" s="7" t="s">
        <v>4217</v>
      </c>
      <c r="D437" s="8">
        <v>722</v>
      </c>
      <c r="F437" s="8"/>
    </row>
    <row r="438" spans="1:6" x14ac:dyDescent="0.25">
      <c r="A438" s="147"/>
      <c r="C438" s="7"/>
      <c r="D438" s="8"/>
      <c r="E438" s="8">
        <v>728</v>
      </c>
      <c r="F438" s="8"/>
    </row>
    <row r="439" spans="1:6" x14ac:dyDescent="0.25">
      <c r="A439" s="147" t="s">
        <v>5460</v>
      </c>
      <c r="B439" s="30" t="s">
        <v>111</v>
      </c>
      <c r="C439" s="7"/>
      <c r="D439" s="7"/>
      <c r="E439" s="8">
        <v>1262</v>
      </c>
      <c r="F439" s="8"/>
    </row>
    <row r="440" spans="1:6" x14ac:dyDescent="0.25">
      <c r="A440" s="118" t="s">
        <v>1662</v>
      </c>
      <c r="B440" s="30" t="s">
        <v>491</v>
      </c>
      <c r="C440" s="7" t="s">
        <v>4217</v>
      </c>
      <c r="D440" s="8">
        <v>728</v>
      </c>
      <c r="E440" s="8">
        <v>989</v>
      </c>
      <c r="F440" s="8"/>
    </row>
    <row r="441" spans="1:6" x14ac:dyDescent="0.25">
      <c r="A441" s="118" t="s">
        <v>1664</v>
      </c>
      <c r="B441" s="30" t="s">
        <v>496</v>
      </c>
      <c r="C441" s="7" t="s">
        <v>4217</v>
      </c>
      <c r="D441" s="8">
        <v>1262</v>
      </c>
      <c r="F441" s="8"/>
    </row>
    <row r="442" spans="1:6" x14ac:dyDescent="0.25">
      <c r="A442" s="118" t="s">
        <v>1670</v>
      </c>
      <c r="B442" s="30" t="s">
        <v>490</v>
      </c>
      <c r="C442" s="7" t="s">
        <v>4217</v>
      </c>
      <c r="D442" s="8">
        <v>989</v>
      </c>
      <c r="F442" s="8"/>
    </row>
    <row r="443" spans="1:6" x14ac:dyDescent="0.25">
      <c r="A443" s="147"/>
      <c r="C443" s="7"/>
      <c r="D443" s="7"/>
      <c r="E443" s="8">
        <v>1509</v>
      </c>
      <c r="F443" s="8"/>
    </row>
    <row r="444" spans="1:6" x14ac:dyDescent="0.25">
      <c r="A444" s="147" t="s">
        <v>5461</v>
      </c>
      <c r="B444" s="30" t="s">
        <v>112</v>
      </c>
      <c r="C444" s="7"/>
      <c r="D444" s="7"/>
      <c r="E444" s="8">
        <v>2989</v>
      </c>
      <c r="F444" s="8"/>
    </row>
    <row r="445" spans="1:6" x14ac:dyDescent="0.25">
      <c r="A445" s="118" t="s">
        <v>1662</v>
      </c>
      <c r="B445" s="30" t="s">
        <v>491</v>
      </c>
      <c r="C445" s="7" t="s">
        <v>4217</v>
      </c>
      <c r="D445" s="8">
        <v>1509</v>
      </c>
      <c r="E445" s="8">
        <v>2164</v>
      </c>
      <c r="F445" s="8"/>
    </row>
    <row r="446" spans="1:6" x14ac:dyDescent="0.25">
      <c r="A446" s="118" t="s">
        <v>1664</v>
      </c>
      <c r="B446" s="30" t="s">
        <v>496</v>
      </c>
      <c r="C446" s="7" t="s">
        <v>4217</v>
      </c>
      <c r="D446" s="8">
        <v>2989</v>
      </c>
      <c r="F446" s="8"/>
    </row>
    <row r="447" spans="1:6" x14ac:dyDescent="0.25">
      <c r="A447" s="118" t="s">
        <v>1670</v>
      </c>
      <c r="B447" s="30" t="s">
        <v>490</v>
      </c>
      <c r="C447" s="7" t="s">
        <v>4217</v>
      </c>
      <c r="D447" s="8">
        <v>2164</v>
      </c>
      <c r="F447" s="8"/>
    </row>
    <row r="448" spans="1:6" x14ac:dyDescent="0.25">
      <c r="A448" s="147"/>
      <c r="C448" s="7"/>
      <c r="D448" s="7"/>
      <c r="E448" s="8">
        <v>1000</v>
      </c>
      <c r="F448" s="8"/>
    </row>
    <row r="449" spans="1:6" x14ac:dyDescent="0.25">
      <c r="A449" s="147"/>
      <c r="C449" s="7"/>
      <c r="D449" s="7"/>
      <c r="F449" s="8"/>
    </row>
    <row r="450" spans="1:6" x14ac:dyDescent="0.25">
      <c r="A450" s="147"/>
      <c r="C450" s="7"/>
      <c r="D450" s="7"/>
      <c r="F450" s="8"/>
    </row>
    <row r="451" spans="1:6" ht="47.25" x14ac:dyDescent="0.25">
      <c r="A451" s="147">
        <v>3.42</v>
      </c>
      <c r="B451" s="30" t="s">
        <v>113</v>
      </c>
      <c r="C451" s="7"/>
      <c r="D451" s="7"/>
      <c r="E451" s="8">
        <v>782</v>
      </c>
      <c r="F451" s="8"/>
    </row>
    <row r="452" spans="1:6" x14ac:dyDescent="0.25">
      <c r="A452" s="147" t="s">
        <v>104</v>
      </c>
      <c r="B452" s="30" t="s">
        <v>114</v>
      </c>
      <c r="C452" s="7" t="s">
        <v>4217</v>
      </c>
      <c r="D452" s="8">
        <v>1000</v>
      </c>
      <c r="F452" s="8"/>
    </row>
    <row r="453" spans="1:6" x14ac:dyDescent="0.25">
      <c r="A453" s="147" t="s">
        <v>107</v>
      </c>
      <c r="B453" s="30" t="s">
        <v>115</v>
      </c>
      <c r="C453" s="7" t="s">
        <v>4217</v>
      </c>
      <c r="D453" s="8">
        <v>782</v>
      </c>
      <c r="F453" s="8"/>
    </row>
    <row r="454" spans="1:6" x14ac:dyDescent="0.25">
      <c r="A454" s="147"/>
      <c r="C454" s="7"/>
      <c r="D454" s="7"/>
      <c r="F454" s="8"/>
    </row>
    <row r="455" spans="1:6" ht="31.5" x14ac:dyDescent="0.25">
      <c r="A455" s="147">
        <v>3.43</v>
      </c>
      <c r="B455" s="30" t="s">
        <v>116</v>
      </c>
      <c r="C455" s="7"/>
      <c r="D455" s="7"/>
      <c r="F455" s="8"/>
    </row>
    <row r="456" spans="1:6" x14ac:dyDescent="0.25">
      <c r="A456" s="147"/>
      <c r="C456" s="7"/>
      <c r="D456" s="7"/>
      <c r="F456" s="8"/>
    </row>
    <row r="457" spans="1:6" x14ac:dyDescent="0.25">
      <c r="A457" s="147"/>
      <c r="B457" s="29" t="s">
        <v>117</v>
      </c>
      <c r="C457" s="7"/>
      <c r="D457" s="7"/>
      <c r="F457" s="8"/>
    </row>
    <row r="458" spans="1:6" x14ac:dyDescent="0.25">
      <c r="A458" s="147"/>
      <c r="C458" s="7"/>
      <c r="D458" s="7"/>
      <c r="E458" s="8">
        <v>167</v>
      </c>
      <c r="F458" s="8"/>
    </row>
    <row r="459" spans="1:6" ht="47.25" x14ac:dyDescent="0.25">
      <c r="A459" s="147">
        <v>3.44</v>
      </c>
      <c r="B459" s="30" t="s">
        <v>118</v>
      </c>
      <c r="C459" s="7"/>
      <c r="D459" s="7"/>
      <c r="E459" s="8">
        <v>336</v>
      </c>
      <c r="F459" s="8"/>
    </row>
    <row r="460" spans="1:6" x14ac:dyDescent="0.25">
      <c r="A460" s="147" t="s">
        <v>5462</v>
      </c>
      <c r="B460" s="30" t="s">
        <v>518</v>
      </c>
      <c r="C460" s="7" t="s">
        <v>2453</v>
      </c>
      <c r="D460" s="8">
        <v>167</v>
      </c>
      <c r="F460" s="8"/>
    </row>
    <row r="461" spans="1:6" x14ac:dyDescent="0.25">
      <c r="A461" s="147" t="s">
        <v>5463</v>
      </c>
      <c r="B461" s="30" t="s">
        <v>519</v>
      </c>
      <c r="C461" s="7" t="s">
        <v>2453</v>
      </c>
      <c r="D461" s="8">
        <v>336</v>
      </c>
      <c r="F461" s="8"/>
    </row>
    <row r="462" spans="1:6" x14ac:dyDescent="0.25">
      <c r="A462" s="147"/>
      <c r="C462" s="7"/>
      <c r="D462" s="7"/>
      <c r="F462" s="8"/>
    </row>
    <row r="463" spans="1:6" ht="63" x14ac:dyDescent="0.25">
      <c r="A463" s="147">
        <v>3.45</v>
      </c>
      <c r="B463" s="30" t="s">
        <v>121</v>
      </c>
      <c r="C463" s="7"/>
      <c r="D463" s="7"/>
      <c r="E463" s="8">
        <v>72</v>
      </c>
      <c r="F463" s="8"/>
    </row>
    <row r="464" spans="1:6" x14ac:dyDescent="0.25">
      <c r="A464" s="147" t="s">
        <v>119</v>
      </c>
      <c r="B464" s="30" t="s">
        <v>122</v>
      </c>
      <c r="C464" s="7"/>
      <c r="D464" s="7"/>
      <c r="E464" s="8">
        <v>108</v>
      </c>
      <c r="F464" s="8"/>
    </row>
    <row r="465" spans="1:6" x14ac:dyDescent="0.25">
      <c r="A465" s="118" t="s">
        <v>1662</v>
      </c>
      <c r="B465" s="30" t="s">
        <v>477</v>
      </c>
      <c r="C465" s="7" t="s">
        <v>4217</v>
      </c>
      <c r="D465" s="8">
        <v>72</v>
      </c>
      <c r="F465" s="8"/>
    </row>
    <row r="466" spans="1:6" x14ac:dyDescent="0.25">
      <c r="A466" s="118" t="s">
        <v>1664</v>
      </c>
      <c r="B466" s="30" t="s">
        <v>523</v>
      </c>
      <c r="C466" s="7" t="s">
        <v>4217</v>
      </c>
      <c r="D466" s="8">
        <v>108</v>
      </c>
      <c r="F466" s="8"/>
    </row>
    <row r="467" spans="1:6" x14ac:dyDescent="0.25">
      <c r="A467" s="118"/>
      <c r="C467" s="7"/>
      <c r="D467" s="7"/>
      <c r="E467" s="8">
        <v>76</v>
      </c>
      <c r="F467" s="8"/>
    </row>
    <row r="468" spans="1:6" x14ac:dyDescent="0.25">
      <c r="A468" s="147" t="s">
        <v>120</v>
      </c>
      <c r="B468" s="30" t="s">
        <v>123</v>
      </c>
      <c r="C468" s="7"/>
      <c r="D468" s="7"/>
      <c r="E468" s="8">
        <v>124</v>
      </c>
      <c r="F468" s="8"/>
    </row>
    <row r="469" spans="1:6" x14ac:dyDescent="0.25">
      <c r="A469" s="118" t="s">
        <v>1662</v>
      </c>
      <c r="B469" s="30" t="s">
        <v>477</v>
      </c>
      <c r="C469" s="7" t="s">
        <v>4217</v>
      </c>
      <c r="D469" s="8">
        <v>76</v>
      </c>
      <c r="F469" s="8"/>
    </row>
    <row r="470" spans="1:6" x14ac:dyDescent="0.25">
      <c r="A470" s="118" t="s">
        <v>1664</v>
      </c>
      <c r="B470" s="30" t="s">
        <v>523</v>
      </c>
      <c r="C470" s="7" t="s">
        <v>4217</v>
      </c>
      <c r="D470" s="8">
        <v>124</v>
      </c>
      <c r="F470" s="8"/>
    </row>
    <row r="471" spans="1:6" x14ac:dyDescent="0.25">
      <c r="A471" s="147"/>
      <c r="C471" s="7"/>
      <c r="D471" s="7"/>
      <c r="E471" s="8">
        <v>73</v>
      </c>
      <c r="F471" s="8"/>
    </row>
    <row r="472" spans="1:6" x14ac:dyDescent="0.25">
      <c r="A472" s="147" t="s">
        <v>5464</v>
      </c>
      <c r="B472" s="30" t="s">
        <v>124</v>
      </c>
      <c r="C472" s="7"/>
      <c r="D472" s="7"/>
      <c r="E472" s="8">
        <v>127</v>
      </c>
      <c r="F472" s="8"/>
    </row>
    <row r="473" spans="1:6" x14ac:dyDescent="0.25">
      <c r="A473" s="118" t="s">
        <v>1662</v>
      </c>
      <c r="B473" s="30" t="s">
        <v>477</v>
      </c>
      <c r="C473" s="7" t="s">
        <v>4217</v>
      </c>
      <c r="D473" s="8">
        <v>73</v>
      </c>
      <c r="F473" s="8"/>
    </row>
    <row r="474" spans="1:6" x14ac:dyDescent="0.25">
      <c r="A474" s="118" t="s">
        <v>1664</v>
      </c>
      <c r="B474" s="30" t="s">
        <v>523</v>
      </c>
      <c r="C474" s="7" t="s">
        <v>4217</v>
      </c>
      <c r="D474" s="8">
        <v>127</v>
      </c>
      <c r="F474" s="8"/>
    </row>
    <row r="475" spans="1:6" x14ac:dyDescent="0.25">
      <c r="A475" s="147"/>
      <c r="C475" s="7"/>
      <c r="D475" s="7"/>
      <c r="E475" s="8">
        <v>94</v>
      </c>
      <c r="F475" s="8"/>
    </row>
    <row r="476" spans="1:6" x14ac:dyDescent="0.25">
      <c r="A476" s="147" t="s">
        <v>5465</v>
      </c>
      <c r="B476" s="30" t="s">
        <v>125</v>
      </c>
      <c r="C476" s="7"/>
      <c r="D476" s="7"/>
      <c r="E476" s="8">
        <v>155</v>
      </c>
      <c r="F476" s="8"/>
    </row>
    <row r="477" spans="1:6" x14ac:dyDescent="0.25">
      <c r="A477" s="118" t="s">
        <v>1662</v>
      </c>
      <c r="B477" s="30" t="s">
        <v>477</v>
      </c>
      <c r="C477" s="7" t="s">
        <v>4217</v>
      </c>
      <c r="D477" s="8">
        <v>94</v>
      </c>
      <c r="F477" s="8"/>
    </row>
    <row r="478" spans="1:6" x14ac:dyDescent="0.25">
      <c r="A478" s="118" t="s">
        <v>1664</v>
      </c>
      <c r="B478" s="30" t="s">
        <v>523</v>
      </c>
      <c r="C478" s="7" t="s">
        <v>4217</v>
      </c>
      <c r="D478" s="8">
        <v>155</v>
      </c>
      <c r="F478" s="8"/>
    </row>
    <row r="479" spans="1:6" x14ac:dyDescent="0.25">
      <c r="A479" s="147"/>
      <c r="C479" s="7"/>
      <c r="D479" s="8"/>
      <c r="E479" s="8">
        <v>78</v>
      </c>
      <c r="F479" s="8"/>
    </row>
    <row r="480" spans="1:6" x14ac:dyDescent="0.25">
      <c r="A480" s="147" t="s">
        <v>5466</v>
      </c>
      <c r="B480" s="30" t="s">
        <v>126</v>
      </c>
      <c r="C480" s="7"/>
      <c r="D480" s="7"/>
      <c r="E480" s="8">
        <v>132</v>
      </c>
      <c r="F480" s="8"/>
    </row>
    <row r="481" spans="1:6" x14ac:dyDescent="0.25">
      <c r="A481" s="118" t="s">
        <v>1662</v>
      </c>
      <c r="B481" s="30" t="s">
        <v>477</v>
      </c>
      <c r="C481" s="7" t="s">
        <v>4217</v>
      </c>
      <c r="D481" s="8">
        <v>78</v>
      </c>
      <c r="F481" s="8"/>
    </row>
    <row r="482" spans="1:6" x14ac:dyDescent="0.25">
      <c r="A482" s="118" t="s">
        <v>1664</v>
      </c>
      <c r="B482" s="30" t="s">
        <v>523</v>
      </c>
      <c r="C482" s="7" t="s">
        <v>4217</v>
      </c>
      <c r="D482" s="8">
        <v>132</v>
      </c>
      <c r="F482" s="8"/>
    </row>
    <row r="483" spans="1:6" x14ac:dyDescent="0.25">
      <c r="A483" s="147"/>
      <c r="C483" s="7"/>
      <c r="D483" s="7"/>
      <c r="E483" s="8">
        <v>124</v>
      </c>
      <c r="F483" s="8"/>
    </row>
    <row r="484" spans="1:6" x14ac:dyDescent="0.25">
      <c r="A484" s="147" t="s">
        <v>5467</v>
      </c>
      <c r="B484" s="30" t="s">
        <v>127</v>
      </c>
      <c r="C484" s="7"/>
      <c r="D484" s="7"/>
      <c r="E484" s="8">
        <v>193</v>
      </c>
      <c r="F484" s="8"/>
    </row>
    <row r="485" spans="1:6" x14ac:dyDescent="0.25">
      <c r="A485" s="118" t="s">
        <v>1662</v>
      </c>
      <c r="B485" s="30" t="s">
        <v>477</v>
      </c>
      <c r="C485" s="7" t="s">
        <v>4217</v>
      </c>
      <c r="D485" s="8">
        <v>124</v>
      </c>
      <c r="F485" s="8"/>
    </row>
    <row r="486" spans="1:6" x14ac:dyDescent="0.25">
      <c r="A486" s="118" t="s">
        <v>1664</v>
      </c>
      <c r="B486" s="30" t="s">
        <v>523</v>
      </c>
      <c r="C486" s="7" t="s">
        <v>4217</v>
      </c>
      <c r="D486" s="8">
        <v>193</v>
      </c>
      <c r="F486" s="8"/>
    </row>
    <row r="487" spans="1:6" x14ac:dyDescent="0.25">
      <c r="A487" s="147"/>
      <c r="C487" s="7"/>
      <c r="D487" s="7"/>
      <c r="E487" s="8">
        <v>144</v>
      </c>
      <c r="F487" s="8"/>
    </row>
    <row r="488" spans="1:6" x14ac:dyDescent="0.25">
      <c r="A488" s="147" t="s">
        <v>5468</v>
      </c>
      <c r="B488" s="30" t="s">
        <v>128</v>
      </c>
      <c r="C488" s="7"/>
      <c r="D488" s="7"/>
      <c r="E488" s="8">
        <v>278</v>
      </c>
      <c r="F488" s="8"/>
    </row>
    <row r="489" spans="1:6" x14ac:dyDescent="0.25">
      <c r="A489" s="118" t="s">
        <v>1662</v>
      </c>
      <c r="B489" s="30" t="s">
        <v>477</v>
      </c>
      <c r="C489" s="7" t="s">
        <v>4217</v>
      </c>
      <c r="D489" s="8">
        <v>144</v>
      </c>
      <c r="F489" s="8"/>
    </row>
    <row r="490" spans="1:6" x14ac:dyDescent="0.25">
      <c r="A490" s="118" t="s">
        <v>1664</v>
      </c>
      <c r="B490" s="30" t="s">
        <v>523</v>
      </c>
      <c r="C490" s="7" t="s">
        <v>4217</v>
      </c>
      <c r="D490" s="8">
        <v>278</v>
      </c>
      <c r="F490" s="8"/>
    </row>
    <row r="491" spans="1:6" x14ac:dyDescent="0.25">
      <c r="A491" s="147"/>
      <c r="C491" s="7"/>
      <c r="D491" s="7"/>
      <c r="E491" s="8">
        <v>187</v>
      </c>
      <c r="F491" s="8"/>
    </row>
    <row r="492" spans="1:6" x14ac:dyDescent="0.25">
      <c r="A492" s="147" t="s">
        <v>5469</v>
      </c>
      <c r="B492" s="30" t="s">
        <v>129</v>
      </c>
      <c r="C492" s="7"/>
      <c r="D492" s="7"/>
      <c r="E492" s="8">
        <v>348</v>
      </c>
      <c r="F492" s="8"/>
    </row>
    <row r="493" spans="1:6" x14ac:dyDescent="0.25">
      <c r="A493" s="118" t="s">
        <v>1662</v>
      </c>
      <c r="B493" s="30" t="s">
        <v>477</v>
      </c>
      <c r="C493" s="7" t="s">
        <v>4217</v>
      </c>
      <c r="D493" s="8">
        <v>187</v>
      </c>
      <c r="F493" s="8"/>
    </row>
    <row r="494" spans="1:6" x14ac:dyDescent="0.25">
      <c r="A494" s="118" t="s">
        <v>1664</v>
      </c>
      <c r="B494" s="30" t="s">
        <v>523</v>
      </c>
      <c r="C494" s="7" t="s">
        <v>4217</v>
      </c>
      <c r="D494" s="8">
        <v>348</v>
      </c>
      <c r="F494" s="8"/>
    </row>
    <row r="495" spans="1:6" x14ac:dyDescent="0.25">
      <c r="A495" s="147"/>
      <c r="C495" s="7"/>
      <c r="D495" s="7"/>
      <c r="E495" s="8">
        <v>196</v>
      </c>
      <c r="F495" s="8"/>
    </row>
    <row r="496" spans="1:6" x14ac:dyDescent="0.25">
      <c r="A496" s="147" t="s">
        <v>5470</v>
      </c>
      <c r="B496" s="30" t="s">
        <v>529</v>
      </c>
      <c r="C496" s="7"/>
      <c r="D496" s="7"/>
      <c r="E496" s="8">
        <v>353</v>
      </c>
      <c r="F496" s="8"/>
    </row>
    <row r="497" spans="1:6" x14ac:dyDescent="0.25">
      <c r="A497" s="118" t="s">
        <v>1662</v>
      </c>
      <c r="B497" s="30" t="s">
        <v>477</v>
      </c>
      <c r="C497" s="7" t="s">
        <v>4217</v>
      </c>
      <c r="D497" s="8">
        <v>196</v>
      </c>
      <c r="F497" s="8"/>
    </row>
    <row r="498" spans="1:6" x14ac:dyDescent="0.25">
      <c r="A498" s="118" t="s">
        <v>1664</v>
      </c>
      <c r="B498" s="30" t="s">
        <v>523</v>
      </c>
      <c r="C498" s="7" t="s">
        <v>4217</v>
      </c>
      <c r="D498" s="8">
        <v>353</v>
      </c>
      <c r="F498" s="8"/>
    </row>
    <row r="499" spans="1:6" x14ac:dyDescent="0.25">
      <c r="A499" s="147"/>
      <c r="C499" s="7"/>
      <c r="D499" s="7"/>
      <c r="E499" s="8">
        <v>298</v>
      </c>
      <c r="F499" s="8"/>
    </row>
    <row r="500" spans="1:6" x14ac:dyDescent="0.25">
      <c r="A500" s="147" t="s">
        <v>5471</v>
      </c>
      <c r="B500" s="30" t="s">
        <v>130</v>
      </c>
      <c r="C500" s="7"/>
      <c r="D500" s="7"/>
      <c r="E500" s="8">
        <v>457</v>
      </c>
      <c r="F500" s="8"/>
    </row>
    <row r="501" spans="1:6" x14ac:dyDescent="0.25">
      <c r="A501" s="118" t="s">
        <v>1662</v>
      </c>
      <c r="B501" s="30" t="s">
        <v>477</v>
      </c>
      <c r="C501" s="7" t="s">
        <v>4217</v>
      </c>
      <c r="D501" s="8">
        <v>298</v>
      </c>
      <c r="F501" s="8"/>
    </row>
    <row r="502" spans="1:6" x14ac:dyDescent="0.25">
      <c r="A502" s="118" t="s">
        <v>1664</v>
      </c>
      <c r="B502" s="30" t="s">
        <v>523</v>
      </c>
      <c r="C502" s="7" t="s">
        <v>4217</v>
      </c>
      <c r="D502" s="8">
        <v>457</v>
      </c>
      <c r="F502" s="8"/>
    </row>
    <row r="503" spans="1:6" x14ac:dyDescent="0.25">
      <c r="A503" s="147"/>
      <c r="C503" s="7"/>
      <c r="D503" s="7"/>
      <c r="E503" s="8">
        <v>62</v>
      </c>
      <c r="F503" s="8"/>
    </row>
    <row r="504" spans="1:6" x14ac:dyDescent="0.25">
      <c r="A504" s="147" t="s">
        <v>5472</v>
      </c>
      <c r="B504" s="30" t="s">
        <v>131</v>
      </c>
      <c r="C504" s="7"/>
      <c r="D504" s="7"/>
      <c r="E504" s="8">
        <v>76</v>
      </c>
      <c r="F504" s="8"/>
    </row>
    <row r="505" spans="1:6" x14ac:dyDescent="0.25">
      <c r="A505" s="118" t="s">
        <v>1662</v>
      </c>
      <c r="B505" s="30" t="s">
        <v>477</v>
      </c>
      <c r="C505" s="7" t="s">
        <v>4217</v>
      </c>
      <c r="D505" s="8">
        <v>62</v>
      </c>
      <c r="F505" s="8"/>
    </row>
    <row r="506" spans="1:6" x14ac:dyDescent="0.25">
      <c r="A506" s="118" t="s">
        <v>1664</v>
      </c>
      <c r="B506" s="30" t="s">
        <v>523</v>
      </c>
      <c r="C506" s="7" t="s">
        <v>4217</v>
      </c>
      <c r="D506" s="8">
        <v>76</v>
      </c>
      <c r="F506" s="8"/>
    </row>
    <row r="507" spans="1:6" x14ac:dyDescent="0.25">
      <c r="A507" s="147"/>
      <c r="C507" s="7"/>
      <c r="D507" s="7"/>
      <c r="E507" s="8">
        <v>18</v>
      </c>
      <c r="F507" s="8"/>
    </row>
    <row r="508" spans="1:6" x14ac:dyDescent="0.25">
      <c r="A508" s="147" t="s">
        <v>5473</v>
      </c>
      <c r="B508" s="30" t="s">
        <v>538</v>
      </c>
      <c r="C508" s="7"/>
      <c r="D508" s="7"/>
      <c r="E508" s="8">
        <v>31</v>
      </c>
      <c r="F508" s="8"/>
    </row>
    <row r="509" spans="1:6" x14ac:dyDescent="0.25">
      <c r="A509" s="118" t="s">
        <v>1662</v>
      </c>
      <c r="B509" s="30" t="s">
        <v>477</v>
      </c>
      <c r="C509" s="7" t="s">
        <v>4217</v>
      </c>
      <c r="D509" s="8">
        <v>18</v>
      </c>
      <c r="F509" s="8"/>
    </row>
    <row r="510" spans="1:6" x14ac:dyDescent="0.25">
      <c r="A510" s="118" t="s">
        <v>1664</v>
      </c>
      <c r="B510" s="30" t="s">
        <v>523</v>
      </c>
      <c r="C510" s="7" t="s">
        <v>4217</v>
      </c>
      <c r="D510" s="8">
        <v>31</v>
      </c>
      <c r="F510" s="8"/>
    </row>
    <row r="511" spans="1:6" x14ac:dyDescent="0.25">
      <c r="A511" s="147"/>
      <c r="C511" s="7"/>
      <c r="D511" s="7"/>
      <c r="E511" s="8">
        <v>334</v>
      </c>
      <c r="F511" s="8"/>
    </row>
    <row r="512" spans="1:6" x14ac:dyDescent="0.25">
      <c r="A512" s="147" t="s">
        <v>5474</v>
      </c>
      <c r="B512" s="30" t="s">
        <v>132</v>
      </c>
      <c r="C512" s="7"/>
      <c r="D512" s="7"/>
      <c r="E512" s="8">
        <v>572</v>
      </c>
      <c r="F512" s="8"/>
    </row>
    <row r="513" spans="1:6" x14ac:dyDescent="0.25">
      <c r="A513" s="118" t="s">
        <v>1662</v>
      </c>
      <c r="B513" s="30" t="s">
        <v>477</v>
      </c>
      <c r="C513" s="7" t="s">
        <v>4217</v>
      </c>
      <c r="D513" s="8">
        <v>334</v>
      </c>
      <c r="F513" s="8"/>
    </row>
    <row r="514" spans="1:6" x14ac:dyDescent="0.25">
      <c r="A514" s="118" t="s">
        <v>1664</v>
      </c>
      <c r="B514" s="30" t="s">
        <v>523</v>
      </c>
      <c r="C514" s="7" t="s">
        <v>4217</v>
      </c>
      <c r="D514" s="8">
        <v>572</v>
      </c>
      <c r="F514" s="8"/>
    </row>
    <row r="515" spans="1:6" x14ac:dyDescent="0.25">
      <c r="A515" s="147"/>
      <c r="C515" s="7"/>
      <c r="D515" s="7"/>
      <c r="E515" s="8">
        <v>216</v>
      </c>
      <c r="F515" s="8"/>
    </row>
    <row r="516" spans="1:6" x14ac:dyDescent="0.25">
      <c r="A516" s="147" t="s">
        <v>5475</v>
      </c>
      <c r="B516" s="30" t="s">
        <v>133</v>
      </c>
      <c r="C516" s="7"/>
      <c r="D516" s="7"/>
      <c r="F516" s="8"/>
    </row>
    <row r="517" spans="1:6" x14ac:dyDescent="0.25">
      <c r="A517" s="147"/>
      <c r="B517" s="30" t="s">
        <v>523</v>
      </c>
      <c r="C517" s="7" t="s">
        <v>4217</v>
      </c>
      <c r="D517" s="8">
        <v>216</v>
      </c>
      <c r="F517" s="8"/>
    </row>
    <row r="518" spans="1:6" x14ac:dyDescent="0.25">
      <c r="A518" s="147"/>
      <c r="C518" s="7"/>
      <c r="D518" s="7"/>
      <c r="E518" s="8">
        <v>226</v>
      </c>
      <c r="F518" s="8"/>
    </row>
    <row r="519" spans="1:6" x14ac:dyDescent="0.25">
      <c r="A519" s="147" t="s">
        <v>5476</v>
      </c>
      <c r="B519" s="30" t="s">
        <v>134</v>
      </c>
      <c r="C519" s="7"/>
      <c r="D519" s="7"/>
      <c r="F519" s="8"/>
    </row>
    <row r="520" spans="1:6" x14ac:dyDescent="0.25">
      <c r="A520" s="147"/>
      <c r="B520" s="30" t="s">
        <v>523</v>
      </c>
      <c r="C520" s="7" t="s">
        <v>4217</v>
      </c>
      <c r="D520" s="8">
        <v>226</v>
      </c>
      <c r="F520" s="8"/>
    </row>
    <row r="521" spans="1:6" x14ac:dyDescent="0.25">
      <c r="A521" s="147"/>
      <c r="C521" s="7"/>
      <c r="D521" s="7"/>
      <c r="E521" s="8">
        <v>120</v>
      </c>
      <c r="F521" s="8"/>
    </row>
    <row r="522" spans="1:6" x14ac:dyDescent="0.25">
      <c r="A522" s="147" t="s">
        <v>5477</v>
      </c>
      <c r="B522" s="30" t="s">
        <v>135</v>
      </c>
      <c r="C522" s="7"/>
      <c r="D522" s="7"/>
      <c r="E522" s="8">
        <v>210</v>
      </c>
      <c r="F522" s="8"/>
    </row>
    <row r="523" spans="1:6" x14ac:dyDescent="0.25">
      <c r="A523" s="118" t="s">
        <v>1662</v>
      </c>
      <c r="B523" s="30" t="s">
        <v>477</v>
      </c>
      <c r="C523" s="7" t="s">
        <v>4217</v>
      </c>
      <c r="D523" s="8">
        <v>120</v>
      </c>
      <c r="F523" s="8"/>
    </row>
    <row r="524" spans="1:6" x14ac:dyDescent="0.25">
      <c r="A524" s="118" t="s">
        <v>1664</v>
      </c>
      <c r="B524" s="30" t="s">
        <v>523</v>
      </c>
      <c r="C524" s="7" t="s">
        <v>4217</v>
      </c>
      <c r="D524" s="8">
        <v>210</v>
      </c>
      <c r="F524" s="8"/>
    </row>
    <row r="525" spans="1:6" x14ac:dyDescent="0.25">
      <c r="A525" s="147"/>
      <c r="C525" s="7"/>
      <c r="D525" s="7"/>
      <c r="E525" s="8">
        <v>136</v>
      </c>
      <c r="F525" s="8"/>
    </row>
    <row r="526" spans="1:6" x14ac:dyDescent="0.25">
      <c r="A526" s="147" t="s">
        <v>5478</v>
      </c>
      <c r="B526" s="30" t="s">
        <v>136</v>
      </c>
      <c r="C526" s="7"/>
      <c r="D526" s="7"/>
      <c r="E526" s="8">
        <v>242</v>
      </c>
      <c r="F526" s="8"/>
    </row>
    <row r="527" spans="1:6" x14ac:dyDescent="0.25">
      <c r="A527" s="118" t="s">
        <v>1662</v>
      </c>
      <c r="B527" s="30" t="s">
        <v>477</v>
      </c>
      <c r="C527" s="7" t="s">
        <v>4217</v>
      </c>
      <c r="D527" s="8">
        <v>136</v>
      </c>
      <c r="F527" s="8"/>
    </row>
    <row r="528" spans="1:6" x14ac:dyDescent="0.25">
      <c r="A528" s="118" t="s">
        <v>1664</v>
      </c>
      <c r="B528" s="30" t="s">
        <v>523</v>
      </c>
      <c r="C528" s="7" t="s">
        <v>4217</v>
      </c>
      <c r="D528" s="8">
        <v>242</v>
      </c>
      <c r="F528" s="8"/>
    </row>
    <row r="529" spans="1:6" x14ac:dyDescent="0.25">
      <c r="A529" s="147"/>
      <c r="C529" s="7"/>
      <c r="D529" s="7"/>
      <c r="E529" s="8">
        <v>212</v>
      </c>
      <c r="F529" s="8"/>
    </row>
    <row r="530" spans="1:6" x14ac:dyDescent="0.25">
      <c r="A530" s="147"/>
      <c r="C530" s="7"/>
      <c r="D530" s="7"/>
      <c r="F530" s="8"/>
    </row>
    <row r="531" spans="1:6" x14ac:dyDescent="0.25">
      <c r="A531" s="147"/>
      <c r="C531" s="7"/>
      <c r="D531" s="7"/>
      <c r="F531" s="8"/>
    </row>
    <row r="532" spans="1:6" x14ac:dyDescent="0.25">
      <c r="A532" s="147"/>
      <c r="C532" s="7"/>
      <c r="D532" s="7"/>
      <c r="F532" s="8"/>
    </row>
    <row r="533" spans="1:6" x14ac:dyDescent="0.25">
      <c r="A533" s="147" t="s">
        <v>5479</v>
      </c>
      <c r="B533" s="30" t="s">
        <v>137</v>
      </c>
      <c r="C533" s="7"/>
      <c r="D533" s="7"/>
      <c r="E533" s="8">
        <v>367</v>
      </c>
      <c r="F533" s="8"/>
    </row>
    <row r="534" spans="1:6" x14ac:dyDescent="0.25">
      <c r="A534" s="118" t="s">
        <v>1662</v>
      </c>
      <c r="B534" s="30" t="s">
        <v>477</v>
      </c>
      <c r="C534" s="7" t="s">
        <v>4217</v>
      </c>
      <c r="D534" s="8">
        <v>212</v>
      </c>
      <c r="F534" s="8"/>
    </row>
    <row r="535" spans="1:6" x14ac:dyDescent="0.25">
      <c r="A535" s="118" t="s">
        <v>1664</v>
      </c>
      <c r="B535" s="30" t="s">
        <v>523</v>
      </c>
      <c r="C535" s="7" t="s">
        <v>4217</v>
      </c>
      <c r="D535" s="8">
        <v>367</v>
      </c>
      <c r="F535" s="8"/>
    </row>
    <row r="536" spans="1:6" x14ac:dyDescent="0.25">
      <c r="A536" s="147"/>
      <c r="C536" s="7"/>
      <c r="D536" s="7"/>
      <c r="E536" s="8">
        <v>241</v>
      </c>
      <c r="F536" s="8"/>
    </row>
    <row r="537" spans="1:6" x14ac:dyDescent="0.25">
      <c r="A537" s="147" t="s">
        <v>5480</v>
      </c>
      <c r="B537" s="30" t="s">
        <v>542</v>
      </c>
      <c r="C537" s="7"/>
      <c r="D537" s="7"/>
      <c r="F537" s="8"/>
    </row>
    <row r="538" spans="1:6" x14ac:dyDescent="0.25">
      <c r="A538" s="147"/>
      <c r="B538" s="30" t="s">
        <v>523</v>
      </c>
      <c r="C538" s="7" t="s">
        <v>4217</v>
      </c>
      <c r="D538" s="8">
        <v>241</v>
      </c>
      <c r="F538" s="8"/>
    </row>
    <row r="539" spans="1:6" x14ac:dyDescent="0.25">
      <c r="A539" s="147"/>
      <c r="C539" s="7"/>
      <c r="D539" s="7"/>
      <c r="E539" s="8">
        <v>282</v>
      </c>
      <c r="F539" s="8"/>
    </row>
    <row r="540" spans="1:6" x14ac:dyDescent="0.25">
      <c r="A540" s="147" t="s">
        <v>5481</v>
      </c>
      <c r="B540" s="30" t="s">
        <v>494</v>
      </c>
      <c r="C540" s="7"/>
      <c r="D540" s="7"/>
      <c r="F540" s="8"/>
    </row>
    <row r="541" spans="1:6" x14ac:dyDescent="0.25">
      <c r="A541" s="147"/>
      <c r="B541" s="30" t="s">
        <v>523</v>
      </c>
      <c r="C541" s="7" t="s">
        <v>4217</v>
      </c>
      <c r="D541" s="8">
        <v>282</v>
      </c>
      <c r="F541" s="8"/>
    </row>
    <row r="542" spans="1:6" x14ac:dyDescent="0.25">
      <c r="A542" s="147"/>
      <c r="C542" s="7"/>
      <c r="D542" s="7"/>
      <c r="E542" s="8">
        <v>37</v>
      </c>
      <c r="F542" s="8"/>
    </row>
    <row r="543" spans="1:6" x14ac:dyDescent="0.25">
      <c r="A543" s="147" t="s">
        <v>5482</v>
      </c>
      <c r="B543" s="30" t="s">
        <v>138</v>
      </c>
      <c r="C543" s="7"/>
      <c r="D543" s="7"/>
      <c r="F543" s="8"/>
    </row>
    <row r="544" spans="1:6" x14ac:dyDescent="0.25">
      <c r="A544" s="147"/>
      <c r="B544" s="30" t="s">
        <v>523</v>
      </c>
      <c r="C544" s="7" t="s">
        <v>4217</v>
      </c>
      <c r="D544" s="8">
        <v>37</v>
      </c>
      <c r="F544" s="8"/>
    </row>
    <row r="545" spans="1:6" x14ac:dyDescent="0.25">
      <c r="A545" s="147"/>
      <c r="C545" s="7"/>
      <c r="D545" s="7"/>
      <c r="E545" s="8">
        <v>26</v>
      </c>
      <c r="F545" s="8"/>
    </row>
    <row r="546" spans="1:6" x14ac:dyDescent="0.25">
      <c r="A546" s="147" t="s">
        <v>5483</v>
      </c>
      <c r="B546" s="30" t="s">
        <v>139</v>
      </c>
      <c r="C546" s="7"/>
      <c r="D546" s="7"/>
      <c r="F546" s="8"/>
    </row>
    <row r="547" spans="1:6" x14ac:dyDescent="0.25">
      <c r="A547" s="147"/>
      <c r="B547" s="30" t="s">
        <v>523</v>
      </c>
      <c r="C547" s="7" t="s">
        <v>4217</v>
      </c>
      <c r="D547" s="8">
        <v>26</v>
      </c>
      <c r="F547" s="8"/>
    </row>
    <row r="548" spans="1:6" x14ac:dyDescent="0.25">
      <c r="A548" s="147"/>
      <c r="C548" s="7"/>
      <c r="D548" s="7"/>
      <c r="E548" s="8">
        <v>14</v>
      </c>
      <c r="F548" s="8"/>
    </row>
    <row r="549" spans="1:6" x14ac:dyDescent="0.25">
      <c r="A549" s="147" t="s">
        <v>5484</v>
      </c>
      <c r="B549" s="30" t="s">
        <v>140</v>
      </c>
      <c r="C549" s="7"/>
      <c r="D549" s="7"/>
      <c r="E549" s="8">
        <v>17</v>
      </c>
      <c r="F549" s="8"/>
    </row>
    <row r="550" spans="1:6" x14ac:dyDescent="0.25">
      <c r="A550" s="118" t="s">
        <v>1662</v>
      </c>
      <c r="B550" s="30" t="s">
        <v>477</v>
      </c>
      <c r="C550" s="7" t="s">
        <v>4217</v>
      </c>
      <c r="D550" s="8">
        <v>14</v>
      </c>
      <c r="F550" s="8"/>
    </row>
    <row r="551" spans="1:6" x14ac:dyDescent="0.25">
      <c r="A551" s="118" t="s">
        <v>1664</v>
      </c>
      <c r="B551" s="30" t="s">
        <v>523</v>
      </c>
      <c r="C551" s="7" t="s">
        <v>4217</v>
      </c>
      <c r="D551" s="8">
        <v>17</v>
      </c>
      <c r="F551" s="8"/>
    </row>
    <row r="552" spans="1:6" x14ac:dyDescent="0.25">
      <c r="A552" s="147"/>
      <c r="C552" s="7"/>
      <c r="D552" s="7"/>
      <c r="E552" s="8">
        <v>685</v>
      </c>
      <c r="F552" s="8"/>
    </row>
    <row r="553" spans="1:6" x14ac:dyDescent="0.25">
      <c r="A553" s="147" t="s">
        <v>5485</v>
      </c>
      <c r="B553" s="30" t="s">
        <v>994</v>
      </c>
      <c r="C553" s="7"/>
      <c r="D553" s="7"/>
      <c r="F553" s="8"/>
    </row>
    <row r="554" spans="1:6" x14ac:dyDescent="0.25">
      <c r="A554" s="147"/>
      <c r="B554" s="30" t="s">
        <v>523</v>
      </c>
      <c r="C554" s="7" t="s">
        <v>4217</v>
      </c>
      <c r="D554" s="8">
        <v>685</v>
      </c>
      <c r="F554" s="8"/>
    </row>
    <row r="555" spans="1:6" x14ac:dyDescent="0.25">
      <c r="A555" s="147"/>
      <c r="C555" s="7"/>
      <c r="D555" s="7"/>
      <c r="E555" s="8">
        <v>171</v>
      </c>
      <c r="F555" s="8"/>
    </row>
    <row r="556" spans="1:6" x14ac:dyDescent="0.25">
      <c r="A556" s="147" t="s">
        <v>5486</v>
      </c>
      <c r="B556" s="30" t="s">
        <v>141</v>
      </c>
      <c r="C556" s="7"/>
      <c r="D556" s="7"/>
      <c r="F556" s="8"/>
    </row>
    <row r="557" spans="1:6" x14ac:dyDescent="0.25">
      <c r="A557" s="147"/>
      <c r="B557" s="30" t="s">
        <v>523</v>
      </c>
      <c r="C557" s="7" t="s">
        <v>4217</v>
      </c>
      <c r="D557" s="8">
        <v>171</v>
      </c>
      <c r="F557" s="8"/>
    </row>
    <row r="558" spans="1:6" x14ac:dyDescent="0.25">
      <c r="A558" s="147"/>
      <c r="C558" s="7"/>
      <c r="D558" s="7"/>
      <c r="E558" s="8">
        <v>152</v>
      </c>
      <c r="F558" s="8"/>
    </row>
    <row r="559" spans="1:6" x14ac:dyDescent="0.25">
      <c r="A559" s="147" t="s">
        <v>5487</v>
      </c>
      <c r="B559" s="30" t="s">
        <v>142</v>
      </c>
      <c r="C559" s="7"/>
      <c r="D559" s="7"/>
      <c r="F559" s="8"/>
    </row>
    <row r="560" spans="1:6" x14ac:dyDescent="0.25">
      <c r="A560" s="147"/>
      <c r="B560" s="30" t="s">
        <v>523</v>
      </c>
      <c r="C560" s="7" t="s">
        <v>4217</v>
      </c>
      <c r="D560" s="8">
        <v>152</v>
      </c>
      <c r="F560" s="8"/>
    </row>
    <row r="561" spans="1:6" x14ac:dyDescent="0.25">
      <c r="A561" s="147"/>
      <c r="C561" s="7"/>
      <c r="D561" s="7"/>
      <c r="E561" s="8">
        <v>153</v>
      </c>
      <c r="F561" s="8"/>
    </row>
    <row r="562" spans="1:6" x14ac:dyDescent="0.25">
      <c r="A562" s="147" t="s">
        <v>5488</v>
      </c>
      <c r="B562" s="30" t="s">
        <v>612</v>
      </c>
      <c r="C562" s="7"/>
      <c r="D562" s="7"/>
      <c r="F562" s="8"/>
    </row>
    <row r="563" spans="1:6" x14ac:dyDescent="0.25">
      <c r="A563" s="147"/>
      <c r="B563" s="30" t="s">
        <v>518</v>
      </c>
      <c r="C563" s="7" t="s">
        <v>4217</v>
      </c>
      <c r="D563" s="8">
        <v>153</v>
      </c>
      <c r="F563" s="8"/>
    </row>
    <row r="564" spans="1:6" x14ac:dyDescent="0.25">
      <c r="A564" s="147"/>
      <c r="C564" s="7"/>
      <c r="D564" s="7"/>
      <c r="E564" s="8">
        <v>135</v>
      </c>
      <c r="F564" s="8"/>
    </row>
    <row r="565" spans="1:6" x14ac:dyDescent="0.25">
      <c r="A565" s="147" t="s">
        <v>5489</v>
      </c>
      <c r="B565" s="30" t="s">
        <v>613</v>
      </c>
      <c r="C565" s="7"/>
      <c r="D565" s="7"/>
      <c r="F565" s="8"/>
    </row>
    <row r="566" spans="1:6" x14ac:dyDescent="0.25">
      <c r="A566" s="147"/>
      <c r="B566" s="30" t="s">
        <v>518</v>
      </c>
      <c r="C566" s="7" t="s">
        <v>4217</v>
      </c>
      <c r="D566" s="8">
        <v>135</v>
      </c>
      <c r="F566" s="8"/>
    </row>
    <row r="567" spans="1:6" x14ac:dyDescent="0.25">
      <c r="A567" s="147"/>
      <c r="C567" s="7"/>
      <c r="D567" s="7"/>
      <c r="E567" s="8">
        <v>48</v>
      </c>
      <c r="F567" s="8"/>
    </row>
    <row r="568" spans="1:6" x14ac:dyDescent="0.25">
      <c r="A568" s="147" t="s">
        <v>5490</v>
      </c>
      <c r="B568" s="30" t="s">
        <v>992</v>
      </c>
      <c r="C568" s="7"/>
      <c r="D568" s="7"/>
      <c r="F568" s="8"/>
    </row>
    <row r="569" spans="1:6" x14ac:dyDescent="0.25">
      <c r="A569" s="147"/>
      <c r="B569" s="30" t="s">
        <v>993</v>
      </c>
      <c r="C569" s="7" t="s">
        <v>4217</v>
      </c>
      <c r="D569" s="8">
        <v>48</v>
      </c>
      <c r="F569" s="8"/>
    </row>
    <row r="570" spans="1:6" x14ac:dyDescent="0.25">
      <c r="A570" s="147"/>
      <c r="C570" s="7"/>
      <c r="D570" s="7"/>
      <c r="E570" s="8">
        <v>59</v>
      </c>
      <c r="F570" s="8"/>
    </row>
    <row r="571" spans="1:6" x14ac:dyDescent="0.25">
      <c r="A571" s="147" t="s">
        <v>5491</v>
      </c>
      <c r="B571" s="30" t="s">
        <v>992</v>
      </c>
      <c r="C571" s="7"/>
      <c r="D571" s="7"/>
      <c r="F571" s="8"/>
    </row>
    <row r="572" spans="1:6" x14ac:dyDescent="0.25">
      <c r="A572" s="147"/>
      <c r="B572" s="30" t="s">
        <v>523</v>
      </c>
      <c r="C572" s="7" t="s">
        <v>4217</v>
      </c>
      <c r="D572" s="8">
        <v>59</v>
      </c>
      <c r="F572" s="8"/>
    </row>
    <row r="573" spans="1:6" x14ac:dyDescent="0.25">
      <c r="A573" s="147"/>
      <c r="C573" s="7"/>
      <c r="D573" s="7"/>
      <c r="E573" s="8">
        <v>936</v>
      </c>
      <c r="F573" s="8"/>
    </row>
    <row r="574" spans="1:6" x14ac:dyDescent="0.25">
      <c r="A574" s="147"/>
      <c r="C574" s="7"/>
      <c r="D574" s="7"/>
      <c r="F574" s="8"/>
    </row>
    <row r="575" spans="1:6" x14ac:dyDescent="0.25">
      <c r="A575" s="147"/>
      <c r="C575" s="7"/>
      <c r="D575" s="7"/>
      <c r="F575" s="8"/>
    </row>
    <row r="576" spans="1:6" x14ac:dyDescent="0.25">
      <c r="A576" s="147"/>
      <c r="C576" s="7"/>
      <c r="D576" s="7"/>
      <c r="F576" s="8"/>
    </row>
    <row r="577" spans="1:6" x14ac:dyDescent="0.25">
      <c r="A577" s="147"/>
      <c r="C577" s="7"/>
      <c r="D577" s="7"/>
      <c r="F577" s="8"/>
    </row>
    <row r="578" spans="1:6" ht="47.25" x14ac:dyDescent="0.25">
      <c r="A578" s="147">
        <v>3.46</v>
      </c>
      <c r="B578" s="30" t="s">
        <v>4348</v>
      </c>
      <c r="C578" s="7"/>
      <c r="D578" s="7"/>
      <c r="E578" s="8">
        <v>2695</v>
      </c>
      <c r="F578" s="8"/>
    </row>
    <row r="579" spans="1:6" x14ac:dyDescent="0.25">
      <c r="A579" s="147" t="s">
        <v>1660</v>
      </c>
      <c r="B579" s="30" t="s">
        <v>4351</v>
      </c>
      <c r="C579" s="7" t="s">
        <v>4217</v>
      </c>
      <c r="D579" s="8">
        <v>936</v>
      </c>
      <c r="E579" s="8">
        <v>923</v>
      </c>
      <c r="F579" s="8"/>
    </row>
    <row r="580" spans="1:6" x14ac:dyDescent="0.25">
      <c r="A580" s="147" t="s">
        <v>1666</v>
      </c>
      <c r="B580" s="30" t="s">
        <v>4343</v>
      </c>
      <c r="C580" s="7" t="s">
        <v>4217</v>
      </c>
      <c r="D580" s="8">
        <v>2695</v>
      </c>
      <c r="E580" s="8">
        <v>1656</v>
      </c>
      <c r="F580" s="8"/>
    </row>
    <row r="581" spans="1:6" x14ac:dyDescent="0.25">
      <c r="A581" s="147" t="s">
        <v>1672</v>
      </c>
      <c r="B581" s="30" t="s">
        <v>4344</v>
      </c>
      <c r="C581" s="7" t="s">
        <v>4217</v>
      </c>
      <c r="D581" s="8">
        <v>923</v>
      </c>
      <c r="F581" s="8"/>
    </row>
    <row r="582" spans="1:6" x14ac:dyDescent="0.25">
      <c r="A582" s="147" t="s">
        <v>2015</v>
      </c>
      <c r="B582" s="30" t="s">
        <v>4345</v>
      </c>
      <c r="C582" s="7" t="s">
        <v>4217</v>
      </c>
      <c r="D582" s="8">
        <v>1656</v>
      </c>
      <c r="E582" s="8">
        <v>182</v>
      </c>
      <c r="F582" s="8"/>
    </row>
    <row r="583" spans="1:6" ht="47.25" x14ac:dyDescent="0.25">
      <c r="A583" s="147">
        <v>3.47</v>
      </c>
      <c r="B583" s="30" t="s">
        <v>4352</v>
      </c>
      <c r="C583" s="7"/>
      <c r="E583" s="8">
        <v>145</v>
      </c>
      <c r="F583" s="8"/>
    </row>
    <row r="584" spans="1:6" x14ac:dyDescent="0.25">
      <c r="A584" s="147" t="s">
        <v>1660</v>
      </c>
      <c r="B584" s="30" t="s">
        <v>4346</v>
      </c>
      <c r="C584" s="7" t="s">
        <v>4217</v>
      </c>
      <c r="D584" s="8">
        <v>182</v>
      </c>
      <c r="F584" s="8"/>
    </row>
    <row r="585" spans="1:6" x14ac:dyDescent="0.25">
      <c r="A585" s="147" t="s">
        <v>1666</v>
      </c>
      <c r="B585" s="30" t="s">
        <v>4347</v>
      </c>
      <c r="C585" s="7" t="s">
        <v>4217</v>
      </c>
      <c r="D585" s="8">
        <v>145</v>
      </c>
      <c r="E585" s="8">
        <v>117</v>
      </c>
      <c r="F585" s="8"/>
    </row>
    <row r="586" spans="1:6" x14ac:dyDescent="0.25">
      <c r="A586" s="147"/>
      <c r="C586" s="7"/>
      <c r="D586" s="17"/>
      <c r="F586" s="8"/>
    </row>
    <row r="587" spans="1:6" ht="47.25" x14ac:dyDescent="0.25">
      <c r="A587" s="147">
        <v>3.48</v>
      </c>
      <c r="B587" s="30" t="s">
        <v>4349</v>
      </c>
      <c r="C587" s="7" t="s">
        <v>4166</v>
      </c>
      <c r="D587" s="8">
        <v>117</v>
      </c>
      <c r="E587" s="8">
        <v>73</v>
      </c>
      <c r="F587" s="8"/>
    </row>
    <row r="588" spans="1:6" x14ac:dyDescent="0.25">
      <c r="A588" s="147"/>
      <c r="C588" s="7"/>
      <c r="F588" s="8"/>
    </row>
    <row r="589" spans="1:6" ht="47.25" x14ac:dyDescent="0.25">
      <c r="A589" s="7">
        <v>3.49</v>
      </c>
      <c r="B589" s="30" t="s">
        <v>4353</v>
      </c>
      <c r="C589" s="7" t="s">
        <v>4166</v>
      </c>
      <c r="D589" s="8">
        <v>73</v>
      </c>
      <c r="E589" s="8">
        <v>61</v>
      </c>
      <c r="F589" s="8"/>
    </row>
    <row r="590" spans="1:6" x14ac:dyDescent="0.25">
      <c r="A590" s="7"/>
      <c r="C590" s="7"/>
      <c r="D590" s="17"/>
      <c r="F590" s="8"/>
    </row>
    <row r="591" spans="1:6" ht="47.25" x14ac:dyDescent="0.25">
      <c r="A591" s="7">
        <v>3.5</v>
      </c>
      <c r="B591" s="30" t="s">
        <v>4350</v>
      </c>
      <c r="C591" s="7" t="s">
        <v>4217</v>
      </c>
      <c r="D591" s="8">
        <v>61</v>
      </c>
      <c r="F591" s="8"/>
    </row>
    <row r="592" spans="1:6" x14ac:dyDescent="0.25">
      <c r="A592" s="147"/>
      <c r="C592" s="7"/>
      <c r="D592" s="7"/>
      <c r="E592" s="8">
        <v>1128</v>
      </c>
      <c r="F592" s="8"/>
    </row>
    <row r="593" spans="1:6" ht="78.75" x14ac:dyDescent="0.25">
      <c r="A593" s="101">
        <v>3.51</v>
      </c>
      <c r="B593" s="191" t="s">
        <v>4780</v>
      </c>
      <c r="C593" s="147"/>
      <c r="D593" s="7"/>
      <c r="E593" s="8">
        <v>1372</v>
      </c>
      <c r="F593" s="8"/>
    </row>
    <row r="594" spans="1:6" x14ac:dyDescent="0.25">
      <c r="A594" s="101" t="s">
        <v>5492</v>
      </c>
      <c r="B594" s="191" t="s">
        <v>518</v>
      </c>
      <c r="C594" s="147" t="s">
        <v>4166</v>
      </c>
      <c r="D594" s="8">
        <v>1128</v>
      </c>
      <c r="E594" s="8">
        <v>2240</v>
      </c>
      <c r="F594" s="8"/>
    </row>
    <row r="595" spans="1:6" x14ac:dyDescent="0.25">
      <c r="A595" s="101" t="s">
        <v>5493</v>
      </c>
      <c r="B595" s="191" t="s">
        <v>100</v>
      </c>
      <c r="C595" s="147" t="s">
        <v>4166</v>
      </c>
      <c r="D595" s="8">
        <v>1372</v>
      </c>
      <c r="F595" s="8"/>
    </row>
    <row r="596" spans="1:6" x14ac:dyDescent="0.25">
      <c r="A596" s="101" t="s">
        <v>5494</v>
      </c>
      <c r="B596" s="191" t="s">
        <v>102</v>
      </c>
      <c r="C596" s="147" t="s">
        <v>4166</v>
      </c>
      <c r="D596" s="8">
        <v>2240</v>
      </c>
      <c r="F596" s="8"/>
    </row>
    <row r="597" spans="1:6" x14ac:dyDescent="0.25">
      <c r="A597" s="101"/>
      <c r="B597" s="191"/>
      <c r="C597" s="147"/>
      <c r="D597" s="7"/>
      <c r="F597" s="8"/>
    </row>
    <row r="598" spans="1:6" ht="31.5" x14ac:dyDescent="0.25">
      <c r="A598" s="101">
        <v>3.52</v>
      </c>
      <c r="B598" s="191" t="s">
        <v>4784</v>
      </c>
      <c r="C598" s="147"/>
      <c r="D598" s="7"/>
      <c r="E598" s="8">
        <v>562</v>
      </c>
      <c r="F598" s="8"/>
    </row>
    <row r="599" spans="1:6" x14ac:dyDescent="0.25">
      <c r="A599" s="101" t="s">
        <v>4781</v>
      </c>
      <c r="B599" s="191" t="s">
        <v>105</v>
      </c>
      <c r="C599" s="147"/>
      <c r="D599" s="7"/>
      <c r="E599" s="8">
        <v>460</v>
      </c>
      <c r="F599" s="8"/>
    </row>
    <row r="600" spans="1:6" x14ac:dyDescent="0.25">
      <c r="A600" s="101" t="s">
        <v>1662</v>
      </c>
      <c r="B600" s="191" t="s">
        <v>4785</v>
      </c>
      <c r="C600" s="147" t="s">
        <v>4217</v>
      </c>
      <c r="D600" s="8">
        <v>562</v>
      </c>
      <c r="E600" s="8">
        <v>597</v>
      </c>
      <c r="F600" s="8"/>
    </row>
    <row r="601" spans="1:6" x14ac:dyDescent="0.25">
      <c r="A601" s="101" t="s">
        <v>1664</v>
      </c>
      <c r="B601" s="191" t="s">
        <v>4786</v>
      </c>
      <c r="C601" s="147" t="s">
        <v>4217</v>
      </c>
      <c r="D601" s="8">
        <v>460</v>
      </c>
      <c r="E601" s="8">
        <v>300</v>
      </c>
      <c r="F601" s="8"/>
    </row>
    <row r="602" spans="1:6" x14ac:dyDescent="0.25">
      <c r="A602" s="101" t="s">
        <v>1670</v>
      </c>
      <c r="B602" s="191" t="s">
        <v>106</v>
      </c>
      <c r="C602" s="147" t="s">
        <v>4217</v>
      </c>
      <c r="D602" s="8">
        <v>597</v>
      </c>
      <c r="E602" s="8">
        <v>383</v>
      </c>
      <c r="F602" s="8"/>
    </row>
    <row r="603" spans="1:6" x14ac:dyDescent="0.25">
      <c r="A603" s="101" t="s">
        <v>400</v>
      </c>
      <c r="B603" s="191" t="s">
        <v>491</v>
      </c>
      <c r="C603" s="147" t="s">
        <v>4217</v>
      </c>
      <c r="D603" s="8">
        <v>300</v>
      </c>
      <c r="E603" s="8">
        <v>400</v>
      </c>
      <c r="F603" s="8"/>
    </row>
    <row r="604" spans="1:6" x14ac:dyDescent="0.25">
      <c r="A604" s="101" t="s">
        <v>401</v>
      </c>
      <c r="B604" s="191" t="s">
        <v>489</v>
      </c>
      <c r="C604" s="147" t="s">
        <v>4217</v>
      </c>
      <c r="D604" s="8">
        <v>383</v>
      </c>
      <c r="F604" s="8"/>
    </row>
    <row r="605" spans="1:6" x14ac:dyDescent="0.25">
      <c r="A605" s="101" t="s">
        <v>402</v>
      </c>
      <c r="B605" s="191" t="s">
        <v>490</v>
      </c>
      <c r="C605" s="147" t="s">
        <v>4217</v>
      </c>
      <c r="D605" s="8">
        <v>400</v>
      </c>
      <c r="F605" s="8"/>
    </row>
    <row r="606" spans="1:6" x14ac:dyDescent="0.25">
      <c r="A606" s="101"/>
      <c r="B606" s="191"/>
      <c r="C606" s="147"/>
      <c r="D606" s="7"/>
      <c r="E606" s="8">
        <v>780</v>
      </c>
      <c r="F606" s="8"/>
    </row>
    <row r="607" spans="1:6" x14ac:dyDescent="0.25">
      <c r="A607" s="101"/>
      <c r="B607" s="191"/>
      <c r="C607" s="147"/>
      <c r="D607" s="7"/>
      <c r="F607" s="8"/>
    </row>
    <row r="608" spans="1:6" x14ac:dyDescent="0.25">
      <c r="A608" s="101" t="s">
        <v>4782</v>
      </c>
      <c r="B608" s="191" t="s">
        <v>4787</v>
      </c>
      <c r="C608" s="147"/>
      <c r="D608" s="7"/>
      <c r="E608" s="8">
        <v>502</v>
      </c>
      <c r="F608" s="8"/>
    </row>
    <row r="609" spans="1:6" x14ac:dyDescent="0.25">
      <c r="A609" s="101" t="s">
        <v>1662</v>
      </c>
      <c r="B609" s="191" t="s">
        <v>4788</v>
      </c>
      <c r="C609" s="147" t="s">
        <v>4217</v>
      </c>
      <c r="D609" s="8">
        <v>780</v>
      </c>
      <c r="E609" s="8">
        <v>1100</v>
      </c>
      <c r="F609" s="8"/>
    </row>
    <row r="610" spans="1:6" x14ac:dyDescent="0.25">
      <c r="A610" s="101" t="s">
        <v>1664</v>
      </c>
      <c r="B610" s="191" t="s">
        <v>4786</v>
      </c>
      <c r="C610" s="147" t="s">
        <v>4217</v>
      </c>
      <c r="D610" s="8">
        <v>502</v>
      </c>
      <c r="E610" s="8">
        <v>427</v>
      </c>
      <c r="F610" s="8"/>
    </row>
    <row r="611" spans="1:6" x14ac:dyDescent="0.25">
      <c r="A611" s="101" t="s">
        <v>1670</v>
      </c>
      <c r="B611" s="191" t="s">
        <v>106</v>
      </c>
      <c r="C611" s="147" t="s">
        <v>4217</v>
      </c>
      <c r="D611" s="8">
        <v>1100</v>
      </c>
      <c r="E611" s="8">
        <v>494</v>
      </c>
      <c r="F611" s="8"/>
    </row>
    <row r="612" spans="1:6" x14ac:dyDescent="0.25">
      <c r="A612" s="101" t="s">
        <v>400</v>
      </c>
      <c r="B612" s="191" t="s">
        <v>491</v>
      </c>
      <c r="C612" s="147" t="s">
        <v>4217</v>
      </c>
      <c r="D612" s="8">
        <v>427</v>
      </c>
      <c r="E612" s="8">
        <v>703</v>
      </c>
      <c r="F612" s="8"/>
    </row>
    <row r="613" spans="1:6" x14ac:dyDescent="0.25">
      <c r="A613" s="101" t="s">
        <v>401</v>
      </c>
      <c r="B613" s="191" t="s">
        <v>489</v>
      </c>
      <c r="C613" s="147" t="s">
        <v>4217</v>
      </c>
      <c r="D613" s="8">
        <v>494</v>
      </c>
      <c r="F613" s="8"/>
    </row>
    <row r="614" spans="1:6" x14ac:dyDescent="0.25">
      <c r="A614" s="101" t="s">
        <v>402</v>
      </c>
      <c r="B614" s="191" t="s">
        <v>490</v>
      </c>
      <c r="C614" s="147" t="s">
        <v>4217</v>
      </c>
      <c r="D614" s="8">
        <v>703</v>
      </c>
      <c r="F614" s="8"/>
    </row>
    <row r="615" spans="1:6" x14ac:dyDescent="0.25">
      <c r="A615" s="101"/>
      <c r="B615" s="191"/>
      <c r="C615" s="147"/>
      <c r="D615" s="7"/>
      <c r="E615" s="8">
        <v>703</v>
      </c>
      <c r="F615" s="8"/>
    </row>
    <row r="616" spans="1:6" x14ac:dyDescent="0.25">
      <c r="A616" s="101" t="s">
        <v>4783</v>
      </c>
      <c r="B616" s="191" t="s">
        <v>4789</v>
      </c>
      <c r="C616" s="147"/>
      <c r="D616" s="7"/>
      <c r="E616" s="8">
        <v>2047</v>
      </c>
      <c r="F616" s="8"/>
    </row>
    <row r="617" spans="1:6" x14ac:dyDescent="0.25">
      <c r="A617" s="101" t="s">
        <v>1662</v>
      </c>
      <c r="B617" s="191" t="s">
        <v>4786</v>
      </c>
      <c r="C617" s="147" t="s">
        <v>4217</v>
      </c>
      <c r="D617" s="8">
        <v>703</v>
      </c>
      <c r="E617" s="8">
        <v>902</v>
      </c>
      <c r="F617" s="8"/>
    </row>
    <row r="618" spans="1:6" x14ac:dyDescent="0.25">
      <c r="A618" s="101" t="s">
        <v>1664</v>
      </c>
      <c r="B618" s="191" t="s">
        <v>106</v>
      </c>
      <c r="C618" s="147" t="s">
        <v>4217</v>
      </c>
      <c r="D618" s="8">
        <v>2047</v>
      </c>
      <c r="E618" s="8">
        <v>1048</v>
      </c>
      <c r="F618" s="8"/>
    </row>
    <row r="619" spans="1:6" x14ac:dyDescent="0.25">
      <c r="A619" s="101" t="s">
        <v>1670</v>
      </c>
      <c r="B619" s="191" t="s">
        <v>491</v>
      </c>
      <c r="C619" s="147" t="s">
        <v>4217</v>
      </c>
      <c r="D619" s="8">
        <v>902</v>
      </c>
      <c r="E619" s="8">
        <v>2024</v>
      </c>
      <c r="F619" s="8"/>
    </row>
    <row r="620" spans="1:6" x14ac:dyDescent="0.25">
      <c r="A620" s="101" t="s">
        <v>400</v>
      </c>
      <c r="B620" s="191" t="s">
        <v>489</v>
      </c>
      <c r="C620" s="147" t="s">
        <v>4217</v>
      </c>
      <c r="D620" s="8">
        <v>1048</v>
      </c>
      <c r="F620" s="8"/>
    </row>
    <row r="621" spans="1:6" x14ac:dyDescent="0.25">
      <c r="A621" s="101" t="s">
        <v>401</v>
      </c>
      <c r="B621" s="191" t="s">
        <v>490</v>
      </c>
      <c r="C621" s="147" t="s">
        <v>4217</v>
      </c>
      <c r="D621" s="8">
        <v>2024</v>
      </c>
      <c r="E621" s="8">
        <v>408</v>
      </c>
      <c r="F621" s="8"/>
    </row>
    <row r="622" spans="1:6" x14ac:dyDescent="0.25">
      <c r="A622" s="101"/>
      <c r="B622" s="191"/>
      <c r="C622" s="147"/>
      <c r="D622" s="7"/>
      <c r="F622" s="8"/>
    </row>
    <row r="623" spans="1:6" x14ac:dyDescent="0.25">
      <c r="A623" s="101" t="s">
        <v>5495</v>
      </c>
      <c r="B623" s="191" t="s">
        <v>4790</v>
      </c>
      <c r="C623" s="147" t="s">
        <v>4217</v>
      </c>
      <c r="D623" s="8">
        <v>408</v>
      </c>
      <c r="F623" s="8"/>
    </row>
    <row r="624" spans="1:6" x14ac:dyDescent="0.25">
      <c r="A624" s="101"/>
      <c r="B624" s="191"/>
      <c r="C624" s="147"/>
      <c r="D624" s="7"/>
      <c r="E624" s="8">
        <v>652</v>
      </c>
      <c r="F624" s="8"/>
    </row>
    <row r="625" spans="1:6" x14ac:dyDescent="0.25">
      <c r="A625" s="101" t="s">
        <v>5496</v>
      </c>
      <c r="B625" s="191" t="s">
        <v>111</v>
      </c>
      <c r="C625" s="147"/>
      <c r="D625" s="7"/>
      <c r="E625" s="8">
        <v>890</v>
      </c>
      <c r="F625" s="8"/>
    </row>
    <row r="626" spans="1:6" x14ac:dyDescent="0.25">
      <c r="A626" s="101" t="s">
        <v>1662</v>
      </c>
      <c r="B626" s="191" t="s">
        <v>491</v>
      </c>
      <c r="C626" s="147" t="s">
        <v>4217</v>
      </c>
      <c r="D626" s="8">
        <v>652</v>
      </c>
      <c r="F626" s="8"/>
    </row>
    <row r="627" spans="1:6" x14ac:dyDescent="0.25">
      <c r="A627" s="101" t="s">
        <v>1664</v>
      </c>
      <c r="B627" s="191" t="s">
        <v>490</v>
      </c>
      <c r="C627" s="147" t="s">
        <v>4217</v>
      </c>
      <c r="D627" s="8">
        <v>890</v>
      </c>
      <c r="E627" s="8">
        <v>154</v>
      </c>
      <c r="F627" s="8"/>
    </row>
    <row r="628" spans="1:6" x14ac:dyDescent="0.25">
      <c r="A628" s="101"/>
      <c r="B628" s="191"/>
      <c r="C628" s="147"/>
      <c r="D628" s="7"/>
      <c r="F628" s="8"/>
    </row>
    <row r="629" spans="1:6" ht="63" x14ac:dyDescent="0.25">
      <c r="A629" s="101">
        <v>3.53</v>
      </c>
      <c r="B629" s="191" t="s">
        <v>4791</v>
      </c>
      <c r="C629" s="147" t="s">
        <v>4792</v>
      </c>
      <c r="D629" s="8">
        <v>154</v>
      </c>
      <c r="E629" s="8">
        <v>107</v>
      </c>
      <c r="F629" s="8"/>
    </row>
    <row r="630" spans="1:6" x14ac:dyDescent="0.25">
      <c r="A630" s="151"/>
      <c r="B630" s="191"/>
      <c r="C630" s="147"/>
      <c r="D630" s="7"/>
      <c r="F630" s="8"/>
    </row>
    <row r="631" spans="1:6" ht="47.25" x14ac:dyDescent="0.25">
      <c r="A631" s="101">
        <v>3.54</v>
      </c>
      <c r="B631" s="191" t="s">
        <v>4793</v>
      </c>
      <c r="C631" s="147" t="s">
        <v>4792</v>
      </c>
      <c r="D631" s="8">
        <v>107</v>
      </c>
      <c r="F631" s="8"/>
    </row>
    <row r="632" spans="1:6" x14ac:dyDescent="0.25">
      <c r="A632" s="151"/>
      <c r="B632" s="191"/>
      <c r="C632" s="147"/>
      <c r="D632" s="7"/>
      <c r="E632" s="8">
        <v>98</v>
      </c>
      <c r="F632" s="8"/>
    </row>
    <row r="633" spans="1:6" ht="47.25" x14ac:dyDescent="0.25">
      <c r="A633" s="101">
        <v>3.55</v>
      </c>
      <c r="B633" s="191" t="s">
        <v>4795</v>
      </c>
      <c r="C633" s="147"/>
      <c r="D633" s="7"/>
      <c r="E633" s="8">
        <v>182</v>
      </c>
      <c r="F633" s="8"/>
    </row>
    <row r="634" spans="1:6" x14ac:dyDescent="0.25">
      <c r="A634" s="151" t="s">
        <v>5497</v>
      </c>
      <c r="B634" s="191" t="s">
        <v>4796</v>
      </c>
      <c r="C634" s="147" t="s">
        <v>4217</v>
      </c>
      <c r="D634" s="8">
        <v>98</v>
      </c>
      <c r="E634" s="8">
        <v>339</v>
      </c>
      <c r="F634" s="8"/>
    </row>
    <row r="635" spans="1:6" x14ac:dyDescent="0.25">
      <c r="A635" s="151" t="s">
        <v>5498</v>
      </c>
      <c r="B635" s="191" t="s">
        <v>4797</v>
      </c>
      <c r="C635" s="147" t="s">
        <v>4217</v>
      </c>
      <c r="D635" s="8">
        <v>182</v>
      </c>
      <c r="E635" s="8">
        <v>491</v>
      </c>
      <c r="F635" s="8"/>
    </row>
    <row r="636" spans="1:6" x14ac:dyDescent="0.25">
      <c r="A636" s="151" t="s">
        <v>5499</v>
      </c>
      <c r="B636" s="191" t="s">
        <v>4798</v>
      </c>
      <c r="C636" s="147" t="s">
        <v>4217</v>
      </c>
      <c r="D636" s="8">
        <v>339</v>
      </c>
      <c r="E636" s="8">
        <v>781</v>
      </c>
      <c r="F636" s="8"/>
    </row>
    <row r="637" spans="1:6" x14ac:dyDescent="0.25">
      <c r="A637" s="151" t="s">
        <v>5500</v>
      </c>
      <c r="B637" s="191" t="s">
        <v>4799</v>
      </c>
      <c r="C637" s="147" t="s">
        <v>4217</v>
      </c>
      <c r="D637" s="8">
        <v>491</v>
      </c>
      <c r="F637" s="8"/>
    </row>
    <row r="638" spans="1:6" x14ac:dyDescent="0.25">
      <c r="A638" s="151" t="s">
        <v>5501</v>
      </c>
      <c r="B638" s="191" t="s">
        <v>4800</v>
      </c>
      <c r="C638" s="147" t="s">
        <v>4217</v>
      </c>
      <c r="D638" s="8">
        <v>781</v>
      </c>
      <c r="E638" s="8">
        <v>182</v>
      </c>
      <c r="F638" s="8"/>
    </row>
    <row r="639" spans="1:6" x14ac:dyDescent="0.25">
      <c r="A639" s="151"/>
      <c r="B639" s="191"/>
      <c r="C639" s="147"/>
      <c r="D639" s="7"/>
      <c r="F639" s="8"/>
    </row>
    <row r="640" spans="1:6" ht="78.75" x14ac:dyDescent="0.25">
      <c r="A640" s="101">
        <v>3.56</v>
      </c>
      <c r="B640" s="191" t="s">
        <v>4794</v>
      </c>
      <c r="C640" s="147" t="s">
        <v>2650</v>
      </c>
      <c r="D640" s="8">
        <v>182</v>
      </c>
      <c r="F640" s="8"/>
    </row>
    <row r="641" spans="1:7" x14ac:dyDescent="0.25">
      <c r="A641" s="151"/>
      <c r="B641" s="191"/>
      <c r="C641" s="147"/>
      <c r="D641" s="7"/>
      <c r="F641" s="8"/>
    </row>
    <row r="642" spans="1:7" s="100" customFormat="1" ht="173.25" x14ac:dyDescent="0.25">
      <c r="A642" s="101">
        <v>3.57</v>
      </c>
      <c r="B642" s="191" t="s">
        <v>5620</v>
      </c>
      <c r="D642" s="5"/>
      <c r="F642" s="124"/>
      <c r="G642" s="19"/>
    </row>
    <row r="643" spans="1:7" s="100" customFormat="1" x14ac:dyDescent="0.25">
      <c r="A643" s="101" t="s">
        <v>1662</v>
      </c>
      <c r="B643" s="191" t="s">
        <v>5608</v>
      </c>
      <c r="C643" s="147" t="s">
        <v>4217</v>
      </c>
      <c r="D643" s="101">
        <v>11679</v>
      </c>
      <c r="E643" s="152"/>
      <c r="G643" s="19"/>
    </row>
    <row r="644" spans="1:7" s="100" customFormat="1" x14ac:dyDescent="0.25">
      <c r="A644" s="150"/>
      <c r="B644" s="125"/>
      <c r="C644" s="147"/>
      <c r="D644" s="124"/>
      <c r="E644" s="152"/>
      <c r="G644" s="19"/>
    </row>
    <row r="645" spans="1:7" s="100" customFormat="1" ht="173.25" x14ac:dyDescent="0.25">
      <c r="A645" s="101">
        <v>3.58</v>
      </c>
      <c r="B645" s="191" t="s">
        <v>5621</v>
      </c>
      <c r="C645" s="8"/>
      <c r="D645" s="5"/>
      <c r="E645" s="152"/>
      <c r="G645" s="19"/>
    </row>
    <row r="646" spans="1:7" x14ac:dyDescent="0.25">
      <c r="A646" s="101" t="s">
        <v>1662</v>
      </c>
      <c r="B646" s="191" t="s">
        <v>5608</v>
      </c>
      <c r="C646" s="147" t="s">
        <v>4217</v>
      </c>
      <c r="D646" s="101">
        <v>14598</v>
      </c>
      <c r="E646" s="6"/>
      <c r="G646" s="5"/>
    </row>
    <row r="647" spans="1:7" x14ac:dyDescent="0.25">
      <c r="A647" s="101"/>
      <c r="B647" s="191"/>
      <c r="C647" s="147"/>
      <c r="D647" s="101"/>
      <c r="E647" s="6"/>
      <c r="G647" s="5"/>
    </row>
    <row r="648" spans="1:7" ht="189" x14ac:dyDescent="0.25">
      <c r="A648" s="101">
        <v>3.59</v>
      </c>
      <c r="B648" s="191" t="s">
        <v>5622</v>
      </c>
      <c r="D648" s="101"/>
      <c r="E648" s="6"/>
      <c r="G648" s="5"/>
    </row>
    <row r="649" spans="1:7" x14ac:dyDescent="0.25">
      <c r="A649" s="101" t="s">
        <v>1662</v>
      </c>
      <c r="B649" s="191" t="s">
        <v>5608</v>
      </c>
      <c r="C649" s="147" t="s">
        <v>4217</v>
      </c>
      <c r="D649" s="101">
        <v>13371</v>
      </c>
      <c r="E649" s="6"/>
      <c r="G649" s="5"/>
    </row>
    <row r="650" spans="1:7" x14ac:dyDescent="0.25">
      <c r="A650" s="101" t="s">
        <v>1664</v>
      </c>
      <c r="B650" s="191" t="s">
        <v>5609</v>
      </c>
      <c r="C650" s="147" t="s">
        <v>4217</v>
      </c>
      <c r="D650" s="101">
        <v>15070</v>
      </c>
      <c r="E650" s="6"/>
      <c r="G650" s="5"/>
    </row>
    <row r="651" spans="1:7" x14ac:dyDescent="0.25">
      <c r="A651" s="101"/>
      <c r="B651" s="191"/>
      <c r="C651" s="147"/>
      <c r="D651" s="101"/>
      <c r="E651" s="6"/>
      <c r="G651" s="5"/>
    </row>
    <row r="652" spans="1:7" ht="189" x14ac:dyDescent="0.25">
      <c r="A652" s="101">
        <v>3.6</v>
      </c>
      <c r="B652" s="191" t="s">
        <v>5623</v>
      </c>
      <c r="C652" s="147"/>
      <c r="D652" s="101"/>
      <c r="E652" s="6"/>
      <c r="G652" s="5"/>
    </row>
    <row r="653" spans="1:7" x14ac:dyDescent="0.25">
      <c r="A653" s="101" t="s">
        <v>1662</v>
      </c>
      <c r="B653" s="191" t="s">
        <v>5608</v>
      </c>
      <c r="C653" s="147" t="s">
        <v>4217</v>
      </c>
      <c r="D653" s="101">
        <v>16290</v>
      </c>
      <c r="E653" s="6"/>
      <c r="G653" s="5"/>
    </row>
    <row r="654" spans="1:7" x14ac:dyDescent="0.25">
      <c r="A654" s="101" t="s">
        <v>1664</v>
      </c>
      <c r="B654" s="191" t="s">
        <v>5609</v>
      </c>
      <c r="C654" s="147" t="s">
        <v>4217</v>
      </c>
      <c r="D654" s="101">
        <v>20910</v>
      </c>
      <c r="E654" s="6"/>
      <c r="G654" s="5"/>
    </row>
    <row r="655" spans="1:7" x14ac:dyDescent="0.25">
      <c r="A655" s="101"/>
      <c r="B655" s="191"/>
      <c r="C655" s="6"/>
      <c r="D655" s="101"/>
      <c r="E655" s="6"/>
      <c r="G655" s="5"/>
    </row>
    <row r="656" spans="1:7" ht="189" x14ac:dyDescent="0.25">
      <c r="A656" s="101">
        <v>3.61</v>
      </c>
      <c r="B656" s="191" t="s">
        <v>5624</v>
      </c>
      <c r="C656" s="6"/>
      <c r="D656" s="101"/>
      <c r="E656" s="6"/>
      <c r="G656" s="5"/>
    </row>
    <row r="657" spans="1:7" x14ac:dyDescent="0.25">
      <c r="A657" s="101" t="s">
        <v>1662</v>
      </c>
      <c r="B657" s="191" t="s">
        <v>5610</v>
      </c>
      <c r="C657" s="147" t="s">
        <v>4217</v>
      </c>
      <c r="D657" s="101">
        <v>12482</v>
      </c>
      <c r="E657" s="6"/>
      <c r="G657" s="5"/>
    </row>
    <row r="658" spans="1:7" x14ac:dyDescent="0.25">
      <c r="A658" s="101" t="s">
        <v>1664</v>
      </c>
      <c r="B658" s="191" t="s">
        <v>5611</v>
      </c>
      <c r="C658" s="147" t="s">
        <v>4217</v>
      </c>
      <c r="D658" s="101">
        <v>15751</v>
      </c>
      <c r="E658" s="6"/>
      <c r="G658" s="5"/>
    </row>
    <row r="659" spans="1:7" x14ac:dyDescent="0.25">
      <c r="A659" s="101" t="s">
        <v>1670</v>
      </c>
      <c r="B659" s="191" t="s">
        <v>5612</v>
      </c>
      <c r="C659" s="147" t="s">
        <v>4217</v>
      </c>
      <c r="D659" s="101">
        <v>23305</v>
      </c>
      <c r="E659" s="6"/>
      <c r="G659" s="5"/>
    </row>
    <row r="660" spans="1:7" x14ac:dyDescent="0.25">
      <c r="A660" s="101" t="s">
        <v>400</v>
      </c>
      <c r="B660" s="191" t="s">
        <v>5613</v>
      </c>
      <c r="C660" s="147" t="s">
        <v>4217</v>
      </c>
      <c r="D660" s="101">
        <v>63342</v>
      </c>
      <c r="E660" s="6"/>
      <c r="G660" s="5"/>
    </row>
    <row r="661" spans="1:7" x14ac:dyDescent="0.25">
      <c r="A661" s="101"/>
      <c r="B661" s="191"/>
      <c r="C661" s="147"/>
      <c r="D661" s="101"/>
      <c r="E661" s="6"/>
      <c r="G661" s="5"/>
    </row>
    <row r="662" spans="1:7" ht="189" x14ac:dyDescent="0.25">
      <c r="A662" s="101">
        <v>3.62</v>
      </c>
      <c r="B662" s="191" t="s">
        <v>5625</v>
      </c>
      <c r="C662" s="6"/>
      <c r="D662" s="101"/>
      <c r="E662" s="6"/>
      <c r="G662" s="5"/>
    </row>
    <row r="663" spans="1:7" x14ac:dyDescent="0.25">
      <c r="A663" s="101" t="s">
        <v>1662</v>
      </c>
      <c r="B663" s="191" t="s">
        <v>5610</v>
      </c>
      <c r="C663" s="147" t="s">
        <v>4217</v>
      </c>
      <c r="D663" s="101">
        <v>16323</v>
      </c>
      <c r="E663" s="6"/>
      <c r="G663" s="5"/>
    </row>
    <row r="664" spans="1:7" x14ac:dyDescent="0.25">
      <c r="A664" s="101"/>
      <c r="B664" s="191"/>
      <c r="C664" s="147"/>
      <c r="D664" s="101"/>
      <c r="E664" s="6"/>
      <c r="G664" s="5"/>
    </row>
    <row r="665" spans="1:7" x14ac:dyDescent="0.25">
      <c r="A665" s="101" t="s">
        <v>1664</v>
      </c>
      <c r="B665" s="191" t="s">
        <v>5611</v>
      </c>
      <c r="C665" s="147" t="s">
        <v>4217</v>
      </c>
      <c r="D665" s="101">
        <v>20515</v>
      </c>
      <c r="E665" s="6"/>
      <c r="G665" s="5"/>
    </row>
    <row r="666" spans="1:7" x14ac:dyDescent="0.25">
      <c r="A666" s="101" t="s">
        <v>1670</v>
      </c>
      <c r="B666" s="191" t="s">
        <v>5612</v>
      </c>
      <c r="C666" s="147" t="s">
        <v>4217</v>
      </c>
      <c r="D666" s="101">
        <v>27146</v>
      </c>
      <c r="E666" s="6"/>
      <c r="G666" s="5"/>
    </row>
    <row r="667" spans="1:7" x14ac:dyDescent="0.25">
      <c r="A667" s="101" t="s">
        <v>400</v>
      </c>
      <c r="B667" s="191" t="s">
        <v>5613</v>
      </c>
      <c r="C667" s="147" t="s">
        <v>4217</v>
      </c>
      <c r="D667" s="101">
        <v>77173</v>
      </c>
      <c r="E667" s="6"/>
      <c r="G667" s="5"/>
    </row>
    <row r="668" spans="1:7" x14ac:dyDescent="0.25">
      <c r="A668" s="101"/>
      <c r="B668" s="191"/>
      <c r="C668" s="147"/>
      <c r="D668" s="101"/>
      <c r="E668" s="6"/>
      <c r="G668" s="5"/>
    </row>
    <row r="669" spans="1:7" ht="173.25" x14ac:dyDescent="0.25">
      <c r="A669" s="101">
        <v>3.63</v>
      </c>
      <c r="B669" s="191" t="s">
        <v>5626</v>
      </c>
      <c r="C669" s="6"/>
      <c r="D669" s="101"/>
      <c r="E669" s="6"/>
      <c r="G669" s="5"/>
    </row>
    <row r="670" spans="1:7" x14ac:dyDescent="0.25">
      <c r="A670" s="101" t="s">
        <v>1662</v>
      </c>
      <c r="B670" s="191" t="s">
        <v>5614</v>
      </c>
      <c r="C670" s="147" t="s">
        <v>4217</v>
      </c>
      <c r="D670" s="101">
        <v>11649</v>
      </c>
      <c r="E670" s="6"/>
      <c r="G670" s="5"/>
    </row>
    <row r="671" spans="1:7" x14ac:dyDescent="0.25">
      <c r="A671" s="101" t="s">
        <v>1664</v>
      </c>
      <c r="B671" s="191" t="s">
        <v>5615</v>
      </c>
      <c r="C671" s="147" t="s">
        <v>4217</v>
      </c>
      <c r="D671" s="101">
        <v>14950</v>
      </c>
      <c r="E671" s="6"/>
      <c r="G671" s="5"/>
    </row>
    <row r="672" spans="1:7" x14ac:dyDescent="0.25">
      <c r="A672" s="101" t="s">
        <v>1670</v>
      </c>
      <c r="B672" s="191" t="s">
        <v>5616</v>
      </c>
      <c r="C672" s="147" t="s">
        <v>4217</v>
      </c>
      <c r="D672" s="101">
        <v>22974</v>
      </c>
      <c r="E672" s="6"/>
      <c r="G672" s="5"/>
    </row>
    <row r="673" spans="1:7" x14ac:dyDescent="0.25">
      <c r="A673" s="101" t="s">
        <v>400</v>
      </c>
      <c r="B673" s="191" t="s">
        <v>5617</v>
      </c>
      <c r="C673" s="147" t="s">
        <v>4217</v>
      </c>
      <c r="D673" s="101">
        <v>24533</v>
      </c>
      <c r="E673" s="6"/>
      <c r="G673" s="5"/>
    </row>
    <row r="674" spans="1:7" x14ac:dyDescent="0.25">
      <c r="A674" s="101" t="s">
        <v>401</v>
      </c>
      <c r="B674" s="191" t="s">
        <v>5618</v>
      </c>
      <c r="C674" s="147" t="s">
        <v>4217</v>
      </c>
      <c r="D674" s="101">
        <v>40403</v>
      </c>
      <c r="E674" s="6"/>
      <c r="G674" s="5"/>
    </row>
    <row r="675" spans="1:7" x14ac:dyDescent="0.25">
      <c r="A675" s="101" t="s">
        <v>402</v>
      </c>
      <c r="B675" s="191" t="s">
        <v>5619</v>
      </c>
      <c r="C675" s="147" t="s">
        <v>4217</v>
      </c>
      <c r="D675" s="101">
        <v>35564</v>
      </c>
      <c r="E675" s="6"/>
      <c r="G675" s="5"/>
    </row>
    <row r="676" spans="1:7" x14ac:dyDescent="0.25">
      <c r="A676" s="101"/>
      <c r="B676" s="191"/>
      <c r="C676" s="6"/>
      <c r="D676" s="101"/>
      <c r="E676" s="6"/>
      <c r="G676" s="5"/>
    </row>
    <row r="677" spans="1:7" ht="173.25" x14ac:dyDescent="0.25">
      <c r="A677" s="101">
        <v>3.64</v>
      </c>
      <c r="B677" s="191" t="s">
        <v>5627</v>
      </c>
      <c r="C677" s="6"/>
      <c r="D677" s="101"/>
      <c r="E677" s="6"/>
      <c r="G677" s="5"/>
    </row>
    <row r="678" spans="1:7" x14ac:dyDescent="0.25">
      <c r="A678" s="101" t="s">
        <v>1662</v>
      </c>
      <c r="B678" s="191" t="s">
        <v>5614</v>
      </c>
      <c r="C678" s="147" t="s">
        <v>4217</v>
      </c>
      <c r="D678" s="101">
        <v>15843</v>
      </c>
      <c r="E678" s="6"/>
      <c r="G678" s="5"/>
    </row>
    <row r="679" spans="1:7" x14ac:dyDescent="0.25">
      <c r="A679" s="101" t="s">
        <v>1664</v>
      </c>
      <c r="B679" s="191" t="s">
        <v>5615</v>
      </c>
      <c r="C679" s="147" t="s">
        <v>4217</v>
      </c>
      <c r="D679" s="101">
        <v>20635</v>
      </c>
      <c r="E679" s="6"/>
      <c r="G679" s="5"/>
    </row>
    <row r="680" spans="1:7" x14ac:dyDescent="0.25">
      <c r="A680" s="101" t="s">
        <v>1670</v>
      </c>
      <c r="B680" s="191" t="s">
        <v>5616</v>
      </c>
      <c r="C680" s="147" t="s">
        <v>4217</v>
      </c>
      <c r="D680" s="101">
        <v>30964</v>
      </c>
      <c r="E680" s="6"/>
      <c r="G680" s="5"/>
    </row>
    <row r="681" spans="1:7" x14ac:dyDescent="0.25">
      <c r="A681" s="101" t="s">
        <v>400</v>
      </c>
      <c r="B681" s="191" t="s">
        <v>5617</v>
      </c>
      <c r="C681" s="147" t="s">
        <v>4217</v>
      </c>
      <c r="D681" s="101">
        <v>35167</v>
      </c>
      <c r="E681" s="6"/>
      <c r="G681" s="5"/>
    </row>
    <row r="682" spans="1:7" x14ac:dyDescent="0.25">
      <c r="A682" s="101" t="s">
        <v>401</v>
      </c>
      <c r="B682" s="191" t="s">
        <v>5618</v>
      </c>
      <c r="C682" s="147" t="s">
        <v>4217</v>
      </c>
      <c r="D682" s="101">
        <v>50930</v>
      </c>
      <c r="E682" s="6"/>
      <c r="G682" s="5"/>
    </row>
    <row r="683" spans="1:7" x14ac:dyDescent="0.25">
      <c r="A683" s="101" t="s">
        <v>402</v>
      </c>
      <c r="B683" s="191" t="s">
        <v>5619</v>
      </c>
      <c r="C683" s="147" t="s">
        <v>4217</v>
      </c>
      <c r="D683" s="101">
        <v>47550</v>
      </c>
      <c r="E683" s="6"/>
      <c r="G683" s="5"/>
    </row>
    <row r="684" spans="1:7" x14ac:dyDescent="0.25">
      <c r="A684" s="147"/>
      <c r="B684" s="191"/>
      <c r="C684" s="148"/>
      <c r="D684" s="118"/>
      <c r="E684" s="6"/>
      <c r="G684" s="5"/>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tabColor rgb="FF00B0F0"/>
  </sheetPr>
  <dimension ref="A1:D370"/>
  <sheetViews>
    <sheetView view="pageBreakPreview" topLeftCell="A97" zoomScale="115" zoomScaleNormal="100" zoomScaleSheetLayoutView="115" workbookViewId="0">
      <selection activeCell="F2" sqref="F2"/>
    </sheetView>
  </sheetViews>
  <sheetFormatPr defaultRowHeight="15.75" x14ac:dyDescent="0.25"/>
  <cols>
    <col min="1" max="1" width="10" style="5" customWidth="1"/>
    <col min="2" max="2" width="55.7109375" style="30" customWidth="1"/>
    <col min="3" max="3" width="9.7109375" style="8" customWidth="1"/>
    <col min="4" max="4" width="11.7109375" style="118" customWidth="1"/>
    <col min="5" max="16384" width="9.140625" style="6"/>
  </cols>
  <sheetData>
    <row r="1" spans="1:4" s="14" customFormat="1" ht="22.5" x14ac:dyDescent="0.2">
      <c r="A1" s="258" t="s">
        <v>1135</v>
      </c>
      <c r="B1" s="258"/>
      <c r="C1" s="258"/>
      <c r="D1" s="258"/>
    </row>
    <row r="2" spans="1:4" s="14" customFormat="1" ht="27" x14ac:dyDescent="0.2">
      <c r="A2" s="277" t="s">
        <v>1202</v>
      </c>
      <c r="B2" s="277"/>
      <c r="C2" s="277"/>
      <c r="D2" s="277"/>
    </row>
    <row r="3" spans="1:4" x14ac:dyDescent="0.25">
      <c r="A3" s="19"/>
      <c r="B3" s="13"/>
      <c r="C3" s="146"/>
    </row>
    <row r="4" spans="1:4" s="112" customFormat="1" ht="31.5" x14ac:dyDescent="0.2">
      <c r="A4" s="55" t="s">
        <v>6402</v>
      </c>
      <c r="B4" s="55" t="s">
        <v>2434</v>
      </c>
      <c r="C4" s="55" t="s">
        <v>2435</v>
      </c>
      <c r="D4" s="172" t="s">
        <v>18</v>
      </c>
    </row>
    <row r="5" spans="1:4" s="112" customFormat="1" x14ac:dyDescent="0.2">
      <c r="A5" s="55">
        <v>1</v>
      </c>
      <c r="B5" s="55">
        <v>2</v>
      </c>
      <c r="C5" s="55">
        <v>3</v>
      </c>
      <c r="D5" s="45">
        <v>4</v>
      </c>
    </row>
    <row r="6" spans="1:4" s="112" customFormat="1" x14ac:dyDescent="0.2">
      <c r="A6" s="117"/>
      <c r="B6" s="117"/>
      <c r="C6" s="117"/>
      <c r="D6" s="121"/>
    </row>
    <row r="7" spans="1:4" s="179" customFormat="1" ht="216.75" customHeight="1" x14ac:dyDescent="0.2">
      <c r="A7" s="147">
        <v>4.0999999999999996</v>
      </c>
      <c r="B7" s="13" t="s">
        <v>1136</v>
      </c>
      <c r="C7" s="7"/>
      <c r="D7" s="130"/>
    </row>
    <row r="8" spans="1:4" s="179" customFormat="1" x14ac:dyDescent="0.2">
      <c r="A8" s="147"/>
      <c r="B8" s="13"/>
      <c r="C8" s="7"/>
      <c r="D8" s="130"/>
    </row>
    <row r="9" spans="1:4" x14ac:dyDescent="0.25">
      <c r="A9" s="147" t="s">
        <v>1137</v>
      </c>
      <c r="B9" s="13" t="s">
        <v>1138</v>
      </c>
      <c r="C9" s="7" t="s">
        <v>1139</v>
      </c>
      <c r="D9" s="101">
        <v>279</v>
      </c>
    </row>
    <row r="10" spans="1:4" x14ac:dyDescent="0.25">
      <c r="A10" s="147" t="s">
        <v>1140</v>
      </c>
      <c r="B10" s="13" t="s">
        <v>1141</v>
      </c>
      <c r="C10" s="7" t="s">
        <v>1139</v>
      </c>
      <c r="D10" s="101">
        <v>319</v>
      </c>
    </row>
    <row r="11" spans="1:4" x14ac:dyDescent="0.25">
      <c r="A11" s="147" t="s">
        <v>1142</v>
      </c>
      <c r="B11" s="13" t="s">
        <v>1143</v>
      </c>
      <c r="C11" s="7" t="s">
        <v>1139</v>
      </c>
      <c r="D11" s="101">
        <v>347</v>
      </c>
    </row>
    <row r="12" spans="1:4" x14ac:dyDescent="0.25">
      <c r="A12" s="147"/>
      <c r="B12" s="13"/>
      <c r="C12" s="7"/>
      <c r="D12" s="5"/>
    </row>
    <row r="13" spans="1:4" ht="175.5" customHeight="1" x14ac:dyDescent="0.25">
      <c r="A13" s="147">
        <v>4.2</v>
      </c>
      <c r="B13" s="13" t="s">
        <v>1144</v>
      </c>
      <c r="C13" s="7"/>
      <c r="D13" s="5"/>
    </row>
    <row r="14" spans="1:4" x14ac:dyDescent="0.25">
      <c r="A14" s="147"/>
      <c r="B14" s="13"/>
      <c r="C14" s="7"/>
      <c r="D14" s="5"/>
    </row>
    <row r="15" spans="1:4" x14ac:dyDescent="0.25">
      <c r="A15" s="147" t="s">
        <v>1145</v>
      </c>
      <c r="B15" s="13" t="s">
        <v>1138</v>
      </c>
      <c r="C15" s="7" t="s">
        <v>1523</v>
      </c>
      <c r="D15" s="101">
        <v>380</v>
      </c>
    </row>
    <row r="16" spans="1:4" x14ac:dyDescent="0.25">
      <c r="A16" s="147" t="s">
        <v>1146</v>
      </c>
      <c r="B16" s="13" t="s">
        <v>1141</v>
      </c>
      <c r="C16" s="7" t="s">
        <v>1523</v>
      </c>
      <c r="D16" s="101">
        <v>399</v>
      </c>
    </row>
    <row r="17" spans="1:4" x14ac:dyDescent="0.25">
      <c r="A17" s="147" t="s">
        <v>2629</v>
      </c>
      <c r="B17" s="13" t="s">
        <v>1143</v>
      </c>
      <c r="C17" s="7" t="s">
        <v>1523</v>
      </c>
      <c r="D17" s="101">
        <v>666</v>
      </c>
    </row>
    <row r="18" spans="1:4" x14ac:dyDescent="0.25">
      <c r="A18" s="147" t="s">
        <v>1147</v>
      </c>
      <c r="B18" s="13" t="s">
        <v>1148</v>
      </c>
      <c r="C18" s="7" t="s">
        <v>1523</v>
      </c>
      <c r="D18" s="101">
        <v>999</v>
      </c>
    </row>
    <row r="19" spans="1:4" x14ac:dyDescent="0.25">
      <c r="A19" s="147"/>
      <c r="B19" s="13"/>
      <c r="C19" s="7"/>
      <c r="D19" s="5"/>
    </row>
    <row r="20" spans="1:4" x14ac:dyDescent="0.25">
      <c r="A20" s="147"/>
      <c r="B20" s="13"/>
      <c r="C20" s="7"/>
      <c r="D20" s="5"/>
    </row>
    <row r="21" spans="1:4" x14ac:dyDescent="0.25">
      <c r="A21" s="147"/>
      <c r="B21" s="13"/>
      <c r="C21" s="7"/>
      <c r="D21" s="5"/>
    </row>
    <row r="22" spans="1:4" x14ac:dyDescent="0.25">
      <c r="A22" s="147"/>
      <c r="B22" s="13"/>
      <c r="C22" s="7"/>
      <c r="D22" s="5"/>
    </row>
    <row r="23" spans="1:4" x14ac:dyDescent="0.25">
      <c r="A23" s="147"/>
      <c r="B23" s="13"/>
      <c r="C23" s="7"/>
      <c r="D23" s="5"/>
    </row>
    <row r="24" spans="1:4" ht="245.25" customHeight="1" x14ac:dyDescent="0.25">
      <c r="A24" s="147">
        <v>4.3</v>
      </c>
      <c r="B24" s="13" t="s">
        <v>6240</v>
      </c>
      <c r="C24" s="7"/>
      <c r="D24" s="5"/>
    </row>
    <row r="25" spans="1:4" x14ac:dyDescent="0.25">
      <c r="A25" s="147" t="s">
        <v>2630</v>
      </c>
      <c r="B25" s="13" t="s">
        <v>1149</v>
      </c>
      <c r="C25" s="7" t="s">
        <v>1139</v>
      </c>
      <c r="D25" s="101">
        <v>1065</v>
      </c>
    </row>
    <row r="26" spans="1:4" x14ac:dyDescent="0.25">
      <c r="A26" s="147" t="s">
        <v>2631</v>
      </c>
      <c r="B26" s="13" t="s">
        <v>1150</v>
      </c>
      <c r="C26" s="7" t="s">
        <v>1139</v>
      </c>
      <c r="D26" s="101">
        <v>1464</v>
      </c>
    </row>
    <row r="27" spans="1:4" x14ac:dyDescent="0.25">
      <c r="A27" s="147" t="s">
        <v>2632</v>
      </c>
      <c r="B27" s="13" t="s">
        <v>1151</v>
      </c>
      <c r="C27" s="7" t="s">
        <v>1139</v>
      </c>
      <c r="D27" s="101">
        <v>1863</v>
      </c>
    </row>
    <row r="28" spans="1:4" x14ac:dyDescent="0.25">
      <c r="A28" s="147"/>
      <c r="B28" s="13"/>
      <c r="C28" s="7"/>
      <c r="D28" s="5"/>
    </row>
    <row r="29" spans="1:4" ht="47.25" x14ac:dyDescent="0.25">
      <c r="A29" s="147">
        <v>4.4000000000000004</v>
      </c>
      <c r="B29" s="13" t="s">
        <v>1152</v>
      </c>
      <c r="C29" s="7" t="s">
        <v>1153</v>
      </c>
      <c r="D29" s="101">
        <v>600</v>
      </c>
    </row>
    <row r="30" spans="1:4" x14ac:dyDescent="0.25">
      <c r="A30" s="147"/>
      <c r="B30" s="13"/>
      <c r="C30" s="7"/>
      <c r="D30" s="5"/>
    </row>
    <row r="31" spans="1:4" ht="47.25" x14ac:dyDescent="0.25">
      <c r="A31" s="147">
        <v>4.5</v>
      </c>
      <c r="B31" s="13" t="s">
        <v>6241</v>
      </c>
      <c r="C31" s="7"/>
      <c r="D31" s="5"/>
    </row>
    <row r="32" spans="1:4" x14ac:dyDescent="0.25">
      <c r="A32" s="147" t="s">
        <v>1154</v>
      </c>
      <c r="B32" s="13" t="s">
        <v>4953</v>
      </c>
      <c r="C32" s="7" t="s">
        <v>2453</v>
      </c>
      <c r="D32" s="101">
        <v>822</v>
      </c>
    </row>
    <row r="33" spans="1:4" x14ac:dyDescent="0.25">
      <c r="A33" s="147" t="s">
        <v>1155</v>
      </c>
      <c r="B33" s="13" t="s">
        <v>4954</v>
      </c>
      <c r="C33" s="7" t="s">
        <v>2453</v>
      </c>
      <c r="D33" s="101">
        <v>1023</v>
      </c>
    </row>
    <row r="34" spans="1:4" x14ac:dyDescent="0.25">
      <c r="A34" s="147" t="s">
        <v>1156</v>
      </c>
      <c r="B34" s="13" t="s">
        <v>4955</v>
      </c>
      <c r="C34" s="7" t="s">
        <v>2453</v>
      </c>
      <c r="D34" s="101">
        <v>1224</v>
      </c>
    </row>
    <row r="35" spans="1:4" x14ac:dyDescent="0.25">
      <c r="A35" s="147" t="s">
        <v>1157</v>
      </c>
      <c r="B35" s="13" t="s">
        <v>4956</v>
      </c>
      <c r="C35" s="7" t="s">
        <v>2453</v>
      </c>
      <c r="D35" s="101">
        <v>1728</v>
      </c>
    </row>
    <row r="36" spans="1:4" x14ac:dyDescent="0.25">
      <c r="A36" s="147" t="s">
        <v>1158</v>
      </c>
      <c r="B36" s="13" t="s">
        <v>4957</v>
      </c>
      <c r="C36" s="7" t="s">
        <v>2453</v>
      </c>
      <c r="D36" s="101">
        <v>2824</v>
      </c>
    </row>
    <row r="37" spans="1:4" x14ac:dyDescent="0.25">
      <c r="A37" s="147"/>
      <c r="B37" s="13"/>
      <c r="C37" s="7"/>
      <c r="D37" s="5"/>
    </row>
    <row r="38" spans="1:4" ht="47.25" x14ac:dyDescent="0.25">
      <c r="A38" s="147">
        <v>4.5999999999999996</v>
      </c>
      <c r="B38" s="13" t="s">
        <v>6242</v>
      </c>
      <c r="C38" s="7"/>
      <c r="D38" s="5"/>
    </row>
    <row r="39" spans="1:4" x14ac:dyDescent="0.25">
      <c r="A39" s="147" t="s">
        <v>2220</v>
      </c>
      <c r="B39" s="13" t="s">
        <v>1159</v>
      </c>
      <c r="C39" s="7" t="s">
        <v>2453</v>
      </c>
      <c r="D39" s="101">
        <v>1527</v>
      </c>
    </row>
    <row r="40" spans="1:4" x14ac:dyDescent="0.25">
      <c r="A40" s="147" t="s">
        <v>2221</v>
      </c>
      <c r="B40" s="13" t="s">
        <v>1160</v>
      </c>
      <c r="C40" s="7" t="s">
        <v>2453</v>
      </c>
      <c r="D40" s="101">
        <v>2031</v>
      </c>
    </row>
    <row r="41" spans="1:4" x14ac:dyDescent="0.25">
      <c r="A41" s="147" t="s">
        <v>2222</v>
      </c>
      <c r="B41" s="13" t="s">
        <v>1161</v>
      </c>
      <c r="C41" s="7" t="s">
        <v>2453</v>
      </c>
      <c r="D41" s="101">
        <v>3126</v>
      </c>
    </row>
    <row r="42" spans="1:4" x14ac:dyDescent="0.25">
      <c r="A42" s="147"/>
      <c r="B42" s="13"/>
      <c r="C42" s="7"/>
      <c r="D42" s="5"/>
    </row>
    <row r="43" spans="1:4" ht="47.25" x14ac:dyDescent="0.25">
      <c r="A43" s="147">
        <v>4.7</v>
      </c>
      <c r="B43" s="13" t="s">
        <v>1162</v>
      </c>
      <c r="C43" s="7" t="s">
        <v>4217</v>
      </c>
      <c r="D43" s="101">
        <v>8385</v>
      </c>
    </row>
    <row r="44" spans="1:4" x14ac:dyDescent="0.25">
      <c r="A44" s="147"/>
      <c r="B44" s="13"/>
      <c r="C44" s="7"/>
      <c r="D44" s="5"/>
    </row>
    <row r="45" spans="1:4" x14ac:dyDescent="0.25">
      <c r="A45" s="147"/>
      <c r="B45" s="13"/>
      <c r="C45" s="7"/>
      <c r="D45" s="5"/>
    </row>
    <row r="46" spans="1:4" ht="31.5" x14ac:dyDescent="0.25">
      <c r="A46" s="147">
        <v>4.8</v>
      </c>
      <c r="B46" s="13" t="s">
        <v>6243</v>
      </c>
      <c r="C46" s="7"/>
      <c r="D46" s="5"/>
    </row>
    <row r="47" spans="1:4" x14ac:dyDescent="0.25">
      <c r="A47" s="147"/>
      <c r="B47" s="13"/>
      <c r="C47" s="7"/>
      <c r="D47" s="5"/>
    </row>
    <row r="48" spans="1:4" x14ac:dyDescent="0.25">
      <c r="A48" s="147" t="s">
        <v>1163</v>
      </c>
      <c r="B48" s="13" t="s">
        <v>1164</v>
      </c>
      <c r="C48" s="7" t="s">
        <v>4217</v>
      </c>
      <c r="D48" s="101">
        <v>186</v>
      </c>
    </row>
    <row r="49" spans="1:4" x14ac:dyDescent="0.25">
      <c r="A49" s="147" t="s">
        <v>1165</v>
      </c>
      <c r="B49" s="13" t="s">
        <v>1166</v>
      </c>
      <c r="C49" s="7" t="s">
        <v>4217</v>
      </c>
      <c r="D49" s="101">
        <v>227</v>
      </c>
    </row>
    <row r="50" spans="1:4" x14ac:dyDescent="0.25">
      <c r="A50" s="147" t="s">
        <v>1167</v>
      </c>
      <c r="B50" s="13" t="s">
        <v>1168</v>
      </c>
      <c r="C50" s="7" t="s">
        <v>4217</v>
      </c>
      <c r="D50" s="101">
        <v>279</v>
      </c>
    </row>
    <row r="51" spans="1:4" x14ac:dyDescent="0.25">
      <c r="A51" s="147" t="s">
        <v>1169</v>
      </c>
      <c r="B51" s="13" t="s">
        <v>1170</v>
      </c>
      <c r="C51" s="7" t="s">
        <v>4217</v>
      </c>
      <c r="D51" s="101">
        <v>373</v>
      </c>
    </row>
    <row r="52" spans="1:4" x14ac:dyDescent="0.25">
      <c r="A52" s="147" t="s">
        <v>1171</v>
      </c>
      <c r="B52" s="13" t="s">
        <v>1172</v>
      </c>
      <c r="C52" s="7" t="s">
        <v>4217</v>
      </c>
      <c r="D52" s="101">
        <v>399</v>
      </c>
    </row>
    <row r="53" spans="1:4" x14ac:dyDescent="0.25">
      <c r="A53" s="147"/>
      <c r="B53" s="13"/>
      <c r="C53" s="7"/>
      <c r="D53" s="5"/>
    </row>
    <row r="54" spans="1:4" ht="59.25" customHeight="1" x14ac:dyDescent="0.25">
      <c r="A54" s="147">
        <v>4.9000000000000004</v>
      </c>
      <c r="B54" s="13" t="s">
        <v>6244</v>
      </c>
      <c r="C54" s="7" t="s">
        <v>4217</v>
      </c>
      <c r="D54" s="101">
        <v>266</v>
      </c>
    </row>
    <row r="55" spans="1:4" x14ac:dyDescent="0.25">
      <c r="A55" s="147"/>
      <c r="B55" s="13"/>
      <c r="C55" s="7"/>
      <c r="D55" s="5"/>
    </row>
    <row r="56" spans="1:4" ht="55.5" customHeight="1" x14ac:dyDescent="0.25">
      <c r="A56" s="7">
        <v>4.0999999999999996</v>
      </c>
      <c r="B56" s="13" t="s">
        <v>1173</v>
      </c>
      <c r="C56" s="7" t="s">
        <v>4217</v>
      </c>
      <c r="D56" s="101">
        <v>11979</v>
      </c>
    </row>
    <row r="57" spans="1:4" x14ac:dyDescent="0.25">
      <c r="A57" s="147"/>
      <c r="B57" s="13"/>
      <c r="C57" s="7"/>
      <c r="D57" s="5"/>
    </row>
    <row r="58" spans="1:4" ht="71.25" customHeight="1" x14ac:dyDescent="0.25">
      <c r="A58" s="147">
        <v>4.1100000000000003</v>
      </c>
      <c r="B58" s="13" t="s">
        <v>1174</v>
      </c>
      <c r="C58" s="7" t="s">
        <v>1175</v>
      </c>
      <c r="D58" s="101">
        <v>3727</v>
      </c>
    </row>
    <row r="59" spans="1:4" x14ac:dyDescent="0.25">
      <c r="A59" s="147"/>
      <c r="B59" s="13"/>
      <c r="C59" s="7"/>
      <c r="D59" s="5"/>
    </row>
    <row r="60" spans="1:4" ht="78" customHeight="1" x14ac:dyDescent="0.25">
      <c r="A60" s="147">
        <v>4.12</v>
      </c>
      <c r="B60" s="13" t="s">
        <v>6245</v>
      </c>
      <c r="C60" s="7" t="s">
        <v>1176</v>
      </c>
      <c r="D60" s="101">
        <v>227</v>
      </c>
    </row>
    <row r="61" spans="1:4" x14ac:dyDescent="0.25">
      <c r="A61" s="147"/>
      <c r="B61" s="13"/>
      <c r="C61" s="7"/>
      <c r="D61" s="5"/>
    </row>
    <row r="62" spans="1:4" ht="31.5" x14ac:dyDescent="0.25">
      <c r="A62" s="147">
        <v>4.13</v>
      </c>
      <c r="B62" s="13" t="s">
        <v>6246</v>
      </c>
      <c r="C62" s="7" t="s">
        <v>4217</v>
      </c>
      <c r="D62" s="101">
        <v>932</v>
      </c>
    </row>
    <row r="63" spans="1:4" x14ac:dyDescent="0.25">
      <c r="A63" s="147"/>
      <c r="B63" s="13"/>
      <c r="C63" s="7"/>
      <c r="D63" s="5"/>
    </row>
    <row r="64" spans="1:4" ht="31.5" x14ac:dyDescent="0.25">
      <c r="A64" s="147">
        <v>4.1399999999999997</v>
      </c>
      <c r="B64" s="13" t="s">
        <v>1177</v>
      </c>
      <c r="C64" s="7" t="s">
        <v>4217</v>
      </c>
      <c r="D64" s="101">
        <v>2928</v>
      </c>
    </row>
    <row r="65" spans="1:4" x14ac:dyDescent="0.25">
      <c r="A65" s="147"/>
      <c r="B65" s="13"/>
      <c r="C65" s="7"/>
      <c r="D65" s="5"/>
    </row>
    <row r="66" spans="1:4" ht="31.5" x14ac:dyDescent="0.25">
      <c r="A66" s="147">
        <v>4.1500000000000004</v>
      </c>
      <c r="B66" s="13" t="s">
        <v>6247</v>
      </c>
      <c r="C66" s="7" t="s">
        <v>4217</v>
      </c>
      <c r="D66" s="101">
        <v>8652</v>
      </c>
    </row>
    <row r="67" spans="1:4" x14ac:dyDescent="0.25">
      <c r="A67" s="147"/>
      <c r="B67" s="13"/>
      <c r="C67" s="7"/>
      <c r="D67" s="5"/>
    </row>
    <row r="68" spans="1:4" ht="62.25" customHeight="1" x14ac:dyDescent="0.25">
      <c r="A68" s="147">
        <v>4.16</v>
      </c>
      <c r="B68" s="13" t="s">
        <v>6248</v>
      </c>
      <c r="C68" s="7" t="s">
        <v>2453</v>
      </c>
      <c r="D68" s="101">
        <v>333</v>
      </c>
    </row>
    <row r="69" spans="1:4" x14ac:dyDescent="0.25">
      <c r="A69" s="147"/>
      <c r="B69" s="13"/>
      <c r="C69" s="7"/>
      <c r="D69" s="5"/>
    </row>
    <row r="70" spans="1:4" x14ac:dyDescent="0.25">
      <c r="A70" s="147"/>
      <c r="B70" s="13"/>
      <c r="C70" s="7"/>
      <c r="D70" s="5"/>
    </row>
    <row r="71" spans="1:4" ht="157.5" x14ac:dyDescent="0.25">
      <c r="A71" s="147">
        <v>4.17</v>
      </c>
      <c r="B71" s="13" t="s">
        <v>6249</v>
      </c>
      <c r="C71" s="7"/>
      <c r="D71" s="5"/>
    </row>
    <row r="72" spans="1:4" x14ac:dyDescent="0.25">
      <c r="A72" s="147"/>
      <c r="B72" s="13"/>
      <c r="C72" s="7"/>
      <c r="D72" s="5"/>
    </row>
    <row r="73" spans="1:4" x14ac:dyDescent="0.25">
      <c r="A73" s="147">
        <v>4.18</v>
      </c>
      <c r="B73" s="13" t="s">
        <v>1178</v>
      </c>
      <c r="C73" s="7"/>
      <c r="D73" s="5"/>
    </row>
    <row r="74" spans="1:4" x14ac:dyDescent="0.25">
      <c r="A74" s="147"/>
      <c r="B74" s="13"/>
      <c r="C74" s="7"/>
      <c r="D74" s="5"/>
    </row>
    <row r="75" spans="1:4" x14ac:dyDescent="0.25">
      <c r="A75" s="147">
        <v>4.1900000000000004</v>
      </c>
      <c r="B75" s="13" t="s">
        <v>1179</v>
      </c>
      <c r="C75" s="7"/>
      <c r="D75" s="5"/>
    </row>
    <row r="76" spans="1:4" x14ac:dyDescent="0.25">
      <c r="A76" s="147"/>
      <c r="B76" s="13"/>
      <c r="C76" s="7"/>
      <c r="D76" s="5"/>
    </row>
    <row r="77" spans="1:4" x14ac:dyDescent="0.25">
      <c r="A77" s="7">
        <v>4.2</v>
      </c>
      <c r="B77" s="13" t="s">
        <v>621</v>
      </c>
      <c r="C77" s="7"/>
      <c r="D77" s="5"/>
    </row>
    <row r="78" spans="1:4" x14ac:dyDescent="0.25">
      <c r="A78" s="147"/>
      <c r="B78" s="13"/>
      <c r="C78" s="7"/>
      <c r="D78" s="5"/>
    </row>
    <row r="79" spans="1:4" ht="47.25" x14ac:dyDescent="0.25">
      <c r="A79" s="7">
        <v>4.21</v>
      </c>
      <c r="B79" s="13" t="s">
        <v>1</v>
      </c>
      <c r="C79" s="7"/>
      <c r="D79" s="5"/>
    </row>
    <row r="80" spans="1:4" x14ac:dyDescent="0.25">
      <c r="A80" s="147" t="s">
        <v>618</v>
      </c>
      <c r="B80" s="13" t="s">
        <v>1180</v>
      </c>
      <c r="C80" s="7" t="s">
        <v>1181</v>
      </c>
      <c r="D80" s="101">
        <v>498</v>
      </c>
    </row>
    <row r="81" spans="1:4" x14ac:dyDescent="0.25">
      <c r="A81" s="147" t="s">
        <v>619</v>
      </c>
      <c r="B81" s="13" t="s">
        <v>986</v>
      </c>
      <c r="C81" s="7" t="s">
        <v>1181</v>
      </c>
      <c r="D81" s="101">
        <v>721</v>
      </c>
    </row>
    <row r="82" spans="1:4" x14ac:dyDescent="0.25">
      <c r="A82" s="147" t="s">
        <v>620</v>
      </c>
      <c r="B82" s="13" t="s">
        <v>1182</v>
      </c>
      <c r="C82" s="7" t="s">
        <v>1181</v>
      </c>
      <c r="D82" s="101">
        <v>952</v>
      </c>
    </row>
    <row r="83" spans="1:4" x14ac:dyDescent="0.25">
      <c r="A83" s="147"/>
      <c r="B83" s="13"/>
      <c r="C83" s="7"/>
      <c r="D83" s="5"/>
    </row>
    <row r="84" spans="1:4" ht="78.75" x14ac:dyDescent="0.25">
      <c r="A84" s="147">
        <v>4.22</v>
      </c>
      <c r="B84" s="13" t="s">
        <v>1183</v>
      </c>
      <c r="C84" s="7" t="s">
        <v>1184</v>
      </c>
      <c r="D84" s="101">
        <v>4659</v>
      </c>
    </row>
    <row r="85" spans="1:4" x14ac:dyDescent="0.25">
      <c r="A85" s="147"/>
      <c r="B85" s="13"/>
      <c r="C85" s="7"/>
      <c r="D85" s="5"/>
    </row>
    <row r="86" spans="1:4" x14ac:dyDescent="0.25">
      <c r="A86" s="147"/>
      <c r="B86" s="194" t="s">
        <v>1185</v>
      </c>
      <c r="C86" s="7"/>
      <c r="D86" s="5"/>
    </row>
    <row r="87" spans="1:4" ht="141.75" x14ac:dyDescent="0.25">
      <c r="A87" s="147">
        <v>4.2300000000000004</v>
      </c>
      <c r="B87" s="13" t="s">
        <v>1186</v>
      </c>
      <c r="C87" s="7"/>
      <c r="D87" s="5"/>
    </row>
    <row r="88" spans="1:4" x14ac:dyDescent="0.25">
      <c r="A88" s="147" t="s">
        <v>2667</v>
      </c>
      <c r="B88" s="13" t="s">
        <v>1187</v>
      </c>
      <c r="C88" s="7" t="s">
        <v>2785</v>
      </c>
      <c r="D88" s="101">
        <v>799</v>
      </c>
    </row>
    <row r="89" spans="1:4" x14ac:dyDescent="0.25">
      <c r="A89" s="147" t="s">
        <v>2669</v>
      </c>
      <c r="B89" s="13" t="s">
        <v>1188</v>
      </c>
      <c r="C89" s="7" t="s">
        <v>2785</v>
      </c>
      <c r="D89" s="101">
        <v>1198</v>
      </c>
    </row>
    <row r="90" spans="1:4" x14ac:dyDescent="0.25">
      <c r="A90" s="147" t="s">
        <v>2671</v>
      </c>
      <c r="B90" s="13" t="s">
        <v>1189</v>
      </c>
      <c r="C90" s="7" t="s">
        <v>2785</v>
      </c>
      <c r="D90" s="101">
        <v>1597</v>
      </c>
    </row>
    <row r="91" spans="1:4" x14ac:dyDescent="0.25">
      <c r="A91" s="147"/>
      <c r="B91" s="13"/>
      <c r="C91" s="7"/>
      <c r="D91" s="5"/>
    </row>
    <row r="92" spans="1:4" x14ac:dyDescent="0.25">
      <c r="A92" s="147"/>
      <c r="B92" s="13"/>
      <c r="C92" s="7"/>
      <c r="D92" s="5"/>
    </row>
    <row r="93" spans="1:4" ht="47.25" x14ac:dyDescent="0.25">
      <c r="A93" s="147">
        <v>4.24</v>
      </c>
      <c r="B93" s="13" t="s">
        <v>1190</v>
      </c>
      <c r="C93" s="7"/>
      <c r="D93" s="5"/>
    </row>
    <row r="94" spans="1:4" x14ac:dyDescent="0.25">
      <c r="A94" s="147" t="s">
        <v>1194</v>
      </c>
      <c r="B94" s="13" t="s">
        <v>1191</v>
      </c>
      <c r="C94" s="7" t="s">
        <v>2785</v>
      </c>
      <c r="D94" s="101">
        <v>266</v>
      </c>
    </row>
    <row r="95" spans="1:4" x14ac:dyDescent="0.25">
      <c r="A95" s="147" t="s">
        <v>1195</v>
      </c>
      <c r="B95" s="13" t="s">
        <v>1192</v>
      </c>
      <c r="C95" s="7" t="s">
        <v>2785</v>
      </c>
      <c r="D95" s="101">
        <v>233</v>
      </c>
    </row>
    <row r="96" spans="1:4" x14ac:dyDescent="0.25">
      <c r="A96" s="147"/>
      <c r="B96" s="13"/>
      <c r="C96" s="7"/>
      <c r="D96" s="5"/>
    </row>
    <row r="97" spans="1:4" ht="31.5" x14ac:dyDescent="0.25">
      <c r="A97" s="147">
        <v>4.25</v>
      </c>
      <c r="B97" s="13" t="s">
        <v>1193</v>
      </c>
      <c r="C97" s="7"/>
      <c r="D97" s="5"/>
    </row>
    <row r="98" spans="1:4" x14ac:dyDescent="0.25">
      <c r="A98" s="147" t="s">
        <v>2780</v>
      </c>
      <c r="B98" s="13" t="s">
        <v>1191</v>
      </c>
      <c r="C98" s="7" t="s">
        <v>2785</v>
      </c>
      <c r="D98" s="101">
        <v>766</v>
      </c>
    </row>
    <row r="99" spans="1:4" x14ac:dyDescent="0.25">
      <c r="A99" s="147" t="s">
        <v>2781</v>
      </c>
      <c r="B99" s="13" t="s">
        <v>1192</v>
      </c>
      <c r="C99" s="7" t="s">
        <v>2785</v>
      </c>
      <c r="D99" s="101">
        <v>666</v>
      </c>
    </row>
    <row r="100" spans="1:4" x14ac:dyDescent="0.25">
      <c r="A100" s="147"/>
      <c r="B100" s="13"/>
      <c r="C100" s="7"/>
      <c r="D100" s="5"/>
    </row>
    <row r="101" spans="1:4" ht="63" x14ac:dyDescent="0.25">
      <c r="A101" s="147">
        <v>4.26</v>
      </c>
      <c r="B101" s="13" t="s">
        <v>1196</v>
      </c>
      <c r="C101" s="7" t="s">
        <v>2785</v>
      </c>
      <c r="D101" s="101">
        <v>300</v>
      </c>
    </row>
    <row r="102" spans="1:4" x14ac:dyDescent="0.25">
      <c r="A102" s="147"/>
      <c r="B102" s="13"/>
      <c r="C102" s="7"/>
      <c r="D102" s="5"/>
    </row>
    <row r="103" spans="1:4" ht="94.5" x14ac:dyDescent="0.25">
      <c r="A103" s="147">
        <v>4.2699999999999996</v>
      </c>
      <c r="B103" s="13" t="s">
        <v>1197</v>
      </c>
      <c r="C103" s="7" t="s">
        <v>2785</v>
      </c>
      <c r="D103" s="101">
        <v>154</v>
      </c>
    </row>
    <row r="104" spans="1:4" x14ac:dyDescent="0.25">
      <c r="A104" s="147"/>
      <c r="B104" s="13"/>
      <c r="C104" s="7"/>
      <c r="D104" s="5"/>
    </row>
    <row r="105" spans="1:4" ht="47.25" x14ac:dyDescent="0.25">
      <c r="A105" s="147">
        <v>4.28</v>
      </c>
      <c r="B105" s="13" t="s">
        <v>1198</v>
      </c>
      <c r="C105" s="7"/>
      <c r="D105" s="5"/>
    </row>
    <row r="106" spans="1:4" x14ac:dyDescent="0.25">
      <c r="A106" s="147" t="s">
        <v>2674</v>
      </c>
      <c r="B106" s="13" t="s">
        <v>1199</v>
      </c>
      <c r="C106" s="7" t="s">
        <v>2439</v>
      </c>
      <c r="D106" s="101">
        <v>1997</v>
      </c>
    </row>
    <row r="107" spans="1:4" x14ac:dyDescent="0.25">
      <c r="A107" s="147" t="s">
        <v>2675</v>
      </c>
      <c r="B107" s="13" t="s">
        <v>1200</v>
      </c>
      <c r="C107" s="7" t="s">
        <v>2439</v>
      </c>
      <c r="D107" s="101">
        <v>2928</v>
      </c>
    </row>
    <row r="108" spans="1:4" x14ac:dyDescent="0.25">
      <c r="A108" s="147"/>
      <c r="B108" s="13"/>
      <c r="C108" s="7"/>
      <c r="D108" s="5"/>
    </row>
    <row r="109" spans="1:4" ht="31.5" x14ac:dyDescent="0.25">
      <c r="A109" s="147">
        <v>4.29</v>
      </c>
      <c r="B109" s="13" t="s">
        <v>1201</v>
      </c>
      <c r="C109" s="7" t="s">
        <v>2439</v>
      </c>
      <c r="D109" s="101">
        <v>3727</v>
      </c>
    </row>
    <row r="110" spans="1:4" x14ac:dyDescent="0.25">
      <c r="A110" s="7"/>
      <c r="B110" s="191"/>
      <c r="C110" s="7"/>
    </row>
    <row r="153" spans="1:3" x14ac:dyDescent="0.25">
      <c r="A153" s="147"/>
      <c r="B153" s="191"/>
      <c r="C153" s="7"/>
    </row>
    <row r="154" spans="1:3" x14ac:dyDescent="0.25">
      <c r="A154" s="147"/>
      <c r="B154" s="191"/>
      <c r="C154" s="7"/>
    </row>
    <row r="155" spans="1:3" x14ac:dyDescent="0.25">
      <c r="A155" s="147"/>
      <c r="B155" s="191"/>
      <c r="C155" s="7"/>
    </row>
    <row r="156" spans="1:3" x14ac:dyDescent="0.25">
      <c r="A156" s="147"/>
      <c r="B156" s="191"/>
      <c r="C156" s="7"/>
    </row>
    <row r="157" spans="1:3" x14ac:dyDescent="0.25">
      <c r="A157" s="147"/>
      <c r="B157" s="191"/>
      <c r="C157" s="7"/>
    </row>
    <row r="158" spans="1:3" x14ac:dyDescent="0.25">
      <c r="A158" s="147"/>
      <c r="B158" s="191"/>
      <c r="C158" s="7"/>
    </row>
    <row r="159" spans="1:3" x14ac:dyDescent="0.25">
      <c r="A159" s="147"/>
      <c r="B159" s="191"/>
      <c r="C159" s="7"/>
    </row>
    <row r="160" spans="1:3" x14ac:dyDescent="0.25">
      <c r="A160" s="147"/>
      <c r="B160" s="191"/>
      <c r="C160" s="7"/>
    </row>
    <row r="161" spans="1:3" x14ac:dyDescent="0.25">
      <c r="A161" s="147"/>
      <c r="B161" s="191"/>
      <c r="C161" s="7"/>
    </row>
    <row r="162" spans="1:3" x14ac:dyDescent="0.25">
      <c r="A162" s="147"/>
      <c r="B162" s="191"/>
      <c r="C162" s="7"/>
    </row>
    <row r="163" spans="1:3" x14ac:dyDescent="0.25">
      <c r="A163" s="147"/>
      <c r="B163" s="191"/>
      <c r="C163" s="7"/>
    </row>
    <row r="164" spans="1:3" x14ac:dyDescent="0.25">
      <c r="A164" s="147"/>
      <c r="B164" s="191"/>
      <c r="C164" s="7"/>
    </row>
    <row r="165" spans="1:3" x14ac:dyDescent="0.25">
      <c r="A165" s="147"/>
      <c r="B165" s="191"/>
      <c r="C165" s="7"/>
    </row>
    <row r="166" spans="1:3" x14ac:dyDescent="0.25">
      <c r="A166" s="147"/>
      <c r="B166" s="191"/>
      <c r="C166" s="7"/>
    </row>
    <row r="167" spans="1:3" x14ac:dyDescent="0.25">
      <c r="A167" s="147"/>
      <c r="B167" s="191"/>
      <c r="C167" s="7"/>
    </row>
    <row r="168" spans="1:3" x14ac:dyDescent="0.25">
      <c r="A168" s="147"/>
      <c r="B168" s="191"/>
      <c r="C168" s="7"/>
    </row>
    <row r="169" spans="1:3" x14ac:dyDescent="0.25">
      <c r="A169" s="147"/>
      <c r="B169" s="191"/>
      <c r="C169" s="7"/>
    </row>
    <row r="170" spans="1:3" x14ac:dyDescent="0.25">
      <c r="A170" s="147"/>
      <c r="B170" s="191"/>
      <c r="C170" s="7"/>
    </row>
    <row r="171" spans="1:3" x14ac:dyDescent="0.25">
      <c r="A171" s="147"/>
      <c r="B171" s="191"/>
      <c r="C171" s="7"/>
    </row>
    <row r="172" spans="1:3" x14ac:dyDescent="0.25">
      <c r="A172" s="147"/>
      <c r="B172" s="191"/>
      <c r="C172" s="7"/>
    </row>
    <row r="173" spans="1:3" x14ac:dyDescent="0.25">
      <c r="A173" s="147"/>
      <c r="B173" s="191"/>
      <c r="C173" s="7"/>
    </row>
    <row r="174" spans="1:3" x14ac:dyDescent="0.25">
      <c r="A174" s="147"/>
      <c r="B174" s="191"/>
      <c r="C174" s="7"/>
    </row>
    <row r="175" spans="1:3" x14ac:dyDescent="0.25">
      <c r="A175" s="147"/>
      <c r="B175" s="191"/>
      <c r="C175" s="7"/>
    </row>
    <row r="176" spans="1:3" x14ac:dyDescent="0.25">
      <c r="A176" s="147"/>
      <c r="B176" s="191"/>
      <c r="C176" s="7"/>
    </row>
    <row r="177" spans="1:3" x14ac:dyDescent="0.25">
      <c r="A177" s="147"/>
      <c r="B177" s="191"/>
      <c r="C177" s="7"/>
    </row>
    <row r="178" spans="1:3" x14ac:dyDescent="0.25">
      <c r="A178" s="147"/>
      <c r="B178" s="191"/>
      <c r="C178" s="7"/>
    </row>
    <row r="179" spans="1:3" x14ac:dyDescent="0.25">
      <c r="A179" s="147"/>
      <c r="B179" s="191"/>
      <c r="C179" s="7"/>
    </row>
    <row r="180" spans="1:3" x14ac:dyDescent="0.25">
      <c r="A180" s="147"/>
      <c r="B180" s="191"/>
      <c r="C180" s="7"/>
    </row>
    <row r="181" spans="1:3" x14ac:dyDescent="0.25">
      <c r="A181" s="147"/>
      <c r="B181" s="191"/>
      <c r="C181" s="7"/>
    </row>
    <row r="182" spans="1:3" x14ac:dyDescent="0.25">
      <c r="A182" s="147"/>
      <c r="B182" s="191"/>
      <c r="C182" s="7"/>
    </row>
    <row r="183" spans="1:3" x14ac:dyDescent="0.25">
      <c r="A183" s="147"/>
      <c r="B183" s="191"/>
      <c r="C183" s="7"/>
    </row>
    <row r="184" spans="1:3" x14ac:dyDescent="0.25">
      <c r="A184" s="147"/>
      <c r="B184" s="191"/>
      <c r="C184" s="7"/>
    </row>
    <row r="185" spans="1:3" x14ac:dyDescent="0.25">
      <c r="A185" s="147"/>
      <c r="B185" s="191"/>
      <c r="C185" s="7"/>
    </row>
    <row r="186" spans="1:3" x14ac:dyDescent="0.25">
      <c r="A186" s="147"/>
      <c r="B186" s="191"/>
      <c r="C186" s="7"/>
    </row>
    <row r="187" spans="1:3" x14ac:dyDescent="0.25">
      <c r="A187" s="147"/>
      <c r="B187" s="191"/>
      <c r="C187" s="7"/>
    </row>
    <row r="188" spans="1:3" x14ac:dyDescent="0.25">
      <c r="A188" s="147"/>
      <c r="B188" s="191"/>
      <c r="C188" s="7"/>
    </row>
    <row r="189" spans="1:3" x14ac:dyDescent="0.25">
      <c r="A189" s="147"/>
      <c r="B189" s="191"/>
      <c r="C189" s="7"/>
    </row>
    <row r="190" spans="1:3" x14ac:dyDescent="0.25">
      <c r="A190" s="147"/>
      <c r="B190" s="191"/>
      <c r="C190" s="7"/>
    </row>
    <row r="191" spans="1:3" x14ac:dyDescent="0.25">
      <c r="A191" s="147"/>
      <c r="B191" s="191"/>
      <c r="C191" s="7"/>
    </row>
    <row r="192" spans="1:3" x14ac:dyDescent="0.25">
      <c r="A192" s="147"/>
      <c r="B192" s="191"/>
      <c r="C192" s="7"/>
    </row>
    <row r="193" spans="1:3" x14ac:dyDescent="0.25">
      <c r="A193" s="147"/>
      <c r="B193" s="191"/>
      <c r="C193" s="7"/>
    </row>
    <row r="194" spans="1:3" x14ac:dyDescent="0.25">
      <c r="A194" s="147"/>
      <c r="B194" s="191"/>
      <c r="C194" s="7"/>
    </row>
    <row r="195" spans="1:3" x14ac:dyDescent="0.25">
      <c r="A195" s="147"/>
      <c r="B195" s="191"/>
      <c r="C195" s="7"/>
    </row>
    <row r="196" spans="1:3" x14ac:dyDescent="0.25">
      <c r="A196" s="147"/>
      <c r="B196" s="191"/>
      <c r="C196" s="7"/>
    </row>
    <row r="197" spans="1:3" x14ac:dyDescent="0.25">
      <c r="A197" s="147"/>
      <c r="B197" s="191"/>
      <c r="C197" s="7"/>
    </row>
    <row r="198" spans="1:3" x14ac:dyDescent="0.25">
      <c r="A198" s="7"/>
      <c r="B198" s="191"/>
      <c r="C198" s="7"/>
    </row>
    <row r="199" spans="1:3" x14ac:dyDescent="0.25">
      <c r="A199" s="147"/>
      <c r="B199" s="191"/>
      <c r="C199" s="7"/>
    </row>
    <row r="200" spans="1:3" x14ac:dyDescent="0.25">
      <c r="A200" s="147"/>
      <c r="B200" s="191"/>
      <c r="C200" s="7"/>
    </row>
    <row r="201" spans="1:3" x14ac:dyDescent="0.25">
      <c r="A201" s="147"/>
      <c r="B201" s="191"/>
      <c r="C201" s="7"/>
    </row>
    <row r="202" spans="1:3" x14ac:dyDescent="0.25">
      <c r="A202" s="147"/>
      <c r="B202" s="191"/>
      <c r="C202" s="7"/>
    </row>
    <row r="203" spans="1:3" x14ac:dyDescent="0.25">
      <c r="A203" s="147"/>
      <c r="B203" s="191"/>
      <c r="C203" s="7"/>
    </row>
    <row r="204" spans="1:3" x14ac:dyDescent="0.25">
      <c r="A204" s="147"/>
      <c r="B204" s="191"/>
      <c r="C204" s="7"/>
    </row>
    <row r="205" spans="1:3" x14ac:dyDescent="0.25">
      <c r="A205" s="147"/>
      <c r="B205" s="191"/>
      <c r="C205" s="7"/>
    </row>
    <row r="206" spans="1:3" x14ac:dyDescent="0.25">
      <c r="A206" s="147"/>
      <c r="B206" s="191"/>
      <c r="C206" s="7"/>
    </row>
    <row r="207" spans="1:3" x14ac:dyDescent="0.25">
      <c r="A207" s="147"/>
      <c r="B207" s="191"/>
      <c r="C207" s="7"/>
    </row>
    <row r="208" spans="1:3" x14ac:dyDescent="0.25">
      <c r="A208" s="147"/>
      <c r="B208" s="191"/>
      <c r="C208" s="7"/>
    </row>
    <row r="209" spans="1:3" x14ac:dyDescent="0.25">
      <c r="A209" s="147"/>
      <c r="B209" s="191"/>
      <c r="C209" s="7"/>
    </row>
    <row r="210" spans="1:3" x14ac:dyDescent="0.25">
      <c r="A210" s="147"/>
      <c r="B210" s="191"/>
      <c r="C210" s="7"/>
    </row>
    <row r="211" spans="1:3" x14ac:dyDescent="0.25">
      <c r="A211" s="147"/>
      <c r="B211" s="191"/>
      <c r="C211" s="7"/>
    </row>
    <row r="212" spans="1:3" x14ac:dyDescent="0.25">
      <c r="A212" s="147"/>
      <c r="B212" s="191"/>
      <c r="C212" s="7"/>
    </row>
    <row r="213" spans="1:3" x14ac:dyDescent="0.25">
      <c r="A213" s="147"/>
      <c r="B213" s="191"/>
      <c r="C213" s="7"/>
    </row>
    <row r="214" spans="1:3" x14ac:dyDescent="0.25">
      <c r="A214" s="147"/>
      <c r="B214" s="13"/>
      <c r="C214" s="7"/>
    </row>
    <row r="215" spans="1:3" x14ac:dyDescent="0.25">
      <c r="A215" s="147"/>
      <c r="B215" s="191"/>
      <c r="C215" s="7"/>
    </row>
    <row r="216" spans="1:3" x14ac:dyDescent="0.25">
      <c r="A216" s="147"/>
      <c r="B216" s="191"/>
      <c r="C216" s="7"/>
    </row>
    <row r="217" spans="1:3" x14ac:dyDescent="0.25">
      <c r="A217" s="147"/>
      <c r="B217" s="191"/>
      <c r="C217" s="7"/>
    </row>
    <row r="218" spans="1:3" x14ac:dyDescent="0.25">
      <c r="A218" s="147"/>
      <c r="B218" s="191"/>
      <c r="C218" s="7"/>
    </row>
    <row r="219" spans="1:3" x14ac:dyDescent="0.25">
      <c r="A219" s="147"/>
      <c r="B219" s="191"/>
      <c r="C219" s="7"/>
    </row>
    <row r="220" spans="1:3" x14ac:dyDescent="0.25">
      <c r="A220" s="147"/>
      <c r="B220" s="191"/>
      <c r="C220" s="7"/>
    </row>
    <row r="221" spans="1:3" x14ac:dyDescent="0.25">
      <c r="A221" s="147"/>
      <c r="B221" s="191"/>
      <c r="C221" s="7"/>
    </row>
    <row r="222" spans="1:3" x14ac:dyDescent="0.25">
      <c r="A222" s="147"/>
      <c r="B222" s="191"/>
      <c r="C222" s="7"/>
    </row>
    <row r="223" spans="1:3" x14ac:dyDescent="0.25">
      <c r="A223" s="147"/>
      <c r="B223" s="191"/>
      <c r="C223" s="7"/>
    </row>
    <row r="224" spans="1:3" x14ac:dyDescent="0.25">
      <c r="A224" s="147"/>
      <c r="B224" s="191"/>
      <c r="C224" s="7"/>
    </row>
    <row r="225" spans="1:3" x14ac:dyDescent="0.25">
      <c r="A225" s="147"/>
      <c r="B225" s="13"/>
      <c r="C225" s="7"/>
    </row>
    <row r="226" spans="1:3" x14ac:dyDescent="0.25">
      <c r="A226" s="147"/>
      <c r="B226" s="191"/>
      <c r="C226" s="7"/>
    </row>
    <row r="227" spans="1:3" x14ac:dyDescent="0.25">
      <c r="A227" s="147"/>
      <c r="B227" s="191"/>
      <c r="C227" s="7"/>
    </row>
    <row r="228" spans="1:3" x14ac:dyDescent="0.25">
      <c r="A228" s="147"/>
      <c r="B228" s="191"/>
      <c r="C228" s="7"/>
    </row>
    <row r="229" spans="1:3" x14ac:dyDescent="0.25">
      <c r="A229" s="147"/>
      <c r="B229" s="191"/>
      <c r="C229" s="7"/>
    </row>
    <row r="230" spans="1:3" x14ac:dyDescent="0.25">
      <c r="A230" s="147"/>
      <c r="B230" s="191"/>
      <c r="C230" s="7"/>
    </row>
    <row r="231" spans="1:3" x14ac:dyDescent="0.25">
      <c r="A231" s="147"/>
      <c r="B231" s="191"/>
      <c r="C231" s="7"/>
    </row>
    <row r="232" spans="1:3" x14ac:dyDescent="0.25">
      <c r="A232" s="147"/>
      <c r="B232" s="191"/>
      <c r="C232" s="7"/>
    </row>
    <row r="233" spans="1:3" x14ac:dyDescent="0.25">
      <c r="A233" s="147"/>
      <c r="B233" s="13"/>
      <c r="C233" s="7"/>
    </row>
    <row r="234" spans="1:3" x14ac:dyDescent="0.25">
      <c r="A234" s="147"/>
      <c r="B234" s="191"/>
      <c r="C234" s="7"/>
    </row>
    <row r="235" spans="1:3" x14ac:dyDescent="0.25">
      <c r="A235" s="147"/>
      <c r="B235" s="191"/>
      <c r="C235" s="7"/>
    </row>
    <row r="236" spans="1:3" x14ac:dyDescent="0.25">
      <c r="A236" s="147"/>
      <c r="B236" s="191"/>
      <c r="C236" s="7"/>
    </row>
    <row r="237" spans="1:3" x14ac:dyDescent="0.25">
      <c r="A237" s="147"/>
      <c r="B237" s="191"/>
      <c r="C237" s="7"/>
    </row>
    <row r="238" spans="1:3" x14ac:dyDescent="0.25">
      <c r="A238" s="147"/>
      <c r="B238" s="191"/>
      <c r="C238" s="7"/>
    </row>
    <row r="239" spans="1:3" x14ac:dyDescent="0.25">
      <c r="A239" s="147"/>
      <c r="B239" s="191"/>
      <c r="C239" s="7"/>
    </row>
    <row r="240" spans="1:3" x14ac:dyDescent="0.25">
      <c r="A240" s="147"/>
      <c r="B240" s="191"/>
      <c r="C240" s="7"/>
    </row>
    <row r="241" spans="1:3" x14ac:dyDescent="0.25">
      <c r="A241" s="147"/>
      <c r="B241" s="191"/>
      <c r="C241" s="7"/>
    </row>
    <row r="242" spans="1:3" x14ac:dyDescent="0.25">
      <c r="A242" s="147"/>
      <c r="B242" s="191"/>
      <c r="C242" s="7"/>
    </row>
    <row r="243" spans="1:3" x14ac:dyDescent="0.25">
      <c r="A243" s="147"/>
      <c r="B243" s="191"/>
      <c r="C243" s="7"/>
    </row>
    <row r="244" spans="1:3" x14ac:dyDescent="0.25">
      <c r="A244" s="147"/>
      <c r="B244" s="191"/>
      <c r="C244" s="7"/>
    </row>
    <row r="245" spans="1:3" x14ac:dyDescent="0.25">
      <c r="A245" s="147"/>
      <c r="B245" s="191"/>
      <c r="C245" s="7"/>
    </row>
    <row r="246" spans="1:3" x14ac:dyDescent="0.25">
      <c r="A246" s="147"/>
      <c r="B246" s="191"/>
      <c r="C246" s="7"/>
    </row>
    <row r="247" spans="1:3" x14ac:dyDescent="0.25">
      <c r="A247" s="147"/>
      <c r="B247" s="191"/>
      <c r="C247" s="7"/>
    </row>
    <row r="248" spans="1:3" x14ac:dyDescent="0.25">
      <c r="A248" s="147"/>
      <c r="B248" s="191"/>
      <c r="C248" s="7"/>
    </row>
    <row r="249" spans="1:3" x14ac:dyDescent="0.25">
      <c r="A249" s="147"/>
      <c r="B249" s="191"/>
      <c r="C249" s="7"/>
    </row>
    <row r="250" spans="1:3" x14ac:dyDescent="0.25">
      <c r="A250" s="147"/>
      <c r="B250" s="191"/>
      <c r="C250" s="7"/>
    </row>
    <row r="251" spans="1:3" x14ac:dyDescent="0.25">
      <c r="A251" s="147"/>
      <c r="B251" s="191"/>
      <c r="C251" s="7"/>
    </row>
    <row r="252" spans="1:3" x14ac:dyDescent="0.25">
      <c r="A252" s="147"/>
      <c r="B252" s="191"/>
      <c r="C252" s="7"/>
    </row>
    <row r="253" spans="1:3" x14ac:dyDescent="0.25">
      <c r="A253" s="147"/>
      <c r="B253" s="191"/>
      <c r="C253" s="7"/>
    </row>
    <row r="254" spans="1:3" x14ac:dyDescent="0.25">
      <c r="A254" s="147"/>
      <c r="B254" s="190"/>
      <c r="C254" s="7"/>
    </row>
    <row r="255" spans="1:3" x14ac:dyDescent="0.25">
      <c r="A255" s="147"/>
      <c r="B255" s="13"/>
      <c r="C255" s="7"/>
    </row>
    <row r="256" spans="1:3" x14ac:dyDescent="0.25">
      <c r="A256" s="147"/>
      <c r="B256" s="190"/>
      <c r="C256" s="7"/>
    </row>
    <row r="257" spans="1:3" x14ac:dyDescent="0.25">
      <c r="A257" s="147"/>
      <c r="B257" s="191"/>
      <c r="C257" s="7"/>
    </row>
    <row r="258" spans="1:3" x14ac:dyDescent="0.25">
      <c r="A258" s="147"/>
      <c r="B258" s="191"/>
      <c r="C258" s="7"/>
    </row>
    <row r="259" spans="1:3" x14ac:dyDescent="0.25">
      <c r="A259" s="147"/>
      <c r="B259" s="191"/>
      <c r="C259" s="7"/>
    </row>
    <row r="260" spans="1:3" x14ac:dyDescent="0.25">
      <c r="A260" s="147"/>
      <c r="B260" s="191"/>
      <c r="C260" s="7"/>
    </row>
    <row r="261" spans="1:3" x14ac:dyDescent="0.25">
      <c r="A261" s="147"/>
      <c r="B261" s="191"/>
      <c r="C261" s="7"/>
    </row>
    <row r="262" spans="1:3" x14ac:dyDescent="0.25">
      <c r="A262" s="147"/>
      <c r="B262" s="191"/>
      <c r="C262" s="7"/>
    </row>
    <row r="263" spans="1:3" x14ac:dyDescent="0.25">
      <c r="A263" s="7"/>
      <c r="B263" s="13"/>
      <c r="C263" s="7"/>
    </row>
    <row r="264" spans="1:3" x14ac:dyDescent="0.25">
      <c r="A264" s="147"/>
      <c r="B264" s="190"/>
      <c r="C264" s="7"/>
    </row>
    <row r="265" spans="1:3" x14ac:dyDescent="0.25">
      <c r="A265" s="147"/>
      <c r="B265" s="191"/>
      <c r="C265" s="7"/>
    </row>
    <row r="266" spans="1:3" x14ac:dyDescent="0.25">
      <c r="A266" s="147"/>
      <c r="B266" s="191"/>
      <c r="C266" s="7"/>
    </row>
    <row r="267" spans="1:3" x14ac:dyDescent="0.25">
      <c r="A267" s="147"/>
      <c r="B267" s="191"/>
      <c r="C267" s="7"/>
    </row>
    <row r="268" spans="1:3" x14ac:dyDescent="0.25">
      <c r="A268" s="147"/>
      <c r="B268" s="191"/>
      <c r="C268" s="7"/>
    </row>
    <row r="269" spans="1:3" x14ac:dyDescent="0.25">
      <c r="A269" s="147"/>
      <c r="B269" s="191"/>
      <c r="C269" s="7"/>
    </row>
    <row r="270" spans="1:3" x14ac:dyDescent="0.25">
      <c r="A270" s="147"/>
      <c r="B270" s="191"/>
      <c r="C270" s="7"/>
    </row>
    <row r="271" spans="1:3" x14ac:dyDescent="0.25">
      <c r="A271" s="147"/>
      <c r="B271" s="13"/>
      <c r="C271" s="7"/>
    </row>
    <row r="272" spans="1:3" x14ac:dyDescent="0.25">
      <c r="A272" s="147"/>
      <c r="B272" s="191"/>
      <c r="C272" s="7"/>
    </row>
    <row r="273" spans="1:3" x14ac:dyDescent="0.25">
      <c r="A273" s="147"/>
      <c r="B273" s="191"/>
      <c r="C273" s="7"/>
    </row>
    <row r="274" spans="1:3" x14ac:dyDescent="0.25">
      <c r="A274" s="147"/>
      <c r="B274" s="191"/>
      <c r="C274" s="7"/>
    </row>
    <row r="275" spans="1:3" x14ac:dyDescent="0.25">
      <c r="A275" s="147"/>
      <c r="B275" s="191"/>
      <c r="C275" s="7"/>
    </row>
    <row r="276" spans="1:3" x14ac:dyDescent="0.25">
      <c r="A276" s="147"/>
      <c r="B276" s="191"/>
      <c r="C276" s="7"/>
    </row>
    <row r="277" spans="1:3" x14ac:dyDescent="0.25">
      <c r="A277" s="147"/>
      <c r="B277" s="191"/>
      <c r="C277" s="7"/>
    </row>
    <row r="278" spans="1:3" x14ac:dyDescent="0.25">
      <c r="A278" s="147"/>
      <c r="B278" s="191"/>
      <c r="C278" s="7"/>
    </row>
    <row r="279" spans="1:3" x14ac:dyDescent="0.25">
      <c r="A279" s="147"/>
      <c r="B279" s="191"/>
      <c r="C279" s="7"/>
    </row>
    <row r="280" spans="1:3" x14ac:dyDescent="0.25">
      <c r="A280" s="147"/>
      <c r="B280" s="191"/>
      <c r="C280" s="7"/>
    </row>
    <row r="281" spans="1:3" x14ac:dyDescent="0.25">
      <c r="A281" s="147"/>
      <c r="B281" s="191"/>
      <c r="C281" s="7"/>
    </row>
    <row r="282" spans="1:3" x14ac:dyDescent="0.25">
      <c r="A282" s="147"/>
      <c r="B282" s="191"/>
      <c r="C282" s="7"/>
    </row>
    <row r="283" spans="1:3" x14ac:dyDescent="0.25">
      <c r="A283" s="147"/>
      <c r="B283" s="191"/>
      <c r="C283" s="7"/>
    </row>
    <row r="284" spans="1:3" x14ac:dyDescent="0.25">
      <c r="A284" s="147"/>
      <c r="B284" s="191"/>
      <c r="C284" s="7"/>
    </row>
    <row r="285" spans="1:3" x14ac:dyDescent="0.25">
      <c r="A285" s="147"/>
      <c r="B285" s="191"/>
      <c r="C285" s="7"/>
    </row>
    <row r="286" spans="1:3" x14ac:dyDescent="0.25">
      <c r="A286" s="147"/>
      <c r="B286" s="191"/>
      <c r="C286" s="7"/>
    </row>
    <row r="287" spans="1:3" x14ac:dyDescent="0.25">
      <c r="A287" s="147"/>
      <c r="B287" s="191"/>
      <c r="C287" s="7"/>
    </row>
    <row r="288" spans="1:3" x14ac:dyDescent="0.25">
      <c r="A288" s="147"/>
      <c r="B288" s="13"/>
      <c r="C288" s="7"/>
    </row>
    <row r="289" spans="1:3" x14ac:dyDescent="0.25">
      <c r="A289" s="147"/>
      <c r="B289" s="191"/>
      <c r="C289" s="7"/>
    </row>
    <row r="290" spans="1:3" x14ac:dyDescent="0.25">
      <c r="A290" s="147"/>
      <c r="B290" s="191"/>
      <c r="C290" s="7"/>
    </row>
    <row r="291" spans="1:3" x14ac:dyDescent="0.25">
      <c r="A291" s="147"/>
      <c r="B291" s="191"/>
      <c r="C291" s="7"/>
    </row>
    <row r="292" spans="1:3" x14ac:dyDescent="0.25">
      <c r="A292" s="147"/>
      <c r="B292" s="191"/>
      <c r="C292" s="7"/>
    </row>
    <row r="293" spans="1:3" x14ac:dyDescent="0.25">
      <c r="A293" s="147"/>
      <c r="B293" s="191"/>
      <c r="C293" s="7"/>
    </row>
    <row r="294" spans="1:3" x14ac:dyDescent="0.25">
      <c r="A294" s="147"/>
      <c r="B294" s="191"/>
      <c r="C294" s="7"/>
    </row>
    <row r="295" spans="1:3" x14ac:dyDescent="0.25">
      <c r="A295" s="147"/>
      <c r="B295" s="191"/>
      <c r="C295" s="7"/>
    </row>
    <row r="296" spans="1:3" x14ac:dyDescent="0.25">
      <c r="A296" s="147"/>
      <c r="B296" s="191"/>
      <c r="C296" s="7"/>
    </row>
    <row r="297" spans="1:3" x14ac:dyDescent="0.25">
      <c r="A297" s="147"/>
      <c r="B297" s="191"/>
      <c r="C297" s="7"/>
    </row>
    <row r="298" spans="1:3" x14ac:dyDescent="0.25">
      <c r="A298" s="147"/>
      <c r="B298" s="191"/>
      <c r="C298" s="7"/>
    </row>
    <row r="299" spans="1:3" x14ac:dyDescent="0.25">
      <c r="A299" s="147"/>
      <c r="B299" s="191"/>
      <c r="C299" s="7"/>
    </row>
    <row r="300" spans="1:3" x14ac:dyDescent="0.25">
      <c r="A300" s="147"/>
      <c r="B300" s="191"/>
      <c r="C300" s="7"/>
    </row>
    <row r="301" spans="1:3" x14ac:dyDescent="0.25">
      <c r="A301" s="147"/>
      <c r="B301" s="191"/>
      <c r="C301" s="7"/>
    </row>
    <row r="302" spans="1:3" x14ac:dyDescent="0.25">
      <c r="A302" s="147"/>
      <c r="B302" s="191"/>
      <c r="C302" s="7"/>
    </row>
    <row r="303" spans="1:3" x14ac:dyDescent="0.25">
      <c r="A303" s="147"/>
      <c r="B303" s="191"/>
      <c r="C303" s="7"/>
    </row>
    <row r="304" spans="1:3" x14ac:dyDescent="0.25">
      <c r="A304" s="147"/>
      <c r="B304" s="191"/>
      <c r="C304" s="7"/>
    </row>
    <row r="305" spans="1:3" x14ac:dyDescent="0.25">
      <c r="A305" s="147"/>
      <c r="B305" s="191"/>
      <c r="C305" s="7"/>
    </row>
    <row r="306" spans="1:3" x14ac:dyDescent="0.25">
      <c r="A306" s="147"/>
      <c r="B306" s="191"/>
      <c r="C306" s="7"/>
    </row>
    <row r="307" spans="1:3" x14ac:dyDescent="0.25">
      <c r="A307" s="147"/>
      <c r="B307" s="191"/>
      <c r="C307" s="7"/>
    </row>
    <row r="308" spans="1:3" x14ac:dyDescent="0.25">
      <c r="A308" s="147"/>
      <c r="B308" s="191"/>
      <c r="C308" s="7"/>
    </row>
    <row r="309" spans="1:3" x14ac:dyDescent="0.25">
      <c r="A309" s="147"/>
      <c r="B309" s="191"/>
      <c r="C309" s="7"/>
    </row>
    <row r="310" spans="1:3" x14ac:dyDescent="0.25">
      <c r="A310" s="147"/>
      <c r="B310" s="191"/>
      <c r="C310" s="7"/>
    </row>
    <row r="311" spans="1:3" x14ac:dyDescent="0.25">
      <c r="A311" s="147"/>
      <c r="B311" s="13"/>
      <c r="C311" s="7"/>
    </row>
    <row r="312" spans="1:3" x14ac:dyDescent="0.25">
      <c r="A312" s="147"/>
      <c r="B312" s="191"/>
      <c r="C312" s="7"/>
    </row>
    <row r="313" spans="1:3" x14ac:dyDescent="0.25">
      <c r="A313" s="147"/>
      <c r="B313" s="191"/>
      <c r="C313" s="7"/>
    </row>
    <row r="314" spans="1:3" x14ac:dyDescent="0.25">
      <c r="A314" s="147"/>
      <c r="B314" s="191"/>
      <c r="C314" s="7"/>
    </row>
    <row r="315" spans="1:3" x14ac:dyDescent="0.25">
      <c r="A315" s="147"/>
      <c r="B315" s="191"/>
      <c r="C315" s="7"/>
    </row>
    <row r="316" spans="1:3" x14ac:dyDescent="0.25">
      <c r="A316" s="147"/>
      <c r="B316" s="191"/>
      <c r="C316" s="7"/>
    </row>
    <row r="317" spans="1:3" x14ac:dyDescent="0.25">
      <c r="A317" s="147"/>
      <c r="B317" s="191"/>
      <c r="C317" s="7"/>
    </row>
    <row r="318" spans="1:3" x14ac:dyDescent="0.25">
      <c r="A318" s="147"/>
      <c r="B318" s="191"/>
      <c r="C318" s="7"/>
    </row>
    <row r="319" spans="1:3" x14ac:dyDescent="0.25">
      <c r="A319" s="147"/>
      <c r="B319" s="13"/>
      <c r="C319" s="7"/>
    </row>
    <row r="320" spans="1:3" x14ac:dyDescent="0.25">
      <c r="A320" s="147"/>
      <c r="B320" s="191"/>
      <c r="C320" s="7"/>
    </row>
    <row r="321" spans="1:3" x14ac:dyDescent="0.25">
      <c r="A321" s="147"/>
      <c r="B321" s="191"/>
      <c r="C321" s="7"/>
    </row>
    <row r="322" spans="1:3" x14ac:dyDescent="0.25">
      <c r="A322" s="147"/>
      <c r="B322" s="191"/>
      <c r="C322" s="7"/>
    </row>
    <row r="323" spans="1:3" x14ac:dyDescent="0.25">
      <c r="A323" s="147"/>
      <c r="B323" s="191"/>
      <c r="C323" s="7"/>
    </row>
    <row r="324" spans="1:3" x14ac:dyDescent="0.25">
      <c r="A324" s="147"/>
      <c r="B324" s="191"/>
      <c r="C324" s="7"/>
    </row>
    <row r="325" spans="1:3" x14ac:dyDescent="0.25">
      <c r="A325" s="147"/>
      <c r="B325" s="13"/>
      <c r="C325" s="7"/>
    </row>
    <row r="326" spans="1:3" x14ac:dyDescent="0.25">
      <c r="A326" s="147"/>
      <c r="B326" s="191"/>
      <c r="C326" s="7"/>
    </row>
    <row r="327" spans="1:3" x14ac:dyDescent="0.25">
      <c r="A327" s="147"/>
      <c r="B327" s="191"/>
      <c r="C327" s="7"/>
    </row>
    <row r="328" spans="1:3" x14ac:dyDescent="0.25">
      <c r="A328" s="147"/>
      <c r="B328" s="191"/>
      <c r="C328" s="7"/>
    </row>
    <row r="329" spans="1:3" x14ac:dyDescent="0.25">
      <c r="A329" s="147"/>
      <c r="B329" s="191"/>
      <c r="C329" s="7"/>
    </row>
    <row r="330" spans="1:3" x14ac:dyDescent="0.25">
      <c r="A330" s="147"/>
      <c r="B330" s="191"/>
      <c r="C330" s="7"/>
    </row>
    <row r="331" spans="1:3" x14ac:dyDescent="0.25">
      <c r="A331" s="147"/>
      <c r="B331" s="191"/>
      <c r="C331" s="7"/>
    </row>
    <row r="332" spans="1:3" x14ac:dyDescent="0.25">
      <c r="A332" s="147"/>
      <c r="B332" s="191"/>
      <c r="C332" s="7"/>
    </row>
    <row r="333" spans="1:3" x14ac:dyDescent="0.25">
      <c r="A333" s="147"/>
      <c r="B333" s="191"/>
      <c r="C333" s="7"/>
    </row>
    <row r="334" spans="1:3" x14ac:dyDescent="0.25">
      <c r="A334" s="147"/>
      <c r="B334" s="13"/>
      <c r="C334" s="7"/>
    </row>
    <row r="335" spans="1:3" x14ac:dyDescent="0.25">
      <c r="A335" s="147"/>
      <c r="B335" s="191"/>
      <c r="C335" s="7"/>
    </row>
    <row r="336" spans="1:3" x14ac:dyDescent="0.25">
      <c r="A336" s="147"/>
      <c r="B336" s="191"/>
      <c r="C336" s="7"/>
    </row>
    <row r="337" spans="1:3" x14ac:dyDescent="0.25">
      <c r="A337" s="147"/>
      <c r="B337" s="191"/>
      <c r="C337" s="7"/>
    </row>
    <row r="338" spans="1:3" x14ac:dyDescent="0.25">
      <c r="A338" s="147"/>
      <c r="B338" s="191"/>
      <c r="C338" s="7"/>
    </row>
    <row r="339" spans="1:3" x14ac:dyDescent="0.25">
      <c r="A339" s="147"/>
      <c r="B339" s="191"/>
      <c r="C339" s="7"/>
    </row>
    <row r="340" spans="1:3" x14ac:dyDescent="0.25">
      <c r="A340" s="147"/>
      <c r="B340" s="191"/>
      <c r="C340" s="7"/>
    </row>
    <row r="341" spans="1:3" x14ac:dyDescent="0.25">
      <c r="A341" s="147"/>
      <c r="B341" s="191"/>
      <c r="C341" s="7"/>
    </row>
    <row r="342" spans="1:3" x14ac:dyDescent="0.25">
      <c r="A342" s="147"/>
      <c r="B342" s="13"/>
      <c r="C342" s="7"/>
    </row>
    <row r="343" spans="1:3" x14ac:dyDescent="0.25">
      <c r="A343" s="147"/>
      <c r="B343" s="191"/>
      <c r="C343" s="7"/>
    </row>
    <row r="344" spans="1:3" x14ac:dyDescent="0.25">
      <c r="A344" s="147"/>
      <c r="B344" s="191"/>
      <c r="C344" s="7"/>
    </row>
    <row r="345" spans="1:3" x14ac:dyDescent="0.25">
      <c r="A345" s="147"/>
      <c r="B345" s="191"/>
      <c r="C345" s="7"/>
    </row>
    <row r="346" spans="1:3" x14ac:dyDescent="0.25">
      <c r="A346" s="147"/>
      <c r="B346" s="191"/>
      <c r="C346" s="7"/>
    </row>
    <row r="347" spans="1:3" x14ac:dyDescent="0.25">
      <c r="A347" s="147"/>
      <c r="B347" s="191"/>
      <c r="C347" s="7"/>
    </row>
    <row r="348" spans="1:3" x14ac:dyDescent="0.25">
      <c r="A348" s="147"/>
      <c r="B348" s="13"/>
      <c r="C348" s="7"/>
    </row>
    <row r="349" spans="1:3" x14ac:dyDescent="0.25">
      <c r="A349" s="147"/>
      <c r="B349" s="191"/>
      <c r="C349" s="7"/>
    </row>
    <row r="350" spans="1:3" x14ac:dyDescent="0.25">
      <c r="A350" s="147"/>
      <c r="B350" s="191"/>
      <c r="C350" s="7"/>
    </row>
    <row r="351" spans="1:3" x14ac:dyDescent="0.25">
      <c r="A351" s="147"/>
      <c r="B351" s="191"/>
      <c r="C351" s="7"/>
    </row>
    <row r="352" spans="1:3" x14ac:dyDescent="0.25">
      <c r="A352" s="147"/>
      <c r="B352" s="191"/>
      <c r="C352" s="7"/>
    </row>
    <row r="353" spans="1:3" x14ac:dyDescent="0.25">
      <c r="A353" s="147"/>
      <c r="B353" s="191"/>
      <c r="C353" s="7"/>
    </row>
    <row r="354" spans="1:3" x14ac:dyDescent="0.25">
      <c r="A354" s="147"/>
      <c r="B354" s="191"/>
      <c r="C354" s="7"/>
    </row>
    <row r="355" spans="1:3" x14ac:dyDescent="0.25">
      <c r="A355" s="138"/>
      <c r="B355" s="191"/>
      <c r="C355" s="7"/>
    </row>
    <row r="356" spans="1:3" x14ac:dyDescent="0.25">
      <c r="A356" s="138"/>
      <c r="C356" s="7"/>
    </row>
    <row r="357" spans="1:3" x14ac:dyDescent="0.25">
      <c r="A357" s="138"/>
      <c r="C357" s="7"/>
    </row>
    <row r="358" spans="1:3" x14ac:dyDescent="0.25">
      <c r="A358" s="138"/>
      <c r="C358" s="7"/>
    </row>
    <row r="359" spans="1:3" x14ac:dyDescent="0.25">
      <c r="C359" s="7"/>
    </row>
    <row r="360" spans="1:3" x14ac:dyDescent="0.25">
      <c r="C360" s="7"/>
    </row>
    <row r="361" spans="1:3" x14ac:dyDescent="0.25">
      <c r="C361" s="7"/>
    </row>
    <row r="362" spans="1:3" x14ac:dyDescent="0.25">
      <c r="C362" s="7"/>
    </row>
    <row r="363" spans="1:3" x14ac:dyDescent="0.25">
      <c r="C363" s="7"/>
    </row>
    <row r="364" spans="1:3" x14ac:dyDescent="0.25">
      <c r="C364" s="7"/>
    </row>
    <row r="365" spans="1:3" x14ac:dyDescent="0.25">
      <c r="C365" s="7"/>
    </row>
    <row r="366" spans="1:3" x14ac:dyDescent="0.25">
      <c r="C366" s="7"/>
    </row>
    <row r="367" spans="1:3" x14ac:dyDescent="0.25">
      <c r="C367" s="7"/>
    </row>
    <row r="368" spans="1:3" x14ac:dyDescent="0.25">
      <c r="C368" s="7"/>
    </row>
    <row r="369" spans="3:3" x14ac:dyDescent="0.25">
      <c r="C369" s="7"/>
    </row>
    <row r="370" spans="3:3" x14ac:dyDescent="0.25">
      <c r="C370" s="7"/>
    </row>
  </sheetData>
  <mergeCells count="2">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9">
    <tabColor rgb="FF00B0F0"/>
  </sheetPr>
  <dimension ref="A1:I250"/>
  <sheetViews>
    <sheetView view="pageBreakPreview" topLeftCell="A235" zoomScale="85" zoomScaleNormal="100" zoomScaleSheetLayoutView="85" workbookViewId="0">
      <selection activeCell="F2" sqref="F2"/>
    </sheetView>
  </sheetViews>
  <sheetFormatPr defaultRowHeight="15.75" x14ac:dyDescent="0.25"/>
  <cols>
    <col min="1" max="1" width="10" style="112" customWidth="1"/>
    <col min="2" max="2" width="55.7109375" style="30" customWidth="1"/>
    <col min="3" max="3" width="9.7109375" style="112" customWidth="1"/>
    <col min="4" max="4" width="11.7109375" style="118" customWidth="1"/>
    <col min="5" max="5" width="12" style="6" customWidth="1"/>
    <col min="6" max="16384" width="9.140625" style="6"/>
  </cols>
  <sheetData>
    <row r="1" spans="1:9" ht="22.5" x14ac:dyDescent="0.25">
      <c r="A1" s="280" t="s">
        <v>19</v>
      </c>
      <c r="B1" s="280"/>
      <c r="C1" s="280"/>
      <c r="D1" s="280"/>
    </row>
    <row r="2" spans="1:9" ht="27" x14ac:dyDescent="0.25">
      <c r="A2" s="275" t="s">
        <v>20</v>
      </c>
      <c r="B2" s="275"/>
      <c r="C2" s="275"/>
      <c r="D2" s="275"/>
    </row>
    <row r="3" spans="1:9" x14ac:dyDescent="0.25">
      <c r="A3" s="143"/>
    </row>
    <row r="4" spans="1:9" ht="31.5" x14ac:dyDescent="0.25">
      <c r="A4" s="183" t="s">
        <v>2432</v>
      </c>
      <c r="B4" s="30" t="s">
        <v>21</v>
      </c>
      <c r="D4" s="134"/>
    </row>
    <row r="5" spans="1:9" x14ac:dyDescent="0.25">
      <c r="A5" s="143"/>
      <c r="E5" s="138"/>
      <c r="F5" s="138"/>
      <c r="G5" s="138"/>
      <c r="H5" s="138"/>
      <c r="I5" s="138"/>
    </row>
    <row r="6" spans="1:9" ht="31.5" x14ac:dyDescent="0.25">
      <c r="A6" s="55" t="s">
        <v>6402</v>
      </c>
      <c r="B6" s="55" t="s">
        <v>2434</v>
      </c>
      <c r="C6" s="55" t="s">
        <v>2435</v>
      </c>
      <c r="D6" s="172" t="s">
        <v>18</v>
      </c>
      <c r="E6" s="112"/>
      <c r="F6" s="112"/>
      <c r="G6" s="112"/>
      <c r="H6" s="112"/>
    </row>
    <row r="7" spans="1:9" x14ac:dyDescent="0.25">
      <c r="A7" s="55">
        <v>1</v>
      </c>
      <c r="B7" s="55">
        <v>2</v>
      </c>
      <c r="C7" s="55">
        <v>3</v>
      </c>
      <c r="D7" s="45">
        <v>4</v>
      </c>
      <c r="E7" s="112"/>
      <c r="F7" s="112"/>
      <c r="G7" s="112"/>
      <c r="H7" s="112"/>
    </row>
    <row r="8" spans="1:9" x14ac:dyDescent="0.25">
      <c r="A8" s="117"/>
      <c r="B8" s="117"/>
      <c r="C8" s="117"/>
      <c r="D8" s="121"/>
      <c r="E8" s="112"/>
      <c r="F8" s="112"/>
      <c r="G8" s="112"/>
      <c r="H8" s="112"/>
    </row>
    <row r="9" spans="1:9" ht="31.5" x14ac:dyDescent="0.25">
      <c r="A9" s="122">
        <v>1.1000000000000001</v>
      </c>
      <c r="B9" s="13" t="s">
        <v>4980</v>
      </c>
      <c r="C9" s="122"/>
      <c r="D9" s="132"/>
      <c r="E9" s="138"/>
      <c r="F9" s="138"/>
      <c r="G9" s="138"/>
      <c r="H9" s="138"/>
    </row>
    <row r="10" spans="1:9" x14ac:dyDescent="0.25">
      <c r="A10" s="122" t="s">
        <v>594</v>
      </c>
      <c r="B10" s="13" t="s">
        <v>4981</v>
      </c>
      <c r="C10" s="122" t="s">
        <v>2787</v>
      </c>
      <c r="D10" s="23">
        <v>720</v>
      </c>
      <c r="E10" s="138"/>
      <c r="F10" s="138"/>
      <c r="G10" s="138"/>
      <c r="H10" s="138"/>
      <c r="I10" s="138"/>
    </row>
    <row r="11" spans="1:9" x14ac:dyDescent="0.25">
      <c r="A11" s="122" t="s">
        <v>595</v>
      </c>
      <c r="B11" s="13" t="s">
        <v>22</v>
      </c>
      <c r="C11" s="122" t="s">
        <v>2787</v>
      </c>
      <c r="D11" s="23">
        <v>960</v>
      </c>
      <c r="E11" s="138"/>
      <c r="F11" s="138"/>
      <c r="G11" s="138"/>
      <c r="H11" s="138"/>
      <c r="I11" s="138"/>
    </row>
    <row r="12" spans="1:9" x14ac:dyDescent="0.25">
      <c r="A12" s="122" t="s">
        <v>596</v>
      </c>
      <c r="B12" s="13" t="s">
        <v>23</v>
      </c>
      <c r="C12" s="122" t="s">
        <v>2787</v>
      </c>
      <c r="D12" s="23">
        <v>1200</v>
      </c>
      <c r="E12" s="138"/>
      <c r="F12" s="138"/>
      <c r="G12" s="138"/>
      <c r="H12" s="138"/>
      <c r="I12" s="138"/>
    </row>
    <row r="13" spans="1:9" ht="31.5" x14ac:dyDescent="0.25">
      <c r="A13" s="122" t="s">
        <v>4982</v>
      </c>
      <c r="B13" s="13" t="s">
        <v>4983</v>
      </c>
      <c r="C13" s="122" t="s">
        <v>4984</v>
      </c>
      <c r="D13" s="23">
        <v>250</v>
      </c>
      <c r="E13" s="138"/>
      <c r="F13" s="138"/>
      <c r="G13" s="138"/>
      <c r="H13" s="138"/>
      <c r="I13" s="138"/>
    </row>
    <row r="14" spans="1:9" ht="31.5" x14ac:dyDescent="0.25">
      <c r="A14" s="122" t="s">
        <v>4985</v>
      </c>
      <c r="B14" s="13" t="s">
        <v>4986</v>
      </c>
      <c r="C14" s="122" t="s">
        <v>4984</v>
      </c>
      <c r="D14" s="23">
        <v>1250</v>
      </c>
      <c r="E14" s="138"/>
      <c r="F14" s="138"/>
      <c r="G14" s="138"/>
      <c r="H14" s="138"/>
      <c r="I14" s="138"/>
    </row>
    <row r="15" spans="1:9" x14ac:dyDescent="0.25">
      <c r="A15" s="122"/>
      <c r="B15" s="13"/>
      <c r="C15" s="122"/>
      <c r="D15" s="23"/>
      <c r="E15" s="138"/>
      <c r="F15" s="138"/>
      <c r="G15" s="138"/>
      <c r="H15" s="138"/>
      <c r="I15" s="138"/>
    </row>
    <row r="16" spans="1:9" ht="47.25" x14ac:dyDescent="0.25">
      <c r="A16" s="122">
        <v>1.2</v>
      </c>
      <c r="B16" s="13" t="s">
        <v>4987</v>
      </c>
      <c r="C16" s="122"/>
      <c r="D16" s="23"/>
      <c r="E16" s="138"/>
      <c r="F16" s="138"/>
      <c r="G16" s="138"/>
      <c r="H16" s="138"/>
      <c r="I16" s="138"/>
    </row>
    <row r="17" spans="1:9" ht="31.5" x14ac:dyDescent="0.25">
      <c r="A17" s="122" t="s">
        <v>597</v>
      </c>
      <c r="B17" s="13" t="s">
        <v>24</v>
      </c>
      <c r="C17" s="122" t="s">
        <v>4984</v>
      </c>
      <c r="D17" s="23">
        <v>400</v>
      </c>
      <c r="E17" s="138"/>
      <c r="F17" s="138"/>
      <c r="G17" s="138"/>
      <c r="H17" s="138"/>
      <c r="I17" s="138"/>
    </row>
    <row r="18" spans="1:9" ht="31.5" x14ac:dyDescent="0.25">
      <c r="A18" s="122" t="s">
        <v>599</v>
      </c>
      <c r="B18" s="13" t="s">
        <v>4988</v>
      </c>
      <c r="C18" s="122" t="s">
        <v>4984</v>
      </c>
      <c r="D18" s="23">
        <v>1500</v>
      </c>
      <c r="E18" s="138"/>
      <c r="F18" s="138"/>
      <c r="G18" s="138"/>
      <c r="H18" s="138"/>
      <c r="I18" s="138"/>
    </row>
    <row r="19" spans="1:9" ht="31.5" x14ac:dyDescent="0.25">
      <c r="A19" s="122" t="s">
        <v>25</v>
      </c>
      <c r="B19" s="13" t="s">
        <v>4989</v>
      </c>
      <c r="C19" s="122" t="s">
        <v>4984</v>
      </c>
      <c r="D19" s="23">
        <v>350</v>
      </c>
      <c r="E19" s="138"/>
      <c r="F19" s="138"/>
      <c r="G19" s="138"/>
      <c r="H19" s="138"/>
      <c r="I19" s="138"/>
    </row>
    <row r="20" spans="1:9" ht="31.5" x14ac:dyDescent="0.25">
      <c r="A20" s="122" t="s">
        <v>26</v>
      </c>
      <c r="B20" s="13" t="s">
        <v>4990</v>
      </c>
      <c r="C20" s="122" t="s">
        <v>4984</v>
      </c>
      <c r="D20" s="23">
        <v>450</v>
      </c>
      <c r="E20" s="138"/>
      <c r="F20" s="138"/>
      <c r="G20" s="138"/>
      <c r="H20" s="138"/>
      <c r="I20" s="138"/>
    </row>
    <row r="21" spans="1:9" ht="31.5" x14ac:dyDescent="0.25">
      <c r="A21" s="122" t="s">
        <v>27</v>
      </c>
      <c r="B21" s="13" t="s">
        <v>4991</v>
      </c>
      <c r="C21" s="122" t="s">
        <v>4984</v>
      </c>
      <c r="D21" s="23">
        <v>1080</v>
      </c>
      <c r="E21" s="138"/>
      <c r="F21" s="138"/>
      <c r="G21" s="138"/>
      <c r="H21" s="138"/>
      <c r="I21" s="138"/>
    </row>
    <row r="22" spans="1:9" ht="31.5" x14ac:dyDescent="0.25">
      <c r="A22" s="122" t="s">
        <v>4992</v>
      </c>
      <c r="B22" s="13" t="s">
        <v>4993</v>
      </c>
      <c r="C22" s="122" t="s">
        <v>4984</v>
      </c>
      <c r="D22" s="23">
        <v>1800</v>
      </c>
      <c r="E22" s="138"/>
      <c r="F22" s="138"/>
      <c r="G22" s="138"/>
      <c r="H22" s="138"/>
      <c r="I22" s="138"/>
    </row>
    <row r="23" spans="1:9" ht="31.5" x14ac:dyDescent="0.25">
      <c r="A23" s="122" t="s">
        <v>4994</v>
      </c>
      <c r="B23" s="13" t="s">
        <v>4995</v>
      </c>
      <c r="C23" s="122" t="s">
        <v>4984</v>
      </c>
      <c r="D23" s="23">
        <v>2500</v>
      </c>
      <c r="E23" s="138"/>
      <c r="F23" s="138"/>
      <c r="G23" s="138"/>
      <c r="H23" s="138"/>
      <c r="I23" s="138"/>
    </row>
    <row r="24" spans="1:9" x14ac:dyDescent="0.25">
      <c r="A24" s="122"/>
      <c r="B24" s="13"/>
      <c r="C24" s="122"/>
      <c r="D24" s="23"/>
      <c r="E24" s="138"/>
      <c r="F24" s="138"/>
      <c r="G24" s="138"/>
      <c r="H24" s="138"/>
      <c r="I24" s="138"/>
    </row>
    <row r="25" spans="1:9" ht="31.5" x14ac:dyDescent="0.25">
      <c r="A25" s="122">
        <v>1.3</v>
      </c>
      <c r="B25" s="13" t="s">
        <v>4996</v>
      </c>
      <c r="C25" s="122"/>
      <c r="D25" s="23"/>
      <c r="E25" s="138"/>
      <c r="F25" s="138"/>
      <c r="G25" s="138"/>
      <c r="H25" s="138"/>
      <c r="I25" s="138"/>
    </row>
    <row r="26" spans="1:9" x14ac:dyDescent="0.25">
      <c r="A26" s="122" t="s">
        <v>4997</v>
      </c>
      <c r="B26" s="13" t="s">
        <v>4998</v>
      </c>
      <c r="C26" s="122" t="s">
        <v>2787</v>
      </c>
      <c r="D26" s="23">
        <v>240</v>
      </c>
      <c r="E26" s="138"/>
      <c r="F26" s="138"/>
      <c r="G26" s="138"/>
      <c r="H26" s="138"/>
      <c r="I26" s="138"/>
    </row>
    <row r="27" spans="1:9" x14ac:dyDescent="0.25">
      <c r="A27" s="122"/>
      <c r="B27" s="13"/>
      <c r="C27" s="122"/>
      <c r="D27" s="23"/>
      <c r="E27" s="138"/>
      <c r="F27" s="138"/>
      <c r="G27" s="138"/>
      <c r="H27" s="138"/>
      <c r="I27" s="138"/>
    </row>
    <row r="28" spans="1:9" ht="31.5" x14ac:dyDescent="0.25">
      <c r="A28" s="122">
        <v>1.4</v>
      </c>
      <c r="B28" s="13" t="s">
        <v>4999</v>
      </c>
      <c r="C28" s="122"/>
      <c r="D28" s="23"/>
      <c r="E28" s="138"/>
      <c r="F28" s="138"/>
      <c r="G28" s="138"/>
      <c r="H28" s="138"/>
      <c r="I28" s="138"/>
    </row>
    <row r="29" spans="1:9" ht="31.5" x14ac:dyDescent="0.25">
      <c r="A29" s="122" t="s">
        <v>28</v>
      </c>
      <c r="B29" s="13" t="s">
        <v>5000</v>
      </c>
      <c r="C29" s="122" t="s">
        <v>5001</v>
      </c>
      <c r="D29" s="23">
        <v>500</v>
      </c>
      <c r="E29" s="138"/>
      <c r="F29" s="138"/>
      <c r="G29" s="138"/>
      <c r="H29" s="138"/>
      <c r="I29" s="138"/>
    </row>
    <row r="30" spans="1:9" x14ac:dyDescent="0.25">
      <c r="A30" s="122"/>
      <c r="B30" s="13"/>
      <c r="C30" s="122"/>
      <c r="D30" s="23"/>
      <c r="E30" s="138"/>
      <c r="F30" s="138"/>
      <c r="G30" s="138"/>
      <c r="H30" s="138"/>
      <c r="I30" s="138"/>
    </row>
    <row r="31" spans="1:9" ht="31.5" x14ac:dyDescent="0.25">
      <c r="A31" s="122" t="s">
        <v>29</v>
      </c>
      <c r="B31" s="13" t="s">
        <v>5002</v>
      </c>
      <c r="C31" s="122" t="s">
        <v>5003</v>
      </c>
      <c r="D31" s="23">
        <v>600</v>
      </c>
      <c r="E31" s="138"/>
      <c r="F31" s="138"/>
      <c r="G31" s="138"/>
      <c r="H31" s="138"/>
      <c r="I31" s="138"/>
    </row>
    <row r="32" spans="1:9" x14ac:dyDescent="0.25">
      <c r="A32" s="122" t="s">
        <v>30</v>
      </c>
      <c r="B32" s="13" t="s">
        <v>5004</v>
      </c>
      <c r="C32" s="122" t="s">
        <v>5005</v>
      </c>
      <c r="D32" s="23">
        <v>444</v>
      </c>
      <c r="E32" s="138"/>
      <c r="F32" s="138"/>
      <c r="G32" s="138"/>
      <c r="H32" s="138"/>
      <c r="I32" s="138"/>
    </row>
    <row r="33" spans="1:9" x14ac:dyDescent="0.25">
      <c r="A33" s="122" t="s">
        <v>31</v>
      </c>
      <c r="B33" s="13" t="s">
        <v>5006</v>
      </c>
      <c r="C33" s="122" t="s">
        <v>5005</v>
      </c>
      <c r="D33" s="23">
        <v>325</v>
      </c>
      <c r="E33" s="138"/>
      <c r="F33" s="138"/>
      <c r="G33" s="138"/>
      <c r="H33" s="138"/>
      <c r="I33" s="138"/>
    </row>
    <row r="34" spans="1:9" x14ac:dyDescent="0.25">
      <c r="A34" s="122" t="s">
        <v>32</v>
      </c>
      <c r="B34" s="13" t="s">
        <v>33</v>
      </c>
      <c r="C34" s="122" t="s">
        <v>5005</v>
      </c>
      <c r="D34" s="23">
        <v>400</v>
      </c>
      <c r="E34" s="138"/>
      <c r="F34" s="138"/>
      <c r="G34" s="138"/>
      <c r="H34" s="138"/>
      <c r="I34" s="138"/>
    </row>
    <row r="35" spans="1:9" ht="31.5" x14ac:dyDescent="0.25">
      <c r="A35" s="122" t="s">
        <v>34</v>
      </c>
      <c r="B35" s="13" t="s">
        <v>5007</v>
      </c>
      <c r="C35" s="122" t="s">
        <v>5008</v>
      </c>
      <c r="D35" s="23">
        <v>120</v>
      </c>
      <c r="E35" s="138"/>
      <c r="F35" s="138"/>
      <c r="G35" s="138"/>
      <c r="H35" s="138"/>
      <c r="I35" s="138"/>
    </row>
    <row r="36" spans="1:9" x14ac:dyDescent="0.25">
      <c r="A36" s="122"/>
      <c r="B36" s="13"/>
      <c r="C36" s="122"/>
      <c r="D36" s="23"/>
      <c r="E36" s="138"/>
      <c r="F36" s="138"/>
      <c r="G36" s="138"/>
      <c r="H36" s="138"/>
      <c r="I36" s="138"/>
    </row>
    <row r="37" spans="1:9" x14ac:dyDescent="0.25">
      <c r="A37" s="122">
        <v>1.5</v>
      </c>
      <c r="B37" s="13" t="s">
        <v>5009</v>
      </c>
      <c r="C37" s="122"/>
      <c r="D37" s="23"/>
      <c r="E37" s="138"/>
      <c r="F37" s="138"/>
      <c r="G37" s="138"/>
      <c r="H37" s="138"/>
      <c r="I37" s="138"/>
    </row>
    <row r="38" spans="1:9" x14ac:dyDescent="0.25">
      <c r="A38" s="122" t="s">
        <v>35</v>
      </c>
      <c r="B38" s="13" t="s">
        <v>5010</v>
      </c>
      <c r="C38" s="122" t="s">
        <v>4217</v>
      </c>
      <c r="D38" s="23">
        <v>175</v>
      </c>
      <c r="E38" s="138"/>
      <c r="F38" s="138"/>
      <c r="G38" s="138"/>
      <c r="H38" s="138"/>
      <c r="I38" s="138"/>
    </row>
    <row r="39" spans="1:9" x14ac:dyDescent="0.25">
      <c r="A39" s="122" t="s">
        <v>36</v>
      </c>
      <c r="B39" s="13" t="s">
        <v>5011</v>
      </c>
      <c r="C39" s="122" t="s">
        <v>4217</v>
      </c>
      <c r="D39" s="23">
        <v>90</v>
      </c>
      <c r="E39" s="138"/>
      <c r="F39" s="138"/>
      <c r="G39" s="138"/>
      <c r="H39" s="138"/>
      <c r="I39" s="138"/>
    </row>
    <row r="40" spans="1:9" x14ac:dyDescent="0.25">
      <c r="A40" s="122" t="s">
        <v>37</v>
      </c>
      <c r="B40" s="13" t="s">
        <v>5012</v>
      </c>
      <c r="C40" s="122" t="s">
        <v>4217</v>
      </c>
      <c r="D40" s="23">
        <v>108</v>
      </c>
      <c r="E40" s="138"/>
      <c r="F40" s="138"/>
      <c r="G40" s="138"/>
      <c r="H40" s="138"/>
      <c r="I40" s="138"/>
    </row>
    <row r="41" spans="1:9" x14ac:dyDescent="0.25">
      <c r="A41" s="122" t="s">
        <v>38</v>
      </c>
      <c r="B41" s="13" t="s">
        <v>5013</v>
      </c>
      <c r="C41" s="122" t="s">
        <v>4217</v>
      </c>
      <c r="D41" s="23">
        <v>720</v>
      </c>
      <c r="E41" s="138"/>
      <c r="F41" s="138"/>
      <c r="G41" s="138"/>
      <c r="H41" s="138"/>
      <c r="I41" s="138"/>
    </row>
    <row r="42" spans="1:9" x14ac:dyDescent="0.25">
      <c r="A42" s="122" t="s">
        <v>39</v>
      </c>
      <c r="B42" s="13" t="s">
        <v>40</v>
      </c>
      <c r="C42" s="122" t="s">
        <v>4217</v>
      </c>
      <c r="D42" s="23">
        <v>360</v>
      </c>
      <c r="E42" s="138"/>
      <c r="F42" s="138"/>
      <c r="G42" s="138"/>
      <c r="H42" s="138"/>
      <c r="I42" s="138"/>
    </row>
    <row r="43" spans="1:9" x14ac:dyDescent="0.25">
      <c r="A43" s="122" t="s">
        <v>41</v>
      </c>
      <c r="B43" s="13" t="s">
        <v>5014</v>
      </c>
      <c r="C43" s="122" t="s">
        <v>4217</v>
      </c>
      <c r="D43" s="23">
        <v>192</v>
      </c>
      <c r="E43" s="138"/>
      <c r="F43" s="138"/>
      <c r="G43" s="138"/>
      <c r="H43" s="138"/>
      <c r="I43" s="138"/>
    </row>
    <row r="44" spans="1:9" x14ac:dyDescent="0.25">
      <c r="A44" s="122" t="s">
        <v>42</v>
      </c>
      <c r="B44" s="13" t="s">
        <v>5015</v>
      </c>
      <c r="C44" s="122" t="s">
        <v>4217</v>
      </c>
      <c r="D44" s="23">
        <v>180</v>
      </c>
      <c r="E44" s="138"/>
      <c r="F44" s="138"/>
      <c r="G44" s="138"/>
      <c r="H44" s="138"/>
      <c r="I44" s="138"/>
    </row>
    <row r="45" spans="1:9" x14ac:dyDescent="0.25">
      <c r="A45" s="122"/>
      <c r="B45" s="13"/>
      <c r="C45" s="122"/>
      <c r="D45" s="23"/>
      <c r="E45" s="138"/>
      <c r="F45" s="138"/>
      <c r="G45" s="138"/>
      <c r="H45" s="138"/>
      <c r="I45" s="138"/>
    </row>
    <row r="46" spans="1:9" ht="31.5" x14ac:dyDescent="0.25">
      <c r="A46" s="122">
        <v>1.6</v>
      </c>
      <c r="B46" s="13" t="s">
        <v>5016</v>
      </c>
      <c r="C46" s="122"/>
      <c r="D46" s="23"/>
      <c r="E46" s="138"/>
      <c r="F46" s="138"/>
      <c r="G46" s="138"/>
      <c r="H46" s="138"/>
      <c r="I46" s="138"/>
    </row>
    <row r="47" spans="1:9" x14ac:dyDescent="0.25">
      <c r="A47" s="122" t="s">
        <v>43</v>
      </c>
      <c r="B47" s="13" t="s">
        <v>5017</v>
      </c>
      <c r="C47" s="122" t="s">
        <v>4217</v>
      </c>
      <c r="D47" s="23">
        <v>150</v>
      </c>
      <c r="E47" s="138"/>
      <c r="F47" s="138"/>
      <c r="G47" s="138"/>
      <c r="H47" s="138"/>
      <c r="I47" s="138"/>
    </row>
    <row r="48" spans="1:9" x14ac:dyDescent="0.25">
      <c r="A48" s="122" t="s">
        <v>44</v>
      </c>
      <c r="B48" s="13" t="s">
        <v>45</v>
      </c>
      <c r="C48" s="122" t="s">
        <v>4217</v>
      </c>
      <c r="D48" s="23">
        <v>216</v>
      </c>
      <c r="E48" s="138"/>
      <c r="F48" s="138"/>
      <c r="G48" s="138"/>
      <c r="H48" s="138"/>
      <c r="I48" s="138"/>
    </row>
    <row r="49" spans="1:9" x14ac:dyDescent="0.25">
      <c r="A49" s="122" t="s">
        <v>46</v>
      </c>
      <c r="B49" s="13" t="s">
        <v>5018</v>
      </c>
      <c r="C49" s="122" t="s">
        <v>4217</v>
      </c>
      <c r="D49" s="23"/>
      <c r="E49" s="138"/>
      <c r="F49" s="138"/>
      <c r="G49" s="138"/>
      <c r="H49" s="138"/>
      <c r="I49" s="138"/>
    </row>
    <row r="50" spans="1:9" x14ac:dyDescent="0.25">
      <c r="A50" s="122" t="s">
        <v>5019</v>
      </c>
      <c r="B50" s="13" t="s">
        <v>5020</v>
      </c>
      <c r="C50" s="122" t="s">
        <v>4217</v>
      </c>
      <c r="D50" s="23"/>
      <c r="E50" s="138"/>
      <c r="F50" s="138"/>
      <c r="G50" s="138"/>
      <c r="H50" s="138"/>
      <c r="I50" s="138"/>
    </row>
    <row r="51" spans="1:9" x14ac:dyDescent="0.25">
      <c r="A51" s="122" t="s">
        <v>5021</v>
      </c>
      <c r="B51" s="13" t="s">
        <v>5022</v>
      </c>
      <c r="C51" s="122" t="s">
        <v>4217</v>
      </c>
      <c r="D51" s="23"/>
      <c r="E51" s="138"/>
      <c r="F51" s="138"/>
      <c r="G51" s="138"/>
      <c r="H51" s="138"/>
      <c r="I51" s="138"/>
    </row>
    <row r="52" spans="1:9" x14ac:dyDescent="0.25">
      <c r="A52" s="122" t="s">
        <v>5023</v>
      </c>
      <c r="B52" s="13" t="s">
        <v>47</v>
      </c>
      <c r="C52" s="122" t="s">
        <v>4217</v>
      </c>
      <c r="D52" s="23">
        <v>120</v>
      </c>
      <c r="E52" s="138"/>
      <c r="F52" s="138"/>
      <c r="G52" s="138"/>
      <c r="H52" s="138"/>
      <c r="I52" s="138"/>
    </row>
    <row r="53" spans="1:9" x14ac:dyDescent="0.25">
      <c r="A53" s="122" t="s">
        <v>5024</v>
      </c>
      <c r="B53" s="13" t="s">
        <v>5025</v>
      </c>
      <c r="C53" s="122" t="s">
        <v>4217</v>
      </c>
      <c r="D53" s="23"/>
      <c r="E53" s="138"/>
      <c r="F53" s="138"/>
      <c r="G53" s="138"/>
      <c r="H53" s="138"/>
      <c r="I53" s="138"/>
    </row>
    <row r="54" spans="1:9" x14ac:dyDescent="0.25">
      <c r="A54" s="122" t="s">
        <v>5026</v>
      </c>
      <c r="B54" s="13" t="s">
        <v>5027</v>
      </c>
      <c r="C54" s="122" t="s">
        <v>4217</v>
      </c>
      <c r="D54" s="23"/>
      <c r="E54" s="138"/>
      <c r="F54" s="138"/>
      <c r="G54" s="138"/>
      <c r="H54" s="138"/>
      <c r="I54" s="138"/>
    </row>
    <row r="55" spans="1:9" x14ac:dyDescent="0.25">
      <c r="A55" s="122" t="s">
        <v>5028</v>
      </c>
      <c r="B55" s="13" t="s">
        <v>5029</v>
      </c>
      <c r="C55" s="122" t="s">
        <v>4217</v>
      </c>
      <c r="D55" s="23"/>
      <c r="E55" s="138"/>
      <c r="F55" s="138"/>
      <c r="G55" s="138"/>
      <c r="H55" s="138"/>
      <c r="I55" s="138"/>
    </row>
    <row r="56" spans="1:9" x14ac:dyDescent="0.25">
      <c r="A56" s="122"/>
      <c r="B56" s="13"/>
      <c r="C56" s="122"/>
      <c r="D56" s="23"/>
      <c r="E56" s="138"/>
      <c r="F56" s="138"/>
      <c r="G56" s="138"/>
      <c r="H56" s="138"/>
      <c r="I56" s="138"/>
    </row>
    <row r="57" spans="1:9" ht="31.5" x14ac:dyDescent="0.25">
      <c r="A57" s="122">
        <v>1.7</v>
      </c>
      <c r="B57" s="13" t="s">
        <v>5030</v>
      </c>
      <c r="C57" s="122"/>
      <c r="D57" s="23"/>
      <c r="E57" s="138"/>
      <c r="F57" s="138"/>
      <c r="G57" s="138"/>
      <c r="H57" s="138"/>
      <c r="I57" s="138"/>
    </row>
    <row r="58" spans="1:9" x14ac:dyDescent="0.25">
      <c r="A58" s="122" t="s">
        <v>2440</v>
      </c>
      <c r="B58" s="13" t="s">
        <v>5031</v>
      </c>
      <c r="C58" s="122" t="s">
        <v>4217</v>
      </c>
      <c r="D58" s="23">
        <v>18</v>
      </c>
      <c r="E58" s="138"/>
      <c r="F58" s="138"/>
      <c r="G58" s="138"/>
      <c r="H58" s="138"/>
      <c r="I58" s="138"/>
    </row>
    <row r="59" spans="1:9" x14ac:dyDescent="0.25">
      <c r="A59" s="122" t="s">
        <v>2442</v>
      </c>
      <c r="B59" s="13" t="s">
        <v>5032</v>
      </c>
      <c r="C59" s="122" t="s">
        <v>4217</v>
      </c>
      <c r="D59" s="23">
        <v>30</v>
      </c>
      <c r="E59" s="138"/>
      <c r="F59" s="138"/>
      <c r="G59" s="138"/>
      <c r="H59" s="138"/>
      <c r="I59" s="138"/>
    </row>
    <row r="60" spans="1:9" x14ac:dyDescent="0.25">
      <c r="A60" s="122" t="s">
        <v>2444</v>
      </c>
      <c r="B60" s="13" t="s">
        <v>5033</v>
      </c>
      <c r="C60" s="122" t="s">
        <v>4217</v>
      </c>
      <c r="D60" s="23">
        <v>43</v>
      </c>
      <c r="E60" s="138"/>
      <c r="F60" s="138"/>
      <c r="G60" s="138"/>
      <c r="H60" s="138"/>
      <c r="I60" s="138"/>
    </row>
    <row r="61" spans="1:9" x14ac:dyDescent="0.25">
      <c r="A61" s="122" t="s">
        <v>5034</v>
      </c>
      <c r="B61" s="13" t="s">
        <v>5035</v>
      </c>
      <c r="C61" s="122" t="s">
        <v>4217</v>
      </c>
      <c r="D61" s="23">
        <v>125</v>
      </c>
      <c r="E61" s="138"/>
      <c r="F61" s="138"/>
      <c r="G61" s="138"/>
      <c r="H61" s="138"/>
      <c r="I61" s="138"/>
    </row>
    <row r="62" spans="1:9" x14ac:dyDescent="0.25">
      <c r="A62" s="122" t="s">
        <v>5036</v>
      </c>
      <c r="B62" s="13" t="s">
        <v>5037</v>
      </c>
      <c r="C62" s="122" t="s">
        <v>4217</v>
      </c>
      <c r="D62" s="23">
        <v>30</v>
      </c>
      <c r="E62" s="138"/>
      <c r="F62" s="138"/>
      <c r="G62" s="138"/>
      <c r="H62" s="138"/>
      <c r="I62" s="138"/>
    </row>
    <row r="63" spans="1:9" x14ac:dyDescent="0.25">
      <c r="A63" s="122" t="s">
        <v>5038</v>
      </c>
      <c r="B63" s="13" t="s">
        <v>5039</v>
      </c>
      <c r="C63" s="122" t="s">
        <v>4217</v>
      </c>
      <c r="D63" s="23">
        <v>45</v>
      </c>
      <c r="E63" s="138"/>
      <c r="F63" s="138"/>
      <c r="G63" s="138"/>
      <c r="H63" s="138"/>
      <c r="I63" s="138"/>
    </row>
    <row r="64" spans="1:9" x14ac:dyDescent="0.25">
      <c r="A64" s="122" t="s">
        <v>5040</v>
      </c>
      <c r="B64" s="13" t="s">
        <v>5041</v>
      </c>
      <c r="C64" s="122" t="s">
        <v>4217</v>
      </c>
      <c r="D64" s="23">
        <v>125</v>
      </c>
      <c r="E64" s="138"/>
      <c r="F64" s="138"/>
      <c r="G64" s="138"/>
      <c r="H64" s="138"/>
      <c r="I64" s="138"/>
    </row>
    <row r="65" spans="1:9" x14ac:dyDescent="0.25">
      <c r="A65" s="122"/>
      <c r="B65" s="13"/>
      <c r="C65" s="122"/>
      <c r="D65" s="23"/>
      <c r="E65" s="138"/>
      <c r="F65" s="138"/>
      <c r="G65" s="138"/>
      <c r="H65" s="138"/>
      <c r="I65" s="138"/>
    </row>
    <row r="66" spans="1:9" ht="31.5" x14ac:dyDescent="0.25">
      <c r="A66" s="122">
        <v>1.8</v>
      </c>
      <c r="B66" s="13" t="s">
        <v>5042</v>
      </c>
      <c r="C66" s="122"/>
      <c r="D66" s="23"/>
      <c r="E66" s="138"/>
      <c r="F66" s="138"/>
      <c r="G66" s="138"/>
      <c r="H66" s="138"/>
      <c r="I66" s="138"/>
    </row>
    <row r="67" spans="1:9" x14ac:dyDescent="0.25">
      <c r="A67" s="122" t="s">
        <v>602</v>
      </c>
      <c r="B67" s="13" t="s">
        <v>5043</v>
      </c>
      <c r="C67" s="122" t="s">
        <v>4217</v>
      </c>
      <c r="D67" s="23">
        <v>4320</v>
      </c>
      <c r="E67" s="138"/>
      <c r="F67" s="138"/>
      <c r="G67" s="138"/>
      <c r="H67" s="138"/>
      <c r="I67" s="138"/>
    </row>
    <row r="68" spans="1:9" x14ac:dyDescent="0.25">
      <c r="A68" s="122" t="s">
        <v>603</v>
      </c>
      <c r="B68" s="13" t="s">
        <v>5044</v>
      </c>
      <c r="C68" s="122" t="s">
        <v>4217</v>
      </c>
      <c r="D68" s="23">
        <v>4800</v>
      </c>
      <c r="E68" s="138"/>
      <c r="F68" s="138"/>
      <c r="G68" s="138"/>
      <c r="H68" s="138"/>
      <c r="I68" s="138"/>
    </row>
    <row r="69" spans="1:9" x14ac:dyDescent="0.25">
      <c r="A69" s="122"/>
      <c r="B69" s="13"/>
      <c r="C69" s="122"/>
      <c r="D69" s="23"/>
      <c r="E69" s="138"/>
      <c r="F69" s="138"/>
      <c r="G69" s="138"/>
      <c r="H69" s="138"/>
      <c r="I69" s="138"/>
    </row>
    <row r="70" spans="1:9" x14ac:dyDescent="0.25">
      <c r="A70" s="122"/>
      <c r="B70" s="13"/>
      <c r="C70" s="122"/>
      <c r="D70" s="23"/>
      <c r="E70" s="138"/>
      <c r="F70" s="138"/>
      <c r="G70" s="138"/>
      <c r="H70" s="138"/>
      <c r="I70" s="138"/>
    </row>
    <row r="71" spans="1:9" x14ac:dyDescent="0.25">
      <c r="A71" s="122" t="s">
        <v>604</v>
      </c>
      <c r="B71" s="13" t="s">
        <v>5045</v>
      </c>
      <c r="C71" s="122" t="s">
        <v>4217</v>
      </c>
      <c r="D71" s="23"/>
      <c r="E71" s="138"/>
      <c r="F71" s="138"/>
      <c r="G71" s="138"/>
      <c r="H71" s="138"/>
      <c r="I71" s="138"/>
    </row>
    <row r="72" spans="1:9" x14ac:dyDescent="0.25">
      <c r="A72" s="122" t="s">
        <v>605</v>
      </c>
      <c r="B72" s="13" t="s">
        <v>5046</v>
      </c>
      <c r="C72" s="122" t="s">
        <v>4217</v>
      </c>
      <c r="D72" s="23"/>
      <c r="E72" s="138"/>
      <c r="F72" s="138"/>
      <c r="G72" s="138"/>
      <c r="H72" s="138"/>
      <c r="I72" s="138"/>
    </row>
    <row r="73" spans="1:9" x14ac:dyDescent="0.25">
      <c r="A73" s="122" t="s">
        <v>606</v>
      </c>
      <c r="B73" s="13" t="s">
        <v>5047</v>
      </c>
      <c r="C73" s="122" t="s">
        <v>4217</v>
      </c>
      <c r="D73" s="23"/>
      <c r="E73" s="138"/>
      <c r="F73" s="138"/>
      <c r="G73" s="138"/>
      <c r="H73" s="138"/>
      <c r="I73" s="138"/>
    </row>
    <row r="74" spans="1:9" x14ac:dyDescent="0.25">
      <c r="A74" s="122" t="s">
        <v>604</v>
      </c>
      <c r="B74" s="13" t="s">
        <v>5048</v>
      </c>
      <c r="C74" s="122" t="s">
        <v>4217</v>
      </c>
      <c r="D74" s="23">
        <v>18000</v>
      </c>
      <c r="E74" s="138"/>
      <c r="F74" s="138"/>
      <c r="G74" s="138"/>
      <c r="H74" s="138"/>
      <c r="I74" s="138"/>
    </row>
    <row r="75" spans="1:9" x14ac:dyDescent="0.25">
      <c r="A75" s="122" t="s">
        <v>605</v>
      </c>
      <c r="B75" s="13" t="s">
        <v>5050</v>
      </c>
      <c r="C75" s="122" t="s">
        <v>4217</v>
      </c>
      <c r="D75" s="23">
        <v>20000</v>
      </c>
      <c r="E75" s="138"/>
      <c r="F75" s="138"/>
      <c r="G75" s="138"/>
      <c r="H75" s="138"/>
      <c r="I75" s="138"/>
    </row>
    <row r="76" spans="1:9" x14ac:dyDescent="0.25">
      <c r="A76" s="122" t="s">
        <v>606</v>
      </c>
      <c r="B76" s="13" t="s">
        <v>5052</v>
      </c>
      <c r="C76" s="122" t="s">
        <v>4217</v>
      </c>
      <c r="D76" s="23">
        <v>22000</v>
      </c>
      <c r="E76" s="138"/>
      <c r="F76" s="138"/>
      <c r="G76" s="138"/>
      <c r="H76" s="138"/>
      <c r="I76" s="138"/>
    </row>
    <row r="77" spans="1:9" x14ac:dyDescent="0.25">
      <c r="A77" s="122" t="s">
        <v>607</v>
      </c>
      <c r="B77" s="13" t="s">
        <v>5054</v>
      </c>
      <c r="C77" s="122" t="s">
        <v>4217</v>
      </c>
      <c r="D77" s="23">
        <v>25000</v>
      </c>
      <c r="E77" s="138"/>
      <c r="F77" s="138"/>
      <c r="G77" s="138"/>
      <c r="H77" s="138"/>
      <c r="I77" s="138"/>
    </row>
    <row r="78" spans="1:9" x14ac:dyDescent="0.25">
      <c r="A78" s="122" t="s">
        <v>5049</v>
      </c>
      <c r="B78" s="13" t="s">
        <v>5056</v>
      </c>
      <c r="C78" s="122" t="s">
        <v>4217</v>
      </c>
      <c r="D78" s="23">
        <v>28000</v>
      </c>
      <c r="E78" s="138"/>
      <c r="F78" s="138"/>
      <c r="G78" s="138"/>
      <c r="H78" s="138"/>
      <c r="I78" s="138"/>
    </row>
    <row r="79" spans="1:9" x14ac:dyDescent="0.25">
      <c r="A79" s="122" t="s">
        <v>5051</v>
      </c>
      <c r="B79" s="13" t="s">
        <v>5057</v>
      </c>
      <c r="C79" s="122" t="s">
        <v>4217</v>
      </c>
      <c r="D79" s="23">
        <v>30000</v>
      </c>
      <c r="E79" s="138"/>
      <c r="F79" s="138"/>
      <c r="G79" s="138"/>
      <c r="H79" s="138"/>
      <c r="I79" s="138"/>
    </row>
    <row r="80" spans="1:9" x14ac:dyDescent="0.25">
      <c r="A80" s="122" t="s">
        <v>5053</v>
      </c>
      <c r="B80" s="13" t="s">
        <v>5058</v>
      </c>
      <c r="C80" s="122" t="s">
        <v>4217</v>
      </c>
      <c r="D80" s="23">
        <v>36000</v>
      </c>
      <c r="E80" s="138"/>
      <c r="F80" s="138"/>
      <c r="G80" s="138"/>
      <c r="H80" s="138"/>
      <c r="I80" s="138"/>
    </row>
    <row r="81" spans="1:9" x14ac:dyDescent="0.25">
      <c r="A81" s="122" t="s">
        <v>5055</v>
      </c>
      <c r="B81" s="13" t="s">
        <v>5059</v>
      </c>
      <c r="C81" s="122" t="s">
        <v>4217</v>
      </c>
      <c r="D81" s="23">
        <v>40000</v>
      </c>
      <c r="E81" s="138"/>
      <c r="F81" s="138"/>
      <c r="G81" s="138"/>
      <c r="H81" s="138"/>
      <c r="I81" s="138"/>
    </row>
    <row r="82" spans="1:9" x14ac:dyDescent="0.25">
      <c r="A82" s="122"/>
      <c r="B82" s="13"/>
      <c r="C82" s="122"/>
      <c r="D82" s="23"/>
      <c r="E82" s="138"/>
      <c r="F82" s="138"/>
      <c r="G82" s="138"/>
      <c r="H82" s="138"/>
      <c r="I82" s="138"/>
    </row>
    <row r="83" spans="1:9" ht="31.5" x14ac:dyDescent="0.25">
      <c r="A83" s="122">
        <v>1.9</v>
      </c>
      <c r="B83" s="13" t="s">
        <v>5060</v>
      </c>
      <c r="C83" s="122"/>
      <c r="D83" s="23"/>
      <c r="E83" s="138"/>
      <c r="F83" s="138"/>
      <c r="G83" s="138"/>
      <c r="H83" s="138"/>
      <c r="I83" s="138"/>
    </row>
    <row r="84" spans="1:9" x14ac:dyDescent="0.25">
      <c r="A84" s="122" t="s">
        <v>2446</v>
      </c>
      <c r="B84" s="13" t="s">
        <v>5061</v>
      </c>
      <c r="C84" s="122" t="s">
        <v>4217</v>
      </c>
      <c r="D84" s="23">
        <v>150</v>
      </c>
      <c r="E84" s="138"/>
      <c r="F84" s="138"/>
      <c r="G84" s="138"/>
      <c r="H84" s="138"/>
      <c r="I84" s="138"/>
    </row>
    <row r="85" spans="1:9" x14ac:dyDescent="0.25">
      <c r="A85" s="122" t="s">
        <v>2447</v>
      </c>
      <c r="B85" s="13" t="s">
        <v>5062</v>
      </c>
      <c r="C85" s="122" t="s">
        <v>4217</v>
      </c>
      <c r="D85" s="23">
        <v>90</v>
      </c>
      <c r="E85" s="138"/>
      <c r="F85" s="138"/>
      <c r="G85" s="138"/>
      <c r="H85" s="138"/>
      <c r="I85" s="138"/>
    </row>
    <row r="86" spans="1:9" x14ac:dyDescent="0.25">
      <c r="A86" s="122" t="s">
        <v>2448</v>
      </c>
      <c r="B86" s="13" t="s">
        <v>5063</v>
      </c>
      <c r="C86" s="122" t="s">
        <v>5064</v>
      </c>
      <c r="D86" s="23">
        <v>140</v>
      </c>
      <c r="E86" s="138"/>
      <c r="F86" s="138"/>
      <c r="G86" s="138"/>
      <c r="H86" s="138"/>
      <c r="I86" s="138"/>
    </row>
    <row r="87" spans="1:9" x14ac:dyDescent="0.25">
      <c r="A87" s="122" t="s">
        <v>5065</v>
      </c>
      <c r="B87" s="13" t="s">
        <v>5066</v>
      </c>
      <c r="C87" s="122" t="s">
        <v>5064</v>
      </c>
      <c r="D87" s="23">
        <v>50</v>
      </c>
      <c r="E87" s="138"/>
      <c r="F87" s="138"/>
      <c r="G87" s="138"/>
      <c r="H87" s="138"/>
      <c r="I87" s="138"/>
    </row>
    <row r="88" spans="1:9" x14ac:dyDescent="0.25">
      <c r="A88" s="122" t="s">
        <v>5067</v>
      </c>
      <c r="B88" s="13" t="s">
        <v>5068</v>
      </c>
      <c r="C88" s="122" t="s">
        <v>4166</v>
      </c>
      <c r="D88" s="23">
        <v>25</v>
      </c>
      <c r="E88" s="138"/>
      <c r="F88" s="138"/>
      <c r="G88" s="138"/>
      <c r="H88" s="138"/>
      <c r="I88" s="138"/>
    </row>
    <row r="89" spans="1:9" x14ac:dyDescent="0.25">
      <c r="A89" s="122" t="s">
        <v>5069</v>
      </c>
      <c r="B89" s="13" t="s">
        <v>5070</v>
      </c>
      <c r="C89" s="122" t="s">
        <v>2437</v>
      </c>
      <c r="D89" s="23">
        <v>25</v>
      </c>
      <c r="E89" s="138"/>
      <c r="F89" s="138"/>
      <c r="G89" s="138"/>
      <c r="H89" s="138"/>
      <c r="I89" s="138"/>
    </row>
    <row r="90" spans="1:9" x14ac:dyDescent="0.25">
      <c r="A90" s="122" t="s">
        <v>5071</v>
      </c>
      <c r="B90" s="13" t="s">
        <v>5072</v>
      </c>
      <c r="C90" s="122" t="s">
        <v>2437</v>
      </c>
      <c r="D90" s="23">
        <v>30</v>
      </c>
      <c r="E90" s="138"/>
      <c r="F90" s="138"/>
      <c r="G90" s="138"/>
      <c r="H90" s="138"/>
      <c r="I90" s="138"/>
    </row>
    <row r="91" spans="1:9" x14ac:dyDescent="0.25">
      <c r="A91" s="122" t="s">
        <v>5073</v>
      </c>
      <c r="B91" s="13" t="s">
        <v>5074</v>
      </c>
      <c r="C91" s="122" t="s">
        <v>2437</v>
      </c>
      <c r="D91" s="23">
        <v>35</v>
      </c>
      <c r="E91" s="138"/>
      <c r="F91" s="138"/>
      <c r="G91" s="138"/>
      <c r="H91" s="138"/>
      <c r="I91" s="138"/>
    </row>
    <row r="92" spans="1:9" x14ac:dyDescent="0.25">
      <c r="A92" s="122"/>
      <c r="B92" s="13"/>
      <c r="C92" s="122"/>
      <c r="D92" s="23"/>
      <c r="E92" s="138"/>
      <c r="F92" s="138"/>
      <c r="G92" s="138"/>
      <c r="H92" s="138"/>
      <c r="I92" s="138"/>
    </row>
    <row r="93" spans="1:9" ht="31.5" x14ac:dyDescent="0.25">
      <c r="A93" s="23">
        <v>1.1000000000000001</v>
      </c>
      <c r="B93" s="13" t="s">
        <v>5075</v>
      </c>
      <c r="C93" s="122"/>
      <c r="D93" s="23"/>
      <c r="E93" s="138"/>
      <c r="F93" s="138"/>
      <c r="G93" s="138"/>
      <c r="H93" s="138"/>
      <c r="I93" s="138"/>
    </row>
    <row r="94" spans="1:9" x14ac:dyDescent="0.25">
      <c r="A94" s="122" t="s">
        <v>2449</v>
      </c>
      <c r="B94" s="13" t="s">
        <v>172</v>
      </c>
      <c r="C94" s="122" t="s">
        <v>5076</v>
      </c>
      <c r="D94" s="23">
        <v>165</v>
      </c>
      <c r="E94" s="138"/>
      <c r="F94" s="138"/>
      <c r="G94" s="138"/>
      <c r="H94" s="138"/>
      <c r="I94" s="138"/>
    </row>
    <row r="95" spans="1:9" x14ac:dyDescent="0.25">
      <c r="A95" s="122" t="s">
        <v>2450</v>
      </c>
      <c r="B95" s="13" t="s">
        <v>5077</v>
      </c>
      <c r="C95" s="122" t="s">
        <v>5076</v>
      </c>
      <c r="D95" s="23">
        <v>140</v>
      </c>
      <c r="E95" s="138"/>
      <c r="F95" s="138"/>
      <c r="G95" s="138"/>
      <c r="H95" s="138"/>
      <c r="I95" s="138"/>
    </row>
    <row r="96" spans="1:9" x14ac:dyDescent="0.25">
      <c r="A96" s="122" t="s">
        <v>3167</v>
      </c>
      <c r="B96" s="13" t="s">
        <v>873</v>
      </c>
      <c r="C96" s="122" t="s">
        <v>5076</v>
      </c>
      <c r="D96" s="23">
        <v>80</v>
      </c>
      <c r="E96" s="138"/>
      <c r="F96" s="138"/>
      <c r="G96" s="138"/>
      <c r="H96" s="138"/>
      <c r="I96" s="138"/>
    </row>
    <row r="97" spans="1:9" x14ac:dyDescent="0.25">
      <c r="A97" s="122" t="s">
        <v>4311</v>
      </c>
      <c r="B97" s="13" t="s">
        <v>5078</v>
      </c>
      <c r="C97" s="122" t="s">
        <v>5076</v>
      </c>
      <c r="D97" s="23">
        <v>65</v>
      </c>
      <c r="E97" s="138"/>
      <c r="F97" s="138"/>
      <c r="G97" s="138"/>
      <c r="H97" s="138"/>
      <c r="I97" s="138"/>
    </row>
    <row r="98" spans="1:9" x14ac:dyDescent="0.25">
      <c r="A98" s="122" t="s">
        <v>5079</v>
      </c>
      <c r="B98" s="13" t="s">
        <v>5080</v>
      </c>
      <c r="C98" s="122" t="s">
        <v>5076</v>
      </c>
      <c r="D98" s="23">
        <v>45</v>
      </c>
      <c r="E98" s="138"/>
      <c r="F98" s="138"/>
      <c r="G98" s="138"/>
      <c r="H98" s="138"/>
      <c r="I98" s="138"/>
    </row>
    <row r="99" spans="1:9" x14ac:dyDescent="0.25">
      <c r="A99" s="122"/>
      <c r="B99" s="13"/>
      <c r="C99" s="122"/>
      <c r="D99" s="23"/>
      <c r="E99" s="138"/>
      <c r="F99" s="138"/>
      <c r="G99" s="138"/>
      <c r="H99" s="138"/>
      <c r="I99" s="138"/>
    </row>
    <row r="100" spans="1:9" ht="47.25" x14ac:dyDescent="0.25">
      <c r="A100" s="122">
        <v>1.1100000000000001</v>
      </c>
      <c r="B100" s="13" t="s">
        <v>5083</v>
      </c>
      <c r="C100" s="122"/>
      <c r="D100" s="23"/>
      <c r="E100" s="138"/>
      <c r="F100" s="138"/>
      <c r="G100" s="138"/>
      <c r="H100" s="138"/>
      <c r="I100" s="138"/>
    </row>
    <row r="101" spans="1:9" x14ac:dyDescent="0.25">
      <c r="A101" s="122" t="s">
        <v>623</v>
      </c>
      <c r="B101" s="13" t="s">
        <v>5084</v>
      </c>
      <c r="C101" s="122" t="s">
        <v>4217</v>
      </c>
      <c r="D101" s="122" t="s">
        <v>5088</v>
      </c>
      <c r="E101" s="138"/>
      <c r="F101" s="138"/>
      <c r="G101" s="138"/>
      <c r="H101" s="138"/>
      <c r="I101" s="138"/>
    </row>
    <row r="102" spans="1:9" x14ac:dyDescent="0.25">
      <c r="A102" s="122" t="s">
        <v>5081</v>
      </c>
      <c r="B102" s="13" t="s">
        <v>5085</v>
      </c>
      <c r="C102" s="122" t="s">
        <v>4217</v>
      </c>
      <c r="D102" s="122" t="s">
        <v>5086</v>
      </c>
      <c r="E102" s="138"/>
      <c r="F102" s="138"/>
      <c r="G102" s="138"/>
      <c r="H102" s="138"/>
      <c r="I102" s="138"/>
    </row>
    <row r="103" spans="1:9" x14ac:dyDescent="0.25">
      <c r="A103" s="122" t="s">
        <v>5082</v>
      </c>
      <c r="B103" s="13" t="s">
        <v>5087</v>
      </c>
      <c r="C103" s="122" t="s">
        <v>2217</v>
      </c>
      <c r="D103" s="122" t="s">
        <v>5559</v>
      </c>
      <c r="E103" s="138"/>
      <c r="F103" s="138"/>
      <c r="G103" s="138"/>
      <c r="H103" s="138"/>
      <c r="I103" s="138"/>
    </row>
    <row r="104" spans="1:9" x14ac:dyDescent="0.25">
      <c r="A104" s="122"/>
      <c r="B104" s="13"/>
      <c r="C104" s="122"/>
      <c r="D104" s="122"/>
      <c r="E104" s="138"/>
      <c r="F104" s="138"/>
      <c r="G104" s="138"/>
      <c r="H104" s="138"/>
      <c r="I104" s="138"/>
    </row>
    <row r="105" spans="1:9" ht="63" x14ac:dyDescent="0.25">
      <c r="A105" s="122">
        <v>1.1200000000000001</v>
      </c>
      <c r="B105" s="13" t="s">
        <v>5089</v>
      </c>
      <c r="C105" s="122"/>
      <c r="D105" s="23"/>
      <c r="E105" s="138"/>
      <c r="F105" s="138"/>
      <c r="G105" s="138"/>
      <c r="H105" s="138"/>
      <c r="I105" s="138"/>
    </row>
    <row r="106" spans="1:9" x14ac:dyDescent="0.25">
      <c r="A106" s="122" t="s">
        <v>624</v>
      </c>
      <c r="B106" s="13" t="s">
        <v>5090</v>
      </c>
      <c r="C106" s="122" t="s">
        <v>4217</v>
      </c>
      <c r="D106" s="122" t="s">
        <v>5091</v>
      </c>
      <c r="E106" s="138"/>
      <c r="F106" s="138"/>
      <c r="G106" s="138"/>
      <c r="H106" s="138"/>
      <c r="I106" s="138"/>
    </row>
    <row r="107" spans="1:9" x14ac:dyDescent="0.25">
      <c r="A107" s="122" t="s">
        <v>625</v>
      </c>
      <c r="B107" s="13" t="s">
        <v>5092</v>
      </c>
      <c r="C107" s="122" t="s">
        <v>2217</v>
      </c>
      <c r="D107" s="122" t="s">
        <v>5560</v>
      </c>
      <c r="E107" s="138"/>
      <c r="F107" s="138"/>
      <c r="G107" s="138"/>
      <c r="H107" s="138"/>
      <c r="I107" s="138"/>
    </row>
    <row r="108" spans="1:9" x14ac:dyDescent="0.25">
      <c r="A108" s="122"/>
      <c r="B108" s="13"/>
      <c r="C108" s="122"/>
      <c r="D108" s="122"/>
      <c r="E108" s="138"/>
      <c r="F108" s="138"/>
      <c r="G108" s="138"/>
      <c r="H108" s="138"/>
      <c r="I108" s="138"/>
    </row>
    <row r="109" spans="1:9" ht="63" x14ac:dyDescent="0.25">
      <c r="A109" s="122">
        <v>1.1299999999999999</v>
      </c>
      <c r="B109" s="13" t="s">
        <v>5093</v>
      </c>
      <c r="C109" s="122"/>
      <c r="D109" s="23"/>
      <c r="E109" s="138"/>
      <c r="F109" s="138"/>
      <c r="G109" s="138"/>
      <c r="H109" s="138"/>
      <c r="I109" s="138"/>
    </row>
    <row r="110" spans="1:9" x14ac:dyDescent="0.25">
      <c r="A110" s="122" t="s">
        <v>3895</v>
      </c>
      <c r="B110" s="13" t="s">
        <v>5094</v>
      </c>
      <c r="C110" s="122" t="s">
        <v>4217</v>
      </c>
      <c r="D110" s="122" t="s">
        <v>5095</v>
      </c>
      <c r="E110" s="138"/>
      <c r="F110" s="138"/>
      <c r="G110" s="138"/>
      <c r="H110" s="138"/>
      <c r="I110" s="138"/>
    </row>
    <row r="111" spans="1:9" x14ac:dyDescent="0.25">
      <c r="A111" s="122" t="s">
        <v>3896</v>
      </c>
      <c r="B111" s="13" t="s">
        <v>5096</v>
      </c>
      <c r="C111" s="122" t="s">
        <v>4217</v>
      </c>
      <c r="D111" s="122" t="s">
        <v>5097</v>
      </c>
      <c r="E111" s="138"/>
      <c r="F111" s="138"/>
      <c r="G111" s="138"/>
      <c r="H111" s="138"/>
      <c r="I111" s="138"/>
    </row>
    <row r="112" spans="1:9" x14ac:dyDescent="0.25">
      <c r="A112" s="122" t="s">
        <v>3897</v>
      </c>
      <c r="B112" s="13" t="s">
        <v>5588</v>
      </c>
      <c r="C112" s="122" t="s">
        <v>4217</v>
      </c>
      <c r="D112" s="122" t="s">
        <v>5561</v>
      </c>
      <c r="E112" s="138"/>
      <c r="F112" s="138"/>
      <c r="G112" s="138"/>
      <c r="H112" s="138"/>
      <c r="I112" s="138"/>
    </row>
    <row r="113" spans="1:9" ht="31.5" x14ac:dyDescent="0.25">
      <c r="A113" s="122" t="s">
        <v>5565</v>
      </c>
      <c r="B113" s="13" t="s">
        <v>5593</v>
      </c>
      <c r="C113" s="122" t="s">
        <v>4217</v>
      </c>
      <c r="D113" s="122" t="s">
        <v>5100</v>
      </c>
      <c r="E113" s="138"/>
      <c r="F113" s="138"/>
      <c r="G113" s="138"/>
      <c r="H113" s="138"/>
      <c r="I113" s="138"/>
    </row>
    <row r="114" spans="1:9" x14ac:dyDescent="0.25">
      <c r="A114" s="122"/>
      <c r="B114" s="13"/>
      <c r="C114" s="122"/>
      <c r="D114" s="122"/>
      <c r="E114" s="138"/>
      <c r="F114" s="138"/>
      <c r="G114" s="138"/>
      <c r="H114" s="138"/>
      <c r="I114" s="138"/>
    </row>
    <row r="115" spans="1:9" ht="47.25" x14ac:dyDescent="0.25">
      <c r="A115" s="122">
        <v>1.1399999999999999</v>
      </c>
      <c r="B115" s="13" t="s">
        <v>5101</v>
      </c>
      <c r="C115" s="122"/>
      <c r="D115" s="23"/>
      <c r="E115" s="138"/>
      <c r="F115" s="138"/>
      <c r="G115" s="138"/>
      <c r="H115" s="138"/>
      <c r="I115" s="138"/>
    </row>
    <row r="116" spans="1:9" x14ac:dyDescent="0.25">
      <c r="A116" s="122" t="s">
        <v>626</v>
      </c>
      <c r="B116" s="13" t="s">
        <v>5102</v>
      </c>
      <c r="C116" s="122" t="s">
        <v>4217</v>
      </c>
      <c r="D116" s="23">
        <v>350</v>
      </c>
      <c r="E116" s="138"/>
      <c r="F116" s="138"/>
      <c r="G116" s="138"/>
      <c r="H116" s="138"/>
      <c r="I116" s="138"/>
    </row>
    <row r="117" spans="1:9" x14ac:dyDescent="0.25">
      <c r="A117" s="122" t="s">
        <v>627</v>
      </c>
      <c r="B117" s="13" t="s">
        <v>5103</v>
      </c>
      <c r="C117" s="122" t="s">
        <v>4217</v>
      </c>
      <c r="D117" s="23">
        <v>150</v>
      </c>
      <c r="E117" s="138"/>
      <c r="F117" s="138"/>
      <c r="G117" s="138"/>
      <c r="H117" s="138"/>
      <c r="I117" s="138"/>
    </row>
    <row r="118" spans="1:9" x14ac:dyDescent="0.25">
      <c r="A118" s="122" t="s">
        <v>5098</v>
      </c>
      <c r="B118" s="13" t="s">
        <v>5104</v>
      </c>
      <c r="C118" s="122" t="s">
        <v>4217</v>
      </c>
      <c r="D118" s="23">
        <v>125</v>
      </c>
      <c r="E118" s="138"/>
      <c r="F118" s="138"/>
      <c r="G118" s="138"/>
      <c r="H118" s="138"/>
      <c r="I118" s="138"/>
    </row>
    <row r="119" spans="1:9" x14ac:dyDescent="0.25">
      <c r="A119" s="122" t="s">
        <v>5099</v>
      </c>
      <c r="B119" s="13" t="s">
        <v>5106</v>
      </c>
      <c r="C119" s="122" t="s">
        <v>4217</v>
      </c>
      <c r="D119" s="122" t="s">
        <v>5107</v>
      </c>
      <c r="E119" s="138"/>
      <c r="F119" s="138"/>
      <c r="G119" s="138"/>
      <c r="H119" s="138"/>
      <c r="I119" s="138"/>
    </row>
    <row r="120" spans="1:9" x14ac:dyDescent="0.25">
      <c r="A120" s="122" t="s">
        <v>5566</v>
      </c>
      <c r="B120" s="13" t="s">
        <v>5109</v>
      </c>
      <c r="C120" s="122" t="s">
        <v>4217</v>
      </c>
      <c r="D120" s="122" t="s">
        <v>5110</v>
      </c>
      <c r="E120" s="138"/>
      <c r="F120" s="138"/>
      <c r="G120" s="138"/>
      <c r="H120" s="138"/>
      <c r="I120" s="138"/>
    </row>
    <row r="121" spans="1:9" ht="31.5" x14ac:dyDescent="0.25">
      <c r="A121" s="122" t="s">
        <v>5567</v>
      </c>
      <c r="B121" s="13" t="s">
        <v>5112</v>
      </c>
      <c r="C121" s="122" t="s">
        <v>4217</v>
      </c>
      <c r="D121" s="122" t="s">
        <v>5113</v>
      </c>
      <c r="E121" s="138"/>
      <c r="F121" s="138"/>
      <c r="G121" s="138"/>
      <c r="H121" s="138"/>
      <c r="I121" s="138"/>
    </row>
    <row r="122" spans="1:9" ht="31.5" x14ac:dyDescent="0.25">
      <c r="A122" s="122" t="s">
        <v>5568</v>
      </c>
      <c r="B122" s="13" t="s">
        <v>5115</v>
      </c>
      <c r="C122" s="122" t="s">
        <v>4217</v>
      </c>
      <c r="D122" s="122" t="s">
        <v>5113</v>
      </c>
      <c r="E122" s="138"/>
      <c r="F122" s="138"/>
      <c r="G122" s="138"/>
      <c r="H122" s="138"/>
      <c r="I122" s="138"/>
    </row>
    <row r="123" spans="1:9" ht="31.5" x14ac:dyDescent="0.25">
      <c r="A123" s="122" t="s">
        <v>5569</v>
      </c>
      <c r="B123" s="13" t="s">
        <v>5117</v>
      </c>
      <c r="C123" s="122" t="s">
        <v>4217</v>
      </c>
      <c r="D123" s="122" t="s">
        <v>5113</v>
      </c>
      <c r="E123" s="138"/>
      <c r="F123" s="138"/>
      <c r="G123" s="138"/>
      <c r="H123" s="138"/>
      <c r="I123" s="138"/>
    </row>
    <row r="124" spans="1:9" ht="63" x14ac:dyDescent="0.25">
      <c r="A124" s="122">
        <v>1.1499999999999999</v>
      </c>
      <c r="B124" s="13" t="s">
        <v>5118</v>
      </c>
      <c r="C124" s="122"/>
      <c r="D124" s="23"/>
      <c r="E124" s="138"/>
      <c r="F124" s="138"/>
      <c r="G124" s="138"/>
      <c r="H124" s="138"/>
      <c r="I124" s="138"/>
    </row>
    <row r="125" spans="1:9" x14ac:dyDescent="0.25">
      <c r="A125" s="122" t="s">
        <v>5570</v>
      </c>
      <c r="B125" s="13" t="s">
        <v>5119</v>
      </c>
      <c r="C125" s="122" t="s">
        <v>2217</v>
      </c>
      <c r="D125" s="122" t="s">
        <v>5120</v>
      </c>
      <c r="E125" s="138"/>
      <c r="F125" s="138"/>
      <c r="G125" s="138"/>
      <c r="H125" s="138"/>
      <c r="I125" s="138"/>
    </row>
    <row r="126" spans="1:9" x14ac:dyDescent="0.25">
      <c r="A126" s="122" t="s">
        <v>609</v>
      </c>
      <c r="B126" s="13" t="s">
        <v>5121</v>
      </c>
      <c r="C126" s="122" t="s">
        <v>4217</v>
      </c>
      <c r="D126" s="122" t="s">
        <v>5564</v>
      </c>
      <c r="E126" s="138"/>
      <c r="F126" s="138"/>
      <c r="G126" s="138"/>
      <c r="H126" s="138"/>
      <c r="I126" s="138"/>
    </row>
    <row r="127" spans="1:9" ht="31.5" x14ac:dyDescent="0.25">
      <c r="A127" s="122" t="s">
        <v>611</v>
      </c>
      <c r="B127" s="13" t="s">
        <v>5122</v>
      </c>
      <c r="C127" s="122" t="s">
        <v>4217</v>
      </c>
      <c r="D127" s="122" t="s">
        <v>5123</v>
      </c>
      <c r="E127" s="138"/>
      <c r="F127" s="138"/>
      <c r="G127" s="138"/>
      <c r="H127" s="138"/>
      <c r="I127" s="138"/>
    </row>
    <row r="128" spans="1:9" x14ac:dyDescent="0.25">
      <c r="A128" s="122" t="s">
        <v>5105</v>
      </c>
      <c r="B128" s="13" t="s">
        <v>5124</v>
      </c>
      <c r="C128" s="122" t="s">
        <v>4217</v>
      </c>
      <c r="D128" s="122" t="s">
        <v>5562</v>
      </c>
      <c r="E128" s="138"/>
      <c r="F128" s="138"/>
      <c r="G128" s="138"/>
      <c r="H128" s="138"/>
      <c r="I128" s="138"/>
    </row>
    <row r="129" spans="1:9" x14ac:dyDescent="0.25">
      <c r="A129" s="122" t="s">
        <v>5108</v>
      </c>
      <c r="B129" s="13" t="s">
        <v>5587</v>
      </c>
      <c r="C129" s="122" t="s">
        <v>4217</v>
      </c>
      <c r="D129" s="122"/>
      <c r="E129" s="138"/>
      <c r="F129" s="138"/>
      <c r="G129" s="138"/>
      <c r="H129" s="138"/>
      <c r="I129" s="138"/>
    </row>
    <row r="130" spans="1:9" x14ac:dyDescent="0.25">
      <c r="A130" s="122" t="s">
        <v>5108</v>
      </c>
      <c r="B130" s="13" t="s">
        <v>6256</v>
      </c>
      <c r="C130" s="122" t="s">
        <v>4217</v>
      </c>
      <c r="D130" s="122" t="s">
        <v>5125</v>
      </c>
      <c r="E130" s="138"/>
      <c r="F130" s="138"/>
      <c r="G130" s="138"/>
      <c r="H130" s="138"/>
      <c r="I130" s="138"/>
    </row>
    <row r="131" spans="1:9" x14ac:dyDescent="0.25">
      <c r="A131" s="122" t="s">
        <v>5111</v>
      </c>
      <c r="B131" s="13" t="s">
        <v>6257</v>
      </c>
      <c r="C131" s="122" t="s">
        <v>4217</v>
      </c>
      <c r="D131" s="122" t="s">
        <v>5126</v>
      </c>
      <c r="E131" s="138"/>
      <c r="F131" s="138"/>
      <c r="G131" s="138"/>
      <c r="H131" s="138"/>
      <c r="I131" s="138"/>
    </row>
    <row r="132" spans="1:9" x14ac:dyDescent="0.25">
      <c r="A132" s="122" t="s">
        <v>5114</v>
      </c>
      <c r="B132" s="13" t="s">
        <v>6258</v>
      </c>
      <c r="C132" s="122" t="s">
        <v>4217</v>
      </c>
      <c r="D132" s="122" t="s">
        <v>5127</v>
      </c>
      <c r="E132" s="138"/>
      <c r="F132" s="138"/>
      <c r="G132" s="138"/>
      <c r="H132" s="138"/>
      <c r="I132" s="138"/>
    </row>
    <row r="133" spans="1:9" x14ac:dyDescent="0.25">
      <c r="A133" s="122" t="s">
        <v>5116</v>
      </c>
      <c r="B133" s="13" t="s">
        <v>6259</v>
      </c>
      <c r="C133" s="122" t="s">
        <v>4217</v>
      </c>
      <c r="D133" s="122" t="s">
        <v>5563</v>
      </c>
      <c r="E133" s="138"/>
      <c r="F133" s="138"/>
      <c r="G133" s="138"/>
      <c r="H133" s="138"/>
      <c r="I133" s="138"/>
    </row>
    <row r="134" spans="1:9" x14ac:dyDescent="0.25">
      <c r="A134" s="122" t="s">
        <v>5571</v>
      </c>
      <c r="B134" s="13" t="s">
        <v>6260</v>
      </c>
      <c r="C134" s="122" t="s">
        <v>4217</v>
      </c>
      <c r="D134" s="122" t="s">
        <v>5128</v>
      </c>
      <c r="E134" s="138"/>
      <c r="F134" s="138"/>
      <c r="G134" s="138"/>
      <c r="H134" s="138"/>
      <c r="I134" s="138"/>
    </row>
    <row r="135" spans="1:9" x14ac:dyDescent="0.25">
      <c r="A135" s="122" t="s">
        <v>5572</v>
      </c>
      <c r="B135" s="13" t="s">
        <v>5129</v>
      </c>
      <c r="C135" s="122" t="s">
        <v>4217</v>
      </c>
      <c r="D135" s="122">
        <v>1200</v>
      </c>
      <c r="E135" s="138"/>
      <c r="F135" s="138"/>
      <c r="G135" s="138"/>
      <c r="H135" s="138"/>
      <c r="I135" s="138"/>
    </row>
    <row r="136" spans="1:9" ht="31.5" x14ac:dyDescent="0.25">
      <c r="A136" s="122" t="s">
        <v>5573</v>
      </c>
      <c r="B136" s="13" t="s">
        <v>5130</v>
      </c>
      <c r="C136" s="122" t="s">
        <v>4217</v>
      </c>
      <c r="D136" s="122" t="s">
        <v>5131</v>
      </c>
      <c r="E136" s="138"/>
      <c r="F136" s="138"/>
      <c r="G136" s="138"/>
      <c r="H136" s="138"/>
      <c r="I136" s="138"/>
    </row>
    <row r="137" spans="1:9" ht="31.5" x14ac:dyDescent="0.25">
      <c r="A137" s="122" t="s">
        <v>5574</v>
      </c>
      <c r="B137" s="13" t="s">
        <v>5132</v>
      </c>
      <c r="C137" s="122" t="s">
        <v>4217</v>
      </c>
      <c r="D137" s="122" t="s">
        <v>5133</v>
      </c>
      <c r="E137" s="138"/>
      <c r="F137" s="138"/>
      <c r="G137" s="138"/>
      <c r="H137" s="138"/>
      <c r="I137" s="138"/>
    </row>
    <row r="138" spans="1:9" x14ac:dyDescent="0.25">
      <c r="A138" s="122"/>
      <c r="B138" s="13"/>
      <c r="C138" s="122"/>
      <c r="D138" s="122"/>
      <c r="E138" s="138"/>
      <c r="F138" s="138"/>
      <c r="G138" s="138"/>
      <c r="H138" s="138"/>
      <c r="I138" s="138"/>
    </row>
    <row r="139" spans="1:9" x14ac:dyDescent="0.25">
      <c r="A139" s="122" t="s">
        <v>5575</v>
      </c>
      <c r="B139" s="13" t="s">
        <v>5134</v>
      </c>
      <c r="C139" s="122" t="s">
        <v>4217</v>
      </c>
      <c r="D139" s="122" t="s">
        <v>5135</v>
      </c>
      <c r="E139" s="138"/>
      <c r="F139" s="138"/>
      <c r="G139" s="138"/>
      <c r="H139" s="138"/>
      <c r="I139" s="138"/>
    </row>
    <row r="140" spans="1:9" ht="31.5" x14ac:dyDescent="0.25">
      <c r="A140" s="122">
        <v>1.1599999999999999</v>
      </c>
      <c r="B140" s="13" t="s">
        <v>5136</v>
      </c>
      <c r="C140" s="122"/>
      <c r="D140" s="23"/>
      <c r="E140" s="138"/>
      <c r="F140" s="138"/>
      <c r="G140" s="138"/>
      <c r="H140" s="138"/>
      <c r="I140" s="138"/>
    </row>
    <row r="141" spans="1:9" x14ac:dyDescent="0.25">
      <c r="A141" s="122" t="s">
        <v>2459</v>
      </c>
      <c r="B141" s="13" t="s">
        <v>5137</v>
      </c>
      <c r="C141" s="122" t="s">
        <v>4217</v>
      </c>
      <c r="D141" s="23">
        <v>18</v>
      </c>
      <c r="E141" s="138"/>
      <c r="F141" s="138"/>
      <c r="G141" s="138"/>
      <c r="H141" s="138"/>
      <c r="I141" s="138"/>
    </row>
    <row r="142" spans="1:9" x14ac:dyDescent="0.25">
      <c r="A142" s="122" t="s">
        <v>2460</v>
      </c>
      <c r="B142" s="13" t="s">
        <v>5138</v>
      </c>
      <c r="C142" s="122" t="s">
        <v>4217</v>
      </c>
      <c r="D142" s="23">
        <v>25</v>
      </c>
      <c r="E142" s="138"/>
      <c r="F142" s="138"/>
      <c r="G142" s="138"/>
      <c r="H142" s="138"/>
      <c r="I142" s="138"/>
    </row>
    <row r="143" spans="1:9" x14ac:dyDescent="0.25">
      <c r="A143" s="122" t="s">
        <v>3144</v>
      </c>
      <c r="B143" s="13" t="s">
        <v>5139</v>
      </c>
      <c r="C143" s="122" t="s">
        <v>4217</v>
      </c>
      <c r="D143" s="23">
        <v>12</v>
      </c>
      <c r="E143" s="138"/>
      <c r="F143" s="138"/>
      <c r="G143" s="138"/>
      <c r="H143" s="138"/>
      <c r="I143" s="138"/>
    </row>
    <row r="144" spans="1:9" x14ac:dyDescent="0.25">
      <c r="A144" s="122" t="s">
        <v>628</v>
      </c>
      <c r="B144" s="13" t="s">
        <v>5141</v>
      </c>
      <c r="C144" s="122" t="s">
        <v>4217</v>
      </c>
      <c r="D144" s="23">
        <v>28</v>
      </c>
      <c r="E144" s="138"/>
      <c r="F144" s="138"/>
      <c r="G144" s="138"/>
      <c r="H144" s="138"/>
      <c r="I144" s="138"/>
    </row>
    <row r="145" spans="1:9" x14ac:dyDescent="0.25">
      <c r="A145" s="122" t="s">
        <v>5576</v>
      </c>
      <c r="B145" s="13" t="s">
        <v>5143</v>
      </c>
      <c r="C145" s="122" t="s">
        <v>4217</v>
      </c>
      <c r="D145" s="23">
        <v>30</v>
      </c>
      <c r="E145" s="138"/>
      <c r="F145" s="138"/>
      <c r="G145" s="138"/>
      <c r="H145" s="138"/>
      <c r="I145" s="138"/>
    </row>
    <row r="146" spans="1:9" x14ac:dyDescent="0.25">
      <c r="A146" s="122" t="s">
        <v>629</v>
      </c>
      <c r="B146" s="13" t="s">
        <v>5145</v>
      </c>
      <c r="C146" s="122" t="s">
        <v>4217</v>
      </c>
      <c r="D146" s="23">
        <v>42</v>
      </c>
      <c r="E146" s="138"/>
      <c r="F146" s="138"/>
      <c r="G146" s="138"/>
      <c r="H146" s="138"/>
      <c r="I146" s="138"/>
    </row>
    <row r="147" spans="1:9" x14ac:dyDescent="0.25">
      <c r="A147" s="122" t="s">
        <v>630</v>
      </c>
      <c r="B147" s="13" t="s">
        <v>5146</v>
      </c>
      <c r="C147" s="122" t="s">
        <v>4217</v>
      </c>
      <c r="D147" s="23">
        <v>18</v>
      </c>
      <c r="E147" s="138"/>
      <c r="F147" s="138"/>
      <c r="G147" s="138"/>
      <c r="H147" s="138"/>
      <c r="I147" s="138"/>
    </row>
    <row r="148" spans="1:9" x14ac:dyDescent="0.25">
      <c r="A148" s="122"/>
      <c r="B148" s="13"/>
      <c r="C148" s="122"/>
      <c r="D148" s="23"/>
      <c r="E148" s="138"/>
      <c r="F148" s="138"/>
      <c r="G148" s="138"/>
      <c r="H148" s="138"/>
      <c r="I148" s="138"/>
    </row>
    <row r="149" spans="1:9" ht="31.5" x14ac:dyDescent="0.25">
      <c r="A149" s="122">
        <v>1.17</v>
      </c>
      <c r="B149" s="13" t="s">
        <v>5147</v>
      </c>
      <c r="C149" s="122"/>
      <c r="D149" s="23"/>
      <c r="E149" s="138"/>
      <c r="F149" s="138"/>
      <c r="G149" s="138"/>
      <c r="H149" s="138"/>
      <c r="I149" s="138"/>
    </row>
    <row r="150" spans="1:9" x14ac:dyDescent="0.25">
      <c r="A150" s="122" t="s">
        <v>3906</v>
      </c>
      <c r="B150" s="13" t="s">
        <v>5148</v>
      </c>
      <c r="C150" s="122" t="s">
        <v>4217</v>
      </c>
      <c r="D150" s="23">
        <v>75</v>
      </c>
      <c r="E150" s="138"/>
      <c r="F150" s="138"/>
      <c r="G150" s="138"/>
      <c r="H150" s="138"/>
      <c r="I150" s="138"/>
    </row>
    <row r="151" spans="1:9" x14ac:dyDescent="0.25">
      <c r="A151" s="122" t="s">
        <v>3907</v>
      </c>
      <c r="B151" s="13" t="s">
        <v>5149</v>
      </c>
      <c r="C151" s="122" t="s">
        <v>4217</v>
      </c>
      <c r="D151" s="23">
        <v>50</v>
      </c>
      <c r="E151" s="138"/>
      <c r="F151" s="138"/>
      <c r="G151" s="138"/>
      <c r="H151" s="138"/>
      <c r="I151" s="138"/>
    </row>
    <row r="152" spans="1:9" x14ac:dyDescent="0.25">
      <c r="A152" s="122" t="s">
        <v>3908</v>
      </c>
      <c r="B152" s="13" t="s">
        <v>5150</v>
      </c>
      <c r="C152" s="122" t="s">
        <v>4217</v>
      </c>
      <c r="D152" s="23">
        <v>15</v>
      </c>
      <c r="E152" s="138"/>
      <c r="F152" s="138"/>
      <c r="G152" s="138"/>
      <c r="H152" s="138"/>
      <c r="I152" s="138"/>
    </row>
    <row r="153" spans="1:9" x14ac:dyDescent="0.25">
      <c r="A153" s="122" t="s">
        <v>5140</v>
      </c>
      <c r="B153" s="13" t="s">
        <v>5152</v>
      </c>
      <c r="C153" s="122" t="s">
        <v>4217</v>
      </c>
      <c r="D153" s="23">
        <v>125</v>
      </c>
      <c r="E153" s="138"/>
      <c r="F153" s="138"/>
      <c r="G153" s="138"/>
      <c r="H153" s="138"/>
      <c r="I153" s="138"/>
    </row>
    <row r="154" spans="1:9" x14ac:dyDescent="0.25">
      <c r="A154" s="122" t="s">
        <v>5142</v>
      </c>
      <c r="B154" s="13" t="s">
        <v>5154</v>
      </c>
      <c r="C154" s="122" t="s">
        <v>4217</v>
      </c>
      <c r="D154" s="23">
        <v>500</v>
      </c>
      <c r="E154" s="138"/>
      <c r="F154" s="138"/>
      <c r="G154" s="138"/>
      <c r="H154" s="138"/>
      <c r="I154" s="138"/>
    </row>
    <row r="155" spans="1:9" x14ac:dyDescent="0.25">
      <c r="A155" s="122" t="s">
        <v>5144</v>
      </c>
      <c r="B155" s="13" t="s">
        <v>5156</v>
      </c>
      <c r="C155" s="122" t="s">
        <v>4217</v>
      </c>
      <c r="D155" s="23">
        <v>400</v>
      </c>
      <c r="E155" s="138"/>
      <c r="F155" s="138"/>
      <c r="G155" s="138"/>
      <c r="H155" s="138"/>
      <c r="I155" s="138"/>
    </row>
    <row r="156" spans="1:9" x14ac:dyDescent="0.25">
      <c r="A156" s="122" t="s">
        <v>5577</v>
      </c>
      <c r="B156" s="13" t="s">
        <v>5158</v>
      </c>
      <c r="C156" s="122" t="s">
        <v>4217</v>
      </c>
      <c r="D156" s="23">
        <v>125</v>
      </c>
      <c r="E156" s="138"/>
      <c r="F156" s="138"/>
      <c r="G156" s="138"/>
      <c r="H156" s="138"/>
      <c r="I156" s="138"/>
    </row>
    <row r="157" spans="1:9" x14ac:dyDescent="0.25">
      <c r="A157" s="122" t="s">
        <v>5578</v>
      </c>
      <c r="B157" s="13" t="s">
        <v>5160</v>
      </c>
      <c r="C157" s="122" t="s">
        <v>4217</v>
      </c>
      <c r="D157" s="23">
        <v>150</v>
      </c>
      <c r="E157" s="138"/>
      <c r="F157" s="138"/>
      <c r="G157" s="138"/>
      <c r="H157" s="138"/>
      <c r="I157" s="138"/>
    </row>
    <row r="158" spans="1:9" x14ac:dyDescent="0.25">
      <c r="A158" s="122" t="s">
        <v>5579</v>
      </c>
      <c r="B158" s="13" t="s">
        <v>5162</v>
      </c>
      <c r="C158" s="122" t="s">
        <v>5163</v>
      </c>
      <c r="D158" s="23">
        <v>400</v>
      </c>
      <c r="E158" s="138"/>
      <c r="F158" s="138"/>
      <c r="G158" s="138"/>
      <c r="H158" s="138"/>
      <c r="I158" s="138"/>
    </row>
    <row r="159" spans="1:9" x14ac:dyDescent="0.25">
      <c r="A159" s="122" t="s">
        <v>5580</v>
      </c>
      <c r="B159" s="13" t="s">
        <v>5165</v>
      </c>
      <c r="C159" s="122" t="s">
        <v>5163</v>
      </c>
      <c r="D159" s="23">
        <v>250</v>
      </c>
      <c r="E159" s="138"/>
      <c r="F159" s="138"/>
      <c r="G159" s="138"/>
      <c r="H159" s="138"/>
      <c r="I159" s="138"/>
    </row>
    <row r="160" spans="1:9" x14ac:dyDescent="0.25">
      <c r="A160" s="122" t="s">
        <v>5581</v>
      </c>
      <c r="B160" s="13" t="s">
        <v>5167</v>
      </c>
      <c r="C160" s="122" t="s">
        <v>5163</v>
      </c>
      <c r="D160" s="23">
        <v>300</v>
      </c>
      <c r="E160" s="138"/>
      <c r="F160" s="138"/>
      <c r="G160" s="138"/>
      <c r="H160" s="138"/>
      <c r="I160" s="138"/>
    </row>
    <row r="161" spans="1:9" x14ac:dyDescent="0.25">
      <c r="A161" s="122" t="s">
        <v>5582</v>
      </c>
      <c r="B161" s="13" t="s">
        <v>5169</v>
      </c>
      <c r="C161" s="122" t="s">
        <v>5163</v>
      </c>
      <c r="D161" s="23">
        <v>300</v>
      </c>
      <c r="E161" s="138"/>
      <c r="F161" s="138"/>
      <c r="G161" s="138"/>
      <c r="H161" s="138"/>
      <c r="I161" s="138"/>
    </row>
    <row r="162" spans="1:9" x14ac:dyDescent="0.25">
      <c r="A162" s="122" t="s">
        <v>5583</v>
      </c>
      <c r="B162" s="13" t="s">
        <v>5171</v>
      </c>
      <c r="C162" s="122" t="s">
        <v>5163</v>
      </c>
      <c r="D162" s="23">
        <v>450</v>
      </c>
      <c r="E162" s="138"/>
      <c r="F162" s="138"/>
      <c r="G162" s="138"/>
      <c r="H162" s="138"/>
      <c r="I162" s="138"/>
    </row>
    <row r="163" spans="1:9" x14ac:dyDescent="0.25">
      <c r="A163" s="122" t="s">
        <v>5584</v>
      </c>
      <c r="B163" s="13" t="s">
        <v>5173</v>
      </c>
      <c r="C163" s="122" t="s">
        <v>5163</v>
      </c>
      <c r="D163" s="23">
        <v>475</v>
      </c>
      <c r="E163" s="138"/>
      <c r="F163" s="138"/>
      <c r="G163" s="138"/>
      <c r="H163" s="138"/>
      <c r="I163" s="138"/>
    </row>
    <row r="164" spans="1:9" x14ac:dyDescent="0.25">
      <c r="A164" s="122"/>
      <c r="B164" s="13"/>
      <c r="C164" s="122"/>
      <c r="D164" s="23"/>
      <c r="E164" s="138"/>
      <c r="F164" s="138"/>
      <c r="G164" s="138"/>
      <c r="H164" s="138"/>
      <c r="I164" s="138"/>
    </row>
    <row r="165" spans="1:9" ht="31.5" x14ac:dyDescent="0.25">
      <c r="A165" s="122">
        <v>1.18</v>
      </c>
      <c r="B165" s="13" t="s">
        <v>5174</v>
      </c>
      <c r="C165" s="122"/>
      <c r="D165" s="23"/>
      <c r="E165" s="138"/>
      <c r="F165" s="138"/>
      <c r="G165" s="138"/>
      <c r="H165" s="138"/>
      <c r="I165" s="138"/>
    </row>
    <row r="166" spans="1:9" x14ac:dyDescent="0.25">
      <c r="A166" s="122" t="s">
        <v>3170</v>
      </c>
      <c r="B166" s="13" t="s">
        <v>5175</v>
      </c>
      <c r="C166" s="122" t="s">
        <v>4217</v>
      </c>
      <c r="D166" s="23">
        <v>15</v>
      </c>
      <c r="E166" s="138"/>
      <c r="F166" s="138"/>
      <c r="G166" s="138"/>
      <c r="H166" s="138"/>
      <c r="I166" s="138"/>
    </row>
    <row r="167" spans="1:9" x14ac:dyDescent="0.25">
      <c r="A167" s="122" t="s">
        <v>3171</v>
      </c>
      <c r="B167" s="13" t="s">
        <v>5177</v>
      </c>
      <c r="C167" s="122" t="s">
        <v>4217</v>
      </c>
      <c r="D167" s="23">
        <v>18</v>
      </c>
      <c r="E167" s="138"/>
      <c r="F167" s="138"/>
      <c r="G167" s="138"/>
      <c r="H167" s="138"/>
      <c r="I167" s="138"/>
    </row>
    <row r="168" spans="1:9" x14ac:dyDescent="0.25">
      <c r="A168" s="122" t="s">
        <v>3172</v>
      </c>
      <c r="B168" s="13" t="s">
        <v>5179</v>
      </c>
      <c r="C168" s="122" t="s">
        <v>4217</v>
      </c>
      <c r="D168" s="23">
        <v>20</v>
      </c>
      <c r="E168" s="138"/>
      <c r="F168" s="138"/>
      <c r="G168" s="138"/>
      <c r="H168" s="138"/>
      <c r="I168" s="138"/>
    </row>
    <row r="169" spans="1:9" x14ac:dyDescent="0.25">
      <c r="A169" s="122" t="s">
        <v>5151</v>
      </c>
      <c r="B169" s="13" t="s">
        <v>5181</v>
      </c>
      <c r="C169" s="122" t="s">
        <v>4217</v>
      </c>
      <c r="D169" s="23">
        <v>12</v>
      </c>
      <c r="E169" s="138"/>
      <c r="F169" s="138"/>
      <c r="G169" s="138"/>
      <c r="H169" s="138"/>
      <c r="I169" s="138"/>
    </row>
    <row r="170" spans="1:9" x14ac:dyDescent="0.25">
      <c r="A170" s="122" t="s">
        <v>5153</v>
      </c>
      <c r="B170" s="13" t="s">
        <v>5183</v>
      </c>
      <c r="C170" s="122" t="s">
        <v>4217</v>
      </c>
      <c r="D170" s="23">
        <v>15</v>
      </c>
      <c r="E170" s="138"/>
      <c r="F170" s="138"/>
      <c r="G170" s="138"/>
      <c r="H170" s="138"/>
      <c r="I170" s="138"/>
    </row>
    <row r="171" spans="1:9" x14ac:dyDescent="0.25">
      <c r="A171" s="122" t="s">
        <v>5155</v>
      </c>
      <c r="B171" s="13" t="s">
        <v>5185</v>
      </c>
      <c r="C171" s="122" t="s">
        <v>4217</v>
      </c>
      <c r="D171" s="23">
        <v>75</v>
      </c>
      <c r="E171" s="138"/>
      <c r="F171" s="138"/>
      <c r="G171" s="138"/>
      <c r="H171" s="138"/>
      <c r="I171" s="138"/>
    </row>
    <row r="172" spans="1:9" x14ac:dyDescent="0.25">
      <c r="A172" s="122" t="s">
        <v>5157</v>
      </c>
      <c r="B172" s="13" t="s">
        <v>5187</v>
      </c>
      <c r="C172" s="122" t="s">
        <v>4217</v>
      </c>
      <c r="D172" s="23">
        <v>125</v>
      </c>
      <c r="E172" s="138"/>
      <c r="F172" s="138"/>
      <c r="G172" s="138"/>
      <c r="H172" s="138"/>
      <c r="I172" s="138"/>
    </row>
    <row r="173" spans="1:9" x14ac:dyDescent="0.25">
      <c r="A173" s="122" t="s">
        <v>5159</v>
      </c>
      <c r="B173" s="13" t="s">
        <v>5189</v>
      </c>
      <c r="C173" s="122" t="s">
        <v>4217</v>
      </c>
      <c r="D173" s="23">
        <v>75</v>
      </c>
      <c r="E173" s="138"/>
      <c r="F173" s="138"/>
      <c r="G173" s="138"/>
      <c r="H173" s="138"/>
      <c r="I173" s="138"/>
    </row>
    <row r="174" spans="1:9" x14ac:dyDescent="0.25">
      <c r="A174" s="122" t="s">
        <v>5161</v>
      </c>
      <c r="B174" s="13" t="s">
        <v>5191</v>
      </c>
      <c r="C174" s="122" t="s">
        <v>4217</v>
      </c>
      <c r="D174" s="23">
        <v>40</v>
      </c>
      <c r="E174" s="138"/>
      <c r="F174" s="138"/>
      <c r="G174" s="138"/>
      <c r="H174" s="138"/>
      <c r="I174" s="138"/>
    </row>
    <row r="175" spans="1:9" x14ac:dyDescent="0.25">
      <c r="A175" s="122" t="s">
        <v>5164</v>
      </c>
      <c r="B175" s="13" t="s">
        <v>5193</v>
      </c>
      <c r="C175" s="122" t="s">
        <v>4217</v>
      </c>
      <c r="D175" s="23">
        <v>20</v>
      </c>
      <c r="E175" s="138"/>
      <c r="F175" s="138"/>
      <c r="G175" s="138"/>
      <c r="H175" s="138"/>
      <c r="I175" s="138"/>
    </row>
    <row r="176" spans="1:9" x14ac:dyDescent="0.25">
      <c r="A176" s="122" t="s">
        <v>5166</v>
      </c>
      <c r="B176" s="13" t="s">
        <v>5194</v>
      </c>
      <c r="C176" s="122" t="s">
        <v>4217</v>
      </c>
      <c r="D176" s="23">
        <v>25</v>
      </c>
      <c r="E176" s="138"/>
      <c r="F176" s="138"/>
      <c r="G176" s="138"/>
      <c r="H176" s="138"/>
      <c r="I176" s="138"/>
    </row>
    <row r="177" spans="1:9" x14ac:dyDescent="0.25">
      <c r="A177" s="122" t="s">
        <v>5168</v>
      </c>
      <c r="B177" s="13" t="s">
        <v>5195</v>
      </c>
      <c r="C177" s="122" t="s">
        <v>4217</v>
      </c>
      <c r="D177" s="23">
        <v>20</v>
      </c>
      <c r="E177" s="138"/>
      <c r="F177" s="138"/>
      <c r="G177" s="138"/>
      <c r="H177" s="138"/>
      <c r="I177" s="138"/>
    </row>
    <row r="178" spans="1:9" x14ac:dyDescent="0.25">
      <c r="A178" s="122" t="s">
        <v>5170</v>
      </c>
      <c r="B178" s="13" t="s">
        <v>5196</v>
      </c>
      <c r="C178" s="122" t="s">
        <v>4217</v>
      </c>
      <c r="D178" s="23">
        <v>4</v>
      </c>
      <c r="E178" s="138"/>
      <c r="F178" s="138"/>
      <c r="G178" s="138"/>
      <c r="H178" s="138"/>
      <c r="I178" s="138"/>
    </row>
    <row r="179" spans="1:9" x14ac:dyDescent="0.25">
      <c r="A179" s="122"/>
      <c r="B179" s="13"/>
      <c r="C179" s="122"/>
      <c r="D179" s="23"/>
      <c r="E179" s="138"/>
      <c r="F179" s="138"/>
      <c r="G179" s="138"/>
      <c r="H179" s="138"/>
      <c r="I179" s="138"/>
    </row>
    <row r="180" spans="1:9" x14ac:dyDescent="0.25">
      <c r="A180" s="122"/>
      <c r="B180" s="13"/>
      <c r="C180" s="122"/>
      <c r="D180" s="23"/>
      <c r="E180" s="138"/>
      <c r="F180" s="138"/>
      <c r="G180" s="138"/>
      <c r="H180" s="138"/>
      <c r="I180" s="138"/>
    </row>
    <row r="181" spans="1:9" x14ac:dyDescent="0.25">
      <c r="A181" s="122" t="s">
        <v>5172</v>
      </c>
      <c r="B181" s="13" t="s">
        <v>5197</v>
      </c>
      <c r="C181" s="122" t="s">
        <v>4217</v>
      </c>
      <c r="D181" s="23">
        <v>6</v>
      </c>
      <c r="E181" s="138"/>
      <c r="F181" s="138"/>
      <c r="G181" s="138"/>
      <c r="H181" s="138"/>
      <c r="I181" s="138"/>
    </row>
    <row r="182" spans="1:9" x14ac:dyDescent="0.25">
      <c r="A182" s="122" t="s">
        <v>5585</v>
      </c>
      <c r="B182" s="13" t="s">
        <v>5198</v>
      </c>
      <c r="C182" s="122" t="s">
        <v>4217</v>
      </c>
      <c r="D182" s="23">
        <v>40</v>
      </c>
      <c r="E182" s="138"/>
      <c r="F182" s="138"/>
      <c r="G182" s="138"/>
      <c r="H182" s="138"/>
      <c r="I182" s="138"/>
    </row>
    <row r="183" spans="1:9" ht="31.5" x14ac:dyDescent="0.25">
      <c r="A183" s="122">
        <v>1.19</v>
      </c>
      <c r="B183" s="13" t="s">
        <v>5199</v>
      </c>
      <c r="C183" s="122"/>
      <c r="D183" s="23"/>
      <c r="E183" s="138"/>
      <c r="F183" s="138"/>
      <c r="G183" s="138"/>
      <c r="H183" s="138"/>
      <c r="I183" s="138"/>
    </row>
    <row r="184" spans="1:9" x14ac:dyDescent="0.25">
      <c r="A184" s="122" t="s">
        <v>3147</v>
      </c>
      <c r="B184" s="13" t="s">
        <v>5200</v>
      </c>
      <c r="C184" s="122" t="s">
        <v>4217</v>
      </c>
      <c r="D184" s="23">
        <v>500</v>
      </c>
      <c r="E184" s="138"/>
      <c r="F184" s="138"/>
      <c r="G184" s="138"/>
      <c r="H184" s="138"/>
      <c r="I184" s="138"/>
    </row>
    <row r="185" spans="1:9" x14ac:dyDescent="0.25">
      <c r="A185" s="122" t="s">
        <v>5176</v>
      </c>
      <c r="B185" s="13" t="s">
        <v>5201</v>
      </c>
      <c r="C185" s="122" t="s">
        <v>4217</v>
      </c>
      <c r="D185" s="23">
        <v>700</v>
      </c>
      <c r="E185" s="138"/>
      <c r="F185" s="138"/>
      <c r="G185" s="138"/>
      <c r="H185" s="138"/>
      <c r="I185" s="138"/>
    </row>
    <row r="186" spans="1:9" x14ac:dyDescent="0.25">
      <c r="A186" s="122" t="s">
        <v>5178</v>
      </c>
      <c r="B186" s="13" t="s">
        <v>5202</v>
      </c>
      <c r="C186" s="122" t="s">
        <v>4217</v>
      </c>
      <c r="D186" s="23">
        <v>950</v>
      </c>
      <c r="E186" s="138"/>
      <c r="F186" s="138"/>
      <c r="G186" s="138"/>
      <c r="H186" s="138"/>
      <c r="I186" s="138"/>
    </row>
    <row r="187" spans="1:9" ht="31.5" x14ac:dyDescent="0.25">
      <c r="A187" s="122" t="s">
        <v>5180</v>
      </c>
      <c r="B187" s="13" t="s">
        <v>5204</v>
      </c>
      <c r="C187" s="122" t="s">
        <v>4217</v>
      </c>
      <c r="D187" s="23">
        <v>1800</v>
      </c>
      <c r="E187" s="138"/>
      <c r="F187" s="138"/>
      <c r="G187" s="138"/>
      <c r="H187" s="138"/>
      <c r="I187" s="138"/>
    </row>
    <row r="188" spans="1:9" x14ac:dyDescent="0.25">
      <c r="A188" s="122" t="s">
        <v>5182</v>
      </c>
      <c r="B188" s="13" t="s">
        <v>5206</v>
      </c>
      <c r="C188" s="122" t="s">
        <v>4217</v>
      </c>
      <c r="D188" s="23">
        <v>1650</v>
      </c>
      <c r="E188" s="138"/>
      <c r="F188" s="138"/>
      <c r="G188" s="138"/>
      <c r="H188" s="138"/>
      <c r="I188" s="138"/>
    </row>
    <row r="189" spans="1:9" x14ac:dyDescent="0.25">
      <c r="A189" s="122" t="s">
        <v>5184</v>
      </c>
      <c r="B189" s="13" t="s">
        <v>5207</v>
      </c>
      <c r="C189" s="122" t="s">
        <v>4217</v>
      </c>
      <c r="D189" s="23">
        <v>490</v>
      </c>
      <c r="E189" s="138"/>
      <c r="F189" s="138"/>
      <c r="G189" s="138"/>
      <c r="H189" s="138"/>
      <c r="I189" s="138"/>
    </row>
    <row r="190" spans="1:9" x14ac:dyDescent="0.25">
      <c r="A190" s="122" t="s">
        <v>5186</v>
      </c>
      <c r="B190" s="13" t="s">
        <v>5208</v>
      </c>
      <c r="C190" s="122" t="s">
        <v>4217</v>
      </c>
      <c r="D190" s="23">
        <v>1200</v>
      </c>
      <c r="E190" s="138"/>
      <c r="F190" s="138"/>
      <c r="G190" s="138"/>
      <c r="H190" s="138"/>
      <c r="I190" s="138"/>
    </row>
    <row r="191" spans="1:9" x14ac:dyDescent="0.25">
      <c r="A191" s="122" t="s">
        <v>5188</v>
      </c>
      <c r="B191" s="13" t="s">
        <v>5209</v>
      </c>
      <c r="C191" s="122" t="s">
        <v>4217</v>
      </c>
      <c r="D191" s="23">
        <v>400</v>
      </c>
      <c r="E191" s="138"/>
      <c r="F191" s="138"/>
      <c r="G191" s="138"/>
      <c r="H191" s="138"/>
      <c r="I191" s="138"/>
    </row>
    <row r="192" spans="1:9" x14ac:dyDescent="0.25">
      <c r="A192" s="122" t="s">
        <v>5190</v>
      </c>
      <c r="B192" s="13" t="s">
        <v>5210</v>
      </c>
      <c r="C192" s="122" t="s">
        <v>4217</v>
      </c>
      <c r="D192" s="23">
        <v>350</v>
      </c>
      <c r="E192" s="138"/>
      <c r="F192" s="138"/>
      <c r="G192" s="138"/>
      <c r="H192" s="138"/>
      <c r="I192" s="138"/>
    </row>
    <row r="193" spans="1:9" x14ac:dyDescent="0.25">
      <c r="A193" s="122" t="s">
        <v>5192</v>
      </c>
      <c r="B193" s="13" t="s">
        <v>5211</v>
      </c>
      <c r="C193" s="122" t="s">
        <v>4217</v>
      </c>
      <c r="D193" s="23">
        <v>280</v>
      </c>
      <c r="E193" s="138"/>
      <c r="F193" s="138"/>
      <c r="G193" s="138"/>
      <c r="H193" s="138"/>
      <c r="I193" s="138"/>
    </row>
    <row r="194" spans="1:9" s="178" customFormat="1" x14ac:dyDescent="0.25">
      <c r="A194" s="112"/>
      <c r="B194" s="30"/>
      <c r="C194" s="112"/>
      <c r="D194" s="118"/>
    </row>
    <row r="195" spans="1:9" x14ac:dyDescent="0.25">
      <c r="B195" s="30" t="s">
        <v>5896</v>
      </c>
    </row>
    <row r="196" spans="1:9" x14ac:dyDescent="0.25">
      <c r="A196" s="23">
        <v>1.2</v>
      </c>
      <c r="B196" s="13" t="s">
        <v>5931</v>
      </c>
      <c r="C196" s="122"/>
      <c r="D196" s="23"/>
    </row>
    <row r="197" spans="1:9" x14ac:dyDescent="0.25">
      <c r="A197" s="122" t="s">
        <v>3152</v>
      </c>
      <c r="B197" s="13" t="s">
        <v>5941</v>
      </c>
      <c r="C197" s="122" t="s">
        <v>4217</v>
      </c>
      <c r="D197" s="23">
        <v>32</v>
      </c>
    </row>
    <row r="198" spans="1:9" x14ac:dyDescent="0.25">
      <c r="A198" s="122" t="s">
        <v>3153</v>
      </c>
      <c r="B198" s="13" t="s">
        <v>5932</v>
      </c>
      <c r="C198" s="122" t="s">
        <v>4217</v>
      </c>
      <c r="D198" s="23">
        <v>1000</v>
      </c>
    </row>
    <row r="199" spans="1:9" ht="31.5" x14ac:dyDescent="0.25">
      <c r="A199" s="122" t="s">
        <v>3154</v>
      </c>
      <c r="B199" s="13" t="s">
        <v>5942</v>
      </c>
      <c r="C199" s="122" t="s">
        <v>4217</v>
      </c>
      <c r="D199" s="23">
        <v>150</v>
      </c>
    </row>
    <row r="200" spans="1:9" ht="47.25" x14ac:dyDescent="0.25">
      <c r="A200" s="122" t="s">
        <v>5203</v>
      </c>
      <c r="B200" s="13" t="s">
        <v>5943</v>
      </c>
      <c r="C200" s="122" t="s">
        <v>4217</v>
      </c>
      <c r="D200" s="23">
        <v>125</v>
      </c>
    </row>
    <row r="201" spans="1:9" x14ac:dyDescent="0.25">
      <c r="A201" s="122" t="s">
        <v>5205</v>
      </c>
      <c r="B201" s="13" t="s">
        <v>5933</v>
      </c>
      <c r="C201" s="122" t="s">
        <v>4217</v>
      </c>
      <c r="D201" s="23">
        <v>125</v>
      </c>
    </row>
    <row r="202" spans="1:9" x14ac:dyDescent="0.25">
      <c r="A202" s="122">
        <v>1.21</v>
      </c>
      <c r="B202" s="13" t="s">
        <v>5934</v>
      </c>
      <c r="C202" s="122"/>
      <c r="D202" s="23"/>
    </row>
    <row r="203" spans="1:9" x14ac:dyDescent="0.25">
      <c r="A203" s="122" t="s">
        <v>3155</v>
      </c>
      <c r="B203" s="13" t="s">
        <v>5944</v>
      </c>
      <c r="C203" s="122" t="s">
        <v>4217</v>
      </c>
      <c r="D203" s="23">
        <v>60</v>
      </c>
    </row>
    <row r="204" spans="1:9" x14ac:dyDescent="0.25">
      <c r="A204" s="122" t="s">
        <v>3156</v>
      </c>
      <c r="B204" s="13" t="s">
        <v>5945</v>
      </c>
      <c r="C204" s="122" t="s">
        <v>4217</v>
      </c>
      <c r="D204" s="23">
        <v>50</v>
      </c>
    </row>
    <row r="205" spans="1:9" x14ac:dyDescent="0.25">
      <c r="A205" s="122" t="s">
        <v>3157</v>
      </c>
      <c r="B205" s="13" t="s">
        <v>5946</v>
      </c>
      <c r="C205" s="122" t="s">
        <v>4217</v>
      </c>
      <c r="D205" s="23">
        <v>12</v>
      </c>
    </row>
    <row r="206" spans="1:9" s="132" customFormat="1" x14ac:dyDescent="0.25">
      <c r="A206" s="122" t="s">
        <v>5897</v>
      </c>
      <c r="B206" s="13" t="s">
        <v>5935</v>
      </c>
      <c r="C206" s="122" t="s">
        <v>4217</v>
      </c>
      <c r="D206" s="23">
        <v>12</v>
      </c>
    </row>
    <row r="207" spans="1:9" s="132" customFormat="1" x14ac:dyDescent="0.25">
      <c r="A207" s="122" t="s">
        <v>5898</v>
      </c>
      <c r="B207" s="13" t="s">
        <v>5936</v>
      </c>
      <c r="C207" s="122" t="s">
        <v>4217</v>
      </c>
      <c r="D207" s="23">
        <v>8</v>
      </c>
    </row>
    <row r="208" spans="1:9" s="132" customFormat="1" x14ac:dyDescent="0.25">
      <c r="A208" s="122" t="s">
        <v>5899</v>
      </c>
      <c r="B208" s="13" t="s">
        <v>6383</v>
      </c>
      <c r="C208" s="122" t="s">
        <v>4217</v>
      </c>
      <c r="D208" s="23">
        <v>40</v>
      </c>
    </row>
    <row r="209" spans="1:4" s="132" customFormat="1" x14ac:dyDescent="0.25">
      <c r="A209" s="122" t="s">
        <v>5900</v>
      </c>
      <c r="B209" s="13" t="s">
        <v>6384</v>
      </c>
      <c r="C209" s="122" t="s">
        <v>4217</v>
      </c>
      <c r="D209" s="23">
        <v>85</v>
      </c>
    </row>
    <row r="210" spans="1:4" s="132" customFormat="1" x14ac:dyDescent="0.25">
      <c r="A210" s="122">
        <v>1.22</v>
      </c>
      <c r="B210" s="13" t="s">
        <v>5937</v>
      </c>
      <c r="C210" s="122"/>
      <c r="D210" s="23"/>
    </row>
    <row r="211" spans="1:4" s="132" customFormat="1" x14ac:dyDescent="0.25">
      <c r="A211" s="122" t="s">
        <v>3175</v>
      </c>
      <c r="B211" s="13" t="s">
        <v>6385</v>
      </c>
      <c r="C211" s="122" t="s">
        <v>4217</v>
      </c>
      <c r="D211" s="23">
        <v>20</v>
      </c>
    </row>
    <row r="212" spans="1:4" x14ac:dyDescent="0.25">
      <c r="A212" s="122" t="s">
        <v>3176</v>
      </c>
      <c r="B212" s="13" t="s">
        <v>6386</v>
      </c>
      <c r="C212" s="122" t="s">
        <v>4217</v>
      </c>
      <c r="D212" s="23">
        <v>80</v>
      </c>
    </row>
    <row r="213" spans="1:4" x14ac:dyDescent="0.25">
      <c r="A213" s="122" t="s">
        <v>3177</v>
      </c>
      <c r="B213" s="13" t="s">
        <v>6387</v>
      </c>
      <c r="C213" s="122" t="s">
        <v>4217</v>
      </c>
      <c r="D213" s="23">
        <v>15</v>
      </c>
    </row>
    <row r="214" spans="1:4" x14ac:dyDescent="0.25">
      <c r="A214" s="122">
        <v>1.23</v>
      </c>
      <c r="B214" s="13" t="s">
        <v>5938</v>
      </c>
      <c r="C214" s="122"/>
      <c r="D214" s="23"/>
    </row>
    <row r="215" spans="1:4" x14ac:dyDescent="0.25">
      <c r="A215" s="122" t="s">
        <v>5901</v>
      </c>
      <c r="B215" s="13" t="s">
        <v>6388</v>
      </c>
      <c r="C215" s="122" t="s">
        <v>4217</v>
      </c>
      <c r="D215" s="23">
        <v>80</v>
      </c>
    </row>
    <row r="216" spans="1:4" x14ac:dyDescent="0.25">
      <c r="A216" s="122" t="s">
        <v>5902</v>
      </c>
      <c r="B216" s="13" t="s">
        <v>6389</v>
      </c>
      <c r="C216" s="122" t="s">
        <v>4217</v>
      </c>
      <c r="D216" s="23">
        <v>100</v>
      </c>
    </row>
    <row r="217" spans="1:4" x14ac:dyDescent="0.25">
      <c r="A217" s="122" t="s">
        <v>5903</v>
      </c>
      <c r="B217" s="13" t="s">
        <v>6390</v>
      </c>
      <c r="C217" s="122" t="s">
        <v>4217</v>
      </c>
      <c r="D217" s="23">
        <v>80</v>
      </c>
    </row>
    <row r="218" spans="1:4" x14ac:dyDescent="0.25">
      <c r="A218" s="122" t="s">
        <v>5904</v>
      </c>
      <c r="B218" s="13" t="s">
        <v>6391</v>
      </c>
      <c r="C218" s="122" t="s">
        <v>4217</v>
      </c>
      <c r="D218" s="23">
        <v>80</v>
      </c>
    </row>
    <row r="219" spans="1:4" x14ac:dyDescent="0.25">
      <c r="A219" s="122"/>
      <c r="B219" s="13"/>
      <c r="C219" s="122"/>
      <c r="D219" s="23"/>
    </row>
    <row r="220" spans="1:4" x14ac:dyDescent="0.25">
      <c r="A220" s="122"/>
      <c r="B220" s="13"/>
      <c r="C220" s="122"/>
      <c r="D220" s="23"/>
    </row>
    <row r="221" spans="1:4" ht="47.25" x14ac:dyDescent="0.25">
      <c r="A221" s="122" t="s">
        <v>5905</v>
      </c>
      <c r="B221" s="13" t="s">
        <v>5947</v>
      </c>
      <c r="C221" s="122" t="s">
        <v>4217</v>
      </c>
      <c r="D221" s="23">
        <v>125</v>
      </c>
    </row>
    <row r="222" spans="1:4" x14ac:dyDescent="0.25">
      <c r="A222" s="122" t="s">
        <v>5906</v>
      </c>
      <c r="B222" s="13" t="s">
        <v>5948</v>
      </c>
      <c r="C222" s="122" t="s">
        <v>4217</v>
      </c>
      <c r="D222" s="23">
        <v>80</v>
      </c>
    </row>
    <row r="223" spans="1:4" x14ac:dyDescent="0.25">
      <c r="A223" s="122">
        <v>1.24</v>
      </c>
      <c r="B223" s="13" t="s">
        <v>5939</v>
      </c>
      <c r="C223" s="122"/>
      <c r="D223" s="23"/>
    </row>
    <row r="224" spans="1:4" x14ac:dyDescent="0.25">
      <c r="A224" s="122" t="s">
        <v>3160</v>
      </c>
      <c r="B224" s="13" t="s">
        <v>6392</v>
      </c>
      <c r="C224" s="122" t="s">
        <v>4217</v>
      </c>
      <c r="D224" s="23">
        <v>225</v>
      </c>
    </row>
    <row r="225" spans="1:4" x14ac:dyDescent="0.25">
      <c r="A225" s="122" t="s">
        <v>3161</v>
      </c>
      <c r="B225" s="13" t="s">
        <v>6393</v>
      </c>
      <c r="C225" s="122"/>
      <c r="D225" s="23">
        <v>110</v>
      </c>
    </row>
    <row r="226" spans="1:4" x14ac:dyDescent="0.25">
      <c r="A226" s="122" t="s">
        <v>5907</v>
      </c>
      <c r="B226" s="13" t="s">
        <v>6394</v>
      </c>
      <c r="C226" s="122" t="s">
        <v>4217</v>
      </c>
      <c r="D226" s="23">
        <v>80</v>
      </c>
    </row>
    <row r="227" spans="1:4" ht="31.5" x14ac:dyDescent="0.25">
      <c r="A227" s="122" t="s">
        <v>5908</v>
      </c>
      <c r="B227" s="13" t="s">
        <v>6479</v>
      </c>
      <c r="C227" s="122" t="s">
        <v>4217</v>
      </c>
      <c r="D227" s="23">
        <v>300</v>
      </c>
    </row>
    <row r="228" spans="1:4" x14ac:dyDescent="0.25">
      <c r="A228" s="122" t="s">
        <v>5909</v>
      </c>
      <c r="B228" s="13" t="s">
        <v>5949</v>
      </c>
      <c r="C228" s="122" t="s">
        <v>4217</v>
      </c>
      <c r="D228" s="23">
        <v>100</v>
      </c>
    </row>
    <row r="229" spans="1:4" x14ac:dyDescent="0.25">
      <c r="A229" s="122" t="s">
        <v>5910</v>
      </c>
      <c r="B229" s="13" t="s">
        <v>5950</v>
      </c>
      <c r="C229" s="122" t="s">
        <v>4217</v>
      </c>
      <c r="D229" s="23">
        <v>285</v>
      </c>
    </row>
    <row r="230" spans="1:4" x14ac:dyDescent="0.25">
      <c r="A230" s="122" t="s">
        <v>5911</v>
      </c>
      <c r="B230" s="13" t="s">
        <v>5951</v>
      </c>
      <c r="C230" s="122"/>
      <c r="D230" s="23">
        <v>280</v>
      </c>
    </row>
    <row r="231" spans="1:4" ht="31.5" x14ac:dyDescent="0.25">
      <c r="A231" s="122" t="s">
        <v>5912</v>
      </c>
      <c r="B231" s="13" t="s">
        <v>5952</v>
      </c>
      <c r="C231" s="122" t="s">
        <v>4217</v>
      </c>
      <c r="D231" s="23">
        <v>200</v>
      </c>
    </row>
    <row r="232" spans="1:4" x14ac:dyDescent="0.25">
      <c r="A232" s="122" t="s">
        <v>5913</v>
      </c>
      <c r="B232" s="13" t="s">
        <v>6395</v>
      </c>
      <c r="C232" s="122" t="s">
        <v>4217</v>
      </c>
      <c r="D232" s="23">
        <v>150</v>
      </c>
    </row>
    <row r="233" spans="1:4" x14ac:dyDescent="0.25">
      <c r="A233" s="122" t="s">
        <v>5914</v>
      </c>
      <c r="B233" s="13" t="s">
        <v>6396</v>
      </c>
      <c r="C233" s="122" t="s">
        <v>4217</v>
      </c>
      <c r="D233" s="23">
        <v>100</v>
      </c>
    </row>
    <row r="234" spans="1:4" x14ac:dyDescent="0.25">
      <c r="A234" s="122" t="s">
        <v>5915</v>
      </c>
      <c r="B234" s="13" t="s">
        <v>6397</v>
      </c>
      <c r="C234" s="122" t="s">
        <v>4217</v>
      </c>
      <c r="D234" s="23">
        <v>90</v>
      </c>
    </row>
    <row r="235" spans="1:4" x14ac:dyDescent="0.25">
      <c r="A235" s="122" t="s">
        <v>5916</v>
      </c>
      <c r="B235" s="13" t="s">
        <v>6398</v>
      </c>
      <c r="C235" s="122" t="s">
        <v>4217</v>
      </c>
      <c r="D235" s="23">
        <v>205</v>
      </c>
    </row>
    <row r="236" spans="1:4" ht="31.5" x14ac:dyDescent="0.25">
      <c r="A236" s="122" t="s">
        <v>5917</v>
      </c>
      <c r="B236" s="13" t="s">
        <v>6478</v>
      </c>
      <c r="C236" s="122" t="s">
        <v>4217</v>
      </c>
      <c r="D236" s="23">
        <v>40</v>
      </c>
    </row>
    <row r="237" spans="1:4" x14ac:dyDescent="0.25">
      <c r="A237" s="122" t="s">
        <v>5918</v>
      </c>
      <c r="B237" s="13" t="s">
        <v>6399</v>
      </c>
      <c r="C237" s="122" t="s">
        <v>4217</v>
      </c>
      <c r="D237" s="23">
        <v>85</v>
      </c>
    </row>
    <row r="238" spans="1:4" ht="31.5" x14ac:dyDescent="0.25">
      <c r="A238" s="122" t="s">
        <v>5919</v>
      </c>
      <c r="B238" s="13" t="s">
        <v>6477</v>
      </c>
      <c r="C238" s="122" t="s">
        <v>4217</v>
      </c>
      <c r="D238" s="23">
        <v>140</v>
      </c>
    </row>
    <row r="239" spans="1:4" x14ac:dyDescent="0.25">
      <c r="A239" s="122" t="s">
        <v>5920</v>
      </c>
      <c r="B239" s="13" t="s">
        <v>6476</v>
      </c>
      <c r="C239" s="122" t="s">
        <v>4217</v>
      </c>
      <c r="D239" s="23">
        <v>125</v>
      </c>
    </row>
    <row r="240" spans="1:4" ht="31.5" x14ac:dyDescent="0.25">
      <c r="A240" s="122" t="s">
        <v>5921</v>
      </c>
      <c r="B240" s="13" t="s">
        <v>5953</v>
      </c>
      <c r="C240" s="122" t="s">
        <v>4217</v>
      </c>
      <c r="D240" s="23">
        <v>210</v>
      </c>
    </row>
    <row r="241" spans="1:4" x14ac:dyDescent="0.25">
      <c r="A241" s="122" t="s">
        <v>5922</v>
      </c>
      <c r="B241" s="13" t="s">
        <v>5954</v>
      </c>
      <c r="C241" s="122" t="s">
        <v>4217</v>
      </c>
      <c r="D241" s="23">
        <v>445</v>
      </c>
    </row>
    <row r="242" spans="1:4" x14ac:dyDescent="0.25">
      <c r="A242" s="122" t="s">
        <v>5923</v>
      </c>
      <c r="B242" s="13" t="s">
        <v>6400</v>
      </c>
      <c r="C242" s="122" t="s">
        <v>4217</v>
      </c>
      <c r="D242" s="23">
        <v>160</v>
      </c>
    </row>
    <row r="243" spans="1:4" ht="31.5" x14ac:dyDescent="0.25">
      <c r="A243" s="122" t="s">
        <v>5924</v>
      </c>
      <c r="B243" s="13" t="s">
        <v>5955</v>
      </c>
      <c r="C243" s="122" t="s">
        <v>4217</v>
      </c>
      <c r="D243" s="23">
        <v>180</v>
      </c>
    </row>
    <row r="244" spans="1:4" x14ac:dyDescent="0.25">
      <c r="A244" s="122" t="s">
        <v>5925</v>
      </c>
      <c r="B244" s="13" t="s">
        <v>6473</v>
      </c>
      <c r="C244" s="122" t="s">
        <v>4217</v>
      </c>
      <c r="D244" s="23">
        <v>125</v>
      </c>
    </row>
    <row r="245" spans="1:4" x14ac:dyDescent="0.25">
      <c r="A245" s="122" t="s">
        <v>5926</v>
      </c>
      <c r="B245" s="13" t="s">
        <v>6472</v>
      </c>
      <c r="C245" s="122" t="s">
        <v>4217</v>
      </c>
      <c r="D245" s="23">
        <v>300</v>
      </c>
    </row>
    <row r="246" spans="1:4" x14ac:dyDescent="0.25">
      <c r="A246" s="122" t="s">
        <v>5927</v>
      </c>
      <c r="B246" s="13" t="s">
        <v>6471</v>
      </c>
      <c r="C246" s="122" t="s">
        <v>4217</v>
      </c>
      <c r="D246" s="23">
        <v>125</v>
      </c>
    </row>
    <row r="247" spans="1:4" x14ac:dyDescent="0.25">
      <c r="A247" s="122" t="s">
        <v>5928</v>
      </c>
      <c r="B247" s="13" t="s">
        <v>5956</v>
      </c>
      <c r="C247" s="122" t="s">
        <v>4217</v>
      </c>
      <c r="D247" s="23">
        <v>200</v>
      </c>
    </row>
    <row r="248" spans="1:4" x14ac:dyDescent="0.25">
      <c r="A248" s="122">
        <v>1.25</v>
      </c>
      <c r="B248" s="13" t="s">
        <v>5940</v>
      </c>
      <c r="C248" s="122"/>
      <c r="D248" s="23"/>
    </row>
    <row r="249" spans="1:4" x14ac:dyDescent="0.25">
      <c r="A249" s="122" t="s">
        <v>5929</v>
      </c>
      <c r="B249" s="13" t="s">
        <v>6474</v>
      </c>
      <c r="C249" s="122" t="s">
        <v>4217</v>
      </c>
      <c r="D249" s="23">
        <v>125</v>
      </c>
    </row>
    <row r="250" spans="1:4" x14ac:dyDescent="0.25">
      <c r="A250" s="122" t="s">
        <v>5930</v>
      </c>
      <c r="B250" s="13" t="s">
        <v>6475</v>
      </c>
      <c r="C250" s="122" t="s">
        <v>4217</v>
      </c>
      <c r="D250" s="23">
        <v>250</v>
      </c>
    </row>
  </sheetData>
  <mergeCells count="2">
    <mergeCell ref="A2:D2"/>
    <mergeCell ref="A1:D1"/>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tabColor rgb="FF00B0F0"/>
  </sheetPr>
  <dimension ref="A1:J184"/>
  <sheetViews>
    <sheetView view="pageBreakPreview" topLeftCell="A25" zoomScaleNormal="100" zoomScaleSheetLayoutView="100" workbookViewId="0">
      <selection activeCell="F2" sqref="F2"/>
    </sheetView>
  </sheetViews>
  <sheetFormatPr defaultRowHeight="15.75" x14ac:dyDescent="0.25"/>
  <cols>
    <col min="1" max="1" width="10" style="112" customWidth="1"/>
    <col min="2" max="2" width="47.5703125" style="30" customWidth="1"/>
    <col min="3" max="3" width="17.28515625" style="112" customWidth="1"/>
    <col min="4" max="4" width="11.7109375" style="14" customWidth="1"/>
    <col min="5" max="16384" width="9.140625" style="6"/>
  </cols>
  <sheetData>
    <row r="1" spans="1:10" s="14" customFormat="1" ht="22.5" x14ac:dyDescent="0.2">
      <c r="A1" s="258" t="s">
        <v>631</v>
      </c>
      <c r="B1" s="258"/>
      <c r="C1" s="258"/>
      <c r="D1" s="258"/>
    </row>
    <row r="2" spans="1:10" s="14" customFormat="1" ht="23.25" customHeight="1" x14ac:dyDescent="0.2">
      <c r="A2" s="275" t="s">
        <v>632</v>
      </c>
      <c r="B2" s="275"/>
      <c r="C2" s="275"/>
      <c r="D2" s="275"/>
    </row>
    <row r="4" spans="1:10" ht="31.5" x14ac:dyDescent="0.25">
      <c r="A4" s="121" t="s">
        <v>6262</v>
      </c>
      <c r="B4" s="30" t="s">
        <v>21</v>
      </c>
      <c r="C4" s="155"/>
    </row>
    <row r="5" spans="1:10" x14ac:dyDescent="0.25">
      <c r="E5" s="138"/>
      <c r="F5" s="138"/>
      <c r="G5" s="138"/>
      <c r="H5" s="138"/>
      <c r="I5" s="138"/>
      <c r="J5" s="138"/>
    </row>
    <row r="6" spans="1:10" ht="31.5" x14ac:dyDescent="0.25">
      <c r="A6" s="55" t="s">
        <v>6402</v>
      </c>
      <c r="B6" s="55" t="s">
        <v>2434</v>
      </c>
      <c r="C6" s="55" t="s">
        <v>2435</v>
      </c>
      <c r="D6" s="172" t="s">
        <v>18</v>
      </c>
      <c r="E6" s="112"/>
      <c r="F6" s="112"/>
      <c r="G6" s="112"/>
      <c r="H6" s="112"/>
      <c r="J6" s="112"/>
    </row>
    <row r="7" spans="1:10" x14ac:dyDescent="0.25">
      <c r="A7" s="55">
        <v>1</v>
      </c>
      <c r="B7" s="55">
        <v>2</v>
      </c>
      <c r="C7" s="55">
        <v>3</v>
      </c>
      <c r="D7" s="45">
        <v>4</v>
      </c>
      <c r="E7" s="112"/>
      <c r="F7" s="112"/>
      <c r="G7" s="112"/>
      <c r="H7" s="112"/>
      <c r="J7" s="112"/>
    </row>
    <row r="8" spans="1:10" x14ac:dyDescent="0.25">
      <c r="A8" s="117"/>
      <c r="B8" s="117"/>
      <c r="C8" s="117"/>
      <c r="D8" s="121"/>
      <c r="E8" s="112"/>
      <c r="F8" s="112"/>
      <c r="G8" s="112"/>
      <c r="H8" s="112"/>
      <c r="J8" s="112"/>
    </row>
    <row r="9" spans="1:10" x14ac:dyDescent="0.25">
      <c r="A9" s="3">
        <v>2.1</v>
      </c>
      <c r="B9" s="13" t="s">
        <v>5212</v>
      </c>
      <c r="C9" s="122"/>
      <c r="D9" s="112"/>
      <c r="E9" s="138"/>
      <c r="F9" s="138"/>
      <c r="G9" s="138"/>
      <c r="H9" s="138"/>
      <c r="I9" s="138"/>
      <c r="J9" s="138"/>
    </row>
    <row r="10" spans="1:10" x14ac:dyDescent="0.25">
      <c r="A10" s="3"/>
      <c r="B10" s="13"/>
      <c r="C10" s="122"/>
      <c r="D10" s="112"/>
      <c r="E10" s="138"/>
      <c r="F10" s="138"/>
      <c r="G10" s="138"/>
      <c r="H10" s="138"/>
      <c r="I10" s="138"/>
      <c r="J10" s="138"/>
    </row>
    <row r="11" spans="1:10" ht="47.25" x14ac:dyDescent="0.25">
      <c r="A11" s="3" t="s">
        <v>5214</v>
      </c>
      <c r="B11" s="13" t="s">
        <v>5215</v>
      </c>
      <c r="C11" s="122" t="s">
        <v>5216</v>
      </c>
      <c r="D11" s="109">
        <v>24</v>
      </c>
      <c r="E11" s="14"/>
      <c r="F11" s="138"/>
      <c r="G11" s="138"/>
      <c r="H11" s="138"/>
      <c r="I11" s="138"/>
      <c r="J11" s="138"/>
    </row>
    <row r="12" spans="1:10" x14ac:dyDescent="0.25">
      <c r="A12" s="3" t="s">
        <v>5217</v>
      </c>
      <c r="B12" s="13" t="s">
        <v>5218</v>
      </c>
      <c r="C12" s="122" t="s">
        <v>5219</v>
      </c>
      <c r="D12" s="109">
        <v>1440</v>
      </c>
      <c r="E12" s="14"/>
      <c r="F12" s="138"/>
      <c r="G12" s="138"/>
      <c r="H12" s="138"/>
      <c r="I12" s="138"/>
      <c r="J12" s="138"/>
    </row>
    <row r="13" spans="1:10" ht="47.25" x14ac:dyDescent="0.25">
      <c r="A13" s="3" t="s">
        <v>224</v>
      </c>
      <c r="B13" s="13" t="s">
        <v>5220</v>
      </c>
      <c r="C13" s="122" t="s">
        <v>5221</v>
      </c>
      <c r="D13" s="109">
        <v>240</v>
      </c>
      <c r="E13" s="14"/>
      <c r="F13" s="138"/>
      <c r="G13" s="138"/>
      <c r="H13" s="138"/>
      <c r="I13" s="138"/>
      <c r="J13" s="138"/>
    </row>
    <row r="14" spans="1:10" x14ac:dyDescent="0.25">
      <c r="A14" s="3"/>
      <c r="B14" s="13"/>
      <c r="C14" s="122"/>
      <c r="D14" s="109"/>
      <c r="E14" s="14"/>
      <c r="F14" s="138"/>
      <c r="G14" s="138"/>
      <c r="H14" s="138"/>
      <c r="I14" s="138"/>
      <c r="J14" s="138"/>
    </row>
    <row r="15" spans="1:10" x14ac:dyDescent="0.25">
      <c r="A15" s="3" t="s">
        <v>226</v>
      </c>
      <c r="B15" s="13" t="s">
        <v>5222</v>
      </c>
      <c r="C15" s="122"/>
      <c r="D15" s="109"/>
      <c r="E15" s="14"/>
      <c r="F15" s="138"/>
      <c r="G15" s="138"/>
      <c r="H15" s="138"/>
      <c r="I15" s="138"/>
      <c r="J15" s="138"/>
    </row>
    <row r="16" spans="1:10" x14ac:dyDescent="0.25">
      <c r="A16" s="3" t="s">
        <v>1660</v>
      </c>
      <c r="B16" s="13" t="s">
        <v>5591</v>
      </c>
      <c r="C16" s="122" t="s">
        <v>5223</v>
      </c>
      <c r="D16" s="109">
        <v>1560</v>
      </c>
      <c r="E16" s="14"/>
      <c r="F16" s="138"/>
      <c r="G16" s="138"/>
      <c r="H16" s="138"/>
      <c r="I16" s="138"/>
      <c r="J16" s="138"/>
    </row>
    <row r="17" spans="1:10" x14ac:dyDescent="0.25">
      <c r="A17" s="3" t="s">
        <v>1666</v>
      </c>
      <c r="B17" s="13" t="s">
        <v>5592</v>
      </c>
      <c r="C17" s="122" t="s">
        <v>5223</v>
      </c>
      <c r="D17" s="109">
        <v>1200</v>
      </c>
      <c r="E17" s="14"/>
      <c r="F17" s="138"/>
      <c r="G17" s="138"/>
      <c r="H17" s="138"/>
      <c r="I17" s="138"/>
      <c r="J17" s="138"/>
    </row>
    <row r="18" spans="1:10" x14ac:dyDescent="0.25">
      <c r="A18" s="3"/>
      <c r="B18" s="13"/>
      <c r="C18" s="122"/>
      <c r="D18" s="109"/>
      <c r="E18" s="14"/>
      <c r="F18" s="138"/>
      <c r="G18" s="138"/>
      <c r="H18" s="138"/>
      <c r="I18" s="138"/>
      <c r="J18" s="138"/>
    </row>
    <row r="19" spans="1:10" ht="31.5" x14ac:dyDescent="0.25">
      <c r="A19" s="3" t="s">
        <v>228</v>
      </c>
      <c r="B19" s="13" t="s">
        <v>5224</v>
      </c>
      <c r="C19" s="122" t="s">
        <v>5221</v>
      </c>
      <c r="D19" s="109">
        <v>480</v>
      </c>
      <c r="E19" s="14"/>
      <c r="F19" s="138"/>
      <c r="G19" s="138"/>
      <c r="H19" s="138"/>
      <c r="I19" s="138"/>
      <c r="J19" s="138"/>
    </row>
    <row r="20" spans="1:10" ht="31.5" x14ac:dyDescent="0.25">
      <c r="A20" s="3" t="s">
        <v>230</v>
      </c>
      <c r="B20" s="13" t="s">
        <v>5225</v>
      </c>
      <c r="C20" s="122" t="s">
        <v>5226</v>
      </c>
      <c r="D20" s="109">
        <v>3.5</v>
      </c>
      <c r="E20" s="14"/>
      <c r="F20" s="138"/>
      <c r="G20" s="138"/>
      <c r="H20" s="138"/>
      <c r="I20" s="138"/>
      <c r="J20" s="138"/>
    </row>
    <row r="21" spans="1:10" ht="31.5" x14ac:dyDescent="0.25">
      <c r="A21" s="3" t="s">
        <v>232</v>
      </c>
      <c r="B21" s="13" t="s">
        <v>5227</v>
      </c>
      <c r="C21" s="122" t="s">
        <v>5228</v>
      </c>
      <c r="D21" s="109">
        <v>19440</v>
      </c>
      <c r="E21" s="14"/>
      <c r="F21" s="138"/>
      <c r="G21" s="138"/>
      <c r="H21" s="138"/>
      <c r="I21" s="138"/>
      <c r="J21" s="138"/>
    </row>
    <row r="22" spans="1:10" x14ac:dyDescent="0.25">
      <c r="A22" s="3"/>
      <c r="B22" s="13"/>
      <c r="C22" s="122"/>
      <c r="D22" s="109"/>
      <c r="E22" s="14"/>
      <c r="F22" s="138"/>
      <c r="G22" s="138"/>
      <c r="H22" s="138"/>
      <c r="I22" s="138"/>
      <c r="J22" s="138"/>
    </row>
    <row r="23" spans="1:10" ht="31.5" x14ac:dyDescent="0.25">
      <c r="A23" s="3" t="s">
        <v>234</v>
      </c>
      <c r="B23" s="13" t="s">
        <v>5229</v>
      </c>
      <c r="C23" s="122"/>
      <c r="D23" s="109"/>
      <c r="E23" s="14"/>
      <c r="F23" s="138"/>
      <c r="G23" s="138"/>
      <c r="H23" s="138"/>
      <c r="I23" s="138"/>
      <c r="J23" s="138"/>
    </row>
    <row r="24" spans="1:10" ht="31.5" x14ac:dyDescent="0.25">
      <c r="A24" s="3" t="s">
        <v>1660</v>
      </c>
      <c r="B24" s="13" t="s">
        <v>5230</v>
      </c>
      <c r="C24" s="122" t="s">
        <v>3751</v>
      </c>
      <c r="D24" s="109">
        <v>42</v>
      </c>
      <c r="E24" s="14"/>
      <c r="F24" s="138"/>
      <c r="G24" s="138"/>
      <c r="H24" s="138"/>
      <c r="I24" s="138"/>
      <c r="J24" s="138"/>
    </row>
    <row r="25" spans="1:10" ht="31.5" x14ac:dyDescent="0.25">
      <c r="A25" s="3" t="s">
        <v>1666</v>
      </c>
      <c r="B25" s="13" t="s">
        <v>5231</v>
      </c>
      <c r="C25" s="122" t="s">
        <v>5232</v>
      </c>
      <c r="D25" s="109">
        <v>180</v>
      </c>
      <c r="E25" s="14"/>
      <c r="F25" s="138"/>
      <c r="G25" s="138"/>
      <c r="H25" s="138"/>
      <c r="I25" s="138"/>
      <c r="J25" s="138"/>
    </row>
    <row r="26" spans="1:10" ht="31.5" x14ac:dyDescent="0.25">
      <c r="A26" s="3" t="s">
        <v>4339</v>
      </c>
      <c r="B26" s="13" t="s">
        <v>5233</v>
      </c>
      <c r="C26" s="122" t="s">
        <v>5232</v>
      </c>
      <c r="D26" s="109">
        <v>180</v>
      </c>
      <c r="E26" s="14"/>
      <c r="F26" s="138"/>
      <c r="G26" s="138"/>
      <c r="H26" s="138"/>
      <c r="I26" s="138"/>
      <c r="J26" s="138"/>
    </row>
    <row r="27" spans="1:10" x14ac:dyDescent="0.25">
      <c r="A27" s="3"/>
      <c r="B27" s="13"/>
      <c r="C27" s="122"/>
      <c r="D27" s="109"/>
      <c r="E27" s="14"/>
      <c r="F27" s="138"/>
      <c r="G27" s="138"/>
      <c r="H27" s="138"/>
      <c r="I27" s="138"/>
      <c r="J27" s="138"/>
    </row>
    <row r="28" spans="1:10" ht="94.5" x14ac:dyDescent="0.25">
      <c r="A28" s="3" t="s">
        <v>237</v>
      </c>
      <c r="B28" s="13" t="s">
        <v>5586</v>
      </c>
      <c r="C28" s="122" t="s">
        <v>2217</v>
      </c>
      <c r="D28" s="109">
        <v>24</v>
      </c>
      <c r="E28" s="14"/>
      <c r="F28" s="138"/>
      <c r="G28" s="138"/>
      <c r="H28" s="138"/>
      <c r="I28" s="138"/>
      <c r="J28" s="138"/>
    </row>
    <row r="29" spans="1:10" x14ac:dyDescent="0.25">
      <c r="A29" s="3"/>
      <c r="B29" s="13"/>
      <c r="C29" s="122"/>
      <c r="D29" s="109"/>
      <c r="E29" s="14"/>
      <c r="F29" s="138"/>
      <c r="G29" s="138"/>
      <c r="H29" s="138"/>
      <c r="I29" s="138"/>
      <c r="J29" s="138"/>
    </row>
    <row r="30" spans="1:10" x14ac:dyDescent="0.25">
      <c r="A30" s="3"/>
      <c r="B30" s="13"/>
      <c r="C30" s="122"/>
      <c r="D30" s="109"/>
      <c r="E30" s="14"/>
      <c r="F30" s="138"/>
      <c r="G30" s="138"/>
      <c r="H30" s="138"/>
      <c r="I30" s="138"/>
      <c r="J30" s="138"/>
    </row>
    <row r="31" spans="1:10" ht="94.5" x14ac:dyDescent="0.25">
      <c r="A31" s="3">
        <v>2.2000000000000002</v>
      </c>
      <c r="B31" s="13" t="s">
        <v>5234</v>
      </c>
      <c r="C31" s="122" t="s">
        <v>3748</v>
      </c>
      <c r="D31" s="109">
        <v>24</v>
      </c>
      <c r="E31" s="14"/>
      <c r="F31" s="138"/>
      <c r="G31" s="138"/>
      <c r="H31" s="138"/>
      <c r="I31" s="138"/>
      <c r="J31" s="138"/>
    </row>
    <row r="32" spans="1:10" x14ac:dyDescent="0.25">
      <c r="A32" s="3">
        <v>2.2999999999999998</v>
      </c>
      <c r="B32" s="13" t="s">
        <v>5235</v>
      </c>
      <c r="C32" s="122" t="s">
        <v>4112</v>
      </c>
      <c r="D32" s="109">
        <v>2.4</v>
      </c>
      <c r="E32" s="14"/>
      <c r="F32" s="138"/>
      <c r="G32" s="138"/>
      <c r="H32" s="138"/>
      <c r="I32" s="138"/>
      <c r="J32" s="138"/>
    </row>
    <row r="33" spans="1:10" x14ac:dyDescent="0.25">
      <c r="A33" s="3">
        <v>2.4</v>
      </c>
      <c r="B33" s="13" t="s">
        <v>5236</v>
      </c>
      <c r="C33" s="122" t="s">
        <v>4112</v>
      </c>
      <c r="D33" s="109">
        <v>0.3</v>
      </c>
      <c r="E33" s="14"/>
      <c r="F33" s="138"/>
      <c r="G33" s="138"/>
      <c r="H33" s="138"/>
      <c r="I33" s="138"/>
      <c r="J33" s="138"/>
    </row>
    <row r="34" spans="1:10" x14ac:dyDescent="0.25">
      <c r="A34" s="3">
        <v>2.5</v>
      </c>
      <c r="B34" s="13" t="s">
        <v>6261</v>
      </c>
      <c r="C34" s="122" t="s">
        <v>4166</v>
      </c>
      <c r="D34" s="109">
        <v>0.72</v>
      </c>
      <c r="E34" s="14"/>
      <c r="F34" s="138"/>
      <c r="G34" s="138"/>
      <c r="H34" s="138"/>
      <c r="I34" s="138"/>
      <c r="J34" s="138"/>
    </row>
    <row r="35" spans="1:10" x14ac:dyDescent="0.25">
      <c r="A35" s="3">
        <v>2.6</v>
      </c>
      <c r="B35" s="13" t="s">
        <v>5237</v>
      </c>
      <c r="C35" s="122" t="s">
        <v>4112</v>
      </c>
      <c r="D35" s="109">
        <v>2.4</v>
      </c>
      <c r="E35" s="14"/>
      <c r="F35" s="138"/>
      <c r="G35" s="138"/>
      <c r="H35" s="138"/>
      <c r="I35" s="138"/>
      <c r="J35" s="138"/>
    </row>
    <row r="36" spans="1:10" x14ac:dyDescent="0.25">
      <c r="A36" s="122"/>
      <c r="B36" s="13"/>
      <c r="C36" s="23"/>
    </row>
    <row r="37" spans="1:10" x14ac:dyDescent="0.25">
      <c r="A37" s="122"/>
      <c r="B37" s="13"/>
      <c r="C37" s="23"/>
    </row>
    <row r="38" spans="1:10" x14ac:dyDescent="0.25">
      <c r="A38" s="122"/>
      <c r="B38" s="13"/>
      <c r="C38" s="23"/>
    </row>
    <row r="39" spans="1:10" x14ac:dyDescent="0.25">
      <c r="A39" s="122"/>
      <c r="B39" s="13"/>
      <c r="C39" s="23"/>
    </row>
    <row r="40" spans="1:10" x14ac:dyDescent="0.25">
      <c r="A40" s="122"/>
      <c r="B40" s="13"/>
      <c r="C40" s="23"/>
    </row>
    <row r="41" spans="1:10" x14ac:dyDescent="0.25">
      <c r="A41" s="122"/>
      <c r="B41" s="13"/>
      <c r="C41" s="23"/>
    </row>
    <row r="42" spans="1:10" x14ac:dyDescent="0.25">
      <c r="A42" s="122"/>
      <c r="B42" s="13"/>
      <c r="C42" s="23"/>
    </row>
    <row r="43" spans="1:10" x14ac:dyDescent="0.25">
      <c r="A43" s="122"/>
      <c r="B43" s="13"/>
      <c r="C43" s="23"/>
    </row>
    <row r="44" spans="1:10" x14ac:dyDescent="0.25">
      <c r="A44" s="122"/>
      <c r="B44" s="13"/>
      <c r="C44" s="23"/>
    </row>
    <row r="45" spans="1:10" x14ac:dyDescent="0.25">
      <c r="A45" s="122"/>
      <c r="B45" s="13"/>
      <c r="C45" s="23"/>
    </row>
    <row r="46" spans="1:10" x14ac:dyDescent="0.25">
      <c r="A46" s="122"/>
      <c r="B46" s="13"/>
      <c r="C46" s="23"/>
    </row>
    <row r="47" spans="1:10" x14ac:dyDescent="0.25">
      <c r="A47" s="122"/>
      <c r="B47" s="13"/>
      <c r="C47" s="23"/>
    </row>
    <row r="48" spans="1:10" x14ac:dyDescent="0.25">
      <c r="A48" s="122"/>
      <c r="B48" s="13"/>
      <c r="C48" s="109"/>
    </row>
    <row r="49" spans="1:3" x14ac:dyDescent="0.25">
      <c r="A49" s="122"/>
      <c r="B49" s="13"/>
      <c r="C49" s="23"/>
    </row>
    <row r="50" spans="1:3" x14ac:dyDescent="0.25">
      <c r="A50" s="122"/>
      <c r="B50" s="13"/>
      <c r="C50" s="23"/>
    </row>
    <row r="51" spans="1:3" x14ac:dyDescent="0.25">
      <c r="A51" s="122"/>
      <c r="B51" s="13"/>
      <c r="C51" s="23"/>
    </row>
    <row r="52" spans="1:3" x14ac:dyDescent="0.25">
      <c r="A52" s="122"/>
      <c r="B52" s="13"/>
      <c r="C52" s="23"/>
    </row>
    <row r="53" spans="1:3" x14ac:dyDescent="0.25">
      <c r="A53" s="122"/>
      <c r="B53" s="13"/>
      <c r="C53" s="23"/>
    </row>
    <row r="54" spans="1:3" x14ac:dyDescent="0.25">
      <c r="A54" s="122"/>
      <c r="B54" s="13"/>
      <c r="C54" s="23"/>
    </row>
    <row r="55" spans="1:3" x14ac:dyDescent="0.25">
      <c r="A55" s="122"/>
      <c r="B55" s="13"/>
      <c r="C55" s="109"/>
    </row>
    <row r="56" spans="1:3" x14ac:dyDescent="0.25">
      <c r="A56" s="122"/>
      <c r="B56" s="13"/>
      <c r="C56" s="23"/>
    </row>
    <row r="57" spans="1:3" x14ac:dyDescent="0.25">
      <c r="A57" s="122"/>
      <c r="B57" s="13"/>
      <c r="C57" s="109"/>
    </row>
    <row r="58" spans="1:3" x14ac:dyDescent="0.25">
      <c r="A58" s="122"/>
      <c r="B58" s="13"/>
      <c r="C58" s="23"/>
    </row>
    <row r="59" spans="1:3" x14ac:dyDescent="0.25">
      <c r="A59" s="122"/>
      <c r="B59" s="13"/>
      <c r="C59" s="109"/>
    </row>
    <row r="60" spans="1:3" x14ac:dyDescent="0.25">
      <c r="A60" s="122"/>
      <c r="B60" s="13"/>
      <c r="C60" s="23"/>
    </row>
    <row r="61" spans="1:3" x14ac:dyDescent="0.25">
      <c r="A61" s="122"/>
      <c r="B61" s="13"/>
      <c r="C61" s="109"/>
    </row>
    <row r="62" spans="1:3" x14ac:dyDescent="0.25">
      <c r="A62" s="122"/>
      <c r="B62" s="13"/>
      <c r="C62" s="23"/>
    </row>
    <row r="63" spans="1:3" x14ac:dyDescent="0.25">
      <c r="A63" s="122"/>
      <c r="B63" s="13"/>
      <c r="C63" s="109"/>
    </row>
    <row r="64" spans="1:3" x14ac:dyDescent="0.25">
      <c r="A64" s="122"/>
      <c r="B64" s="13"/>
      <c r="C64" s="23"/>
    </row>
    <row r="65" spans="1:3" x14ac:dyDescent="0.25">
      <c r="A65" s="122"/>
      <c r="B65" s="13"/>
      <c r="C65" s="109"/>
    </row>
    <row r="66" spans="1:3" x14ac:dyDescent="0.25">
      <c r="A66" s="122"/>
      <c r="B66" s="13"/>
      <c r="C66" s="23"/>
    </row>
    <row r="67" spans="1:3" x14ac:dyDescent="0.25">
      <c r="A67" s="122"/>
      <c r="B67" s="13"/>
      <c r="C67" s="109"/>
    </row>
    <row r="68" spans="1:3" x14ac:dyDescent="0.25">
      <c r="A68" s="122"/>
      <c r="B68" s="13"/>
      <c r="C68" s="23"/>
    </row>
    <row r="69" spans="1:3" x14ac:dyDescent="0.25">
      <c r="A69" s="122"/>
      <c r="B69" s="13"/>
      <c r="C69" s="109"/>
    </row>
    <row r="70" spans="1:3" x14ac:dyDescent="0.25">
      <c r="A70" s="122"/>
      <c r="B70" s="13"/>
      <c r="C70" s="23"/>
    </row>
    <row r="71" spans="1:3" x14ac:dyDescent="0.25">
      <c r="A71" s="122"/>
      <c r="B71" s="13"/>
      <c r="C71" s="109"/>
    </row>
    <row r="72" spans="1:3" x14ac:dyDescent="0.25">
      <c r="A72" s="23"/>
      <c r="B72" s="13"/>
      <c r="C72" s="23"/>
    </row>
    <row r="73" spans="1:3" x14ac:dyDescent="0.25">
      <c r="A73" s="122"/>
      <c r="B73" s="13"/>
      <c r="C73" s="109"/>
    </row>
    <row r="74" spans="1:3" x14ac:dyDescent="0.25">
      <c r="A74" s="122"/>
      <c r="B74" s="13"/>
      <c r="C74" s="23"/>
    </row>
    <row r="75" spans="1:3" x14ac:dyDescent="0.25">
      <c r="A75" s="122"/>
      <c r="B75" s="13"/>
      <c r="C75" s="109"/>
    </row>
    <row r="76" spans="1:3" x14ac:dyDescent="0.25">
      <c r="A76" s="122"/>
      <c r="B76" s="13"/>
      <c r="C76" s="23"/>
    </row>
    <row r="77" spans="1:3" x14ac:dyDescent="0.25">
      <c r="A77" s="122"/>
      <c r="B77" s="13"/>
      <c r="C77" s="109"/>
    </row>
    <row r="78" spans="1:3" x14ac:dyDescent="0.25">
      <c r="A78" s="122"/>
      <c r="B78" s="13"/>
      <c r="C78" s="23"/>
    </row>
    <row r="79" spans="1:3" x14ac:dyDescent="0.25">
      <c r="A79" s="122"/>
      <c r="B79" s="13"/>
      <c r="C79" s="109"/>
    </row>
    <row r="80" spans="1:3" x14ac:dyDescent="0.25">
      <c r="A80" s="122"/>
      <c r="B80" s="13"/>
      <c r="C80" s="23"/>
    </row>
    <row r="81" spans="1:3" x14ac:dyDescent="0.25">
      <c r="A81" s="122"/>
      <c r="B81" s="13"/>
      <c r="C81" s="109"/>
    </row>
    <row r="82" spans="1:3" x14ac:dyDescent="0.25">
      <c r="A82" s="122"/>
      <c r="B82" s="13"/>
      <c r="C82" s="109"/>
    </row>
    <row r="83" spans="1:3" x14ac:dyDescent="0.25">
      <c r="A83" s="122"/>
      <c r="B83" s="13"/>
      <c r="C83" s="23"/>
    </row>
    <row r="84" spans="1:3" x14ac:dyDescent="0.25">
      <c r="A84" s="122"/>
      <c r="B84" s="13"/>
      <c r="C84" s="23"/>
    </row>
    <row r="85" spans="1:3" x14ac:dyDescent="0.25">
      <c r="A85" s="122"/>
      <c r="B85" s="13"/>
      <c r="C85" s="23"/>
    </row>
    <row r="86" spans="1:3" x14ac:dyDescent="0.25">
      <c r="A86" s="122"/>
      <c r="B86" s="13"/>
      <c r="C86" s="23"/>
    </row>
    <row r="87" spans="1:3" x14ac:dyDescent="0.25">
      <c r="A87" s="122"/>
      <c r="B87" s="13"/>
      <c r="C87" s="23"/>
    </row>
    <row r="88" spans="1:3" x14ac:dyDescent="0.25">
      <c r="A88" s="122"/>
      <c r="B88" s="13"/>
      <c r="C88" s="23"/>
    </row>
    <row r="89" spans="1:3" x14ac:dyDescent="0.25">
      <c r="A89" s="122"/>
      <c r="B89" s="13"/>
      <c r="C89" s="23"/>
    </row>
    <row r="90" spans="1:3" x14ac:dyDescent="0.25">
      <c r="A90" s="122"/>
      <c r="B90" s="13"/>
      <c r="C90" s="23"/>
    </row>
    <row r="91" spans="1:3" x14ac:dyDescent="0.25">
      <c r="A91" s="122"/>
      <c r="B91" s="13"/>
      <c r="C91" s="23"/>
    </row>
    <row r="92" spans="1:3" x14ac:dyDescent="0.25">
      <c r="A92" s="122"/>
      <c r="B92" s="13"/>
      <c r="C92" s="23"/>
    </row>
    <row r="93" spans="1:3" x14ac:dyDescent="0.25">
      <c r="A93" s="122"/>
      <c r="B93" s="13"/>
      <c r="C93" s="23"/>
    </row>
    <row r="94" spans="1:3" x14ac:dyDescent="0.25">
      <c r="A94" s="122"/>
      <c r="B94" s="13"/>
      <c r="C94" s="23"/>
    </row>
    <row r="95" spans="1:3" x14ac:dyDescent="0.25">
      <c r="A95" s="122"/>
      <c r="B95" s="13"/>
      <c r="C95" s="23"/>
    </row>
    <row r="96" spans="1:3" x14ac:dyDescent="0.25">
      <c r="A96" s="122"/>
      <c r="B96" s="13"/>
      <c r="C96" s="23"/>
    </row>
    <row r="97" spans="1:3" x14ac:dyDescent="0.25">
      <c r="A97" s="122"/>
      <c r="B97" s="13"/>
      <c r="C97" s="23"/>
    </row>
    <row r="98" spans="1:3" x14ac:dyDescent="0.25">
      <c r="A98" s="122"/>
      <c r="B98" s="13"/>
      <c r="C98" s="23"/>
    </row>
    <row r="99" spans="1:3" x14ac:dyDescent="0.25">
      <c r="A99" s="122"/>
      <c r="B99" s="13"/>
      <c r="C99" s="23"/>
    </row>
    <row r="100" spans="1:3" x14ac:dyDescent="0.25">
      <c r="A100" s="122"/>
      <c r="B100" s="13"/>
      <c r="C100" s="23"/>
    </row>
    <row r="101" spans="1:3" x14ac:dyDescent="0.25">
      <c r="A101" s="122"/>
      <c r="B101" s="13"/>
      <c r="C101" s="23"/>
    </row>
    <row r="102" spans="1:3" x14ac:dyDescent="0.25">
      <c r="A102" s="122"/>
      <c r="B102" s="13"/>
      <c r="C102" s="23"/>
    </row>
    <row r="103" spans="1:3" x14ac:dyDescent="0.25">
      <c r="A103" s="122"/>
      <c r="B103" s="13"/>
      <c r="C103" s="23"/>
    </row>
    <row r="104" spans="1:3" x14ac:dyDescent="0.25">
      <c r="A104" s="122"/>
      <c r="B104" s="156"/>
      <c r="C104" s="23"/>
    </row>
    <row r="105" spans="1:3" x14ac:dyDescent="0.25">
      <c r="A105" s="122"/>
      <c r="B105" s="13"/>
      <c r="C105" s="23"/>
    </row>
    <row r="106" spans="1:3" x14ac:dyDescent="0.25">
      <c r="A106" s="122"/>
      <c r="B106" s="13"/>
      <c r="C106" s="109"/>
    </row>
    <row r="107" spans="1:3" x14ac:dyDescent="0.25">
      <c r="A107" s="23"/>
      <c r="B107" s="13"/>
      <c r="C107" s="23"/>
    </row>
    <row r="108" spans="1:3" x14ac:dyDescent="0.25">
      <c r="A108" s="23"/>
      <c r="B108" s="13"/>
      <c r="C108" s="23"/>
    </row>
    <row r="109" spans="1:3" x14ac:dyDescent="0.25">
      <c r="A109" s="23"/>
      <c r="B109" s="13"/>
      <c r="C109" s="23"/>
    </row>
    <row r="110" spans="1:3" x14ac:dyDescent="0.25">
      <c r="A110" s="122"/>
      <c r="B110" s="13"/>
      <c r="C110" s="23"/>
    </row>
    <row r="111" spans="1:3" x14ac:dyDescent="0.25">
      <c r="A111" s="122"/>
      <c r="B111" s="13"/>
      <c r="C111" s="23"/>
    </row>
    <row r="112" spans="1:3" x14ac:dyDescent="0.25">
      <c r="A112" s="122"/>
      <c r="B112" s="13"/>
      <c r="C112" s="23"/>
    </row>
    <row r="113" spans="1:3" x14ac:dyDescent="0.25">
      <c r="A113" s="122"/>
      <c r="B113" s="13"/>
      <c r="C113" s="23"/>
    </row>
    <row r="114" spans="1:3" x14ac:dyDescent="0.25">
      <c r="A114" s="122"/>
      <c r="B114" s="13"/>
      <c r="C114" s="23"/>
    </row>
    <row r="115" spans="1:3" x14ac:dyDescent="0.25">
      <c r="A115" s="122"/>
      <c r="B115" s="13"/>
      <c r="C115" s="23"/>
    </row>
    <row r="116" spans="1:3" x14ac:dyDescent="0.25">
      <c r="A116" s="122"/>
      <c r="B116" s="13"/>
      <c r="C116" s="23"/>
    </row>
    <row r="117" spans="1:3" x14ac:dyDescent="0.25">
      <c r="A117" s="122"/>
      <c r="B117" s="13"/>
      <c r="C117" s="109"/>
    </row>
    <row r="118" spans="1:3" x14ac:dyDescent="0.25">
      <c r="A118" s="122"/>
      <c r="B118" s="137"/>
      <c r="C118" s="23"/>
    </row>
    <row r="119" spans="1:3" x14ac:dyDescent="0.25">
      <c r="A119" s="122"/>
      <c r="B119" s="13"/>
      <c r="C119" s="109"/>
    </row>
    <row r="120" spans="1:3" x14ac:dyDescent="0.25">
      <c r="A120" s="122"/>
      <c r="B120" s="13"/>
      <c r="C120" s="23"/>
    </row>
    <row r="121" spans="1:3" x14ac:dyDescent="0.25">
      <c r="A121" s="122"/>
      <c r="B121" s="13"/>
      <c r="C121" s="23"/>
    </row>
    <row r="122" spans="1:3" x14ac:dyDescent="0.25">
      <c r="A122" s="122"/>
      <c r="B122" s="13"/>
      <c r="C122" s="109"/>
    </row>
    <row r="123" spans="1:3" x14ac:dyDescent="0.25">
      <c r="A123" s="122"/>
      <c r="B123" s="13"/>
      <c r="C123" s="23"/>
    </row>
    <row r="124" spans="1:3" x14ac:dyDescent="0.25">
      <c r="A124" s="122"/>
      <c r="B124" s="13"/>
      <c r="C124" s="23"/>
    </row>
    <row r="125" spans="1:3" x14ac:dyDescent="0.25">
      <c r="C125" s="109"/>
    </row>
    <row r="126" spans="1:3" x14ac:dyDescent="0.25">
      <c r="C126" s="109"/>
    </row>
    <row r="127" spans="1:3" x14ac:dyDescent="0.25">
      <c r="C127" s="109"/>
    </row>
    <row r="128" spans="1:3" x14ac:dyDescent="0.25">
      <c r="C128" s="109"/>
    </row>
    <row r="129" spans="3:3" x14ac:dyDescent="0.25">
      <c r="C129" s="109"/>
    </row>
    <row r="130" spans="3:3" x14ac:dyDescent="0.25">
      <c r="C130" s="109"/>
    </row>
    <row r="131" spans="3:3" x14ac:dyDescent="0.25">
      <c r="C131" s="109"/>
    </row>
    <row r="132" spans="3:3" x14ac:dyDescent="0.25">
      <c r="C132" s="109"/>
    </row>
    <row r="133" spans="3:3" x14ac:dyDescent="0.25">
      <c r="C133" s="109"/>
    </row>
    <row r="134" spans="3:3" x14ac:dyDescent="0.25">
      <c r="C134" s="109"/>
    </row>
    <row r="135" spans="3:3" x14ac:dyDescent="0.25">
      <c r="C135" s="109"/>
    </row>
    <row r="136" spans="3:3" x14ac:dyDescent="0.25">
      <c r="C136" s="109"/>
    </row>
    <row r="137" spans="3:3" x14ac:dyDescent="0.25">
      <c r="C137" s="109"/>
    </row>
    <row r="138" spans="3:3" x14ac:dyDescent="0.25">
      <c r="C138" s="109"/>
    </row>
    <row r="139" spans="3:3" x14ac:dyDescent="0.25">
      <c r="C139" s="109"/>
    </row>
    <row r="140" spans="3:3" x14ac:dyDescent="0.25">
      <c r="C140" s="109"/>
    </row>
    <row r="141" spans="3:3" x14ac:dyDescent="0.25">
      <c r="C141" s="109"/>
    </row>
    <row r="142" spans="3:3" x14ac:dyDescent="0.25">
      <c r="C142" s="109"/>
    </row>
    <row r="143" spans="3:3" x14ac:dyDescent="0.25">
      <c r="C143" s="109"/>
    </row>
    <row r="144" spans="3:3" x14ac:dyDescent="0.25">
      <c r="C144" s="109"/>
    </row>
    <row r="145" spans="3:3" x14ac:dyDescent="0.25">
      <c r="C145" s="109"/>
    </row>
    <row r="146" spans="3:3" x14ac:dyDescent="0.25">
      <c r="C146" s="109"/>
    </row>
    <row r="147" spans="3:3" x14ac:dyDescent="0.25">
      <c r="C147" s="109"/>
    </row>
    <row r="148" spans="3:3" x14ac:dyDescent="0.25">
      <c r="C148" s="109"/>
    </row>
    <row r="149" spans="3:3" x14ac:dyDescent="0.25">
      <c r="C149" s="109"/>
    </row>
    <row r="150" spans="3:3" x14ac:dyDescent="0.25">
      <c r="C150" s="109"/>
    </row>
    <row r="151" spans="3:3" x14ac:dyDescent="0.25">
      <c r="C151" s="109"/>
    </row>
    <row r="152" spans="3:3" x14ac:dyDescent="0.25">
      <c r="C152" s="109"/>
    </row>
    <row r="153" spans="3:3" x14ac:dyDescent="0.25">
      <c r="C153" s="109"/>
    </row>
    <row r="154" spans="3:3" x14ac:dyDescent="0.25">
      <c r="C154" s="109"/>
    </row>
    <row r="155" spans="3:3" x14ac:dyDescent="0.25">
      <c r="C155" s="109"/>
    </row>
    <row r="156" spans="3:3" x14ac:dyDescent="0.25">
      <c r="C156" s="109"/>
    </row>
    <row r="157" spans="3:3" x14ac:dyDescent="0.25">
      <c r="C157" s="109"/>
    </row>
    <row r="158" spans="3:3" x14ac:dyDescent="0.25">
      <c r="C158" s="109"/>
    </row>
    <row r="159" spans="3:3" x14ac:dyDescent="0.25">
      <c r="C159" s="109"/>
    </row>
    <row r="160" spans="3:3" x14ac:dyDescent="0.25">
      <c r="C160" s="109"/>
    </row>
    <row r="161" spans="3:3" x14ac:dyDescent="0.25">
      <c r="C161" s="109"/>
    </row>
    <row r="162" spans="3:3" x14ac:dyDescent="0.25">
      <c r="C162" s="109"/>
    </row>
    <row r="163" spans="3:3" x14ac:dyDescent="0.25">
      <c r="C163" s="109"/>
    </row>
    <row r="164" spans="3:3" x14ac:dyDescent="0.25">
      <c r="C164" s="109"/>
    </row>
    <row r="165" spans="3:3" x14ac:dyDescent="0.25">
      <c r="C165" s="109"/>
    </row>
    <row r="166" spans="3:3" x14ac:dyDescent="0.25">
      <c r="C166" s="109"/>
    </row>
    <row r="167" spans="3:3" x14ac:dyDescent="0.25">
      <c r="C167" s="109"/>
    </row>
    <row r="168" spans="3:3" x14ac:dyDescent="0.25">
      <c r="C168" s="109"/>
    </row>
    <row r="169" spans="3:3" x14ac:dyDescent="0.25">
      <c r="C169" s="109"/>
    </row>
    <row r="170" spans="3:3" x14ac:dyDescent="0.25">
      <c r="C170" s="109"/>
    </row>
    <row r="171" spans="3:3" x14ac:dyDescent="0.25">
      <c r="C171" s="109"/>
    </row>
    <row r="172" spans="3:3" x14ac:dyDescent="0.25">
      <c r="C172" s="109"/>
    </row>
    <row r="173" spans="3:3" x14ac:dyDescent="0.25">
      <c r="C173" s="109"/>
    </row>
    <row r="174" spans="3:3" x14ac:dyDescent="0.25">
      <c r="C174" s="109"/>
    </row>
    <row r="175" spans="3:3" x14ac:dyDescent="0.25">
      <c r="C175" s="109"/>
    </row>
    <row r="176" spans="3:3" x14ac:dyDescent="0.25">
      <c r="C176" s="109"/>
    </row>
    <row r="177" spans="3:3" x14ac:dyDescent="0.25">
      <c r="C177" s="109"/>
    </row>
    <row r="178" spans="3:3" x14ac:dyDescent="0.25">
      <c r="C178" s="109"/>
    </row>
    <row r="179" spans="3:3" x14ac:dyDescent="0.25">
      <c r="C179" s="109"/>
    </row>
    <row r="180" spans="3:3" x14ac:dyDescent="0.25">
      <c r="C180" s="109"/>
    </row>
    <row r="181" spans="3:3" x14ac:dyDescent="0.25">
      <c r="C181" s="109"/>
    </row>
    <row r="182" spans="3:3" x14ac:dyDescent="0.25">
      <c r="C182" s="109"/>
    </row>
    <row r="183" spans="3:3" x14ac:dyDescent="0.25">
      <c r="C183" s="109"/>
    </row>
    <row r="184" spans="3:3" x14ac:dyDescent="0.25">
      <c r="C184" s="109"/>
    </row>
  </sheetData>
  <mergeCells count="2">
    <mergeCell ref="A2:D2"/>
    <mergeCell ref="A1:D1"/>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1">
    <tabColor rgb="FF00B0F0"/>
  </sheetPr>
  <dimension ref="A1:K187"/>
  <sheetViews>
    <sheetView view="pageBreakPreview" zoomScaleNormal="100" zoomScaleSheetLayoutView="100" workbookViewId="0">
      <selection activeCell="F2" sqref="F2"/>
    </sheetView>
  </sheetViews>
  <sheetFormatPr defaultRowHeight="15.75" x14ac:dyDescent="0.25"/>
  <cols>
    <col min="1" max="1" width="10" style="112" customWidth="1"/>
    <col min="2" max="2" width="55.7109375" style="30" customWidth="1"/>
    <col min="3" max="3" width="9.7109375" style="118" customWidth="1"/>
    <col min="4" max="4" width="11.7109375" style="6" customWidth="1"/>
    <col min="5" max="16384" width="9.140625" style="6"/>
  </cols>
  <sheetData>
    <row r="1" spans="1:11" s="14" customFormat="1" ht="30" x14ac:dyDescent="0.2">
      <c r="A1" s="282" t="s">
        <v>6480</v>
      </c>
      <c r="B1" s="282"/>
      <c r="C1" s="282"/>
      <c r="D1" s="282"/>
      <c r="E1" s="174"/>
      <c r="F1" s="174"/>
      <c r="G1" s="174"/>
      <c r="H1" s="174"/>
      <c r="I1" s="174"/>
      <c r="J1" s="174"/>
      <c r="K1" s="174"/>
    </row>
    <row r="2" spans="1:11" s="14" customFormat="1" ht="25.5" customHeight="1" x14ac:dyDescent="0.2">
      <c r="A2" s="283" t="s">
        <v>6481</v>
      </c>
      <c r="B2" s="283"/>
      <c r="C2" s="283"/>
      <c r="D2" s="283"/>
      <c r="E2" s="225"/>
      <c r="F2" s="225"/>
      <c r="G2" s="225"/>
      <c r="H2" s="225"/>
      <c r="I2" s="225"/>
      <c r="J2" s="225"/>
      <c r="K2" s="225"/>
    </row>
    <row r="4" spans="1:11" x14ac:dyDescent="0.25">
      <c r="A4" s="19" t="s">
        <v>6262</v>
      </c>
      <c r="B4" s="281" t="s">
        <v>21</v>
      </c>
      <c r="C4" s="281"/>
    </row>
    <row r="5" spans="1:11" x14ac:dyDescent="0.25">
      <c r="D5" s="138"/>
      <c r="E5" s="138"/>
      <c r="F5" s="138"/>
      <c r="G5" s="138"/>
      <c r="H5" s="138"/>
      <c r="I5" s="138"/>
      <c r="J5" s="138"/>
    </row>
    <row r="6" spans="1:11" ht="31.5" x14ac:dyDescent="0.25">
      <c r="A6" s="55" t="s">
        <v>6402</v>
      </c>
      <c r="B6" s="55" t="s">
        <v>2434</v>
      </c>
      <c r="C6" s="55" t="s">
        <v>2435</v>
      </c>
      <c r="D6" s="172" t="s">
        <v>18</v>
      </c>
      <c r="E6" s="112"/>
      <c r="F6" s="112"/>
      <c r="G6" s="112"/>
      <c r="H6" s="112"/>
      <c r="J6" s="112"/>
    </row>
    <row r="7" spans="1:11" x14ac:dyDescent="0.25">
      <c r="A7" s="55">
        <v>1</v>
      </c>
      <c r="B7" s="55">
        <v>2</v>
      </c>
      <c r="C7" s="55">
        <v>3</v>
      </c>
      <c r="D7" s="45">
        <v>4</v>
      </c>
      <c r="E7" s="112"/>
      <c r="F7" s="112"/>
      <c r="G7" s="112"/>
      <c r="H7" s="112"/>
      <c r="J7" s="112"/>
    </row>
    <row r="8" spans="1:11" x14ac:dyDescent="0.25">
      <c r="A8" s="117"/>
      <c r="B8" s="117"/>
      <c r="C8" s="117"/>
      <c r="D8" s="121"/>
      <c r="E8" s="112"/>
      <c r="F8" s="112"/>
      <c r="G8" s="112"/>
      <c r="H8" s="112"/>
      <c r="J8" s="112"/>
    </row>
    <row r="9" spans="1:11" ht="94.5" x14ac:dyDescent="0.25">
      <c r="A9" s="3">
        <v>3.1</v>
      </c>
      <c r="B9" s="13" t="s">
        <v>5238</v>
      </c>
      <c r="C9" s="3"/>
      <c r="D9" s="5"/>
      <c r="E9" s="138"/>
      <c r="F9" s="138"/>
      <c r="G9" s="138"/>
      <c r="H9" s="138"/>
      <c r="I9" s="138"/>
      <c r="J9" s="138"/>
    </row>
    <row r="10" spans="1:11" x14ac:dyDescent="0.25">
      <c r="A10" s="3" t="s">
        <v>2587</v>
      </c>
      <c r="B10" s="13" t="s">
        <v>5239</v>
      </c>
      <c r="C10" s="3" t="s">
        <v>5221</v>
      </c>
      <c r="D10" s="101">
        <v>3000</v>
      </c>
      <c r="E10" s="8"/>
      <c r="F10" s="138"/>
      <c r="G10" s="138"/>
      <c r="H10" s="138"/>
      <c r="I10" s="138"/>
      <c r="J10" s="138"/>
    </row>
    <row r="11" spans="1:11" x14ac:dyDescent="0.25">
      <c r="A11" s="3" t="s">
        <v>2588</v>
      </c>
      <c r="B11" s="13" t="s">
        <v>5240</v>
      </c>
      <c r="C11" s="3" t="s">
        <v>5226</v>
      </c>
      <c r="D11" s="101">
        <v>5500</v>
      </c>
      <c r="E11" s="8"/>
      <c r="F11" s="138"/>
      <c r="G11" s="138"/>
      <c r="H11" s="138"/>
      <c r="I11" s="138"/>
      <c r="J11" s="138"/>
    </row>
    <row r="12" spans="1:11" x14ac:dyDescent="0.25">
      <c r="A12" s="3" t="s">
        <v>2589</v>
      </c>
      <c r="B12" s="13" t="s">
        <v>5589</v>
      </c>
      <c r="C12" s="3" t="s">
        <v>5221</v>
      </c>
      <c r="D12" s="10">
        <v>6600</v>
      </c>
      <c r="E12" s="8"/>
      <c r="F12" s="138"/>
      <c r="G12" s="138"/>
      <c r="H12" s="138"/>
      <c r="I12" s="138"/>
      <c r="J12" s="138"/>
    </row>
    <row r="13" spans="1:11" s="176" customFormat="1" ht="47.25" x14ac:dyDescent="0.25">
      <c r="A13" s="3" t="s">
        <v>2590</v>
      </c>
      <c r="B13" s="13" t="s">
        <v>5957</v>
      </c>
      <c r="C13" s="3" t="s">
        <v>4112</v>
      </c>
      <c r="D13" s="10">
        <v>250</v>
      </c>
      <c r="E13" s="175"/>
      <c r="F13" s="177"/>
      <c r="G13" s="177"/>
      <c r="H13" s="177"/>
      <c r="I13" s="177"/>
      <c r="J13" s="177"/>
    </row>
    <row r="14" spans="1:11" s="176" customFormat="1" ht="31.5" x14ac:dyDescent="0.25">
      <c r="A14" s="3" t="s">
        <v>2591</v>
      </c>
      <c r="B14" s="13" t="s">
        <v>5958</v>
      </c>
      <c r="C14" s="3" t="s">
        <v>4112</v>
      </c>
      <c r="D14" s="10">
        <v>400</v>
      </c>
      <c r="E14" s="175"/>
      <c r="F14" s="177"/>
      <c r="G14" s="177"/>
      <c r="H14" s="177"/>
      <c r="I14" s="177"/>
      <c r="J14" s="177"/>
    </row>
    <row r="15" spans="1:11" s="176" customFormat="1" ht="31.5" x14ac:dyDescent="0.25">
      <c r="A15" s="3" t="s">
        <v>2592</v>
      </c>
      <c r="B15" s="13" t="s">
        <v>5959</v>
      </c>
      <c r="C15" s="3" t="s">
        <v>2439</v>
      </c>
      <c r="D15" s="10">
        <v>250</v>
      </c>
      <c r="E15" s="175"/>
      <c r="F15" s="177"/>
      <c r="G15" s="177"/>
      <c r="H15" s="177"/>
      <c r="I15" s="177"/>
      <c r="J15" s="177"/>
    </row>
    <row r="16" spans="1:11" s="176" customFormat="1" x14ac:dyDescent="0.25">
      <c r="A16" s="3"/>
      <c r="B16" s="13"/>
      <c r="C16" s="3"/>
      <c r="D16" s="10"/>
      <c r="E16" s="175"/>
      <c r="F16" s="177"/>
      <c r="G16" s="177"/>
      <c r="H16" s="177"/>
      <c r="I16" s="177"/>
      <c r="J16" s="177"/>
    </row>
    <row r="17" spans="1:10" ht="94.5" x14ac:dyDescent="0.25">
      <c r="A17" s="3">
        <v>3.2</v>
      </c>
      <c r="B17" s="13" t="s">
        <v>6326</v>
      </c>
      <c r="C17" s="3" t="s">
        <v>5226</v>
      </c>
      <c r="D17" s="10">
        <v>4500</v>
      </c>
      <c r="E17" s="8"/>
      <c r="F17" s="138"/>
      <c r="G17" s="138"/>
      <c r="H17" s="138"/>
      <c r="I17" s="138"/>
      <c r="J17" s="138"/>
    </row>
    <row r="18" spans="1:10" x14ac:dyDescent="0.25">
      <c r="A18" s="3"/>
      <c r="B18" s="13"/>
      <c r="C18" s="3"/>
      <c r="D18" s="10"/>
      <c r="E18" s="8"/>
      <c r="F18" s="138"/>
      <c r="G18" s="138"/>
      <c r="H18" s="138"/>
      <c r="I18" s="138"/>
      <c r="J18" s="138"/>
    </row>
    <row r="19" spans="1:10" ht="31.5" x14ac:dyDescent="0.25">
      <c r="A19" s="3">
        <v>3.3</v>
      </c>
      <c r="B19" s="13" t="s">
        <v>5590</v>
      </c>
      <c r="C19" s="3" t="s">
        <v>5241</v>
      </c>
      <c r="D19" s="10">
        <v>30</v>
      </c>
      <c r="E19" s="8"/>
      <c r="F19" s="138"/>
      <c r="G19" s="138"/>
      <c r="H19" s="138"/>
      <c r="I19" s="138"/>
      <c r="J19" s="138"/>
    </row>
    <row r="20" spans="1:10" x14ac:dyDescent="0.25">
      <c r="A20" s="3"/>
      <c r="B20" s="13"/>
      <c r="C20" s="3"/>
      <c r="D20" s="10"/>
      <c r="E20" s="8"/>
      <c r="F20" s="138"/>
      <c r="G20" s="138"/>
      <c r="H20" s="138"/>
      <c r="I20" s="138"/>
      <c r="J20" s="138"/>
    </row>
    <row r="21" spans="1:10" x14ac:dyDescent="0.25">
      <c r="A21" s="3">
        <v>3.4</v>
      </c>
      <c r="B21" s="13" t="s">
        <v>5242</v>
      </c>
      <c r="C21" s="3" t="s">
        <v>5221</v>
      </c>
      <c r="D21" s="10">
        <v>456</v>
      </c>
      <c r="E21" s="8"/>
      <c r="F21" s="138"/>
      <c r="G21" s="138"/>
      <c r="H21" s="138"/>
      <c r="I21" s="138"/>
      <c r="J21" s="138"/>
    </row>
    <row r="22" spans="1:10" x14ac:dyDescent="0.25">
      <c r="A22" s="23"/>
      <c r="B22" s="13"/>
      <c r="C22" s="133"/>
    </row>
    <row r="23" spans="1:10" x14ac:dyDescent="0.25">
      <c r="A23" s="122"/>
      <c r="B23" s="13"/>
      <c r="C23" s="133"/>
    </row>
    <row r="24" spans="1:10" x14ac:dyDescent="0.25">
      <c r="A24" s="23"/>
      <c r="B24" s="13"/>
      <c r="C24" s="133"/>
    </row>
    <row r="25" spans="1:10" x14ac:dyDescent="0.25">
      <c r="A25" s="122"/>
      <c r="B25" s="13"/>
      <c r="C25" s="133"/>
    </row>
    <row r="26" spans="1:10" x14ac:dyDescent="0.25">
      <c r="A26" s="23"/>
      <c r="B26" s="13"/>
      <c r="C26" s="133"/>
    </row>
    <row r="27" spans="1:10" x14ac:dyDescent="0.25">
      <c r="A27" s="122"/>
      <c r="B27" s="13"/>
      <c r="C27" s="133"/>
    </row>
    <row r="28" spans="1:10" x14ac:dyDescent="0.25">
      <c r="A28" s="122"/>
      <c r="B28" s="13"/>
      <c r="C28" s="132"/>
    </row>
    <row r="29" spans="1:10" x14ac:dyDescent="0.25">
      <c r="A29" s="122"/>
      <c r="B29" s="13"/>
      <c r="C29" s="133"/>
    </row>
    <row r="30" spans="1:10" x14ac:dyDescent="0.25">
      <c r="A30" s="122"/>
      <c r="B30" s="13"/>
      <c r="C30" s="133"/>
    </row>
    <row r="31" spans="1:10" x14ac:dyDescent="0.25">
      <c r="A31" s="122"/>
      <c r="B31" s="13"/>
      <c r="C31" s="133"/>
    </row>
    <row r="32" spans="1:10" x14ac:dyDescent="0.25">
      <c r="A32" s="122"/>
      <c r="B32" s="13"/>
      <c r="C32" s="133"/>
    </row>
    <row r="33" spans="1:3" x14ac:dyDescent="0.25">
      <c r="A33" s="122"/>
      <c r="B33" s="13"/>
      <c r="C33" s="133"/>
    </row>
    <row r="34" spans="1:3" x14ac:dyDescent="0.25">
      <c r="A34" s="122"/>
      <c r="B34" s="13"/>
      <c r="C34" s="133"/>
    </row>
    <row r="35" spans="1:3" x14ac:dyDescent="0.25">
      <c r="A35" s="122"/>
      <c r="B35" s="13"/>
      <c r="C35" s="133"/>
    </row>
    <row r="36" spans="1:3" x14ac:dyDescent="0.25">
      <c r="A36" s="122"/>
      <c r="B36" s="13"/>
      <c r="C36" s="133"/>
    </row>
    <row r="37" spans="1:3" x14ac:dyDescent="0.25">
      <c r="A37" s="122"/>
      <c r="B37" s="13"/>
      <c r="C37" s="132"/>
    </row>
    <row r="38" spans="1:3" x14ac:dyDescent="0.25">
      <c r="A38" s="122"/>
      <c r="B38" s="13"/>
      <c r="C38" s="133"/>
    </row>
    <row r="39" spans="1:3" x14ac:dyDescent="0.25">
      <c r="A39" s="122"/>
      <c r="B39" s="13"/>
      <c r="C39" s="133"/>
    </row>
    <row r="40" spans="1:3" x14ac:dyDescent="0.25">
      <c r="A40" s="122"/>
      <c r="B40" s="13"/>
      <c r="C40" s="133"/>
    </row>
    <row r="41" spans="1:3" x14ac:dyDescent="0.25">
      <c r="A41" s="122"/>
      <c r="B41" s="13"/>
      <c r="C41" s="133"/>
    </row>
    <row r="42" spans="1:3" x14ac:dyDescent="0.25">
      <c r="A42" s="122"/>
      <c r="B42" s="13"/>
      <c r="C42" s="133"/>
    </row>
    <row r="43" spans="1:3" x14ac:dyDescent="0.25">
      <c r="A43" s="122"/>
      <c r="B43" s="13"/>
      <c r="C43" s="133"/>
    </row>
    <row r="44" spans="1:3" x14ac:dyDescent="0.25">
      <c r="A44" s="122"/>
      <c r="B44" s="13"/>
      <c r="C44" s="133"/>
    </row>
    <row r="45" spans="1:3" x14ac:dyDescent="0.25">
      <c r="A45" s="122"/>
      <c r="B45" s="13"/>
      <c r="C45" s="133"/>
    </row>
    <row r="46" spans="1:3" x14ac:dyDescent="0.25">
      <c r="A46" s="122"/>
      <c r="B46" s="13"/>
      <c r="C46" s="133"/>
    </row>
    <row r="47" spans="1:3" x14ac:dyDescent="0.25">
      <c r="A47" s="122"/>
      <c r="B47" s="13"/>
      <c r="C47" s="133"/>
    </row>
    <row r="48" spans="1:3" x14ac:dyDescent="0.25">
      <c r="A48" s="122"/>
      <c r="B48" s="13"/>
      <c r="C48" s="133"/>
    </row>
    <row r="49" spans="1:3" x14ac:dyDescent="0.25">
      <c r="A49" s="122"/>
      <c r="B49" s="13"/>
      <c r="C49" s="133"/>
    </row>
    <row r="50" spans="1:3" x14ac:dyDescent="0.25">
      <c r="A50" s="122"/>
      <c r="B50" s="13"/>
      <c r="C50" s="133"/>
    </row>
    <row r="51" spans="1:3" x14ac:dyDescent="0.25">
      <c r="A51" s="122"/>
      <c r="B51" s="13"/>
      <c r="C51" s="132"/>
    </row>
    <row r="52" spans="1:3" x14ac:dyDescent="0.25">
      <c r="A52" s="122"/>
      <c r="B52" s="13"/>
      <c r="C52" s="133"/>
    </row>
    <row r="53" spans="1:3" x14ac:dyDescent="0.25">
      <c r="A53" s="122"/>
      <c r="B53" s="13"/>
      <c r="C53" s="133"/>
    </row>
    <row r="54" spans="1:3" x14ac:dyDescent="0.25">
      <c r="A54" s="122"/>
      <c r="B54" s="13"/>
      <c r="C54" s="133"/>
    </row>
    <row r="55" spans="1:3" x14ac:dyDescent="0.25">
      <c r="A55" s="122"/>
      <c r="B55" s="13"/>
      <c r="C55" s="133"/>
    </row>
    <row r="56" spans="1:3" x14ac:dyDescent="0.25">
      <c r="A56" s="122"/>
      <c r="B56" s="13"/>
      <c r="C56" s="133"/>
    </row>
    <row r="57" spans="1:3" x14ac:dyDescent="0.25">
      <c r="A57" s="122"/>
      <c r="B57" s="13"/>
      <c r="C57" s="133"/>
    </row>
    <row r="58" spans="1:3" x14ac:dyDescent="0.25">
      <c r="A58" s="122"/>
      <c r="B58" s="13"/>
      <c r="C58" s="132"/>
    </row>
    <row r="59" spans="1:3" x14ac:dyDescent="0.25">
      <c r="A59" s="122"/>
      <c r="B59" s="13"/>
      <c r="C59" s="133"/>
    </row>
    <row r="60" spans="1:3" x14ac:dyDescent="0.25">
      <c r="A60" s="122"/>
      <c r="B60" s="13"/>
      <c r="C60" s="132"/>
    </row>
    <row r="61" spans="1:3" x14ac:dyDescent="0.25">
      <c r="A61" s="122"/>
      <c r="B61" s="13"/>
      <c r="C61" s="133"/>
    </row>
    <row r="62" spans="1:3" x14ac:dyDescent="0.25">
      <c r="A62" s="122"/>
      <c r="B62" s="13"/>
      <c r="C62" s="132"/>
    </row>
    <row r="63" spans="1:3" x14ac:dyDescent="0.25">
      <c r="A63" s="122"/>
      <c r="B63" s="13"/>
      <c r="C63" s="133"/>
    </row>
    <row r="64" spans="1:3" x14ac:dyDescent="0.25">
      <c r="A64" s="122"/>
      <c r="B64" s="13"/>
      <c r="C64" s="132"/>
    </row>
    <row r="65" spans="1:3" x14ac:dyDescent="0.25">
      <c r="A65" s="122"/>
      <c r="B65" s="13"/>
      <c r="C65" s="133"/>
    </row>
    <row r="66" spans="1:3" x14ac:dyDescent="0.25">
      <c r="A66" s="122"/>
      <c r="B66" s="13"/>
      <c r="C66" s="132"/>
    </row>
    <row r="67" spans="1:3" x14ac:dyDescent="0.25">
      <c r="A67" s="122"/>
      <c r="B67" s="13"/>
      <c r="C67" s="133"/>
    </row>
    <row r="68" spans="1:3" x14ac:dyDescent="0.25">
      <c r="A68" s="122"/>
      <c r="B68" s="13"/>
      <c r="C68" s="132"/>
    </row>
    <row r="69" spans="1:3" x14ac:dyDescent="0.25">
      <c r="A69" s="122"/>
      <c r="B69" s="13"/>
      <c r="C69" s="133"/>
    </row>
    <row r="70" spans="1:3" x14ac:dyDescent="0.25">
      <c r="A70" s="122"/>
      <c r="B70" s="13"/>
      <c r="C70" s="132"/>
    </row>
    <row r="71" spans="1:3" x14ac:dyDescent="0.25">
      <c r="A71" s="122"/>
      <c r="B71" s="13"/>
      <c r="C71" s="133"/>
    </row>
    <row r="72" spans="1:3" x14ac:dyDescent="0.25">
      <c r="A72" s="122"/>
      <c r="B72" s="13"/>
      <c r="C72" s="132"/>
    </row>
    <row r="73" spans="1:3" x14ac:dyDescent="0.25">
      <c r="A73" s="122"/>
      <c r="B73" s="13"/>
      <c r="C73" s="133"/>
    </row>
    <row r="74" spans="1:3" x14ac:dyDescent="0.25">
      <c r="A74" s="122"/>
      <c r="B74" s="13"/>
      <c r="C74" s="132"/>
    </row>
    <row r="75" spans="1:3" x14ac:dyDescent="0.25">
      <c r="A75" s="23"/>
      <c r="B75" s="13"/>
      <c r="C75" s="133"/>
    </row>
    <row r="76" spans="1:3" x14ac:dyDescent="0.25">
      <c r="A76" s="122"/>
      <c r="B76" s="13"/>
      <c r="C76" s="132"/>
    </row>
    <row r="77" spans="1:3" x14ac:dyDescent="0.25">
      <c r="A77" s="122"/>
      <c r="B77" s="13"/>
      <c r="C77" s="133"/>
    </row>
    <row r="78" spans="1:3" x14ac:dyDescent="0.25">
      <c r="A78" s="122"/>
      <c r="B78" s="13"/>
      <c r="C78" s="132"/>
    </row>
    <row r="79" spans="1:3" x14ac:dyDescent="0.25">
      <c r="A79" s="122"/>
      <c r="B79" s="13"/>
      <c r="C79" s="133"/>
    </row>
    <row r="80" spans="1:3" x14ac:dyDescent="0.25">
      <c r="A80" s="122"/>
      <c r="B80" s="13"/>
      <c r="C80" s="132"/>
    </row>
    <row r="81" spans="1:3" x14ac:dyDescent="0.25">
      <c r="A81" s="122"/>
      <c r="B81" s="13"/>
      <c r="C81" s="133"/>
    </row>
    <row r="82" spans="1:3" x14ac:dyDescent="0.25">
      <c r="A82" s="122"/>
      <c r="B82" s="13"/>
      <c r="C82" s="132"/>
    </row>
    <row r="83" spans="1:3" x14ac:dyDescent="0.25">
      <c r="A83" s="122"/>
      <c r="B83" s="13"/>
      <c r="C83" s="133"/>
    </row>
    <row r="84" spans="1:3" x14ac:dyDescent="0.25">
      <c r="A84" s="122"/>
      <c r="B84" s="13"/>
      <c r="C84" s="132"/>
    </row>
    <row r="85" spans="1:3" x14ac:dyDescent="0.25">
      <c r="A85" s="122"/>
      <c r="B85" s="13"/>
      <c r="C85" s="132"/>
    </row>
    <row r="86" spans="1:3" x14ac:dyDescent="0.25">
      <c r="A86" s="122"/>
      <c r="B86" s="13"/>
      <c r="C86" s="133"/>
    </row>
    <row r="87" spans="1:3" x14ac:dyDescent="0.25">
      <c r="A87" s="122"/>
      <c r="B87" s="13"/>
      <c r="C87" s="133"/>
    </row>
    <row r="88" spans="1:3" x14ac:dyDescent="0.25">
      <c r="A88" s="122"/>
      <c r="B88" s="13"/>
      <c r="C88" s="133"/>
    </row>
    <row r="89" spans="1:3" x14ac:dyDescent="0.25">
      <c r="A89" s="122"/>
      <c r="B89" s="13"/>
      <c r="C89" s="133"/>
    </row>
    <row r="90" spans="1:3" x14ac:dyDescent="0.25">
      <c r="A90" s="122"/>
      <c r="B90" s="13"/>
      <c r="C90" s="133"/>
    </row>
    <row r="91" spans="1:3" x14ac:dyDescent="0.25">
      <c r="A91" s="122"/>
      <c r="B91" s="13"/>
      <c r="C91" s="133"/>
    </row>
    <row r="92" spans="1:3" x14ac:dyDescent="0.25">
      <c r="A92" s="122"/>
      <c r="B92" s="13"/>
      <c r="C92" s="133"/>
    </row>
    <row r="93" spans="1:3" x14ac:dyDescent="0.25">
      <c r="A93" s="122"/>
      <c r="B93" s="13"/>
      <c r="C93" s="133"/>
    </row>
    <row r="94" spans="1:3" x14ac:dyDescent="0.25">
      <c r="A94" s="122"/>
      <c r="B94" s="13"/>
      <c r="C94" s="133"/>
    </row>
    <row r="95" spans="1:3" x14ac:dyDescent="0.25">
      <c r="A95" s="122"/>
      <c r="B95" s="13"/>
      <c r="C95" s="133"/>
    </row>
    <row r="96" spans="1:3" x14ac:dyDescent="0.25">
      <c r="A96" s="122"/>
      <c r="B96" s="13"/>
      <c r="C96" s="133"/>
    </row>
    <row r="97" spans="1:3" x14ac:dyDescent="0.25">
      <c r="A97" s="122"/>
      <c r="B97" s="13"/>
      <c r="C97" s="133"/>
    </row>
    <row r="98" spans="1:3" x14ac:dyDescent="0.25">
      <c r="A98" s="122"/>
      <c r="B98" s="13"/>
      <c r="C98" s="133"/>
    </row>
    <row r="99" spans="1:3" x14ac:dyDescent="0.25">
      <c r="A99" s="122"/>
      <c r="B99" s="13"/>
      <c r="C99" s="133"/>
    </row>
    <row r="100" spans="1:3" x14ac:dyDescent="0.25">
      <c r="A100" s="122"/>
      <c r="B100" s="13"/>
      <c r="C100" s="133"/>
    </row>
    <row r="101" spans="1:3" x14ac:dyDescent="0.25">
      <c r="A101" s="122"/>
      <c r="B101" s="13"/>
      <c r="C101" s="133"/>
    </row>
    <row r="102" spans="1:3" x14ac:dyDescent="0.25">
      <c r="A102" s="122"/>
      <c r="B102" s="13"/>
      <c r="C102" s="133"/>
    </row>
    <row r="103" spans="1:3" x14ac:dyDescent="0.25">
      <c r="A103" s="122"/>
      <c r="B103" s="13"/>
      <c r="C103" s="133"/>
    </row>
    <row r="104" spans="1:3" x14ac:dyDescent="0.25">
      <c r="A104" s="122"/>
      <c r="B104" s="13"/>
      <c r="C104" s="133"/>
    </row>
    <row r="105" spans="1:3" x14ac:dyDescent="0.25">
      <c r="A105" s="122"/>
      <c r="B105" s="13"/>
      <c r="C105" s="133"/>
    </row>
    <row r="106" spans="1:3" x14ac:dyDescent="0.25">
      <c r="A106" s="122"/>
      <c r="B106" s="13"/>
      <c r="C106" s="133"/>
    </row>
    <row r="107" spans="1:3" x14ac:dyDescent="0.25">
      <c r="A107" s="122"/>
      <c r="B107" s="157"/>
      <c r="C107" s="133"/>
    </row>
    <row r="108" spans="1:3" x14ac:dyDescent="0.25">
      <c r="A108" s="122"/>
      <c r="B108" s="13"/>
      <c r="C108" s="133"/>
    </row>
    <row r="109" spans="1:3" x14ac:dyDescent="0.25">
      <c r="A109" s="122"/>
      <c r="B109" s="13"/>
      <c r="C109" s="132"/>
    </row>
    <row r="110" spans="1:3" x14ac:dyDescent="0.25">
      <c r="A110" s="23"/>
      <c r="B110" s="13"/>
      <c r="C110" s="133"/>
    </row>
    <row r="111" spans="1:3" x14ac:dyDescent="0.25">
      <c r="A111" s="23"/>
      <c r="B111" s="13"/>
      <c r="C111" s="133"/>
    </row>
    <row r="112" spans="1:3" x14ac:dyDescent="0.25">
      <c r="A112" s="23"/>
      <c r="B112" s="13"/>
      <c r="C112" s="133"/>
    </row>
    <row r="113" spans="1:3" x14ac:dyDescent="0.25">
      <c r="A113" s="122"/>
      <c r="B113" s="13"/>
      <c r="C113" s="133"/>
    </row>
    <row r="114" spans="1:3" x14ac:dyDescent="0.25">
      <c r="A114" s="122"/>
      <c r="B114" s="13"/>
      <c r="C114" s="133"/>
    </row>
    <row r="115" spans="1:3" x14ac:dyDescent="0.25">
      <c r="A115" s="122"/>
      <c r="B115" s="13"/>
      <c r="C115" s="133"/>
    </row>
    <row r="116" spans="1:3" x14ac:dyDescent="0.25">
      <c r="A116" s="122"/>
      <c r="B116" s="13"/>
      <c r="C116" s="133"/>
    </row>
    <row r="117" spans="1:3" x14ac:dyDescent="0.25">
      <c r="A117" s="122"/>
      <c r="B117" s="13"/>
      <c r="C117" s="133"/>
    </row>
    <row r="118" spans="1:3" x14ac:dyDescent="0.25">
      <c r="A118" s="122"/>
      <c r="B118" s="13"/>
      <c r="C118" s="133"/>
    </row>
    <row r="119" spans="1:3" x14ac:dyDescent="0.25">
      <c r="A119" s="122"/>
      <c r="B119" s="13"/>
      <c r="C119" s="133"/>
    </row>
    <row r="120" spans="1:3" x14ac:dyDescent="0.25">
      <c r="A120" s="122"/>
      <c r="B120" s="13"/>
      <c r="C120" s="132"/>
    </row>
    <row r="121" spans="1:3" x14ac:dyDescent="0.25">
      <c r="A121" s="122"/>
      <c r="B121" s="137"/>
      <c r="C121" s="133"/>
    </row>
    <row r="122" spans="1:3" x14ac:dyDescent="0.25">
      <c r="A122" s="122"/>
      <c r="B122" s="13"/>
      <c r="C122" s="132"/>
    </row>
    <row r="123" spans="1:3" x14ac:dyDescent="0.25">
      <c r="A123" s="122"/>
      <c r="B123" s="13"/>
      <c r="C123" s="133"/>
    </row>
    <row r="124" spans="1:3" x14ac:dyDescent="0.25">
      <c r="A124" s="122"/>
      <c r="B124" s="13"/>
      <c r="C124" s="133"/>
    </row>
    <row r="125" spans="1:3" x14ac:dyDescent="0.25">
      <c r="A125" s="122"/>
      <c r="B125" s="13"/>
      <c r="C125" s="132"/>
    </row>
    <row r="126" spans="1:3" x14ac:dyDescent="0.25">
      <c r="A126" s="122"/>
      <c r="B126" s="13"/>
      <c r="C126" s="133"/>
    </row>
    <row r="127" spans="1:3" x14ac:dyDescent="0.25">
      <c r="A127" s="122"/>
      <c r="B127" s="13"/>
      <c r="C127" s="133"/>
    </row>
    <row r="128" spans="1:3" x14ac:dyDescent="0.25">
      <c r="C128" s="132"/>
    </row>
    <row r="129" spans="3:3" x14ac:dyDescent="0.25">
      <c r="C129" s="132"/>
    </row>
    <row r="130" spans="3:3" x14ac:dyDescent="0.25">
      <c r="C130" s="132"/>
    </row>
    <row r="131" spans="3:3" x14ac:dyDescent="0.25">
      <c r="C131" s="132"/>
    </row>
    <row r="132" spans="3:3" x14ac:dyDescent="0.25">
      <c r="C132" s="132"/>
    </row>
    <row r="133" spans="3:3" x14ac:dyDescent="0.25">
      <c r="C133" s="132"/>
    </row>
    <row r="134" spans="3:3" x14ac:dyDescent="0.25">
      <c r="C134" s="132"/>
    </row>
    <row r="135" spans="3:3" x14ac:dyDescent="0.25">
      <c r="C135" s="132"/>
    </row>
    <row r="136" spans="3:3" x14ac:dyDescent="0.25">
      <c r="C136" s="132"/>
    </row>
    <row r="137" spans="3:3" x14ac:dyDescent="0.25">
      <c r="C137" s="132"/>
    </row>
    <row r="138" spans="3:3" x14ac:dyDescent="0.25">
      <c r="C138" s="132"/>
    </row>
    <row r="139" spans="3:3" x14ac:dyDescent="0.25">
      <c r="C139" s="132"/>
    </row>
    <row r="140" spans="3:3" x14ac:dyDescent="0.25">
      <c r="C140" s="132"/>
    </row>
    <row r="141" spans="3:3" x14ac:dyDescent="0.25">
      <c r="C141" s="132"/>
    </row>
    <row r="142" spans="3:3" x14ac:dyDescent="0.25">
      <c r="C142" s="132"/>
    </row>
    <row r="143" spans="3:3" x14ac:dyDescent="0.25">
      <c r="C143" s="132"/>
    </row>
    <row r="144" spans="3:3" x14ac:dyDescent="0.25">
      <c r="C144" s="132"/>
    </row>
    <row r="145" spans="3:3" x14ac:dyDescent="0.25">
      <c r="C145" s="132"/>
    </row>
    <row r="146" spans="3:3" x14ac:dyDescent="0.25">
      <c r="C146" s="132"/>
    </row>
    <row r="147" spans="3:3" x14ac:dyDescent="0.25">
      <c r="C147" s="132"/>
    </row>
    <row r="148" spans="3:3" x14ac:dyDescent="0.25">
      <c r="C148" s="132"/>
    </row>
    <row r="149" spans="3:3" x14ac:dyDescent="0.25">
      <c r="C149" s="132"/>
    </row>
    <row r="150" spans="3:3" x14ac:dyDescent="0.25">
      <c r="C150" s="132"/>
    </row>
    <row r="151" spans="3:3" x14ac:dyDescent="0.25">
      <c r="C151" s="132"/>
    </row>
    <row r="152" spans="3:3" x14ac:dyDescent="0.25">
      <c r="C152" s="132"/>
    </row>
    <row r="153" spans="3:3" x14ac:dyDescent="0.25">
      <c r="C153" s="132"/>
    </row>
    <row r="154" spans="3:3" x14ac:dyDescent="0.25">
      <c r="C154" s="132"/>
    </row>
    <row r="155" spans="3:3" x14ac:dyDescent="0.25">
      <c r="C155" s="132"/>
    </row>
    <row r="156" spans="3:3" x14ac:dyDescent="0.25">
      <c r="C156" s="132"/>
    </row>
    <row r="157" spans="3:3" x14ac:dyDescent="0.25">
      <c r="C157" s="132"/>
    </row>
    <row r="158" spans="3:3" x14ac:dyDescent="0.25">
      <c r="C158" s="132"/>
    </row>
    <row r="159" spans="3:3" x14ac:dyDescent="0.25">
      <c r="C159" s="132"/>
    </row>
    <row r="160" spans="3:3" x14ac:dyDescent="0.25">
      <c r="C160" s="132"/>
    </row>
    <row r="161" spans="3:3" x14ac:dyDescent="0.25">
      <c r="C161" s="132"/>
    </row>
    <row r="162" spans="3:3" x14ac:dyDescent="0.25">
      <c r="C162" s="132"/>
    </row>
    <row r="163" spans="3:3" x14ac:dyDescent="0.25">
      <c r="C163" s="132"/>
    </row>
    <row r="164" spans="3:3" x14ac:dyDescent="0.25">
      <c r="C164" s="132"/>
    </row>
    <row r="165" spans="3:3" x14ac:dyDescent="0.25">
      <c r="C165" s="132"/>
    </row>
    <row r="166" spans="3:3" x14ac:dyDescent="0.25">
      <c r="C166" s="132"/>
    </row>
    <row r="167" spans="3:3" x14ac:dyDescent="0.25">
      <c r="C167" s="132"/>
    </row>
    <row r="168" spans="3:3" x14ac:dyDescent="0.25">
      <c r="C168" s="132"/>
    </row>
    <row r="169" spans="3:3" x14ac:dyDescent="0.25">
      <c r="C169" s="132"/>
    </row>
    <row r="170" spans="3:3" x14ac:dyDescent="0.25">
      <c r="C170" s="132"/>
    </row>
    <row r="171" spans="3:3" x14ac:dyDescent="0.25">
      <c r="C171" s="132"/>
    </row>
    <row r="172" spans="3:3" x14ac:dyDescent="0.25">
      <c r="C172" s="132"/>
    </row>
    <row r="173" spans="3:3" x14ac:dyDescent="0.25">
      <c r="C173" s="132"/>
    </row>
    <row r="174" spans="3:3" x14ac:dyDescent="0.25">
      <c r="C174" s="132"/>
    </row>
    <row r="175" spans="3:3" x14ac:dyDescent="0.25">
      <c r="C175" s="132"/>
    </row>
    <row r="176" spans="3:3" x14ac:dyDescent="0.25">
      <c r="C176" s="132"/>
    </row>
    <row r="177" spans="3:3" x14ac:dyDescent="0.25">
      <c r="C177" s="132"/>
    </row>
    <row r="178" spans="3:3" x14ac:dyDescent="0.25">
      <c r="C178" s="132"/>
    </row>
    <row r="179" spans="3:3" x14ac:dyDescent="0.25">
      <c r="C179" s="132"/>
    </row>
    <row r="180" spans="3:3" x14ac:dyDescent="0.25">
      <c r="C180" s="132"/>
    </row>
    <row r="181" spans="3:3" x14ac:dyDescent="0.25">
      <c r="C181" s="132"/>
    </row>
    <row r="182" spans="3:3" x14ac:dyDescent="0.25">
      <c r="C182" s="132"/>
    </row>
    <row r="183" spans="3:3" x14ac:dyDescent="0.25">
      <c r="C183" s="132"/>
    </row>
    <row r="184" spans="3:3" x14ac:dyDescent="0.25">
      <c r="C184" s="132"/>
    </row>
    <row r="185" spans="3:3" x14ac:dyDescent="0.25">
      <c r="C185" s="132"/>
    </row>
    <row r="186" spans="3:3" x14ac:dyDescent="0.25">
      <c r="C186" s="132"/>
    </row>
    <row r="187" spans="3:3" x14ac:dyDescent="0.25">
      <c r="C187" s="132"/>
    </row>
  </sheetData>
  <mergeCells count="3">
    <mergeCell ref="B4:C4"/>
    <mergeCell ref="A1:D1"/>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tabColor rgb="FF00B0F0"/>
  </sheetPr>
  <dimension ref="A1:H183"/>
  <sheetViews>
    <sheetView view="pageBreakPreview" topLeftCell="A16" zoomScaleNormal="100" zoomScaleSheetLayoutView="100" workbookViewId="0">
      <selection activeCell="F2" sqref="F2"/>
    </sheetView>
  </sheetViews>
  <sheetFormatPr defaultRowHeight="15.75" x14ac:dyDescent="0.25"/>
  <cols>
    <col min="1" max="1" width="10" style="112" customWidth="1"/>
    <col min="2" max="2" width="55.7109375" style="30" customWidth="1"/>
    <col min="3" max="3" width="9.7109375" style="118" customWidth="1"/>
    <col min="4" max="4" width="11.7109375" style="6" customWidth="1"/>
    <col min="5" max="16384" width="9.140625" style="6"/>
  </cols>
  <sheetData>
    <row r="1" spans="1:8" s="14" customFormat="1" ht="22.5" x14ac:dyDescent="0.2">
      <c r="A1" s="258" t="s">
        <v>633</v>
      </c>
      <c r="B1" s="258"/>
      <c r="C1" s="258"/>
      <c r="D1" s="258"/>
    </row>
    <row r="2" spans="1:8" s="14" customFormat="1" ht="25.5" x14ac:dyDescent="0.2">
      <c r="A2" s="283" t="s">
        <v>634</v>
      </c>
      <c r="B2" s="283"/>
      <c r="C2" s="283"/>
      <c r="D2" s="283"/>
    </row>
    <row r="4" spans="1:8" x14ac:dyDescent="0.25">
      <c r="A4" s="19" t="s">
        <v>6262</v>
      </c>
      <c r="B4" s="281" t="s">
        <v>21</v>
      </c>
      <c r="C4" s="281"/>
    </row>
    <row r="5" spans="1:8" x14ac:dyDescent="0.25">
      <c r="D5" s="138"/>
      <c r="E5" s="138"/>
      <c r="F5" s="138"/>
      <c r="G5" s="138"/>
      <c r="H5" s="138"/>
    </row>
    <row r="6" spans="1:8" ht="31.5" x14ac:dyDescent="0.25">
      <c r="A6" s="55" t="s">
        <v>6402</v>
      </c>
      <c r="B6" s="55" t="s">
        <v>2434</v>
      </c>
      <c r="C6" s="55" t="s">
        <v>2435</v>
      </c>
      <c r="D6" s="172" t="s">
        <v>18</v>
      </c>
      <c r="E6" s="112"/>
      <c r="F6" s="112"/>
      <c r="G6" s="112"/>
      <c r="H6" s="112"/>
    </row>
    <row r="7" spans="1:8" x14ac:dyDescent="0.25">
      <c r="A7" s="55">
        <v>1</v>
      </c>
      <c r="B7" s="55">
        <v>2</v>
      </c>
      <c r="C7" s="55">
        <v>3</v>
      </c>
      <c r="D7" s="45">
        <v>4</v>
      </c>
      <c r="E7" s="112"/>
      <c r="F7" s="112"/>
      <c r="G7" s="112"/>
      <c r="H7" s="112"/>
    </row>
    <row r="8" spans="1:8" x14ac:dyDescent="0.25">
      <c r="A8" s="122">
        <v>4.0999999999999996</v>
      </c>
      <c r="B8" s="13"/>
      <c r="C8" s="122"/>
      <c r="D8" s="5"/>
      <c r="E8" s="138"/>
      <c r="F8" s="138"/>
      <c r="G8" s="138"/>
      <c r="H8" s="138"/>
    </row>
    <row r="9" spans="1:8" ht="31.5" x14ac:dyDescent="0.25">
      <c r="A9" s="122" t="s">
        <v>1660</v>
      </c>
      <c r="B9" s="13" t="s">
        <v>6327</v>
      </c>
      <c r="C9" s="122" t="s">
        <v>5243</v>
      </c>
      <c r="D9" s="158">
        <v>150</v>
      </c>
      <c r="E9" s="158"/>
      <c r="F9" s="138"/>
      <c r="G9" s="138"/>
      <c r="H9" s="138"/>
    </row>
    <row r="10" spans="1:8" ht="47.25" x14ac:dyDescent="0.25">
      <c r="A10" s="122" t="s">
        <v>1666</v>
      </c>
      <c r="B10" s="13" t="s">
        <v>5244</v>
      </c>
      <c r="C10" s="122" t="s">
        <v>5245</v>
      </c>
      <c r="D10" s="158">
        <v>30</v>
      </c>
      <c r="E10" s="158"/>
      <c r="F10" s="138"/>
      <c r="G10" s="138"/>
      <c r="H10" s="138"/>
    </row>
    <row r="11" spans="1:8" ht="31.5" x14ac:dyDescent="0.25">
      <c r="A11" s="122" t="s">
        <v>1672</v>
      </c>
      <c r="B11" s="13" t="s">
        <v>6369</v>
      </c>
      <c r="C11" s="122" t="s">
        <v>5246</v>
      </c>
      <c r="D11" s="158">
        <v>150</v>
      </c>
      <c r="E11" s="158"/>
      <c r="F11" s="138"/>
      <c r="G11" s="138"/>
      <c r="H11" s="138"/>
    </row>
    <row r="12" spans="1:8" ht="31.5" x14ac:dyDescent="0.25">
      <c r="A12" s="122" t="s">
        <v>2015</v>
      </c>
      <c r="B12" s="13" t="s">
        <v>635</v>
      </c>
      <c r="C12" s="122" t="s">
        <v>5247</v>
      </c>
      <c r="D12" s="158">
        <v>1.2</v>
      </c>
      <c r="E12" s="158"/>
      <c r="F12" s="138"/>
      <c r="G12" s="138"/>
      <c r="H12" s="138"/>
    </row>
    <row r="13" spans="1:8" ht="31.5" x14ac:dyDescent="0.25">
      <c r="A13" s="122" t="s">
        <v>2019</v>
      </c>
      <c r="B13" s="13" t="s">
        <v>636</v>
      </c>
      <c r="C13" s="122" t="s">
        <v>5248</v>
      </c>
      <c r="D13" s="158">
        <v>2</v>
      </c>
      <c r="E13" s="158"/>
      <c r="F13" s="138"/>
      <c r="G13" s="138"/>
      <c r="H13" s="138"/>
    </row>
    <row r="14" spans="1:8" ht="31.5" x14ac:dyDescent="0.25">
      <c r="A14" s="122" t="s">
        <v>2021</v>
      </c>
      <c r="B14" s="13" t="s">
        <v>6370</v>
      </c>
      <c r="C14" s="122" t="s">
        <v>5248</v>
      </c>
      <c r="D14" s="158">
        <v>1.4</v>
      </c>
      <c r="E14" s="158"/>
      <c r="F14" s="138"/>
      <c r="G14" s="138"/>
      <c r="H14" s="138"/>
    </row>
    <row r="15" spans="1:8" ht="31.5" x14ac:dyDescent="0.25">
      <c r="A15" s="122" t="s">
        <v>2026</v>
      </c>
      <c r="B15" s="13" t="s">
        <v>5249</v>
      </c>
      <c r="C15" s="122" t="s">
        <v>637</v>
      </c>
      <c r="D15" s="158">
        <v>18</v>
      </c>
      <c r="E15" s="158"/>
      <c r="F15" s="138"/>
      <c r="G15" s="138"/>
      <c r="H15" s="138"/>
    </row>
    <row r="16" spans="1:8" ht="47.25" x14ac:dyDescent="0.25">
      <c r="A16" s="122" t="s">
        <v>2028</v>
      </c>
      <c r="B16" s="13" t="s">
        <v>638</v>
      </c>
      <c r="C16" s="122" t="s">
        <v>5250</v>
      </c>
      <c r="D16" s="158">
        <v>0.9</v>
      </c>
      <c r="E16" s="158"/>
      <c r="F16" s="138"/>
      <c r="G16" s="138"/>
      <c r="H16" s="138"/>
    </row>
    <row r="17" spans="1:8" ht="31.5" x14ac:dyDescent="0.25">
      <c r="A17" s="122" t="s">
        <v>1662</v>
      </c>
      <c r="B17" s="13" t="s">
        <v>404</v>
      </c>
      <c r="C17" s="122" t="s">
        <v>5251</v>
      </c>
      <c r="D17" s="158">
        <v>120</v>
      </c>
      <c r="E17" s="158"/>
      <c r="F17" s="138"/>
      <c r="G17" s="138"/>
      <c r="H17" s="138"/>
    </row>
    <row r="18" spans="1:8" x14ac:dyDescent="0.25">
      <c r="A18" s="122"/>
      <c r="B18" s="13"/>
      <c r="C18" s="122"/>
      <c r="D18" s="158"/>
      <c r="E18" s="158"/>
      <c r="F18" s="138"/>
      <c r="G18" s="138"/>
      <c r="H18" s="138"/>
    </row>
    <row r="19" spans="1:8" ht="78.75" x14ac:dyDescent="0.25">
      <c r="A19" s="122">
        <v>4.2</v>
      </c>
      <c r="B19" s="13" t="s">
        <v>6328</v>
      </c>
      <c r="C19" s="122" t="s">
        <v>5250</v>
      </c>
      <c r="D19" s="158">
        <v>18</v>
      </c>
      <c r="E19" s="158"/>
      <c r="F19" s="138"/>
      <c r="G19" s="138"/>
      <c r="H19" s="138"/>
    </row>
    <row r="20" spans="1:8" x14ac:dyDescent="0.25">
      <c r="A20" s="23"/>
      <c r="B20" s="13"/>
      <c r="C20" s="133"/>
    </row>
    <row r="21" spans="1:8" x14ac:dyDescent="0.25">
      <c r="A21" s="122"/>
      <c r="B21" s="13"/>
      <c r="C21" s="133"/>
    </row>
    <row r="22" spans="1:8" x14ac:dyDescent="0.25">
      <c r="A22" s="23"/>
      <c r="B22" s="13"/>
      <c r="C22" s="133"/>
    </row>
    <row r="23" spans="1:8" x14ac:dyDescent="0.25">
      <c r="A23" s="122"/>
      <c r="B23" s="13"/>
      <c r="C23" s="133"/>
    </row>
    <row r="24" spans="1:8" x14ac:dyDescent="0.25">
      <c r="A24" s="122"/>
      <c r="B24" s="13"/>
      <c r="C24" s="132"/>
    </row>
    <row r="25" spans="1:8" x14ac:dyDescent="0.25">
      <c r="A25" s="122"/>
      <c r="B25" s="13"/>
      <c r="C25" s="133"/>
    </row>
    <row r="26" spans="1:8" x14ac:dyDescent="0.25">
      <c r="A26" s="122"/>
      <c r="B26" s="13"/>
      <c r="C26" s="133"/>
    </row>
    <row r="27" spans="1:8" x14ac:dyDescent="0.25">
      <c r="A27" s="122"/>
      <c r="B27" s="13"/>
      <c r="C27" s="133"/>
    </row>
    <row r="28" spans="1:8" x14ac:dyDescent="0.25">
      <c r="A28" s="122"/>
      <c r="B28" s="13"/>
      <c r="C28" s="133"/>
    </row>
    <row r="29" spans="1:8" x14ac:dyDescent="0.25">
      <c r="A29" s="122"/>
      <c r="B29" s="13"/>
      <c r="C29" s="133"/>
    </row>
    <row r="30" spans="1:8" x14ac:dyDescent="0.25">
      <c r="A30" s="122"/>
      <c r="B30" s="13"/>
      <c r="C30" s="133"/>
    </row>
    <row r="31" spans="1:8" x14ac:dyDescent="0.25">
      <c r="A31" s="122"/>
      <c r="B31" s="13"/>
      <c r="C31" s="133"/>
    </row>
    <row r="32" spans="1:8" x14ac:dyDescent="0.25">
      <c r="A32" s="122"/>
      <c r="B32" s="13"/>
      <c r="C32" s="133"/>
    </row>
    <row r="33" spans="1:3" x14ac:dyDescent="0.25">
      <c r="A33" s="122"/>
      <c r="B33" s="13"/>
      <c r="C33" s="132"/>
    </row>
    <row r="34" spans="1:3" x14ac:dyDescent="0.25">
      <c r="A34" s="122"/>
      <c r="B34" s="13"/>
      <c r="C34" s="133"/>
    </row>
    <row r="35" spans="1:3" x14ac:dyDescent="0.25">
      <c r="A35" s="122"/>
      <c r="B35" s="13"/>
      <c r="C35" s="133"/>
    </row>
    <row r="36" spans="1:3" x14ac:dyDescent="0.25">
      <c r="A36" s="122"/>
      <c r="B36" s="13"/>
      <c r="C36" s="133"/>
    </row>
    <row r="37" spans="1:3" x14ac:dyDescent="0.25">
      <c r="A37" s="122"/>
      <c r="B37" s="13"/>
      <c r="C37" s="133"/>
    </row>
    <row r="38" spans="1:3" x14ac:dyDescent="0.25">
      <c r="A38" s="122"/>
      <c r="B38" s="13"/>
      <c r="C38" s="133"/>
    </row>
    <row r="39" spans="1:3" x14ac:dyDescent="0.25">
      <c r="A39" s="122"/>
      <c r="B39" s="13"/>
      <c r="C39" s="133"/>
    </row>
    <row r="40" spans="1:3" x14ac:dyDescent="0.25">
      <c r="A40" s="122"/>
      <c r="B40" s="13"/>
      <c r="C40" s="133"/>
    </row>
    <row r="41" spans="1:3" x14ac:dyDescent="0.25">
      <c r="A41" s="122"/>
      <c r="B41" s="13"/>
      <c r="C41" s="133"/>
    </row>
    <row r="42" spans="1:3" x14ac:dyDescent="0.25">
      <c r="A42" s="122"/>
      <c r="B42" s="13"/>
      <c r="C42" s="133"/>
    </row>
    <row r="43" spans="1:3" x14ac:dyDescent="0.25">
      <c r="A43" s="122"/>
      <c r="B43" s="13"/>
      <c r="C43" s="133"/>
    </row>
    <row r="44" spans="1:3" x14ac:dyDescent="0.25">
      <c r="A44" s="122"/>
      <c r="B44" s="13"/>
      <c r="C44" s="133"/>
    </row>
    <row r="45" spans="1:3" x14ac:dyDescent="0.25">
      <c r="A45" s="122"/>
      <c r="B45" s="13"/>
      <c r="C45" s="133"/>
    </row>
    <row r="46" spans="1:3" x14ac:dyDescent="0.25">
      <c r="A46" s="122"/>
      <c r="B46" s="13"/>
      <c r="C46" s="133"/>
    </row>
    <row r="47" spans="1:3" x14ac:dyDescent="0.25">
      <c r="A47" s="122"/>
      <c r="B47" s="13"/>
      <c r="C47" s="132"/>
    </row>
    <row r="48" spans="1:3" x14ac:dyDescent="0.25">
      <c r="A48" s="122"/>
      <c r="B48" s="13"/>
      <c r="C48" s="133"/>
    </row>
    <row r="49" spans="1:3" x14ac:dyDescent="0.25">
      <c r="A49" s="122"/>
      <c r="B49" s="13"/>
      <c r="C49" s="133"/>
    </row>
    <row r="50" spans="1:3" x14ac:dyDescent="0.25">
      <c r="A50" s="122"/>
      <c r="B50" s="13"/>
      <c r="C50" s="133"/>
    </row>
    <row r="51" spans="1:3" x14ac:dyDescent="0.25">
      <c r="A51" s="122"/>
      <c r="B51" s="13"/>
      <c r="C51" s="133"/>
    </row>
    <row r="52" spans="1:3" x14ac:dyDescent="0.25">
      <c r="A52" s="122"/>
      <c r="B52" s="13"/>
      <c r="C52" s="133"/>
    </row>
    <row r="53" spans="1:3" x14ac:dyDescent="0.25">
      <c r="A53" s="122"/>
      <c r="B53" s="13"/>
      <c r="C53" s="133"/>
    </row>
    <row r="54" spans="1:3" x14ac:dyDescent="0.25">
      <c r="A54" s="122"/>
      <c r="B54" s="13"/>
      <c r="C54" s="132"/>
    </row>
    <row r="55" spans="1:3" x14ac:dyDescent="0.25">
      <c r="A55" s="122"/>
      <c r="B55" s="13"/>
      <c r="C55" s="133"/>
    </row>
    <row r="56" spans="1:3" x14ac:dyDescent="0.25">
      <c r="A56" s="122"/>
      <c r="B56" s="13"/>
      <c r="C56" s="132"/>
    </row>
    <row r="57" spans="1:3" x14ac:dyDescent="0.25">
      <c r="A57" s="122"/>
      <c r="B57" s="13"/>
      <c r="C57" s="133"/>
    </row>
    <row r="58" spans="1:3" x14ac:dyDescent="0.25">
      <c r="A58" s="122"/>
      <c r="B58" s="13"/>
      <c r="C58" s="132"/>
    </row>
    <row r="59" spans="1:3" x14ac:dyDescent="0.25">
      <c r="A59" s="122"/>
      <c r="B59" s="13"/>
      <c r="C59" s="133"/>
    </row>
    <row r="60" spans="1:3" x14ac:dyDescent="0.25">
      <c r="A60" s="122"/>
      <c r="B60" s="13"/>
      <c r="C60" s="132"/>
    </row>
    <row r="61" spans="1:3" x14ac:dyDescent="0.25">
      <c r="A61" s="122"/>
      <c r="B61" s="13"/>
      <c r="C61" s="133"/>
    </row>
    <row r="62" spans="1:3" x14ac:dyDescent="0.25">
      <c r="A62" s="122"/>
      <c r="B62" s="13"/>
      <c r="C62" s="132"/>
    </row>
    <row r="63" spans="1:3" x14ac:dyDescent="0.25">
      <c r="A63" s="122"/>
      <c r="B63" s="13"/>
      <c r="C63" s="133"/>
    </row>
    <row r="64" spans="1:3" x14ac:dyDescent="0.25">
      <c r="A64" s="122"/>
      <c r="B64" s="13"/>
      <c r="C64" s="132"/>
    </row>
    <row r="65" spans="1:3" x14ac:dyDescent="0.25">
      <c r="A65" s="122"/>
      <c r="B65" s="13"/>
      <c r="C65" s="133"/>
    </row>
    <row r="66" spans="1:3" x14ac:dyDescent="0.25">
      <c r="A66" s="122"/>
      <c r="B66" s="13"/>
      <c r="C66" s="132"/>
    </row>
    <row r="67" spans="1:3" x14ac:dyDescent="0.25">
      <c r="A67" s="122"/>
      <c r="B67" s="13"/>
      <c r="C67" s="133"/>
    </row>
    <row r="68" spans="1:3" x14ac:dyDescent="0.25">
      <c r="A68" s="122"/>
      <c r="B68" s="13"/>
      <c r="C68" s="132"/>
    </row>
    <row r="69" spans="1:3" x14ac:dyDescent="0.25">
      <c r="A69" s="122"/>
      <c r="B69" s="13"/>
      <c r="C69" s="133"/>
    </row>
    <row r="70" spans="1:3" x14ac:dyDescent="0.25">
      <c r="A70" s="122"/>
      <c r="B70" s="13"/>
      <c r="C70" s="132"/>
    </row>
    <row r="71" spans="1:3" x14ac:dyDescent="0.25">
      <c r="A71" s="23"/>
      <c r="B71" s="13"/>
      <c r="C71" s="133"/>
    </row>
    <row r="72" spans="1:3" x14ac:dyDescent="0.25">
      <c r="A72" s="122"/>
      <c r="B72" s="13"/>
      <c r="C72" s="132"/>
    </row>
    <row r="73" spans="1:3" x14ac:dyDescent="0.25">
      <c r="A73" s="122"/>
      <c r="B73" s="13"/>
      <c r="C73" s="133"/>
    </row>
    <row r="74" spans="1:3" x14ac:dyDescent="0.25">
      <c r="A74" s="122"/>
      <c r="B74" s="13"/>
      <c r="C74" s="132"/>
    </row>
    <row r="75" spans="1:3" x14ac:dyDescent="0.25">
      <c r="A75" s="122"/>
      <c r="B75" s="13"/>
      <c r="C75" s="133"/>
    </row>
    <row r="76" spans="1:3" x14ac:dyDescent="0.25">
      <c r="A76" s="122"/>
      <c r="B76" s="13"/>
      <c r="C76" s="132"/>
    </row>
    <row r="77" spans="1:3" x14ac:dyDescent="0.25">
      <c r="A77" s="122"/>
      <c r="B77" s="13"/>
      <c r="C77" s="133"/>
    </row>
    <row r="78" spans="1:3" x14ac:dyDescent="0.25">
      <c r="A78" s="122"/>
      <c r="B78" s="13"/>
      <c r="C78" s="132"/>
    </row>
    <row r="79" spans="1:3" x14ac:dyDescent="0.25">
      <c r="A79" s="122"/>
      <c r="B79" s="13"/>
      <c r="C79" s="133"/>
    </row>
    <row r="80" spans="1:3" x14ac:dyDescent="0.25">
      <c r="A80" s="122"/>
      <c r="B80" s="13"/>
      <c r="C80" s="132"/>
    </row>
    <row r="81" spans="1:3" x14ac:dyDescent="0.25">
      <c r="A81" s="122"/>
      <c r="B81" s="13"/>
      <c r="C81" s="132"/>
    </row>
    <row r="82" spans="1:3" x14ac:dyDescent="0.25">
      <c r="A82" s="122"/>
      <c r="B82" s="13"/>
      <c r="C82" s="133"/>
    </row>
    <row r="83" spans="1:3" x14ac:dyDescent="0.25">
      <c r="A83" s="122"/>
      <c r="B83" s="13"/>
      <c r="C83" s="133"/>
    </row>
    <row r="84" spans="1:3" x14ac:dyDescent="0.25">
      <c r="A84" s="122"/>
      <c r="B84" s="13"/>
      <c r="C84" s="133"/>
    </row>
    <row r="85" spans="1:3" x14ac:dyDescent="0.25">
      <c r="A85" s="122"/>
      <c r="B85" s="13"/>
      <c r="C85" s="133"/>
    </row>
    <row r="86" spans="1:3" x14ac:dyDescent="0.25">
      <c r="A86" s="122"/>
      <c r="B86" s="13"/>
      <c r="C86" s="133"/>
    </row>
    <row r="87" spans="1:3" x14ac:dyDescent="0.25">
      <c r="A87" s="122"/>
      <c r="B87" s="13"/>
      <c r="C87" s="133"/>
    </row>
    <row r="88" spans="1:3" x14ac:dyDescent="0.25">
      <c r="A88" s="122"/>
      <c r="B88" s="13"/>
      <c r="C88" s="133"/>
    </row>
    <row r="89" spans="1:3" x14ac:dyDescent="0.25">
      <c r="A89" s="122"/>
      <c r="B89" s="13"/>
      <c r="C89" s="133"/>
    </row>
    <row r="90" spans="1:3" x14ac:dyDescent="0.25">
      <c r="A90" s="122"/>
      <c r="B90" s="13"/>
      <c r="C90" s="133"/>
    </row>
    <row r="91" spans="1:3" x14ac:dyDescent="0.25">
      <c r="A91" s="122"/>
      <c r="B91" s="13"/>
      <c r="C91" s="133"/>
    </row>
    <row r="92" spans="1:3" x14ac:dyDescent="0.25">
      <c r="A92" s="122"/>
      <c r="B92" s="13"/>
      <c r="C92" s="133"/>
    </row>
    <row r="93" spans="1:3" x14ac:dyDescent="0.25">
      <c r="A93" s="122"/>
      <c r="B93" s="13"/>
      <c r="C93" s="133"/>
    </row>
    <row r="94" spans="1:3" x14ac:dyDescent="0.25">
      <c r="A94" s="122"/>
      <c r="B94" s="13"/>
      <c r="C94" s="133"/>
    </row>
    <row r="95" spans="1:3" x14ac:dyDescent="0.25">
      <c r="A95" s="122"/>
      <c r="B95" s="13"/>
      <c r="C95" s="133"/>
    </row>
    <row r="96" spans="1:3" x14ac:dyDescent="0.25">
      <c r="A96" s="122"/>
      <c r="B96" s="13"/>
      <c r="C96" s="133"/>
    </row>
    <row r="97" spans="1:3" x14ac:dyDescent="0.25">
      <c r="A97" s="122"/>
      <c r="B97" s="13"/>
      <c r="C97" s="133"/>
    </row>
    <row r="98" spans="1:3" x14ac:dyDescent="0.25">
      <c r="A98" s="122"/>
      <c r="B98" s="13"/>
      <c r="C98" s="133"/>
    </row>
    <row r="99" spans="1:3" x14ac:dyDescent="0.25">
      <c r="A99" s="122"/>
      <c r="B99" s="13"/>
      <c r="C99" s="133"/>
    </row>
    <row r="100" spans="1:3" x14ac:dyDescent="0.25">
      <c r="A100" s="122"/>
      <c r="B100" s="13"/>
      <c r="C100" s="133"/>
    </row>
    <row r="101" spans="1:3" x14ac:dyDescent="0.25">
      <c r="A101" s="122"/>
      <c r="B101" s="13"/>
      <c r="C101" s="133"/>
    </row>
    <row r="102" spans="1:3" x14ac:dyDescent="0.25">
      <c r="A102" s="122"/>
      <c r="B102" s="13"/>
      <c r="C102" s="133"/>
    </row>
    <row r="103" spans="1:3" x14ac:dyDescent="0.25">
      <c r="A103" s="122"/>
      <c r="B103" s="156"/>
      <c r="C103" s="133"/>
    </row>
    <row r="104" spans="1:3" x14ac:dyDescent="0.25">
      <c r="A104" s="122"/>
      <c r="B104" s="13"/>
      <c r="C104" s="133"/>
    </row>
    <row r="105" spans="1:3" x14ac:dyDescent="0.25">
      <c r="A105" s="122"/>
      <c r="B105" s="13"/>
      <c r="C105" s="132"/>
    </row>
    <row r="106" spans="1:3" x14ac:dyDescent="0.25">
      <c r="A106" s="23"/>
      <c r="B106" s="13"/>
      <c r="C106" s="133"/>
    </row>
    <row r="107" spans="1:3" x14ac:dyDescent="0.25">
      <c r="A107" s="23"/>
      <c r="B107" s="13"/>
      <c r="C107" s="133"/>
    </row>
    <row r="108" spans="1:3" x14ac:dyDescent="0.25">
      <c r="A108" s="23"/>
      <c r="B108" s="13"/>
      <c r="C108" s="133"/>
    </row>
    <row r="109" spans="1:3" x14ac:dyDescent="0.25">
      <c r="A109" s="122"/>
      <c r="B109" s="13"/>
      <c r="C109" s="133"/>
    </row>
    <row r="110" spans="1:3" x14ac:dyDescent="0.25">
      <c r="A110" s="122"/>
      <c r="B110" s="13"/>
      <c r="C110" s="133"/>
    </row>
    <row r="111" spans="1:3" x14ac:dyDescent="0.25">
      <c r="A111" s="122"/>
      <c r="B111" s="13"/>
      <c r="C111" s="133"/>
    </row>
    <row r="112" spans="1:3" x14ac:dyDescent="0.25">
      <c r="A112" s="122"/>
      <c r="B112" s="13"/>
      <c r="C112" s="133"/>
    </row>
    <row r="113" spans="1:3" x14ac:dyDescent="0.25">
      <c r="A113" s="122"/>
      <c r="B113" s="13"/>
      <c r="C113" s="133"/>
    </row>
    <row r="114" spans="1:3" x14ac:dyDescent="0.25">
      <c r="A114" s="122"/>
      <c r="B114" s="13"/>
      <c r="C114" s="133"/>
    </row>
    <row r="115" spans="1:3" x14ac:dyDescent="0.25">
      <c r="A115" s="122"/>
      <c r="B115" s="13"/>
      <c r="C115" s="133"/>
    </row>
    <row r="116" spans="1:3" x14ac:dyDescent="0.25">
      <c r="A116" s="122"/>
      <c r="B116" s="13"/>
      <c r="C116" s="132"/>
    </row>
    <row r="117" spans="1:3" x14ac:dyDescent="0.25">
      <c r="A117" s="122"/>
      <c r="B117" s="137"/>
      <c r="C117" s="133"/>
    </row>
    <row r="118" spans="1:3" x14ac:dyDescent="0.25">
      <c r="A118" s="122"/>
      <c r="B118" s="13"/>
      <c r="C118" s="132"/>
    </row>
    <row r="119" spans="1:3" x14ac:dyDescent="0.25">
      <c r="A119" s="122"/>
      <c r="B119" s="13"/>
      <c r="C119" s="133"/>
    </row>
    <row r="120" spans="1:3" x14ac:dyDescent="0.25">
      <c r="A120" s="122"/>
      <c r="B120" s="13"/>
      <c r="C120" s="133"/>
    </row>
    <row r="121" spans="1:3" x14ac:dyDescent="0.25">
      <c r="A121" s="122"/>
      <c r="B121" s="13"/>
      <c r="C121" s="132"/>
    </row>
    <row r="122" spans="1:3" x14ac:dyDescent="0.25">
      <c r="A122" s="122"/>
      <c r="B122" s="13"/>
      <c r="C122" s="133"/>
    </row>
    <row r="123" spans="1:3" x14ac:dyDescent="0.25">
      <c r="A123" s="122"/>
      <c r="B123" s="13"/>
      <c r="C123" s="133"/>
    </row>
    <row r="124" spans="1:3" x14ac:dyDescent="0.25">
      <c r="C124" s="132"/>
    </row>
    <row r="125" spans="1:3" x14ac:dyDescent="0.25">
      <c r="C125" s="132"/>
    </row>
    <row r="126" spans="1:3" x14ac:dyDescent="0.25">
      <c r="C126" s="132"/>
    </row>
    <row r="127" spans="1:3" x14ac:dyDescent="0.25">
      <c r="C127" s="132"/>
    </row>
    <row r="128" spans="1:3" x14ac:dyDescent="0.25">
      <c r="C128" s="132"/>
    </row>
    <row r="129" spans="3:3" x14ac:dyDescent="0.25">
      <c r="C129" s="132"/>
    </row>
    <row r="130" spans="3:3" x14ac:dyDescent="0.25">
      <c r="C130" s="132"/>
    </row>
    <row r="131" spans="3:3" x14ac:dyDescent="0.25">
      <c r="C131" s="132"/>
    </row>
    <row r="132" spans="3:3" x14ac:dyDescent="0.25">
      <c r="C132" s="132"/>
    </row>
    <row r="133" spans="3:3" x14ac:dyDescent="0.25">
      <c r="C133" s="132"/>
    </row>
    <row r="134" spans="3:3" x14ac:dyDescent="0.25">
      <c r="C134" s="132"/>
    </row>
    <row r="135" spans="3:3" x14ac:dyDescent="0.25">
      <c r="C135" s="132"/>
    </row>
    <row r="136" spans="3:3" x14ac:dyDescent="0.25">
      <c r="C136" s="132"/>
    </row>
    <row r="137" spans="3:3" x14ac:dyDescent="0.25">
      <c r="C137" s="132"/>
    </row>
    <row r="138" spans="3:3" x14ac:dyDescent="0.25">
      <c r="C138" s="132"/>
    </row>
    <row r="139" spans="3:3" x14ac:dyDescent="0.25">
      <c r="C139" s="132"/>
    </row>
    <row r="140" spans="3:3" x14ac:dyDescent="0.25">
      <c r="C140" s="132"/>
    </row>
    <row r="141" spans="3:3" x14ac:dyDescent="0.25">
      <c r="C141" s="132"/>
    </row>
    <row r="142" spans="3:3" x14ac:dyDescent="0.25">
      <c r="C142" s="132"/>
    </row>
    <row r="143" spans="3:3" x14ac:dyDescent="0.25">
      <c r="C143" s="132"/>
    </row>
    <row r="144" spans="3:3" x14ac:dyDescent="0.25">
      <c r="C144" s="132"/>
    </row>
    <row r="145" spans="3:3" x14ac:dyDescent="0.25">
      <c r="C145" s="132"/>
    </row>
    <row r="146" spans="3:3" x14ac:dyDescent="0.25">
      <c r="C146" s="132"/>
    </row>
    <row r="147" spans="3:3" x14ac:dyDescent="0.25">
      <c r="C147" s="132"/>
    </row>
    <row r="148" spans="3:3" x14ac:dyDescent="0.25">
      <c r="C148" s="132"/>
    </row>
    <row r="149" spans="3:3" x14ac:dyDescent="0.25">
      <c r="C149" s="132"/>
    </row>
    <row r="150" spans="3:3" x14ac:dyDescent="0.25">
      <c r="C150" s="132"/>
    </row>
    <row r="151" spans="3:3" x14ac:dyDescent="0.25">
      <c r="C151" s="132"/>
    </row>
    <row r="152" spans="3:3" x14ac:dyDescent="0.25">
      <c r="C152" s="132"/>
    </row>
    <row r="153" spans="3:3" x14ac:dyDescent="0.25">
      <c r="C153" s="132"/>
    </row>
    <row r="154" spans="3:3" x14ac:dyDescent="0.25">
      <c r="C154" s="132"/>
    </row>
    <row r="155" spans="3:3" x14ac:dyDescent="0.25">
      <c r="C155" s="132"/>
    </row>
    <row r="156" spans="3:3" x14ac:dyDescent="0.25">
      <c r="C156" s="132"/>
    </row>
    <row r="157" spans="3:3" x14ac:dyDescent="0.25">
      <c r="C157" s="132"/>
    </row>
    <row r="158" spans="3:3" x14ac:dyDescent="0.25">
      <c r="C158" s="132"/>
    </row>
    <row r="159" spans="3:3" x14ac:dyDescent="0.25">
      <c r="C159" s="132"/>
    </row>
    <row r="160" spans="3:3" x14ac:dyDescent="0.25">
      <c r="C160" s="132"/>
    </row>
    <row r="161" spans="3:3" x14ac:dyDescent="0.25">
      <c r="C161" s="132"/>
    </row>
    <row r="162" spans="3:3" x14ac:dyDescent="0.25">
      <c r="C162" s="132"/>
    </row>
    <row r="163" spans="3:3" x14ac:dyDescent="0.25">
      <c r="C163" s="132"/>
    </row>
    <row r="164" spans="3:3" x14ac:dyDescent="0.25">
      <c r="C164" s="132"/>
    </row>
    <row r="165" spans="3:3" x14ac:dyDescent="0.25">
      <c r="C165" s="132"/>
    </row>
    <row r="166" spans="3:3" x14ac:dyDescent="0.25">
      <c r="C166" s="132"/>
    </row>
    <row r="167" spans="3:3" x14ac:dyDescent="0.25">
      <c r="C167" s="132"/>
    </row>
    <row r="168" spans="3:3" x14ac:dyDescent="0.25">
      <c r="C168" s="132"/>
    </row>
    <row r="169" spans="3:3" x14ac:dyDescent="0.25">
      <c r="C169" s="132"/>
    </row>
    <row r="170" spans="3:3" x14ac:dyDescent="0.25">
      <c r="C170" s="132"/>
    </row>
    <row r="171" spans="3:3" x14ac:dyDescent="0.25">
      <c r="C171" s="132"/>
    </row>
    <row r="172" spans="3:3" x14ac:dyDescent="0.25">
      <c r="C172" s="132"/>
    </row>
    <row r="173" spans="3:3" x14ac:dyDescent="0.25">
      <c r="C173" s="132"/>
    </row>
    <row r="174" spans="3:3" x14ac:dyDescent="0.25">
      <c r="C174" s="132"/>
    </row>
    <row r="175" spans="3:3" x14ac:dyDescent="0.25">
      <c r="C175" s="132"/>
    </row>
    <row r="176" spans="3:3" x14ac:dyDescent="0.25">
      <c r="C176" s="132"/>
    </row>
    <row r="177" spans="3:3" x14ac:dyDescent="0.25">
      <c r="C177" s="132"/>
    </row>
    <row r="178" spans="3:3" x14ac:dyDescent="0.25">
      <c r="C178" s="132"/>
    </row>
    <row r="179" spans="3:3" x14ac:dyDescent="0.25">
      <c r="C179" s="132"/>
    </row>
    <row r="180" spans="3:3" x14ac:dyDescent="0.25">
      <c r="C180" s="132"/>
    </row>
    <row r="181" spans="3:3" x14ac:dyDescent="0.25">
      <c r="C181" s="132"/>
    </row>
    <row r="182" spans="3:3" x14ac:dyDescent="0.25">
      <c r="C182" s="132"/>
    </row>
    <row r="183" spans="3:3" x14ac:dyDescent="0.25">
      <c r="C183" s="132"/>
    </row>
  </sheetData>
  <mergeCells count="3">
    <mergeCell ref="B4:C4"/>
    <mergeCell ref="A2:D2"/>
    <mergeCell ref="A1:D1"/>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tabColor rgb="FF00B0F0"/>
  </sheetPr>
  <dimension ref="A1:I204"/>
  <sheetViews>
    <sheetView view="pageBreakPreview" topLeftCell="A17" zoomScaleNormal="100" zoomScaleSheetLayoutView="100" workbookViewId="0">
      <selection activeCell="F2" sqref="F2"/>
    </sheetView>
  </sheetViews>
  <sheetFormatPr defaultRowHeight="15.75" x14ac:dyDescent="0.25"/>
  <cols>
    <col min="1" max="1" width="10" style="112" customWidth="1"/>
    <col min="2" max="2" width="55.7109375" style="30" customWidth="1"/>
    <col min="3" max="3" width="9.7109375" style="118" customWidth="1"/>
    <col min="4" max="4" width="11.7109375" style="8" customWidth="1"/>
    <col min="5" max="5" width="9.140625" style="8"/>
    <col min="6" max="16384" width="9.140625" style="6"/>
  </cols>
  <sheetData>
    <row r="1" spans="1:9" ht="22.5" x14ac:dyDescent="0.25">
      <c r="A1" s="258" t="s">
        <v>143</v>
      </c>
      <c r="B1" s="258"/>
      <c r="C1" s="258"/>
      <c r="D1" s="258"/>
    </row>
    <row r="2" spans="1:9" ht="54" customHeight="1" x14ac:dyDescent="0.25">
      <c r="A2" s="280" t="s">
        <v>4307</v>
      </c>
      <c r="B2" s="280"/>
      <c r="C2" s="280"/>
      <c r="D2" s="280"/>
    </row>
    <row r="3" spans="1:9" x14ac:dyDescent="0.25">
      <c r="A3" s="121" t="s">
        <v>6262</v>
      </c>
      <c r="B3" s="286" t="s">
        <v>21</v>
      </c>
      <c r="C3" s="286"/>
    </row>
    <row r="4" spans="1:9" x14ac:dyDescent="0.25">
      <c r="A4" s="121"/>
      <c r="B4" s="143"/>
      <c r="C4" s="143"/>
    </row>
    <row r="5" spans="1:9" ht="31.5" x14ac:dyDescent="0.25">
      <c r="A5" s="55" t="s">
        <v>6402</v>
      </c>
      <c r="B5" s="55" t="s">
        <v>2434</v>
      </c>
      <c r="C5" s="55" t="s">
        <v>2435</v>
      </c>
      <c r="D5" s="172" t="s">
        <v>18</v>
      </c>
      <c r="E5" s="5"/>
      <c r="F5" s="112"/>
      <c r="G5" s="112"/>
      <c r="H5" s="112"/>
    </row>
    <row r="6" spans="1:9" x14ac:dyDescent="0.25">
      <c r="A6" s="55">
        <v>1</v>
      </c>
      <c r="B6" s="55">
        <v>2</v>
      </c>
      <c r="C6" s="55">
        <v>3</v>
      </c>
      <c r="D6" s="45">
        <v>4</v>
      </c>
      <c r="E6" s="5"/>
      <c r="F6" s="112"/>
      <c r="G6" s="112"/>
      <c r="H6" s="112"/>
    </row>
    <row r="7" spans="1:9" x14ac:dyDescent="0.25">
      <c r="A7" s="224"/>
      <c r="B7" s="117"/>
      <c r="C7" s="224"/>
      <c r="D7" s="121"/>
      <c r="E7" s="5"/>
      <c r="F7" s="112"/>
      <c r="G7" s="112"/>
      <c r="H7" s="112"/>
    </row>
    <row r="8" spans="1:9" ht="47.25" x14ac:dyDescent="0.25">
      <c r="A8" s="3">
        <v>5.0999999999999996</v>
      </c>
      <c r="B8" s="13" t="s">
        <v>5252</v>
      </c>
      <c r="C8" s="284" t="s">
        <v>5253</v>
      </c>
      <c r="D8" s="101">
        <v>1886</v>
      </c>
      <c r="G8" s="138"/>
      <c r="H8" s="138"/>
      <c r="I8" s="138"/>
    </row>
    <row r="9" spans="1:9" ht="31.5" x14ac:dyDescent="0.25">
      <c r="A9" s="3" t="s">
        <v>1662</v>
      </c>
      <c r="B9" s="13" t="s">
        <v>6264</v>
      </c>
      <c r="C9" s="285"/>
      <c r="D9" s="101"/>
      <c r="F9" s="138"/>
      <c r="G9" s="138"/>
      <c r="H9" s="138"/>
      <c r="I9" s="138"/>
    </row>
    <row r="10" spans="1:9" ht="31.5" x14ac:dyDescent="0.25">
      <c r="A10" s="3" t="s">
        <v>1664</v>
      </c>
      <c r="B10" s="13" t="s">
        <v>6265</v>
      </c>
      <c r="C10" s="285"/>
      <c r="D10" s="101"/>
      <c r="F10" s="138"/>
      <c r="G10" s="138"/>
      <c r="H10" s="138"/>
      <c r="I10" s="138"/>
    </row>
    <row r="11" spans="1:9" x14ac:dyDescent="0.25">
      <c r="A11" s="3" t="s">
        <v>1670</v>
      </c>
      <c r="B11" s="13" t="s">
        <v>6266</v>
      </c>
      <c r="C11" s="285"/>
      <c r="D11" s="101"/>
      <c r="F11" s="138"/>
      <c r="G11" s="138"/>
      <c r="H11" s="138"/>
      <c r="I11" s="138"/>
    </row>
    <row r="12" spans="1:9" x14ac:dyDescent="0.25">
      <c r="A12" s="3" t="s">
        <v>400</v>
      </c>
      <c r="B12" s="13" t="s">
        <v>6267</v>
      </c>
      <c r="C12" s="285"/>
      <c r="D12" s="101"/>
      <c r="F12" s="138"/>
      <c r="G12" s="138"/>
      <c r="H12" s="138"/>
      <c r="I12" s="138"/>
    </row>
    <row r="13" spans="1:9" ht="47.25" x14ac:dyDescent="0.25">
      <c r="A13" s="3" t="s">
        <v>401</v>
      </c>
      <c r="B13" s="13" t="s">
        <v>6268</v>
      </c>
      <c r="C13" s="285"/>
      <c r="D13" s="101"/>
      <c r="F13" s="138"/>
      <c r="G13" s="138"/>
      <c r="H13" s="138"/>
      <c r="I13" s="138"/>
    </row>
    <row r="14" spans="1:9" ht="94.5" x14ac:dyDescent="0.25">
      <c r="A14" s="3" t="s">
        <v>402</v>
      </c>
      <c r="B14" s="13" t="s">
        <v>6269</v>
      </c>
      <c r="C14" s="285"/>
      <c r="D14" s="101"/>
      <c r="F14" s="138"/>
      <c r="G14" s="138"/>
      <c r="H14" s="138"/>
      <c r="I14" s="138"/>
    </row>
    <row r="15" spans="1:9" x14ac:dyDescent="0.25">
      <c r="A15" s="3" t="s">
        <v>403</v>
      </c>
      <c r="B15" s="13" t="s">
        <v>6270</v>
      </c>
      <c r="C15" s="285"/>
      <c r="D15" s="101"/>
      <c r="F15" s="138"/>
      <c r="G15" s="138"/>
      <c r="H15" s="138"/>
      <c r="I15" s="138"/>
    </row>
    <row r="16" spans="1:9" ht="63" x14ac:dyDescent="0.25">
      <c r="A16" s="3" t="s">
        <v>6263</v>
      </c>
      <c r="B16" s="13" t="s">
        <v>6271</v>
      </c>
      <c r="C16" s="285"/>
      <c r="D16" s="101"/>
      <c r="F16" s="138"/>
      <c r="G16" s="138"/>
      <c r="H16" s="138"/>
      <c r="I16" s="138"/>
    </row>
    <row r="17" spans="1:9" x14ac:dyDescent="0.25">
      <c r="A17" s="3"/>
      <c r="B17" s="13"/>
      <c r="C17" s="3"/>
      <c r="D17" s="101"/>
      <c r="F17" s="138"/>
      <c r="G17" s="138"/>
      <c r="H17" s="138"/>
      <c r="I17" s="138"/>
    </row>
    <row r="18" spans="1:9" ht="47.25" x14ac:dyDescent="0.25">
      <c r="A18" s="3">
        <v>5.2</v>
      </c>
      <c r="B18" s="13" t="s">
        <v>5254</v>
      </c>
      <c r="C18" s="285" t="s">
        <v>5253</v>
      </c>
      <c r="D18" s="101">
        <v>2198</v>
      </c>
      <c r="F18" s="138"/>
      <c r="G18" s="138"/>
      <c r="H18" s="138"/>
      <c r="I18" s="138"/>
    </row>
    <row r="19" spans="1:9" ht="31.5" x14ac:dyDescent="0.25">
      <c r="A19" s="3" t="s">
        <v>1662</v>
      </c>
      <c r="B19" s="13" t="s">
        <v>6272</v>
      </c>
      <c r="C19" s="285"/>
      <c r="D19" s="101"/>
      <c r="F19" s="138"/>
      <c r="G19" s="138"/>
      <c r="H19" s="138"/>
      <c r="I19" s="138"/>
    </row>
    <row r="20" spans="1:9" ht="31.5" x14ac:dyDescent="0.25">
      <c r="A20" s="3" t="s">
        <v>1664</v>
      </c>
      <c r="B20" s="13" t="s">
        <v>6265</v>
      </c>
      <c r="C20" s="285"/>
      <c r="D20" s="101"/>
      <c r="F20" s="138"/>
      <c r="G20" s="138"/>
      <c r="H20" s="138"/>
      <c r="I20" s="138"/>
    </row>
    <row r="21" spans="1:9" x14ac:dyDescent="0.25">
      <c r="A21" s="3" t="s">
        <v>1670</v>
      </c>
      <c r="B21" s="13" t="s">
        <v>6273</v>
      </c>
      <c r="C21" s="285"/>
      <c r="D21" s="101"/>
      <c r="F21" s="138"/>
      <c r="G21" s="138"/>
      <c r="H21" s="138"/>
      <c r="I21" s="138"/>
    </row>
    <row r="22" spans="1:9" x14ac:dyDescent="0.25">
      <c r="A22" s="3" t="s">
        <v>400</v>
      </c>
      <c r="B22" s="13" t="s">
        <v>6274</v>
      </c>
      <c r="C22" s="285"/>
      <c r="D22" s="101"/>
      <c r="F22" s="138"/>
      <c r="G22" s="138"/>
      <c r="H22" s="138"/>
      <c r="I22" s="138"/>
    </row>
    <row r="23" spans="1:9" ht="47.25" x14ac:dyDescent="0.25">
      <c r="A23" s="3" t="s">
        <v>401</v>
      </c>
      <c r="B23" s="13" t="s">
        <v>6275</v>
      </c>
      <c r="C23" s="285"/>
      <c r="D23" s="101"/>
      <c r="F23" s="138"/>
      <c r="G23" s="138"/>
      <c r="H23" s="138"/>
      <c r="I23" s="138"/>
    </row>
    <row r="24" spans="1:9" x14ac:dyDescent="0.25">
      <c r="A24" s="3"/>
      <c r="B24" s="13"/>
      <c r="C24" s="285"/>
      <c r="D24" s="101"/>
      <c r="F24" s="138"/>
      <c r="G24" s="138"/>
      <c r="H24" s="138"/>
      <c r="I24" s="138"/>
    </row>
    <row r="25" spans="1:9" x14ac:dyDescent="0.25">
      <c r="A25" s="3"/>
      <c r="B25" s="13"/>
      <c r="C25" s="285"/>
      <c r="D25" s="101"/>
      <c r="F25" s="138"/>
      <c r="G25" s="138"/>
      <c r="H25" s="138"/>
      <c r="I25" s="138"/>
    </row>
    <row r="26" spans="1:9" ht="94.5" x14ac:dyDescent="0.25">
      <c r="A26" s="3" t="s">
        <v>402</v>
      </c>
      <c r="B26" s="13" t="s">
        <v>6276</v>
      </c>
      <c r="C26" s="285"/>
      <c r="D26" s="101"/>
      <c r="F26" s="138"/>
      <c r="G26" s="138"/>
      <c r="H26" s="138"/>
      <c r="I26" s="138"/>
    </row>
    <row r="27" spans="1:9" x14ac:dyDescent="0.25">
      <c r="A27" s="3" t="s">
        <v>403</v>
      </c>
      <c r="B27" s="13" t="s">
        <v>6277</v>
      </c>
      <c r="C27" s="285"/>
      <c r="D27" s="101"/>
      <c r="F27" s="138"/>
      <c r="G27" s="138"/>
      <c r="H27" s="138"/>
      <c r="I27" s="138"/>
    </row>
    <row r="28" spans="1:9" ht="78.75" x14ac:dyDescent="0.25">
      <c r="A28" s="3" t="s">
        <v>6263</v>
      </c>
      <c r="B28" s="13" t="s">
        <v>6278</v>
      </c>
      <c r="C28" s="285"/>
      <c r="D28" s="101"/>
      <c r="F28" s="138"/>
      <c r="G28" s="138"/>
      <c r="H28" s="138"/>
      <c r="I28" s="138"/>
    </row>
    <row r="29" spans="1:9" x14ac:dyDescent="0.25">
      <c r="A29" s="3"/>
      <c r="B29" s="13"/>
      <c r="C29" s="3"/>
      <c r="D29" s="101"/>
      <c r="F29" s="138"/>
      <c r="G29" s="138"/>
      <c r="H29" s="138"/>
      <c r="I29" s="138"/>
    </row>
    <row r="30" spans="1:9" x14ac:dyDescent="0.25">
      <c r="A30" s="3">
        <v>5.3</v>
      </c>
      <c r="B30" s="13" t="s">
        <v>5255</v>
      </c>
      <c r="C30" s="285" t="s">
        <v>5253</v>
      </c>
      <c r="D30" s="101">
        <v>1069</v>
      </c>
      <c r="F30" s="138"/>
      <c r="G30" s="138"/>
      <c r="H30" s="138"/>
      <c r="I30" s="138"/>
    </row>
    <row r="31" spans="1:9" x14ac:dyDescent="0.25">
      <c r="A31" s="2"/>
      <c r="B31" s="13" t="s">
        <v>5256</v>
      </c>
      <c r="C31" s="285"/>
      <c r="D31" s="101"/>
      <c r="F31" s="138"/>
      <c r="G31" s="138"/>
      <c r="H31" s="138"/>
      <c r="I31" s="138"/>
    </row>
    <row r="32" spans="1:9" ht="31.5" x14ac:dyDescent="0.25">
      <c r="A32" s="3" t="s">
        <v>1662</v>
      </c>
      <c r="B32" s="13" t="s">
        <v>6264</v>
      </c>
      <c r="C32" s="285"/>
      <c r="D32" s="101"/>
      <c r="F32" s="138"/>
      <c r="G32" s="138"/>
      <c r="H32" s="138"/>
      <c r="I32" s="138"/>
    </row>
    <row r="33" spans="1:9" x14ac:dyDescent="0.25">
      <c r="A33" s="3" t="s">
        <v>1664</v>
      </c>
      <c r="B33" s="13" t="s">
        <v>6279</v>
      </c>
      <c r="C33" s="285"/>
      <c r="D33" s="101"/>
      <c r="F33" s="138"/>
      <c r="G33" s="138"/>
      <c r="H33" s="138"/>
      <c r="I33" s="138"/>
    </row>
    <row r="34" spans="1:9" x14ac:dyDescent="0.25">
      <c r="A34" s="3" t="s">
        <v>1670</v>
      </c>
      <c r="B34" s="13" t="s">
        <v>6273</v>
      </c>
      <c r="C34" s="285"/>
      <c r="D34" s="101"/>
      <c r="F34" s="138"/>
      <c r="G34" s="138"/>
      <c r="H34" s="138"/>
      <c r="I34" s="138"/>
    </row>
    <row r="35" spans="1:9" x14ac:dyDescent="0.25">
      <c r="A35" s="3" t="s">
        <v>400</v>
      </c>
      <c r="B35" s="13" t="s">
        <v>6274</v>
      </c>
      <c r="C35" s="285"/>
      <c r="D35" s="101"/>
      <c r="F35" s="138"/>
      <c r="G35" s="138"/>
      <c r="H35" s="138"/>
      <c r="I35" s="138"/>
    </row>
    <row r="36" spans="1:9" ht="47.25" x14ac:dyDescent="0.25">
      <c r="A36" s="3" t="s">
        <v>401</v>
      </c>
      <c r="B36" s="13" t="s">
        <v>6275</v>
      </c>
      <c r="C36" s="285"/>
      <c r="D36" s="101"/>
      <c r="F36" s="138"/>
      <c r="G36" s="138"/>
      <c r="H36" s="138"/>
      <c r="I36" s="138"/>
    </row>
    <row r="37" spans="1:9" x14ac:dyDescent="0.25">
      <c r="A37" s="3" t="s">
        <v>402</v>
      </c>
      <c r="B37" s="13" t="s">
        <v>6277</v>
      </c>
      <c r="C37" s="285"/>
      <c r="D37" s="101"/>
      <c r="F37" s="138"/>
      <c r="G37" s="138"/>
      <c r="H37" s="138"/>
      <c r="I37" s="138"/>
    </row>
    <row r="38" spans="1:9" ht="78.75" x14ac:dyDescent="0.25">
      <c r="A38" s="3" t="s">
        <v>403</v>
      </c>
      <c r="B38" s="13" t="s">
        <v>6278</v>
      </c>
      <c r="C38" s="285"/>
      <c r="D38" s="101"/>
      <c r="F38" s="138"/>
      <c r="G38" s="138"/>
      <c r="H38" s="138"/>
      <c r="I38" s="138"/>
    </row>
    <row r="39" spans="1:9" x14ac:dyDescent="0.25">
      <c r="F39" s="138"/>
      <c r="G39" s="138"/>
      <c r="H39" s="138"/>
      <c r="I39" s="138"/>
    </row>
    <row r="40" spans="1:9" x14ac:dyDescent="0.25">
      <c r="F40" s="138"/>
      <c r="G40" s="138"/>
      <c r="H40" s="138"/>
      <c r="I40" s="138"/>
    </row>
    <row r="41" spans="1:9" x14ac:dyDescent="0.25">
      <c r="F41" s="138"/>
      <c r="G41" s="138"/>
      <c r="H41" s="138"/>
      <c r="I41" s="138"/>
    </row>
    <row r="42" spans="1:9" x14ac:dyDescent="0.25">
      <c r="F42" s="138"/>
      <c r="G42" s="138"/>
      <c r="H42" s="138"/>
      <c r="I42" s="138"/>
    </row>
    <row r="43" spans="1:9" x14ac:dyDescent="0.25">
      <c r="F43" s="138"/>
      <c r="G43" s="138"/>
      <c r="H43" s="138"/>
      <c r="I43" s="138"/>
    </row>
    <row r="44" spans="1:9" x14ac:dyDescent="0.25">
      <c r="F44" s="138"/>
      <c r="G44" s="138"/>
      <c r="H44" s="138"/>
      <c r="I44" s="138"/>
    </row>
    <row r="45" spans="1:9" x14ac:dyDescent="0.25">
      <c r="F45" s="138"/>
      <c r="G45" s="138"/>
      <c r="H45" s="138"/>
      <c r="I45" s="138"/>
    </row>
    <row r="46" spans="1:9" x14ac:dyDescent="0.25">
      <c r="F46" s="138"/>
      <c r="G46" s="138"/>
      <c r="H46" s="138"/>
      <c r="I46" s="138"/>
    </row>
    <row r="47" spans="1:9" x14ac:dyDescent="0.25">
      <c r="F47" s="138"/>
      <c r="G47" s="138"/>
      <c r="H47" s="138"/>
      <c r="I47" s="138"/>
    </row>
    <row r="48" spans="1:9" x14ac:dyDescent="0.25">
      <c r="F48" s="138"/>
      <c r="G48" s="138"/>
      <c r="H48" s="138"/>
      <c r="I48" s="138"/>
    </row>
    <row r="49" spans="1:9" x14ac:dyDescent="0.25">
      <c r="F49" s="138"/>
      <c r="G49" s="138"/>
      <c r="H49" s="138"/>
      <c r="I49" s="138"/>
    </row>
    <row r="50" spans="1:9" x14ac:dyDescent="0.25">
      <c r="F50" s="138"/>
      <c r="G50" s="138"/>
      <c r="H50" s="138"/>
      <c r="I50" s="138"/>
    </row>
    <row r="51" spans="1:9" x14ac:dyDescent="0.25">
      <c r="F51" s="138"/>
      <c r="G51" s="138"/>
      <c r="H51" s="138"/>
      <c r="I51" s="138"/>
    </row>
    <row r="52" spans="1:9" x14ac:dyDescent="0.25">
      <c r="F52" s="138"/>
      <c r="G52" s="138"/>
      <c r="H52" s="138"/>
      <c r="I52" s="138"/>
    </row>
    <row r="53" spans="1:9" x14ac:dyDescent="0.25">
      <c r="F53" s="138"/>
      <c r="G53" s="138"/>
      <c r="H53" s="138"/>
      <c r="I53" s="138"/>
    </row>
    <row r="54" spans="1:9" x14ac:dyDescent="0.25">
      <c r="F54" s="138"/>
      <c r="G54" s="138"/>
      <c r="H54" s="138"/>
      <c r="I54" s="138"/>
    </row>
    <row r="55" spans="1:9" x14ac:dyDescent="0.25">
      <c r="F55" s="138"/>
      <c r="G55" s="138"/>
      <c r="H55" s="138"/>
      <c r="I55" s="138"/>
    </row>
    <row r="56" spans="1:9" x14ac:dyDescent="0.25">
      <c r="F56" s="138"/>
      <c r="G56" s="138"/>
      <c r="H56" s="138"/>
      <c r="I56" s="138"/>
    </row>
    <row r="57" spans="1:9" x14ac:dyDescent="0.25">
      <c r="F57" s="138"/>
      <c r="G57" s="138"/>
      <c r="H57" s="138"/>
      <c r="I57" s="138"/>
    </row>
    <row r="58" spans="1:9" x14ac:dyDescent="0.25">
      <c r="A58" s="122"/>
      <c r="B58" s="13"/>
      <c r="C58" s="133"/>
    </row>
    <row r="59" spans="1:9" x14ac:dyDescent="0.25">
      <c r="A59" s="122"/>
      <c r="B59" s="13"/>
      <c r="C59" s="133"/>
    </row>
    <row r="60" spans="1:9" x14ac:dyDescent="0.25">
      <c r="A60" s="122"/>
      <c r="B60" s="13"/>
      <c r="C60" s="133"/>
    </row>
    <row r="61" spans="1:9" x14ac:dyDescent="0.25">
      <c r="A61" s="122"/>
      <c r="B61" s="13"/>
      <c r="C61" s="133"/>
    </row>
    <row r="62" spans="1:9" x14ac:dyDescent="0.25">
      <c r="A62" s="122"/>
      <c r="B62" s="13"/>
      <c r="C62" s="133"/>
    </row>
    <row r="63" spans="1:9" x14ac:dyDescent="0.25">
      <c r="A63" s="122"/>
      <c r="B63" s="13"/>
      <c r="C63" s="133"/>
    </row>
    <row r="64" spans="1:9" x14ac:dyDescent="0.25">
      <c r="A64" s="122"/>
      <c r="B64" s="13"/>
      <c r="C64" s="133"/>
    </row>
    <row r="65" spans="1:3" x14ac:dyDescent="0.25">
      <c r="A65" s="122"/>
      <c r="B65" s="13"/>
      <c r="C65" s="133"/>
    </row>
    <row r="66" spans="1:3" x14ac:dyDescent="0.25">
      <c r="A66" s="122"/>
      <c r="B66" s="13"/>
      <c r="C66" s="133"/>
    </row>
    <row r="67" spans="1:3" x14ac:dyDescent="0.25">
      <c r="A67" s="122"/>
      <c r="B67" s="13"/>
      <c r="C67" s="133"/>
    </row>
    <row r="68" spans="1:3" x14ac:dyDescent="0.25">
      <c r="A68" s="122"/>
      <c r="B68" s="13"/>
      <c r="C68" s="132"/>
    </row>
    <row r="69" spans="1:3" x14ac:dyDescent="0.25">
      <c r="A69" s="122"/>
      <c r="B69" s="13"/>
      <c r="C69" s="133"/>
    </row>
    <row r="70" spans="1:3" x14ac:dyDescent="0.25">
      <c r="A70" s="122"/>
      <c r="B70" s="13"/>
      <c r="C70" s="133"/>
    </row>
    <row r="71" spans="1:3" x14ac:dyDescent="0.25">
      <c r="A71" s="122"/>
      <c r="B71" s="13"/>
      <c r="C71" s="133"/>
    </row>
    <row r="72" spans="1:3" x14ac:dyDescent="0.25">
      <c r="A72" s="122"/>
      <c r="B72" s="13"/>
      <c r="C72" s="133"/>
    </row>
    <row r="73" spans="1:3" x14ac:dyDescent="0.25">
      <c r="A73" s="122"/>
      <c r="B73" s="13"/>
      <c r="C73" s="133"/>
    </row>
    <row r="74" spans="1:3" x14ac:dyDescent="0.25">
      <c r="A74" s="122"/>
      <c r="B74" s="13"/>
      <c r="C74" s="133"/>
    </row>
    <row r="75" spans="1:3" x14ac:dyDescent="0.25">
      <c r="A75" s="122"/>
      <c r="B75" s="13"/>
      <c r="C75" s="132"/>
    </row>
    <row r="76" spans="1:3" x14ac:dyDescent="0.25">
      <c r="A76" s="122"/>
      <c r="B76" s="13"/>
      <c r="C76" s="133"/>
    </row>
    <row r="77" spans="1:3" x14ac:dyDescent="0.25">
      <c r="A77" s="122"/>
      <c r="B77" s="13"/>
      <c r="C77" s="132"/>
    </row>
    <row r="78" spans="1:3" x14ac:dyDescent="0.25">
      <c r="A78" s="122"/>
      <c r="B78" s="13"/>
      <c r="C78" s="133"/>
    </row>
    <row r="79" spans="1:3" x14ac:dyDescent="0.25">
      <c r="A79" s="122"/>
      <c r="B79" s="13"/>
      <c r="C79" s="132"/>
    </row>
    <row r="80" spans="1:3" x14ac:dyDescent="0.25">
      <c r="A80" s="122"/>
      <c r="B80" s="13"/>
      <c r="C80" s="133"/>
    </row>
    <row r="81" spans="1:3" x14ac:dyDescent="0.25">
      <c r="A81" s="122"/>
      <c r="B81" s="13"/>
      <c r="C81" s="132"/>
    </row>
    <row r="82" spans="1:3" x14ac:dyDescent="0.25">
      <c r="A82" s="122"/>
      <c r="B82" s="13"/>
      <c r="C82" s="133"/>
    </row>
    <row r="83" spans="1:3" x14ac:dyDescent="0.25">
      <c r="A83" s="122"/>
      <c r="B83" s="13"/>
      <c r="C83" s="132"/>
    </row>
    <row r="84" spans="1:3" x14ac:dyDescent="0.25">
      <c r="A84" s="122"/>
      <c r="B84" s="13"/>
      <c r="C84" s="133"/>
    </row>
    <row r="85" spans="1:3" x14ac:dyDescent="0.25">
      <c r="A85" s="122"/>
      <c r="B85" s="13"/>
      <c r="C85" s="132"/>
    </row>
    <row r="86" spans="1:3" x14ac:dyDescent="0.25">
      <c r="A86" s="122"/>
      <c r="B86" s="13"/>
      <c r="C86" s="133"/>
    </row>
    <row r="87" spans="1:3" x14ac:dyDescent="0.25">
      <c r="A87" s="122"/>
      <c r="B87" s="13"/>
      <c r="C87" s="132"/>
    </row>
    <row r="88" spans="1:3" x14ac:dyDescent="0.25">
      <c r="A88" s="122"/>
      <c r="B88" s="13"/>
      <c r="C88" s="133"/>
    </row>
    <row r="89" spans="1:3" x14ac:dyDescent="0.25">
      <c r="A89" s="122"/>
      <c r="B89" s="13"/>
      <c r="C89" s="132"/>
    </row>
    <row r="90" spans="1:3" x14ac:dyDescent="0.25">
      <c r="A90" s="122"/>
      <c r="B90" s="13"/>
      <c r="C90" s="133"/>
    </row>
    <row r="91" spans="1:3" x14ac:dyDescent="0.25">
      <c r="A91" s="122"/>
      <c r="B91" s="13"/>
      <c r="C91" s="132"/>
    </row>
    <row r="92" spans="1:3" x14ac:dyDescent="0.25">
      <c r="A92" s="23"/>
      <c r="B92" s="13"/>
      <c r="C92" s="133"/>
    </row>
    <row r="93" spans="1:3" x14ac:dyDescent="0.25">
      <c r="A93" s="122"/>
      <c r="B93" s="13"/>
      <c r="C93" s="132"/>
    </row>
    <row r="94" spans="1:3" x14ac:dyDescent="0.25">
      <c r="A94" s="122"/>
      <c r="B94" s="13"/>
      <c r="C94" s="133"/>
    </row>
    <row r="95" spans="1:3" x14ac:dyDescent="0.25">
      <c r="A95" s="122"/>
      <c r="B95" s="13"/>
      <c r="C95" s="132"/>
    </row>
    <row r="96" spans="1:3" x14ac:dyDescent="0.25">
      <c r="A96" s="122"/>
      <c r="B96" s="13"/>
      <c r="C96" s="133"/>
    </row>
    <row r="97" spans="1:3" x14ac:dyDescent="0.25">
      <c r="A97" s="122"/>
      <c r="B97" s="13"/>
      <c r="C97" s="132"/>
    </row>
    <row r="98" spans="1:3" x14ac:dyDescent="0.25">
      <c r="A98" s="122"/>
      <c r="B98" s="13"/>
      <c r="C98" s="133"/>
    </row>
    <row r="99" spans="1:3" x14ac:dyDescent="0.25">
      <c r="A99" s="122"/>
      <c r="B99" s="13"/>
      <c r="C99" s="132"/>
    </row>
    <row r="100" spans="1:3" x14ac:dyDescent="0.25">
      <c r="A100" s="122"/>
      <c r="B100" s="13"/>
      <c r="C100" s="133"/>
    </row>
    <row r="101" spans="1:3" x14ac:dyDescent="0.25">
      <c r="A101" s="122"/>
      <c r="B101" s="13"/>
      <c r="C101" s="132"/>
    </row>
    <row r="102" spans="1:3" x14ac:dyDescent="0.25">
      <c r="A102" s="122"/>
      <c r="B102" s="13"/>
      <c r="C102" s="132"/>
    </row>
    <row r="103" spans="1:3" x14ac:dyDescent="0.25">
      <c r="A103" s="122"/>
      <c r="B103" s="13"/>
      <c r="C103" s="133"/>
    </row>
    <row r="104" spans="1:3" x14ac:dyDescent="0.25">
      <c r="A104" s="122"/>
      <c r="B104" s="13"/>
      <c r="C104" s="133"/>
    </row>
    <row r="105" spans="1:3" x14ac:dyDescent="0.25">
      <c r="A105" s="122"/>
      <c r="B105" s="13"/>
      <c r="C105" s="133"/>
    </row>
    <row r="106" spans="1:3" x14ac:dyDescent="0.25">
      <c r="A106" s="122"/>
      <c r="B106" s="13"/>
      <c r="C106" s="133"/>
    </row>
    <row r="107" spans="1:3" x14ac:dyDescent="0.25">
      <c r="A107" s="122"/>
      <c r="B107" s="13"/>
      <c r="C107" s="133"/>
    </row>
    <row r="108" spans="1:3" x14ac:dyDescent="0.25">
      <c r="A108" s="122"/>
      <c r="B108" s="13"/>
      <c r="C108" s="133"/>
    </row>
    <row r="109" spans="1:3" x14ac:dyDescent="0.25">
      <c r="A109" s="122"/>
      <c r="B109" s="13"/>
      <c r="C109" s="133"/>
    </row>
    <row r="110" spans="1:3" x14ac:dyDescent="0.25">
      <c r="A110" s="122"/>
      <c r="B110" s="13"/>
      <c r="C110" s="133"/>
    </row>
    <row r="111" spans="1:3" x14ac:dyDescent="0.25">
      <c r="A111" s="122"/>
      <c r="B111" s="13"/>
      <c r="C111" s="133"/>
    </row>
    <row r="112" spans="1:3" x14ac:dyDescent="0.25">
      <c r="A112" s="122"/>
      <c r="B112" s="13"/>
      <c r="C112" s="133"/>
    </row>
    <row r="113" spans="1:3" x14ac:dyDescent="0.25">
      <c r="A113" s="122"/>
      <c r="B113" s="13"/>
      <c r="C113" s="133"/>
    </row>
    <row r="114" spans="1:3" x14ac:dyDescent="0.25">
      <c r="A114" s="122"/>
      <c r="B114" s="13"/>
      <c r="C114" s="133"/>
    </row>
    <row r="115" spans="1:3" x14ac:dyDescent="0.25">
      <c r="A115" s="122"/>
      <c r="B115" s="13"/>
      <c r="C115" s="133"/>
    </row>
    <row r="116" spans="1:3" x14ac:dyDescent="0.25">
      <c r="A116" s="122"/>
      <c r="B116" s="13"/>
      <c r="C116" s="133"/>
    </row>
    <row r="117" spans="1:3" x14ac:dyDescent="0.25">
      <c r="A117" s="122"/>
      <c r="B117" s="13"/>
      <c r="C117" s="133"/>
    </row>
    <row r="118" spans="1:3" x14ac:dyDescent="0.25">
      <c r="A118" s="122"/>
      <c r="B118" s="13"/>
      <c r="C118" s="133"/>
    </row>
    <row r="119" spans="1:3" x14ac:dyDescent="0.25">
      <c r="A119" s="122"/>
      <c r="B119" s="13"/>
      <c r="C119" s="133"/>
    </row>
    <row r="120" spans="1:3" x14ac:dyDescent="0.25">
      <c r="A120" s="122"/>
      <c r="B120" s="13"/>
      <c r="C120" s="133"/>
    </row>
    <row r="121" spans="1:3" x14ac:dyDescent="0.25">
      <c r="A121" s="122"/>
      <c r="B121" s="13"/>
      <c r="C121" s="133"/>
    </row>
    <row r="122" spans="1:3" x14ac:dyDescent="0.25">
      <c r="A122" s="122"/>
      <c r="B122" s="13"/>
      <c r="C122" s="133"/>
    </row>
    <row r="123" spans="1:3" x14ac:dyDescent="0.25">
      <c r="A123" s="122"/>
      <c r="B123" s="13"/>
      <c r="C123" s="133"/>
    </row>
    <row r="124" spans="1:3" x14ac:dyDescent="0.25">
      <c r="A124" s="122"/>
      <c r="B124" s="156"/>
      <c r="C124" s="133"/>
    </row>
    <row r="125" spans="1:3" x14ac:dyDescent="0.25">
      <c r="A125" s="122"/>
      <c r="B125" s="13"/>
      <c r="C125" s="133"/>
    </row>
    <row r="126" spans="1:3" x14ac:dyDescent="0.25">
      <c r="A126" s="122"/>
      <c r="B126" s="13"/>
      <c r="C126" s="132"/>
    </row>
    <row r="127" spans="1:3" x14ac:dyDescent="0.25">
      <c r="A127" s="23"/>
      <c r="B127" s="13"/>
      <c r="C127" s="133"/>
    </row>
    <row r="128" spans="1:3" x14ac:dyDescent="0.25">
      <c r="A128" s="23"/>
      <c r="B128" s="13"/>
      <c r="C128" s="133"/>
    </row>
    <row r="129" spans="1:3" x14ac:dyDescent="0.25">
      <c r="A129" s="23"/>
      <c r="B129" s="13"/>
      <c r="C129" s="133"/>
    </row>
    <row r="130" spans="1:3" x14ac:dyDescent="0.25">
      <c r="A130" s="122"/>
      <c r="B130" s="13"/>
      <c r="C130" s="133"/>
    </row>
    <row r="131" spans="1:3" x14ac:dyDescent="0.25">
      <c r="A131" s="122"/>
      <c r="B131" s="13"/>
      <c r="C131" s="133"/>
    </row>
    <row r="132" spans="1:3" x14ac:dyDescent="0.25">
      <c r="A132" s="122"/>
      <c r="B132" s="13"/>
      <c r="C132" s="133"/>
    </row>
    <row r="133" spans="1:3" x14ac:dyDescent="0.25">
      <c r="A133" s="122"/>
      <c r="B133" s="13"/>
      <c r="C133" s="133"/>
    </row>
    <row r="134" spans="1:3" x14ac:dyDescent="0.25">
      <c r="A134" s="122"/>
      <c r="B134" s="13"/>
      <c r="C134" s="133"/>
    </row>
    <row r="135" spans="1:3" x14ac:dyDescent="0.25">
      <c r="A135" s="122"/>
      <c r="B135" s="13"/>
      <c r="C135" s="133"/>
    </row>
    <row r="136" spans="1:3" x14ac:dyDescent="0.25">
      <c r="A136" s="122"/>
      <c r="B136" s="13"/>
      <c r="C136" s="133"/>
    </row>
    <row r="137" spans="1:3" x14ac:dyDescent="0.25">
      <c r="A137" s="122"/>
      <c r="B137" s="13"/>
      <c r="C137" s="132"/>
    </row>
    <row r="138" spans="1:3" x14ac:dyDescent="0.25">
      <c r="A138" s="122"/>
      <c r="B138" s="137"/>
      <c r="C138" s="133"/>
    </row>
    <row r="139" spans="1:3" x14ac:dyDescent="0.25">
      <c r="A139" s="122"/>
      <c r="B139" s="13"/>
      <c r="C139" s="132"/>
    </row>
    <row r="140" spans="1:3" x14ac:dyDescent="0.25">
      <c r="A140" s="122"/>
      <c r="B140" s="13"/>
      <c r="C140" s="133"/>
    </row>
    <row r="141" spans="1:3" x14ac:dyDescent="0.25">
      <c r="A141" s="122"/>
      <c r="B141" s="13"/>
      <c r="C141" s="133"/>
    </row>
    <row r="142" spans="1:3" x14ac:dyDescent="0.25">
      <c r="A142" s="122"/>
      <c r="B142" s="13"/>
      <c r="C142" s="132"/>
    </row>
    <row r="143" spans="1:3" x14ac:dyDescent="0.25">
      <c r="A143" s="122"/>
      <c r="B143" s="13"/>
      <c r="C143" s="133"/>
    </row>
    <row r="144" spans="1:3" x14ac:dyDescent="0.25">
      <c r="A144" s="122"/>
      <c r="B144" s="13"/>
      <c r="C144" s="133"/>
    </row>
    <row r="145" spans="3:3" x14ac:dyDescent="0.25">
      <c r="C145" s="132"/>
    </row>
    <row r="146" spans="3:3" x14ac:dyDescent="0.25">
      <c r="C146" s="132"/>
    </row>
    <row r="147" spans="3:3" x14ac:dyDescent="0.25">
      <c r="C147" s="132"/>
    </row>
    <row r="148" spans="3:3" x14ac:dyDescent="0.25">
      <c r="C148" s="132"/>
    </row>
    <row r="149" spans="3:3" x14ac:dyDescent="0.25">
      <c r="C149" s="132"/>
    </row>
    <row r="150" spans="3:3" x14ac:dyDescent="0.25">
      <c r="C150" s="132"/>
    </row>
    <row r="151" spans="3:3" x14ac:dyDescent="0.25">
      <c r="C151" s="132"/>
    </row>
    <row r="152" spans="3:3" x14ac:dyDescent="0.25">
      <c r="C152" s="132"/>
    </row>
    <row r="153" spans="3:3" x14ac:dyDescent="0.25">
      <c r="C153" s="132"/>
    </row>
    <row r="154" spans="3:3" x14ac:dyDescent="0.25">
      <c r="C154" s="132"/>
    </row>
    <row r="155" spans="3:3" x14ac:dyDescent="0.25">
      <c r="C155" s="132"/>
    </row>
    <row r="156" spans="3:3" x14ac:dyDescent="0.25">
      <c r="C156" s="132"/>
    </row>
    <row r="157" spans="3:3" x14ac:dyDescent="0.25">
      <c r="C157" s="132"/>
    </row>
    <row r="158" spans="3:3" x14ac:dyDescent="0.25">
      <c r="C158" s="132"/>
    </row>
    <row r="159" spans="3:3" x14ac:dyDescent="0.25">
      <c r="C159" s="132"/>
    </row>
    <row r="160" spans="3:3" x14ac:dyDescent="0.25">
      <c r="C160" s="132"/>
    </row>
    <row r="161" spans="3:3" x14ac:dyDescent="0.25">
      <c r="C161" s="132"/>
    </row>
    <row r="162" spans="3:3" x14ac:dyDescent="0.25">
      <c r="C162" s="132"/>
    </row>
    <row r="163" spans="3:3" x14ac:dyDescent="0.25">
      <c r="C163" s="132"/>
    </row>
    <row r="164" spans="3:3" x14ac:dyDescent="0.25">
      <c r="C164" s="132"/>
    </row>
    <row r="165" spans="3:3" x14ac:dyDescent="0.25">
      <c r="C165" s="132"/>
    </row>
    <row r="166" spans="3:3" x14ac:dyDescent="0.25">
      <c r="C166" s="132"/>
    </row>
    <row r="167" spans="3:3" x14ac:dyDescent="0.25">
      <c r="C167" s="132"/>
    </row>
    <row r="168" spans="3:3" x14ac:dyDescent="0.25">
      <c r="C168" s="132"/>
    </row>
    <row r="169" spans="3:3" x14ac:dyDescent="0.25">
      <c r="C169" s="132"/>
    </row>
    <row r="170" spans="3:3" x14ac:dyDescent="0.25">
      <c r="C170" s="132"/>
    </row>
    <row r="171" spans="3:3" x14ac:dyDescent="0.25">
      <c r="C171" s="132"/>
    </row>
    <row r="172" spans="3:3" x14ac:dyDescent="0.25">
      <c r="C172" s="132"/>
    </row>
    <row r="173" spans="3:3" x14ac:dyDescent="0.25">
      <c r="C173" s="132"/>
    </row>
    <row r="174" spans="3:3" x14ac:dyDescent="0.25">
      <c r="C174" s="132"/>
    </row>
    <row r="175" spans="3:3" x14ac:dyDescent="0.25">
      <c r="C175" s="132"/>
    </row>
    <row r="176" spans="3:3" x14ac:dyDescent="0.25">
      <c r="C176" s="132"/>
    </row>
    <row r="177" spans="3:3" x14ac:dyDescent="0.25">
      <c r="C177" s="132"/>
    </row>
    <row r="178" spans="3:3" x14ac:dyDescent="0.25">
      <c r="C178" s="132"/>
    </row>
    <row r="179" spans="3:3" x14ac:dyDescent="0.25">
      <c r="C179" s="132"/>
    </row>
    <row r="180" spans="3:3" x14ac:dyDescent="0.25">
      <c r="C180" s="132"/>
    </row>
    <row r="181" spans="3:3" x14ac:dyDescent="0.25">
      <c r="C181" s="132"/>
    </row>
    <row r="182" spans="3:3" x14ac:dyDescent="0.25">
      <c r="C182" s="132"/>
    </row>
    <row r="183" spans="3:3" x14ac:dyDescent="0.25">
      <c r="C183" s="132"/>
    </row>
    <row r="184" spans="3:3" x14ac:dyDescent="0.25">
      <c r="C184" s="132"/>
    </row>
    <row r="185" spans="3:3" x14ac:dyDescent="0.25">
      <c r="C185" s="132"/>
    </row>
    <row r="186" spans="3:3" x14ac:dyDescent="0.25">
      <c r="C186" s="132"/>
    </row>
    <row r="187" spans="3:3" x14ac:dyDescent="0.25">
      <c r="C187" s="132"/>
    </row>
    <row r="188" spans="3:3" x14ac:dyDescent="0.25">
      <c r="C188" s="132"/>
    </row>
    <row r="189" spans="3:3" x14ac:dyDescent="0.25">
      <c r="C189" s="132"/>
    </row>
    <row r="190" spans="3:3" x14ac:dyDescent="0.25">
      <c r="C190" s="132"/>
    </row>
    <row r="191" spans="3:3" x14ac:dyDescent="0.25">
      <c r="C191" s="132"/>
    </row>
    <row r="192" spans="3:3" x14ac:dyDescent="0.25">
      <c r="C192" s="132"/>
    </row>
    <row r="193" spans="3:3" x14ac:dyDescent="0.25">
      <c r="C193" s="132"/>
    </row>
    <row r="194" spans="3:3" x14ac:dyDescent="0.25">
      <c r="C194" s="132"/>
    </row>
    <row r="195" spans="3:3" x14ac:dyDescent="0.25">
      <c r="C195" s="132"/>
    </row>
    <row r="196" spans="3:3" x14ac:dyDescent="0.25">
      <c r="C196" s="132"/>
    </row>
    <row r="197" spans="3:3" x14ac:dyDescent="0.25">
      <c r="C197" s="132"/>
    </row>
    <row r="198" spans="3:3" x14ac:dyDescent="0.25">
      <c r="C198" s="132"/>
    </row>
    <row r="199" spans="3:3" x14ac:dyDescent="0.25">
      <c r="C199" s="132"/>
    </row>
    <row r="200" spans="3:3" x14ac:dyDescent="0.25">
      <c r="C200" s="132"/>
    </row>
    <row r="201" spans="3:3" x14ac:dyDescent="0.25">
      <c r="C201" s="132"/>
    </row>
    <row r="202" spans="3:3" x14ac:dyDescent="0.25">
      <c r="C202" s="132"/>
    </row>
    <row r="203" spans="3:3" x14ac:dyDescent="0.25">
      <c r="C203" s="132"/>
    </row>
    <row r="204" spans="3:3" x14ac:dyDescent="0.25">
      <c r="C204" s="132"/>
    </row>
  </sheetData>
  <mergeCells count="6">
    <mergeCell ref="A1:D1"/>
    <mergeCell ref="C8:C16"/>
    <mergeCell ref="B3:C3"/>
    <mergeCell ref="C30:C38"/>
    <mergeCell ref="C18:C28"/>
    <mergeCell ref="A2:D2"/>
  </mergeCells>
  <phoneticPr fontId="15" type="noConversion"/>
  <printOptions horizontalCentered="1"/>
  <pageMargins left="0.75" right="0.75" top="0.75" bottom="0.75" header="0.5" footer="0.5"/>
  <pageSetup paperSize="9" orientation="portrait" r:id="rId1"/>
  <headerFooter>
    <oddHeader>&amp;R&amp;"Arial,Regular"&amp;8(Integrated Building BSR 2022 Rajasthan)</oddHeader>
    <oddFooter>&amp;L&amp;"Arial,Regular"&amp;A&amp;R&amp;"Arial,Regular"[&amp;P]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61</vt:i4>
      </vt:variant>
    </vt:vector>
  </HeadingPairs>
  <TitlesOfParts>
    <vt:vector size="93" baseType="lpstr">
      <vt:lpstr>input (Machinery)</vt:lpstr>
      <vt:lpstr>input (Labour)</vt:lpstr>
      <vt:lpstr>input (Material)</vt:lpstr>
      <vt:lpstr>G-4-1</vt:lpstr>
      <vt:lpstr>G-4-2</vt:lpstr>
      <vt:lpstr>G-5</vt:lpstr>
      <vt:lpstr>BSR_B1</vt:lpstr>
      <vt:lpstr>BSR_B2</vt:lpstr>
      <vt:lpstr>BSR_B3</vt:lpstr>
      <vt:lpstr>BSR_B4</vt:lpstr>
      <vt:lpstr>BSR_B5</vt:lpstr>
      <vt:lpstr>BSR_B6</vt:lpstr>
      <vt:lpstr>BSR_B7</vt:lpstr>
      <vt:lpstr>BSR_B8</vt:lpstr>
      <vt:lpstr>BSR_B9</vt:lpstr>
      <vt:lpstr>BSR_B10</vt:lpstr>
      <vt:lpstr>BSR_B11</vt:lpstr>
      <vt:lpstr>BSR_B12</vt:lpstr>
      <vt:lpstr>BSR_B13</vt:lpstr>
      <vt:lpstr>BSR_B14</vt:lpstr>
      <vt:lpstr>BSR_B15</vt:lpstr>
      <vt:lpstr>BSR_B16</vt:lpstr>
      <vt:lpstr>BSR_17</vt:lpstr>
      <vt:lpstr>BSR_S1</vt:lpstr>
      <vt:lpstr>BSR_S2</vt:lpstr>
      <vt:lpstr>BSR_S3</vt:lpstr>
      <vt:lpstr>BSR_S4</vt:lpstr>
      <vt:lpstr>H-1</vt:lpstr>
      <vt:lpstr>H-2</vt:lpstr>
      <vt:lpstr>H-3</vt:lpstr>
      <vt:lpstr>H-4</vt:lpstr>
      <vt:lpstr>H-5</vt:lpstr>
      <vt:lpstr>BSR_17!Print_Area</vt:lpstr>
      <vt:lpstr>BSR_B1!Print_Area</vt:lpstr>
      <vt:lpstr>BSR_B10!Print_Area</vt:lpstr>
      <vt:lpstr>BSR_B11!Print_Area</vt:lpstr>
      <vt:lpstr>BSR_B12!Print_Area</vt:lpstr>
      <vt:lpstr>BSR_B13!Print_Area</vt:lpstr>
      <vt:lpstr>BSR_B14!Print_Area</vt:lpstr>
      <vt:lpstr>BSR_B15!Print_Area</vt:lpstr>
      <vt:lpstr>BSR_B16!Print_Area</vt:lpstr>
      <vt:lpstr>BSR_B2!Print_Area</vt:lpstr>
      <vt:lpstr>BSR_B3!Print_Area</vt:lpstr>
      <vt:lpstr>BSR_B4!Print_Area</vt:lpstr>
      <vt:lpstr>BSR_B5!Print_Area</vt:lpstr>
      <vt:lpstr>BSR_B6!Print_Area</vt:lpstr>
      <vt:lpstr>BSR_B7!Print_Area</vt:lpstr>
      <vt:lpstr>BSR_B8!Print_Area</vt:lpstr>
      <vt:lpstr>BSR_B9!Print_Area</vt:lpstr>
      <vt:lpstr>BSR_S1!Print_Area</vt:lpstr>
      <vt:lpstr>BSR_S2!Print_Area</vt:lpstr>
      <vt:lpstr>BSR_S3!Print_Area</vt:lpstr>
      <vt:lpstr>BSR_S4!Print_Area</vt:lpstr>
      <vt:lpstr>'G-4-2'!Print_Area</vt:lpstr>
      <vt:lpstr>'G-5'!Print_Area</vt:lpstr>
      <vt:lpstr>'H-1'!Print_Area</vt:lpstr>
      <vt:lpstr>'H-2'!Print_Area</vt:lpstr>
      <vt:lpstr>'H-3'!Print_Area</vt:lpstr>
      <vt:lpstr>'H-4'!Print_Area</vt:lpstr>
      <vt:lpstr>'H-5'!Print_Area</vt:lpstr>
      <vt:lpstr>'input (Labour)'!Print_Area</vt:lpstr>
      <vt:lpstr>'input (Machinery)'!Print_Area</vt:lpstr>
      <vt:lpstr>'input (Material)'!Print_Area</vt:lpstr>
      <vt:lpstr>BSR_17!Print_Titles</vt:lpstr>
      <vt:lpstr>BSR_B1!Print_Titles</vt:lpstr>
      <vt:lpstr>BSR_B10!Print_Titles</vt:lpstr>
      <vt:lpstr>BSR_B11!Print_Titles</vt:lpstr>
      <vt:lpstr>BSR_B12!Print_Titles</vt:lpstr>
      <vt:lpstr>BSR_B13!Print_Titles</vt:lpstr>
      <vt:lpstr>BSR_B14!Print_Titles</vt:lpstr>
      <vt:lpstr>BSR_B15!Print_Titles</vt:lpstr>
      <vt:lpstr>BSR_B16!Print_Titles</vt:lpstr>
      <vt:lpstr>BSR_B2!Print_Titles</vt:lpstr>
      <vt:lpstr>BSR_B3!Print_Titles</vt:lpstr>
      <vt:lpstr>BSR_B4!Print_Titles</vt:lpstr>
      <vt:lpstr>BSR_B5!Print_Titles</vt:lpstr>
      <vt:lpstr>BSR_B6!Print_Titles</vt:lpstr>
      <vt:lpstr>BSR_B7!Print_Titles</vt:lpstr>
      <vt:lpstr>BSR_B8!Print_Titles</vt:lpstr>
      <vt:lpstr>BSR_B9!Print_Titles</vt:lpstr>
      <vt:lpstr>BSR_S1!Print_Titles</vt:lpstr>
      <vt:lpstr>BSR_S2!Print_Titles</vt:lpstr>
      <vt:lpstr>BSR_S3!Print_Titles</vt:lpstr>
      <vt:lpstr>BSR_S4!Print_Titles</vt:lpstr>
      <vt:lpstr>'G-4-2'!Print_Titles</vt:lpstr>
      <vt:lpstr>'G-5'!Print_Titles</vt:lpstr>
      <vt:lpstr>'H-1'!Print_Titles</vt:lpstr>
      <vt:lpstr>'H-2'!Print_Titles</vt:lpstr>
      <vt:lpstr>'H-3'!Print_Titles</vt:lpstr>
      <vt:lpstr>'H-5'!Print_Titles</vt:lpstr>
      <vt:lpstr>'input (Labour)'!Print_Titles</vt:lpstr>
      <vt:lpstr>'input (Machinery)'!Print_Titles</vt:lpstr>
      <vt:lpstr>'input (Material)'!Print_Titles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dc:creator>
  <cp:lastModifiedBy>Rajkumar</cp:lastModifiedBy>
  <cp:lastPrinted>2022-08-17T11:22:43Z</cp:lastPrinted>
  <dcterms:created xsi:type="dcterms:W3CDTF">2008-10-25T11:13:56Z</dcterms:created>
  <dcterms:modified xsi:type="dcterms:W3CDTF">2025-10-26T19:56:22Z</dcterms:modified>
</cp:coreProperties>
</file>