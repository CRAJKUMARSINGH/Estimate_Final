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COURT BUILDING NATHDWARA\"/>
    </mc:Choice>
  </mc:AlternateContent>
  <bookViews>
    <workbookView visibility="hidden" xWindow="-15" yWindow="1680" windowWidth="9570" windowHeight="3105" tabRatio="880" firstSheet="3" activeTab="3"/>
    <workbookView visibility="hidden" xWindow="240" yWindow="210" windowWidth="9720" windowHeight="6345" tabRatio="922" activeTab="1"/>
    <workbookView xWindow="-15" yWindow="-15" windowWidth="4770" windowHeight="4800" tabRatio="921" activeTab="2"/>
  </bookViews>
  <sheets>
    <sheet name="tech report" sheetId="37" r:id="rId1"/>
    <sheet name="gen-abstract" sheetId="21" r:id="rId2"/>
    <sheet name="GF1_ABS" sheetId="5" r:id="rId3"/>
    <sheet name="GF1_MES" sheetId="6" r:id="rId4"/>
    <sheet name="sanitary-abs" sheetId="22" r:id="rId5"/>
    <sheet name="sanitary_MEASUR" sheetId="23" r:id="rId6"/>
  </sheets>
  <definedNames>
    <definedName name="_xlnm.Print_Titles" localSheetId="2">GF1_ABS!$4:$4</definedName>
    <definedName name="_xlnm.Print_Titles" localSheetId="3">GF1_MES!$4:$4</definedName>
    <definedName name="_xlnm.Print_Titles" localSheetId="5">sanitary_MEASUR!$4:$4</definedName>
    <definedName name="_xlnm.Print_Titles" localSheetId="4">'sanitary-abs'!$4:$4</definedName>
  </definedNames>
  <calcPr calcId="152511" fullCalcOnLoad="1"/>
</workbook>
</file>

<file path=xl/calcChain.xml><?xml version="1.0" encoding="utf-8"?>
<calcChain xmlns="http://schemas.openxmlformats.org/spreadsheetml/2006/main">
  <c r="A1" i="5" l="1"/>
  <c r="A6" i="5"/>
  <c r="A11" i="5"/>
  <c r="A12" i="5"/>
  <c r="A14" i="5"/>
  <c r="A15" i="5" s="1"/>
  <c r="E14" i="5"/>
  <c r="A17" i="5"/>
  <c r="E17" i="5"/>
  <c r="A18" i="5"/>
  <c r="E18" i="5"/>
  <c r="A22" i="5"/>
  <c r="E22" i="5"/>
  <c r="E23" i="5"/>
  <c r="A25" i="5"/>
  <c r="A29" i="5"/>
  <c r="B29" i="5"/>
  <c r="A31" i="5"/>
  <c r="A32" i="5"/>
  <c r="A33" i="5" s="1"/>
  <c r="G38" i="5"/>
  <c r="A41" i="5"/>
  <c r="E42" i="5"/>
  <c r="A44" i="5"/>
  <c r="A45" i="5"/>
  <c r="A46" i="5" s="1"/>
  <c r="B52" i="5"/>
  <c r="C54" i="5"/>
  <c r="G54" i="5" s="1"/>
  <c r="A1" i="6"/>
  <c r="K8" i="6"/>
  <c r="K9" i="6"/>
  <c r="K10" i="6"/>
  <c r="K11" i="6"/>
  <c r="K12" i="6"/>
  <c r="K13" i="6"/>
  <c r="K28" i="6" s="1"/>
  <c r="K14" i="6"/>
  <c r="K15" i="6"/>
  <c r="K16" i="6"/>
  <c r="K17" i="6"/>
  <c r="K18" i="6"/>
  <c r="K20" i="6"/>
  <c r="K21" i="6"/>
  <c r="K22" i="6"/>
  <c r="K23" i="6"/>
  <c r="K24" i="6"/>
  <c r="K25" i="6"/>
  <c r="K26" i="6"/>
  <c r="K27" i="6"/>
  <c r="K31" i="6"/>
  <c r="K32" i="6"/>
  <c r="K33" i="6" s="1"/>
  <c r="K35" i="6"/>
  <c r="K36" i="6"/>
  <c r="K37" i="6"/>
  <c r="K38" i="6"/>
  <c r="K39" i="6"/>
  <c r="E358" i="6" s="1"/>
  <c r="K358" i="6" s="1"/>
  <c r="K41" i="6"/>
  <c r="K53" i="6" s="1"/>
  <c r="K42" i="6"/>
  <c r="K43" i="6"/>
  <c r="K44" i="6"/>
  <c r="K45" i="6"/>
  <c r="K47" i="6"/>
  <c r="K48" i="6"/>
  <c r="K49" i="6"/>
  <c r="K50" i="6"/>
  <c r="K51" i="6"/>
  <c r="K52" i="6"/>
  <c r="K55" i="6"/>
  <c r="K56" i="6"/>
  <c r="K57" i="6"/>
  <c r="K58" i="6"/>
  <c r="K59" i="6"/>
  <c r="E156" i="6" s="1"/>
  <c r="K156" i="6" s="1"/>
  <c r="K63" i="6"/>
  <c r="A68" i="6"/>
  <c r="K76" i="6"/>
  <c r="K77" i="6"/>
  <c r="K78" i="6"/>
  <c r="K79" i="6"/>
  <c r="K80" i="6"/>
  <c r="K81" i="6"/>
  <c r="K82" i="6"/>
  <c r="K83" i="6"/>
  <c r="K84" i="6"/>
  <c r="K85" i="6"/>
  <c r="K86" i="6"/>
  <c r="K87" i="6"/>
  <c r="K88" i="6"/>
  <c r="K89" i="6"/>
  <c r="K90" i="6"/>
  <c r="C10" i="5" s="1"/>
  <c r="G10" i="5" s="1"/>
  <c r="A91" i="6"/>
  <c r="A97" i="6"/>
  <c r="I100" i="6"/>
  <c r="I101" i="6"/>
  <c r="A103" i="6"/>
  <c r="A119" i="6" s="1"/>
  <c r="K113" i="6"/>
  <c r="E114" i="6"/>
  <c r="K114" i="6"/>
  <c r="C115" i="6"/>
  <c r="C116" i="6" s="1"/>
  <c r="E115" i="6"/>
  <c r="E116" i="6" s="1"/>
  <c r="K125" i="6"/>
  <c r="K126" i="6"/>
  <c r="K127" i="6"/>
  <c r="K128" i="6"/>
  <c r="K129" i="6"/>
  <c r="K130" i="6"/>
  <c r="K131" i="6"/>
  <c r="K132" i="6"/>
  <c r="K133" i="6"/>
  <c r="K134" i="6"/>
  <c r="K135" i="6"/>
  <c r="K136" i="6"/>
  <c r="K137" i="6"/>
  <c r="K138" i="6"/>
  <c r="K139" i="6"/>
  <c r="K140" i="6"/>
  <c r="K141" i="6"/>
  <c r="K142" i="6"/>
  <c r="B147" i="6"/>
  <c r="K148" i="6"/>
  <c r="K149" i="6" s="1"/>
  <c r="C16" i="5" s="1"/>
  <c r="G16" i="5" s="1"/>
  <c r="A150" i="6"/>
  <c r="A168" i="6" s="1"/>
  <c r="E152" i="6"/>
  <c r="K152" i="6" s="1"/>
  <c r="K153" i="6"/>
  <c r="K154" i="6"/>
  <c r="K155" i="6"/>
  <c r="K159" i="6"/>
  <c r="K160" i="6"/>
  <c r="K161" i="6"/>
  <c r="K162" i="6"/>
  <c r="K163" i="6"/>
  <c r="K169" i="6"/>
  <c r="K170" i="6"/>
  <c r="K171" i="6"/>
  <c r="K172" i="6" s="1"/>
  <c r="C18" i="5" s="1"/>
  <c r="G18" i="5" s="1"/>
  <c r="K185" i="6"/>
  <c r="K186" i="6"/>
  <c r="K187" i="6"/>
  <c r="K188" i="6"/>
  <c r="K189" i="6"/>
  <c r="K190" i="6"/>
  <c r="K191" i="6"/>
  <c r="K192" i="6"/>
  <c r="K193" i="6"/>
  <c r="K194" i="6"/>
  <c r="K196" i="6"/>
  <c r="C206" i="6" s="1"/>
  <c r="K197" i="6"/>
  <c r="K198" i="6"/>
  <c r="K199" i="6"/>
  <c r="K200" i="6"/>
  <c r="K201" i="6"/>
  <c r="K202" i="6"/>
  <c r="K203" i="6"/>
  <c r="K204" i="6"/>
  <c r="K205" i="6"/>
  <c r="K208" i="6"/>
  <c r="K209" i="6"/>
  <c r="K210" i="6"/>
  <c r="K211" i="6"/>
  <c r="K212" i="6"/>
  <c r="K213" i="6"/>
  <c r="K214" i="6"/>
  <c r="K215" i="6"/>
  <c r="K216" i="6"/>
  <c r="K217" i="6"/>
  <c r="K218" i="6"/>
  <c r="K219" i="6"/>
  <c r="K220" i="6"/>
  <c r="K221" i="6"/>
  <c r="K222" i="6"/>
  <c r="K223" i="6"/>
  <c r="K225" i="6"/>
  <c r="K226" i="6"/>
  <c r="K227" i="6"/>
  <c r="K228" i="6"/>
  <c r="K229" i="6"/>
  <c r="K231" i="6"/>
  <c r="K232" i="6"/>
  <c r="C251" i="6" s="1"/>
  <c r="K233" i="6"/>
  <c r="K234" i="6"/>
  <c r="K235" i="6"/>
  <c r="K236" i="6"/>
  <c r="K237" i="6"/>
  <c r="K238" i="6"/>
  <c r="K239" i="6"/>
  <c r="K240" i="6"/>
  <c r="K241" i="6"/>
  <c r="K242" i="6"/>
  <c r="K243" i="6"/>
  <c r="K244" i="6"/>
  <c r="K245" i="6"/>
  <c r="K246" i="6"/>
  <c r="K247" i="6"/>
  <c r="K248" i="6"/>
  <c r="K249" i="6"/>
  <c r="B252" i="6"/>
  <c r="K254" i="6"/>
  <c r="K255" i="6"/>
  <c r="K256" i="6"/>
  <c r="K257" i="6"/>
  <c r="K297" i="6" s="1"/>
  <c r="K258" i="6"/>
  <c r="K259" i="6"/>
  <c r="K260" i="6"/>
  <c r="K261" i="6"/>
  <c r="K262" i="6"/>
  <c r="K263" i="6"/>
  <c r="K264" i="6"/>
  <c r="K265" i="6"/>
  <c r="K266" i="6"/>
  <c r="K267" i="6"/>
  <c r="K268" i="6"/>
  <c r="K269" i="6"/>
  <c r="K271" i="6"/>
  <c r="K272" i="6"/>
  <c r="K273" i="6"/>
  <c r="K274" i="6"/>
  <c r="K275" i="6"/>
  <c r="K277" i="6"/>
  <c r="K278" i="6"/>
  <c r="K279" i="6"/>
  <c r="K280" i="6"/>
  <c r="K281" i="6"/>
  <c r="K282" i="6"/>
  <c r="K283" i="6"/>
  <c r="K284" i="6"/>
  <c r="K285" i="6"/>
  <c r="K286" i="6"/>
  <c r="K287" i="6"/>
  <c r="K288" i="6"/>
  <c r="K289" i="6"/>
  <c r="K290" i="6"/>
  <c r="K291" i="6"/>
  <c r="K292" i="6"/>
  <c r="K293" i="6"/>
  <c r="K294" i="6"/>
  <c r="K295" i="6"/>
  <c r="K296" i="6"/>
  <c r="K304" i="6"/>
  <c r="K305" i="6"/>
  <c r="K306" i="6"/>
  <c r="K307" i="6"/>
  <c r="K308" i="6"/>
  <c r="K309" i="6"/>
  <c r="K310" i="6"/>
  <c r="K311" i="6"/>
  <c r="K312" i="6"/>
  <c r="K313" i="6"/>
  <c r="K316" i="6"/>
  <c r="A320" i="6"/>
  <c r="K327" i="6"/>
  <c r="K328" i="6"/>
  <c r="K329" i="6"/>
  <c r="C357" i="6" s="1"/>
  <c r="C436" i="6" s="1"/>
  <c r="K436" i="6" s="1"/>
  <c r="K437" i="6" s="1"/>
  <c r="C36" i="5" s="1"/>
  <c r="G36" i="5" s="1"/>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62" i="6"/>
  <c r="K363" i="6"/>
  <c r="K364" i="6"/>
  <c r="K365" i="6"/>
  <c r="K366" i="6"/>
  <c r="K367" i="6"/>
  <c r="K368" i="6"/>
  <c r="K369" i="6"/>
  <c r="K370" i="6"/>
  <c r="K371" i="6"/>
  <c r="K372" i="6"/>
  <c r="K373" i="6"/>
  <c r="K374" i="6"/>
  <c r="K375" i="6"/>
  <c r="K376" i="6"/>
  <c r="K377" i="6"/>
  <c r="G378" i="6" s="1"/>
  <c r="G381" i="6"/>
  <c r="K383" i="6"/>
  <c r="K395" i="6"/>
  <c r="K400" i="6" s="1"/>
  <c r="E401" i="6" s="1"/>
  <c r="K401" i="6" s="1"/>
  <c r="C29" i="5" s="1"/>
  <c r="G29" i="5" s="1"/>
  <c r="K396" i="6"/>
  <c r="K397" i="6"/>
  <c r="K398" i="6"/>
  <c r="K399" i="6"/>
  <c r="K403" i="6"/>
  <c r="K409" i="6" s="1"/>
  <c r="K404" i="6"/>
  <c r="K405" i="6"/>
  <c r="K406" i="6"/>
  <c r="K407" i="6"/>
  <c r="K408" i="6"/>
  <c r="A411" i="6"/>
  <c r="A419" i="6" s="1"/>
  <c r="A421" i="6" s="1"/>
  <c r="A431" i="6" s="1"/>
  <c r="A433" i="6" s="1"/>
  <c r="K412" i="6"/>
  <c r="K413" i="6"/>
  <c r="K414" i="6"/>
  <c r="K415" i="6"/>
  <c r="K416" i="6"/>
  <c r="K417" i="6"/>
  <c r="K418" i="6"/>
  <c r="C31" i="5" s="1"/>
  <c r="G31" i="5" s="1"/>
  <c r="G423" i="6"/>
  <c r="K423" i="6"/>
  <c r="G424" i="6"/>
  <c r="K424" i="6" s="1"/>
  <c r="G425" i="6"/>
  <c r="K425" i="6" s="1"/>
  <c r="G427" i="6"/>
  <c r="K427" i="6"/>
  <c r="G428" i="6"/>
  <c r="K428" i="6"/>
  <c r="G429" i="6"/>
  <c r="K429" i="6"/>
  <c r="B433" i="6"/>
  <c r="G434" i="6"/>
  <c r="G438" i="6"/>
  <c r="K439" i="6"/>
  <c r="K440" i="6"/>
  <c r="K441" i="6"/>
  <c r="K442" i="6"/>
  <c r="K443" i="6"/>
  <c r="K480" i="6" s="1"/>
  <c r="C37" i="5" s="1"/>
  <c r="G37" i="5" s="1"/>
  <c r="K444" i="6"/>
  <c r="K445" i="6"/>
  <c r="K446" i="6"/>
  <c r="K447" i="6"/>
  <c r="K448" i="6"/>
  <c r="K449" i="6"/>
  <c r="K450" i="6"/>
  <c r="K451" i="6"/>
  <c r="K452" i="6"/>
  <c r="K453" i="6"/>
  <c r="K454" i="6"/>
  <c r="K455" i="6"/>
  <c r="K456" i="6"/>
  <c r="K457" i="6"/>
  <c r="K458" i="6"/>
  <c r="K459" i="6"/>
  <c r="K460" i="6"/>
  <c r="K461" i="6"/>
  <c r="K462" i="6"/>
  <c r="K463" i="6"/>
  <c r="K465" i="6"/>
  <c r="K466" i="6"/>
  <c r="K467" i="6"/>
  <c r="K468" i="6"/>
  <c r="K469" i="6"/>
  <c r="K470" i="6"/>
  <c r="K471" i="6"/>
  <c r="K472" i="6"/>
  <c r="K473" i="6"/>
  <c r="K475" i="6"/>
  <c r="K476" i="6"/>
  <c r="K477" i="6"/>
  <c r="K478" i="6"/>
  <c r="K479" i="6"/>
  <c r="K483" i="6"/>
  <c r="K484" i="6"/>
  <c r="K485" i="6"/>
  <c r="K486" i="6"/>
  <c r="K487" i="6"/>
  <c r="K488" i="6"/>
  <c r="K490" i="6"/>
  <c r="C491" i="6"/>
  <c r="K491" i="6" s="1"/>
  <c r="E491" i="6"/>
  <c r="E492" i="6"/>
  <c r="K492" i="6" s="1"/>
  <c r="K493" i="6"/>
  <c r="C494" i="6"/>
  <c r="E494" i="6"/>
  <c r="K494" i="6" s="1"/>
  <c r="E495" i="6"/>
  <c r="K495" i="6" s="1"/>
  <c r="K496" i="6"/>
  <c r="C497" i="6"/>
  <c r="K497" i="6" s="1"/>
  <c r="E497" i="6"/>
  <c r="E498" i="6"/>
  <c r="K498" i="6" s="1"/>
  <c r="K499" i="6"/>
  <c r="C500" i="6"/>
  <c r="E500" i="6"/>
  <c r="K500" i="6" s="1"/>
  <c r="E501" i="6"/>
  <c r="K501" i="6" s="1"/>
  <c r="K502" i="6"/>
  <c r="C503" i="6"/>
  <c r="K503" i="6" s="1"/>
  <c r="E503" i="6"/>
  <c r="E504" i="6"/>
  <c r="K504" i="6"/>
  <c r="K507" i="6"/>
  <c r="K510" i="6" s="1"/>
  <c r="C40" i="5" s="1"/>
  <c r="G40" i="5" s="1"/>
  <c r="K508" i="6"/>
  <c r="K509" i="6"/>
  <c r="A511" i="6"/>
  <c r="K512" i="6"/>
  <c r="K513" i="6" s="1"/>
  <c r="A514" i="6"/>
  <c r="K515" i="6"/>
  <c r="K519" i="6" s="1"/>
  <c r="K516" i="6"/>
  <c r="K517" i="6"/>
  <c r="K518" i="6"/>
  <c r="B520" i="6"/>
  <c r="A525" i="6"/>
  <c r="B525" i="6"/>
  <c r="A527" i="6"/>
  <c r="A535" i="6" s="1"/>
  <c r="K531" i="6"/>
  <c r="K532" i="6"/>
  <c r="K533" i="6"/>
  <c r="K538" i="6"/>
  <c r="K539" i="6"/>
  <c r="K540" i="6"/>
  <c r="K541" i="6"/>
  <c r="K542" i="6"/>
  <c r="K543" i="6"/>
  <c r="K544" i="6"/>
  <c r="K545" i="6"/>
  <c r="K546" i="6"/>
  <c r="K547" i="6"/>
  <c r="C48" i="5" s="1"/>
  <c r="G48" i="5" s="1"/>
  <c r="K548" i="6"/>
  <c r="A551" i="6"/>
  <c r="K553" i="6"/>
  <c r="K554" i="6"/>
  <c r="K555" i="6"/>
  <c r="K556" i="6"/>
  <c r="E557" i="6"/>
  <c r="K557" i="6" s="1"/>
  <c r="K558" i="6" s="1"/>
  <c r="C51" i="5" s="1"/>
  <c r="G51" i="5" s="1"/>
  <c r="A559" i="6"/>
  <c r="K559" i="6"/>
  <c r="K560" i="6" s="1"/>
  <c r="C52" i="5" s="1"/>
  <c r="G52" i="5" s="1"/>
  <c r="E562" i="6"/>
  <c r="K562" i="6"/>
  <c r="K565" i="6"/>
  <c r="A1" i="23"/>
  <c r="K6" i="23"/>
  <c r="J6" i="23" s="1"/>
  <c r="A7" i="23"/>
  <c r="J7" i="23"/>
  <c r="K8" i="23"/>
  <c r="J8" i="23" s="1"/>
  <c r="A10" i="23"/>
  <c r="A13" i="23" s="1"/>
  <c r="J10" i="23"/>
  <c r="J11" i="23"/>
  <c r="K11" i="23"/>
  <c r="J12" i="23"/>
  <c r="K12" i="23"/>
  <c r="C13" i="23" s="1"/>
  <c r="K13" i="23" s="1"/>
  <c r="J13" i="23" s="1"/>
  <c r="J15" i="23"/>
  <c r="J16" i="23"/>
  <c r="K16" i="23"/>
  <c r="J17" i="23"/>
  <c r="K17" i="23"/>
  <c r="J18" i="23"/>
  <c r="J19" i="23"/>
  <c r="K20" i="23"/>
  <c r="K22" i="23" s="1"/>
  <c r="K21" i="23"/>
  <c r="J21" i="23" s="1"/>
  <c r="J23" i="23"/>
  <c r="K24" i="23"/>
  <c r="J24" i="23" s="1"/>
  <c r="K25" i="23"/>
  <c r="J25" i="23" s="1"/>
  <c r="K26" i="23"/>
  <c r="J26" i="23" s="1"/>
  <c r="A28" i="23"/>
  <c r="J28" i="23"/>
  <c r="J29" i="23"/>
  <c r="K30" i="23"/>
  <c r="K32" i="23" s="1"/>
  <c r="J31" i="23"/>
  <c r="K31" i="23"/>
  <c r="A33" i="23"/>
  <c r="A36" i="23" s="1"/>
  <c r="A40" i="23" s="1"/>
  <c r="J33" i="23"/>
  <c r="J34" i="23"/>
  <c r="K34" i="23"/>
  <c r="J35" i="23"/>
  <c r="K35" i="23"/>
  <c r="C15" i="22" s="1"/>
  <c r="G15" i="22" s="1"/>
  <c r="J36" i="23"/>
  <c r="K37" i="23"/>
  <c r="K39" i="23" s="1"/>
  <c r="J39" i="23" s="1"/>
  <c r="K38" i="23"/>
  <c r="J38" i="23" s="1"/>
  <c r="J40" i="23"/>
  <c r="J41" i="23"/>
  <c r="K41" i="23"/>
  <c r="J42" i="23"/>
  <c r="K42" i="23"/>
  <c r="J43" i="23"/>
  <c r="J44" i="23"/>
  <c r="J45" i="23"/>
  <c r="K45" i="23"/>
  <c r="K46" i="23"/>
  <c r="J46" i="23" s="1"/>
  <c r="J47" i="23"/>
  <c r="J48" i="23"/>
  <c r="K48" i="23"/>
  <c r="K49" i="23" s="1"/>
  <c r="J49" i="23" s="1"/>
  <c r="A50" i="23"/>
  <c r="J50" i="23"/>
  <c r="K51" i="23"/>
  <c r="J51" i="23" s="1"/>
  <c r="A52" i="23"/>
  <c r="A54" i="23" s="1"/>
  <c r="J52" i="23"/>
  <c r="J53" i="23"/>
  <c r="K53" i="23"/>
  <c r="J54" i="23"/>
  <c r="J56" i="23"/>
  <c r="K57" i="23"/>
  <c r="K59" i="23" s="1"/>
  <c r="J58" i="23"/>
  <c r="K58" i="23"/>
  <c r="J60" i="23"/>
  <c r="K61" i="23"/>
  <c r="J61" i="23" s="1"/>
  <c r="K62" i="23"/>
  <c r="J62" i="23" s="1"/>
  <c r="J63" i="23"/>
  <c r="K63" i="23"/>
  <c r="K64" i="23"/>
  <c r="J64" i="23" s="1"/>
  <c r="J65" i="23"/>
  <c r="K65" i="23"/>
  <c r="J66" i="23"/>
  <c r="K66" i="23"/>
  <c r="K67" i="23"/>
  <c r="J67" i="23" s="1"/>
  <c r="A68" i="23"/>
  <c r="J68" i="23"/>
  <c r="K68" i="23"/>
  <c r="J69" i="23"/>
  <c r="K70" i="23"/>
  <c r="J70" i="23" s="1"/>
  <c r="J71" i="23"/>
  <c r="K71" i="23"/>
  <c r="A72" i="23"/>
  <c r="K72" i="23"/>
  <c r="J72" i="23" s="1"/>
  <c r="J73" i="23"/>
  <c r="A74" i="23"/>
  <c r="A80" i="23" s="1"/>
  <c r="A81" i="23" s="1"/>
  <c r="J74" i="23"/>
  <c r="J75" i="23"/>
  <c r="J76" i="23"/>
  <c r="K76" i="23"/>
  <c r="J77" i="23"/>
  <c r="K77" i="23"/>
  <c r="J78" i="23"/>
  <c r="K78" i="23"/>
  <c r="J79" i="23"/>
  <c r="K79" i="23"/>
  <c r="K80" i="23"/>
  <c r="J80" i="23" s="1"/>
  <c r="K81" i="23"/>
  <c r="J81" i="23" s="1"/>
  <c r="J82" i="23"/>
  <c r="K83" i="23"/>
  <c r="J83" i="23" s="1"/>
  <c r="A1" i="22"/>
  <c r="G5" i="22"/>
  <c r="A6" i="22"/>
  <c r="G6" i="22"/>
  <c r="A7" i="22"/>
  <c r="G7" i="22"/>
  <c r="A8" i="22"/>
  <c r="A9" i="22" s="1"/>
  <c r="A10" i="22" s="1"/>
  <c r="G8" i="22"/>
  <c r="G9" i="22"/>
  <c r="G10" i="22"/>
  <c r="G13" i="22"/>
  <c r="A15" i="22"/>
  <c r="G16" i="22"/>
  <c r="A17" i="22"/>
  <c r="G17" i="22"/>
  <c r="G18" i="22"/>
  <c r="G19" i="22"/>
  <c r="G20" i="22"/>
  <c r="A21" i="22"/>
  <c r="A23" i="22" s="1"/>
  <c r="A25" i="22" s="1"/>
  <c r="G21" i="22"/>
  <c r="E22" i="22"/>
  <c r="G22" i="22"/>
  <c r="G23" i="22"/>
  <c r="G24" i="22"/>
  <c r="G25" i="22"/>
  <c r="E26" i="22"/>
  <c r="G27" i="22"/>
  <c r="G28" i="22"/>
  <c r="G29" i="22"/>
  <c r="G30" i="22"/>
  <c r="G32" i="22"/>
  <c r="G33" i="22"/>
  <c r="G34" i="22"/>
  <c r="G35" i="22"/>
  <c r="G36" i="22"/>
  <c r="G37" i="22"/>
  <c r="G38" i="22"/>
  <c r="A39" i="22"/>
  <c r="G40" i="22"/>
  <c r="G41" i="22"/>
  <c r="C42" i="22"/>
  <c r="G42" i="22" s="1"/>
  <c r="G43" i="22"/>
  <c r="G44" i="22"/>
  <c r="G45" i="22"/>
  <c r="G46" i="22"/>
  <c r="G47" i="22"/>
  <c r="G48" i="22"/>
  <c r="G49" i="22"/>
  <c r="G50" i="22"/>
  <c r="A1" i="37"/>
  <c r="E176" i="6" l="1"/>
  <c r="E61" i="6"/>
  <c r="J22" i="23"/>
  <c r="C11" i="22"/>
  <c r="G11" i="22" s="1"/>
  <c r="K116" i="6"/>
  <c r="K505" i="6"/>
  <c r="C39" i="5" s="1"/>
  <c r="G39" i="5" s="1"/>
  <c r="K388" i="6"/>
  <c r="K390" i="6" s="1"/>
  <c r="C27" i="5" s="1"/>
  <c r="G27" i="5" s="1"/>
  <c r="E522" i="6"/>
  <c r="K522" i="6" s="1"/>
  <c r="J59" i="23"/>
  <c r="C26" i="22"/>
  <c r="G26" i="22" s="1"/>
  <c r="C30" i="5"/>
  <c r="G30" i="5" s="1"/>
  <c r="C420" i="6"/>
  <c r="K420" i="6" s="1"/>
  <c r="C32" i="5" s="1"/>
  <c r="G32" i="5" s="1"/>
  <c r="C530" i="6"/>
  <c r="K530" i="6" s="1"/>
  <c r="C42" i="5"/>
  <c r="G42" i="5" s="1"/>
  <c r="C529" i="6"/>
  <c r="K529" i="6" s="1"/>
  <c r="K523" i="6"/>
  <c r="K389" i="6"/>
  <c r="C14" i="22"/>
  <c r="G14" i="22" s="1"/>
  <c r="J32" i="23"/>
  <c r="E62" i="6"/>
  <c r="E177" i="6"/>
  <c r="E151" i="6"/>
  <c r="K430" i="6"/>
  <c r="C33" i="5" s="1"/>
  <c r="G33" i="5" s="1"/>
  <c r="C528" i="6"/>
  <c r="K528" i="6" s="1"/>
  <c r="C41" i="5"/>
  <c r="G41" i="5" s="1"/>
  <c r="E144" i="6"/>
  <c r="K144" i="6" s="1"/>
  <c r="E121" i="6"/>
  <c r="K121" i="6" s="1"/>
  <c r="C22" i="5"/>
  <c r="G22" i="5" s="1"/>
  <c r="C321" i="6"/>
  <c r="K321" i="6" s="1"/>
  <c r="E183" i="6"/>
  <c r="K115" i="6"/>
  <c r="K92" i="6"/>
  <c r="E95" i="6" s="1"/>
  <c r="C31" i="22"/>
  <c r="G31" i="22" s="1"/>
  <c r="J57" i="23"/>
  <c r="J30" i="23"/>
  <c r="E563" i="6"/>
  <c r="K563" i="6" s="1"/>
  <c r="K564" i="6" s="1"/>
  <c r="C53" i="5" s="1"/>
  <c r="G53" i="5" s="1"/>
  <c r="E550" i="6"/>
  <c r="K550" i="6" s="1"/>
  <c r="C49" i="5" s="1"/>
  <c r="G49" i="5" s="1"/>
  <c r="C392" i="6"/>
  <c r="C47" i="5"/>
  <c r="G47" i="5" s="1"/>
  <c r="J37" i="23"/>
  <c r="E359" i="6"/>
  <c r="J20" i="23"/>
  <c r="K27" i="23"/>
  <c r="K9" i="23"/>
  <c r="J9" i="23" s="1"/>
  <c r="E122" i="6"/>
  <c r="C39" i="22"/>
  <c r="G39" i="22" s="1"/>
  <c r="K551" i="6"/>
  <c r="C50" i="5" s="1"/>
  <c r="G50" i="5" s="1"/>
  <c r="C12" i="22" l="1"/>
  <c r="G12" i="22" s="1"/>
  <c r="G51" i="22" s="1"/>
  <c r="G9" i="21" s="1"/>
  <c r="J27" i="23"/>
  <c r="E182" i="6"/>
  <c r="E164" i="6"/>
  <c r="K164" i="6" s="1"/>
  <c r="K165" i="6" s="1"/>
  <c r="G166" i="6" s="1"/>
  <c r="K151" i="6"/>
  <c r="K157" i="6" s="1"/>
  <c r="D166" i="6" s="1"/>
  <c r="K166" i="6" s="1"/>
  <c r="K167" i="6" s="1"/>
  <c r="C17" i="5" s="1"/>
  <c r="G17" i="5" s="1"/>
  <c r="E120" i="6"/>
  <c r="E105" i="6"/>
  <c r="K61" i="6"/>
  <c r="C432" i="6"/>
  <c r="K432" i="6" s="1"/>
  <c r="C34" i="5" s="1"/>
  <c r="G34" i="5" s="1"/>
  <c r="K392" i="6"/>
  <c r="C28" i="5" s="1"/>
  <c r="G28" i="5" s="1"/>
  <c r="K62" i="6"/>
  <c r="K66" i="6" s="1"/>
  <c r="C101" i="6" s="1"/>
  <c r="K101" i="6" s="1"/>
  <c r="E110" i="6"/>
  <c r="K183" i="6"/>
  <c r="E302" i="6"/>
  <c r="K302" i="6" s="1"/>
  <c r="E381" i="6"/>
  <c r="K381" i="6" s="1"/>
  <c r="K384" i="6" s="1"/>
  <c r="K122" i="6"/>
  <c r="K176" i="6"/>
  <c r="E317" i="6"/>
  <c r="K317" i="6" s="1"/>
  <c r="E382" i="6"/>
  <c r="K382" i="6" s="1"/>
  <c r="K359" i="6"/>
  <c r="K360" i="6" s="1"/>
  <c r="D378" i="6" s="1"/>
  <c r="K378" i="6" s="1"/>
  <c r="K534" i="6"/>
  <c r="K177" i="6"/>
  <c r="E318" i="6"/>
  <c r="K318" i="6" s="1"/>
  <c r="K536" i="6" l="1"/>
  <c r="C46" i="5" s="1"/>
  <c r="G46" i="5" s="1"/>
  <c r="C45" i="5"/>
  <c r="G45" i="5" s="1"/>
  <c r="E106" i="6"/>
  <c r="K105" i="6"/>
  <c r="K120" i="6"/>
  <c r="K123" i="6" s="1"/>
  <c r="D146" i="6" s="1"/>
  <c r="E181" i="6"/>
  <c r="E143" i="6"/>
  <c r="K143" i="6" s="1"/>
  <c r="K145" i="6" s="1"/>
  <c r="G146" i="6" s="1"/>
  <c r="K178" i="6"/>
  <c r="C20" i="5" s="1"/>
  <c r="G20" i="5" s="1"/>
  <c r="E301" i="6"/>
  <c r="K301" i="6" s="1"/>
  <c r="K182" i="6"/>
  <c r="E526" i="6"/>
  <c r="K526" i="6"/>
  <c r="C44" i="5" s="1"/>
  <c r="G44" i="5" s="1"/>
  <c r="G386" i="6"/>
  <c r="K110" i="6"/>
  <c r="E111" i="6"/>
  <c r="K111" i="6" s="1"/>
  <c r="E117" i="6" s="1"/>
  <c r="K64" i="6"/>
  <c r="K65" i="6"/>
  <c r="C100" i="6" s="1"/>
  <c r="K100" i="6" s="1"/>
  <c r="K102" i="6" s="1"/>
  <c r="C13" i="5" s="1"/>
  <c r="G13" i="5" s="1"/>
  <c r="D386" i="6"/>
  <c r="K521" i="6"/>
  <c r="K524" i="6" s="1"/>
  <c r="C43" i="5" s="1"/>
  <c r="G43" i="5" s="1"/>
  <c r="K319" i="6"/>
  <c r="C67" i="6" l="1"/>
  <c r="K67" i="6" s="1"/>
  <c r="C70" i="6"/>
  <c r="K106" i="6"/>
  <c r="E107" i="6"/>
  <c r="C323" i="6"/>
  <c r="K323" i="6" s="1"/>
  <c r="C24" i="5"/>
  <c r="G24" i="5" s="1"/>
  <c r="E300" i="6"/>
  <c r="K300" i="6" s="1"/>
  <c r="K314" i="6" s="1"/>
  <c r="K181" i="6"/>
  <c r="K250" i="6" s="1"/>
  <c r="C21" i="5" s="1"/>
  <c r="G21" i="5" s="1"/>
  <c r="K146" i="6"/>
  <c r="C15" i="5" s="1"/>
  <c r="G15" i="5" s="1"/>
  <c r="K386" i="6"/>
  <c r="C26" i="5" s="1"/>
  <c r="G26" i="5" s="1"/>
  <c r="C23" i="5" l="1"/>
  <c r="G23" i="5" s="1"/>
  <c r="C322" i="6"/>
  <c r="K322" i="6" s="1"/>
  <c r="K324" i="6" s="1"/>
  <c r="C25" i="5" s="1"/>
  <c r="G25" i="5" s="1"/>
  <c r="K107" i="6"/>
  <c r="E108" i="6"/>
  <c r="K108" i="6" s="1"/>
  <c r="K70" i="6"/>
  <c r="C7" i="5" s="1"/>
  <c r="G7" i="5" s="1"/>
  <c r="C72" i="6"/>
  <c r="E94" i="6"/>
  <c r="G95" i="6" s="1"/>
  <c r="K95" i="6" s="1"/>
  <c r="C5" i="5"/>
  <c r="G5" i="5" s="1"/>
  <c r="C11" i="5" l="1"/>
  <c r="G11" i="5" s="1"/>
  <c r="K98" i="6"/>
  <c r="C12" i="5" s="1"/>
  <c r="G12" i="5" s="1"/>
  <c r="C74" i="6"/>
  <c r="K74" i="6" s="1"/>
  <c r="C9" i="5" s="1"/>
  <c r="G9" i="5" s="1"/>
  <c r="K72" i="6"/>
  <c r="C8" i="5" s="1"/>
  <c r="G8" i="5" s="1"/>
  <c r="G55" i="5" s="1"/>
  <c r="G7" i="21" s="1"/>
  <c r="K118" i="6"/>
  <c r="C14" i="5" s="1"/>
  <c r="G14" i="5" s="1"/>
  <c r="G11" i="21" l="1"/>
  <c r="D14" i="21"/>
  <c r="G14" i="21" s="1"/>
  <c r="G15" i="21" l="1"/>
  <c r="G17" i="21" l="1"/>
  <c r="G18" i="21"/>
</calcChain>
</file>

<file path=xl/sharedStrings.xml><?xml version="1.0" encoding="utf-8"?>
<sst xmlns="http://schemas.openxmlformats.org/spreadsheetml/2006/main" count="2936" uniqueCount="437">
  <si>
    <t>Work shall be carried out through  contractor after inviting Bids.</t>
  </si>
  <si>
    <t>Bed Plates Pillars</t>
  </si>
  <si>
    <t>Foundation</t>
  </si>
  <si>
    <t>Slab Beam</t>
  </si>
  <si>
    <t>@ 6.15 Kg/m</t>
  </si>
  <si>
    <t>Carriage of earth including loading, unloading complete with lead 0.50 KM.</t>
  </si>
  <si>
    <t>Window Sills</t>
  </si>
  <si>
    <t>Steps Front Ent</t>
  </si>
  <si>
    <t>Steps Other Ent</t>
  </si>
  <si>
    <t>Plaster on new surface over ceiling in cement sand mortar 1:3 including raking of joints etc. complete fine finished :12 mm thick.</t>
  </si>
  <si>
    <t>Supplying and fixing ashlar rain water spouts fine ( 3 line) dressed as per approved design of size 60 x 30 x 25 cm.</t>
  </si>
  <si>
    <t>Providing and fixing Ist quality white Glazed  Tiles of approved make &amp; size (Somani, Johnson etc.)  5 mm thick in walls, floors, steps, pillars etc. laid on a bed of neat cement slurry  finished with flush pointing with white cement  ( excluding cost of cement plaster)</t>
  </si>
  <si>
    <t>Verticals</t>
  </si>
  <si>
    <t>Distempering with oil bound washable distemper of approved brand &amp; manufacture to give an even shade including all scaffolding, New work (two or more coats over and including priming coat with distemper primer).</t>
  </si>
  <si>
    <t>Finishing wall with water proofing cement paint of approved brand &amp; manufacture and of required shade to give an even shade including all scaffolding New Work (Three or more coat).</t>
  </si>
  <si>
    <t>Library</t>
  </si>
  <si>
    <t>P.W.D. Sub Div.- NATHDWARA</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</si>
  <si>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</si>
  <si>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</si>
  <si>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</si>
  <si>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Spreading of hot blown bitumen (IS grade 85/25, 90/25 industrial grade) applied at 175 to 180 C @ rate of 1.75 Kg. per Sqm. complete.</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</si>
  <si>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</si>
  <si>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Estimate prepared on the basis of PWD B.S.R. -1998. </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</si>
  <si>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</si>
  <si>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</si>
  <si>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</si>
  <si>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Add Prorata  Charges @ 13%</t>
  </si>
  <si>
    <t>Add @ 7 % for Electrification On Civil Work Part 'A'</t>
  </si>
  <si>
    <t>Cement concrete including curing compaction etc. complete using stone aggregate 40 mm nominal size in foundation plinth, excluding the cost of shuttering, using : 1 Cement : 5 Sand : 10 aggregate Mix. (under floor)</t>
  </si>
  <si>
    <t>GENERAL ABSTRACT OF COST</t>
  </si>
  <si>
    <t>Rs.</t>
  </si>
  <si>
    <t>TOTAL Rs.</t>
  </si>
  <si>
    <t>i.e. on Rs.</t>
  </si>
  <si>
    <t>PART 'A'  CIVIL WORK GROUND FLOOR</t>
  </si>
  <si>
    <t xml:space="preserve">PART 'A'  CIVIL WORK GROUND  FLOOR </t>
  </si>
  <si>
    <t>ABSTRACT OF COST</t>
  </si>
  <si>
    <t>S.No.</t>
  </si>
  <si>
    <t>Particulars.</t>
  </si>
  <si>
    <t xml:space="preserve">Quantity </t>
  </si>
  <si>
    <t>Rate</t>
  </si>
  <si>
    <t>Unit</t>
  </si>
  <si>
    <t>Amount</t>
  </si>
  <si>
    <t>Cum</t>
  </si>
  <si>
    <t>P Cum</t>
  </si>
  <si>
    <t>Hard soil mixed with boulders</t>
  </si>
  <si>
    <t>Cum.</t>
  </si>
  <si>
    <t>P Cum.</t>
  </si>
  <si>
    <t>R.R. Stone masonry for foundation and plinth in cement sand mortar 1:6 for above 30 cms thick walls.</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</si>
  <si>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</si>
  <si>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</si>
  <si>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</si>
  <si>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</si>
  <si>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</si>
  <si>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</si>
  <si>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Random rubble dry stone kharanja under floor.</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</si>
  <si>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</si>
  <si>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</si>
  <si>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</si>
  <si>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</si>
  <si>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</si>
  <si>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</si>
  <si>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 xml:space="preserve">Supplying and fixing in wall machine cut and polished stone shelves, tands and sills in cement mortar 1:3 with machine cut edge.  </t>
  </si>
  <si>
    <t>Painting with enamel paint of approved brand and manufacture to give an even shade two or more coats on new work.</t>
  </si>
  <si>
    <t xml:space="preserve">NAME OF WORK :- Construction of Additional Session Judge Bungalow at Nathdwara </t>
  </si>
  <si>
    <t xml:space="preserve"> Main walls 300 mm th. in Y Direction</t>
  </si>
  <si>
    <t>LS Library</t>
  </si>
  <si>
    <t>RS Staircase</t>
  </si>
  <si>
    <t>RS Library</t>
  </si>
  <si>
    <t>RS Kitchen</t>
  </si>
  <si>
    <t>RS Living</t>
  </si>
  <si>
    <t>RS Dining</t>
  </si>
  <si>
    <t>LS Toilets</t>
  </si>
  <si>
    <t>RS Bed</t>
  </si>
  <si>
    <t xml:space="preserve"> Main walls 300 mm th. in X Direction</t>
  </si>
  <si>
    <t>Kitchen</t>
  </si>
  <si>
    <t>Living</t>
  </si>
  <si>
    <t>Bed</t>
  </si>
  <si>
    <t xml:space="preserve">First Floor </t>
  </si>
  <si>
    <t>LS Bed</t>
  </si>
  <si>
    <t xml:space="preserve"> Main walls 300 mm th. in X &amp;Y Direction</t>
  </si>
  <si>
    <t>FF</t>
  </si>
  <si>
    <t>GF</t>
  </si>
  <si>
    <t>PARAPET WALL300 MM</t>
  </si>
  <si>
    <t>WC</t>
  </si>
  <si>
    <t>Store</t>
  </si>
  <si>
    <t>Cup Board</t>
  </si>
  <si>
    <t>Dressing</t>
  </si>
  <si>
    <t xml:space="preserve"> Brick Partition walls in First Floor</t>
  </si>
  <si>
    <t>Flower Bed/ Box</t>
  </si>
  <si>
    <t>Servant Room</t>
  </si>
  <si>
    <t>Dining</t>
  </si>
  <si>
    <t>Bed Rm</t>
  </si>
  <si>
    <t>Main walls 300mm thick</t>
  </si>
  <si>
    <t>First Floor</t>
  </si>
  <si>
    <t>D4</t>
  </si>
  <si>
    <t>W2</t>
  </si>
  <si>
    <t>V2</t>
  </si>
  <si>
    <t xml:space="preserve"> Toilet</t>
  </si>
  <si>
    <t>CB</t>
  </si>
  <si>
    <t>Rolling Shutter</t>
  </si>
  <si>
    <t>Lintels FF</t>
  </si>
  <si>
    <t>Partition walls in FF</t>
  </si>
  <si>
    <t>Parapet walls in FF</t>
  </si>
  <si>
    <t>Nitch</t>
  </si>
  <si>
    <t>Soffits</t>
  </si>
  <si>
    <t>Bed Corner</t>
  </si>
  <si>
    <t>Cup Boards</t>
  </si>
  <si>
    <t>Canopy</t>
  </si>
  <si>
    <t>Wall02 First Floor</t>
  </si>
  <si>
    <t>Balcony &amp; Parapet</t>
  </si>
  <si>
    <t>Ref. Inside Gross Plaster Area</t>
  </si>
  <si>
    <t>Gross Area Of Plaster Inside Rooms in GF</t>
  </si>
  <si>
    <t>Sore</t>
  </si>
  <si>
    <t>Servant room</t>
  </si>
  <si>
    <t>Coping GF Parapet  300 mm wall</t>
  </si>
  <si>
    <t>Coping FF Parapet  150 mm wall</t>
  </si>
  <si>
    <t>R.R. Stone masonry for super structure upto 4.5 m height above plinth level in cement sand mortar 1:6 for wall upto 30 cms in thickness.</t>
  </si>
  <si>
    <t>Supplying and fixing rolling shutters of approved make, made of 80 x 1.25 mm MS laths interlocked together through their entire length and jointed together at the end by end locks mounted on specially designed pipe shaft with brackets, side guides and arrangement for inside and outside locking with push and pull operation complete including cost of spring hooks, providing and fixing necessary 25.3 cm long wire springs grade No.2 and MS top cover 1.25 mm thick for rolling shutters as per design. (Clear openable area to be measured.)</t>
  </si>
  <si>
    <t>R.R. Stone masonry for super structure upto 4.5 m height above plinth level in cement sand mortar 1:6 for walls  upto 30 cms in thickness.</t>
  </si>
  <si>
    <t>LS Garage</t>
  </si>
  <si>
    <t>Platform Front</t>
  </si>
  <si>
    <t>Platform Back</t>
  </si>
  <si>
    <t>Garage</t>
  </si>
  <si>
    <t>Platform</t>
  </si>
  <si>
    <t>FS Garage</t>
  </si>
  <si>
    <t>Back Platform</t>
  </si>
  <si>
    <t>Kitchen Platform</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</si>
  <si>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</si>
  <si>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</si>
  <si>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</si>
  <si>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</si>
  <si>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</si>
  <si>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</si>
  <si>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</si>
  <si>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</si>
  <si>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</si>
  <si>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</si>
  <si>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</si>
  <si>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</si>
  <si>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</si>
  <si>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</si>
  <si>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Toilet</t>
  </si>
  <si>
    <t>W.C.</t>
  </si>
  <si>
    <t>Gross qty.</t>
  </si>
  <si>
    <t>Total</t>
  </si>
  <si>
    <t>Gross Qty. In Main Walls</t>
  </si>
  <si>
    <t>Gross Qty. In Partition Walls</t>
  </si>
  <si>
    <t xml:space="preserve">Gross qty. of filling </t>
  </si>
  <si>
    <t>Less Qty. soil available</t>
  </si>
  <si>
    <t>Net qty.</t>
  </si>
  <si>
    <t>-</t>
  </si>
  <si>
    <t>/</t>
  </si>
  <si>
    <t>Gross Qty.</t>
  </si>
  <si>
    <t>+</t>
  </si>
  <si>
    <t>Deductions</t>
  </si>
  <si>
    <t>D2</t>
  </si>
  <si>
    <t>D3</t>
  </si>
  <si>
    <t>V1</t>
  </si>
  <si>
    <t xml:space="preserve">Lintels </t>
  </si>
  <si>
    <t>Total Deductions</t>
  </si>
  <si>
    <t>External plaster</t>
  </si>
  <si>
    <t>Net qty. of External Plaster</t>
  </si>
  <si>
    <t>Total qty. of  Plaster</t>
  </si>
  <si>
    <t>Sunshades</t>
  </si>
  <si>
    <t>Beams</t>
  </si>
  <si>
    <t>Slabs</t>
  </si>
  <si>
    <t>Cum @</t>
  </si>
  <si>
    <t>Kg/Cum</t>
  </si>
  <si>
    <t>Lintels</t>
  </si>
  <si>
    <t>Ref. Qty. of earth filling</t>
  </si>
  <si>
    <t>x(</t>
  </si>
  <si>
    <t>)=</t>
  </si>
  <si>
    <t>@ 1.13 Kg/m</t>
  </si>
  <si>
    <t>Qty.  80% of total windows area</t>
  </si>
  <si>
    <t>20 mm Square bar</t>
  </si>
  <si>
    <t xml:space="preserve">@ </t>
  </si>
  <si>
    <t>Flat 50x5 mm</t>
  </si>
  <si>
    <t>Skirting</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</si>
  <si>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</si>
  <si>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</si>
  <si>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</si>
  <si>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</si>
  <si>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</si>
  <si>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</si>
  <si>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</si>
  <si>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</si>
  <si>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</si>
  <si>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</si>
  <si>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</si>
  <si>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</si>
  <si>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</si>
  <si>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</si>
  <si>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</si>
  <si>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</si>
  <si>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</si>
  <si>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</si>
  <si>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</si>
  <si>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</si>
  <si>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</si>
  <si>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</si>
  <si>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</si>
  <si>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</si>
  <si>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</si>
  <si>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</si>
  <si>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</si>
  <si>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</si>
  <si>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</si>
  <si>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</si>
  <si>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</si>
  <si>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</si>
  <si>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</si>
  <si>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</si>
  <si>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</si>
  <si>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</si>
  <si>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</si>
  <si>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</si>
  <si>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</si>
  <si>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</si>
  <si>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</si>
  <si>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</si>
  <si>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</si>
  <si>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</si>
  <si>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</si>
  <si>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</si>
  <si>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</si>
  <si>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</si>
  <si>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</si>
  <si>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</si>
  <si>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</si>
  <si>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</si>
  <si>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</si>
  <si>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</si>
  <si>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</si>
  <si>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</si>
  <si>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</si>
  <si>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</si>
  <si>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</si>
  <si>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</si>
  <si>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Staircase</t>
  </si>
  <si>
    <t>Total of Second Footing in Partitions</t>
  </si>
  <si>
    <t>(A) Kota stone 25 to 30 mm thick</t>
  </si>
  <si>
    <t>(B) Sand or other approved  stone 50 mm thick</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</si>
  <si>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</si>
  <si>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</si>
  <si>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</si>
  <si>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</si>
  <si>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Partition walls</t>
  </si>
  <si>
    <t xml:space="preserve">Ground Floor </t>
  </si>
  <si>
    <t>TOTAL</t>
  </si>
  <si>
    <t>Steps at entrance</t>
  </si>
  <si>
    <t>Wall 01</t>
  </si>
  <si>
    <t>second footing</t>
  </si>
  <si>
    <t>third footing</t>
  </si>
  <si>
    <t>Entrance</t>
  </si>
  <si>
    <t>Parapet</t>
  </si>
  <si>
    <t>Net qty. in Ground floor</t>
  </si>
  <si>
    <t>Total qty. of brick masonry</t>
  </si>
  <si>
    <t>Stair case GF</t>
  </si>
  <si>
    <t>Net qty. of Internal Plaster in GF</t>
  </si>
  <si>
    <t>Inside Parapet</t>
  </si>
  <si>
    <t>Ground Floor</t>
  </si>
  <si>
    <t>Total GF</t>
  </si>
  <si>
    <t>Staircase base beam</t>
  </si>
  <si>
    <t>Total in GF</t>
  </si>
  <si>
    <t>Total Shuttering of sunshades in GF</t>
  </si>
  <si>
    <t>Area Of Shuttering For Slab in GF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</si>
  <si>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</si>
  <si>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</si>
  <si>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</si>
  <si>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first footing</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</si>
  <si>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</si>
  <si>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</si>
  <si>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</si>
  <si>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</si>
  <si>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</si>
  <si>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</si>
  <si>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</si>
  <si>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</si>
  <si>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</si>
  <si>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</si>
  <si>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</si>
  <si>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</si>
  <si>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</si>
  <si>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</si>
  <si>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</si>
  <si>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</si>
  <si>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</si>
  <si>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</si>
  <si>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</si>
  <si>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</si>
  <si>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</si>
  <si>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 xml:space="preserve">VI Partition </t>
  </si>
  <si>
    <t>Bricks class 75 in cement sand mortar 1:4 (115 mm thick)</t>
  </si>
  <si>
    <t>VII  Base of Flooring</t>
  </si>
  <si>
    <t xml:space="preserve">VIII Flooring  </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</si>
  <si>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</si>
  <si>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</si>
  <si>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</si>
  <si>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</si>
  <si>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</si>
  <si>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</si>
  <si>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</si>
  <si>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</si>
  <si>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</si>
  <si>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</si>
  <si>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</si>
  <si>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</si>
  <si>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(A) 1000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</si>
  <si>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</si>
  <si>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</si>
  <si>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</si>
  <si>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</si>
  <si>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</si>
  <si>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 xml:space="preserve"> Brick Partition walls in Y Direction</t>
  </si>
  <si>
    <t>Court Yard</t>
  </si>
  <si>
    <t xml:space="preserve"> Brick Partition walls in X Direction</t>
  </si>
  <si>
    <t>Filling in plinth available excavated earth (excluding rock) in trenches, plinth side of foundation, etc. in layers not exceeding 20 cm. in depth, consolidating each deposited layer by ramming and watering including lead upto 50 Mtr and lift upto 1.5 Mtr.</t>
  </si>
  <si>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</si>
  <si>
    <t>Qty. as per item 4 above.</t>
  </si>
  <si>
    <t>Earth work in excavation over areas (Exceeding 30 cm in depth, 1.5 m in width as well as 10 Sqm on plan) including disposal of excavated earth , lead upto 50 m and lift upto 1.5 Mtr., disposed soil to be neatly dressed; Hard soil mixed with boulders.</t>
  </si>
  <si>
    <t>WaLL01</t>
  </si>
  <si>
    <t>D1</t>
  </si>
  <si>
    <t>W1</t>
  </si>
  <si>
    <t>Verandah</t>
  </si>
  <si>
    <t>Pillars</t>
  </si>
  <si>
    <t>GROUND FLOOR  INSIDE PLASTER</t>
  </si>
  <si>
    <t>Wall01 GF</t>
  </si>
  <si>
    <t>EXECUTIVE  ENGINEER,</t>
  </si>
  <si>
    <t>ASSISTANT ENGINEER,</t>
  </si>
  <si>
    <t>(I) Judicial Courts Building</t>
  </si>
  <si>
    <t>(II) Bar Wing &amp; PP Wing</t>
  </si>
  <si>
    <t>(C) In foundations rafts , footings, strap beams, bases of columns</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</si>
  <si>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</si>
  <si>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Brick work in superstructure upto 4.5 metre height  above plinth level Cement Mortar 1:4 with bricks are class designation 75.</t>
  </si>
  <si>
    <t xml:space="preserve">Down take </t>
  </si>
  <si>
    <t>110 mm dia. Single 'Y' with Door</t>
  </si>
  <si>
    <t>110 mm dia. Single 'Y'</t>
  </si>
  <si>
    <t>110 mm dia.  door  Bend</t>
  </si>
  <si>
    <t>110 mm dia.   Bend 87.5 degree.</t>
  </si>
  <si>
    <t>Left Line</t>
  </si>
  <si>
    <t>Back Line</t>
  </si>
  <si>
    <t>P &amp; F  1 st quality WVC Urinal (IS: 2556 mark), with 25mm dia G.I. waste pipe, couplings, concealed iron brackets or screws etc. : Flat Back (small) size 456 x 355 X 265 mm.</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</si>
  <si>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</si>
  <si>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</si>
  <si>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</si>
  <si>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</si>
  <si>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</si>
  <si>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Tank Stand</t>
  </si>
  <si>
    <t>P.W.D. Div.- RAJSAMAND</t>
  </si>
  <si>
    <t>To ST</t>
  </si>
  <si>
    <t>P &amp; F Towel rail or ring of approved quality/ make:  CP brass towel rail with brackets 450 x 20 mm.</t>
  </si>
  <si>
    <t>P &amp; F water closet seat covers with brass hinges complete :Solid PVC (ISI marked) grade-1 black for EWC</t>
  </si>
  <si>
    <t>(a) for area of each slab from 901  to 2000 sq. cm 20 mm thick  slab.</t>
  </si>
  <si>
    <t>(b) for area of each slab from 2001  to 5000 sq. cm 20 mm thick  slab.</t>
  </si>
  <si>
    <t>Construction of Septic tank in all types of soil with 40 mm thick masonry in CM 1:6, 15 cm thick cement concrete bed 1:5:10, M-15 grade C.C. flooring, &amp; over stone slab covering 80mm thick slab, jointing of slab covering 80mm thick slab in C.M. 1:3 Ralthal, Kharanja, 50 mm thick stone partition walls, 20 mm thick plaster in C.M. 1:6 finished with neat floating cement, 4 Nos. C.I. foot rests of approved design, two No. 450 mm dia 25 Kg. each C.I. cover with frame, earthwork etc. complete as per approved drawing including disposal of surplus earth within 50 mtr. lead. Size 400 x 140 x 150 cm (for 50 users)</t>
  </si>
  <si>
    <t>From OHT/ Sump</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</si>
  <si>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</si>
  <si>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</si>
  <si>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</si>
  <si>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</si>
  <si>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</si>
  <si>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</si>
  <si>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</si>
  <si>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RS Toilet</t>
  </si>
  <si>
    <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Hard soil mixed with boulders</t>
  </si>
  <si>
    <t>Net Qty 50%</t>
  </si>
  <si>
    <t>Net Qty 20%</t>
  </si>
  <si>
    <t xml:space="preserve">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 including stacking material available. </t>
  </si>
  <si>
    <t>(a) Decomposed Rock</t>
  </si>
  <si>
    <t>(b) Ordinary Rock</t>
  </si>
  <si>
    <t>Net Qty 10%</t>
  </si>
  <si>
    <t xml:space="preserve">Providing and laying Cement concrete including curing compaction etc. complete using stone aggregate 40 mm nominal size in foundation plinth, excluding the cost of shuttering, using : 1 Cement : 4 Sand : 8 aggregate Mix. </t>
  </si>
  <si>
    <t>Fourth Footing</t>
  </si>
  <si>
    <t>Wall 02 Partition</t>
  </si>
  <si>
    <t>D</t>
  </si>
  <si>
    <t>W</t>
  </si>
  <si>
    <t>V</t>
  </si>
  <si>
    <t>(A) For foundation in basements, rafts, footings, strap beams, bases of columns etc. upto plinth level</t>
  </si>
  <si>
    <t xml:space="preserve">Centering &amp; shuttering with plywood or steel sheets including strutting propping, bracing both ways with wooden members and removal of form work </t>
  </si>
  <si>
    <t>DPC</t>
  </si>
  <si>
    <t>Wall01</t>
  </si>
  <si>
    <t>Wall02</t>
  </si>
  <si>
    <t>Landing</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</si>
  <si>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upto 4.5 m height above plinth level.</t>
  </si>
  <si>
    <t>(D) In foundations rafts , footings, strap beams, bases of columns</t>
  </si>
  <si>
    <t xml:space="preserve">(B) For suspended floors, roofs, landing staircases, landing balconies, girders, cantilevers, bands, copings, bed plates, anchor blocks, sills, chajjas etc. for superstructure upto 4.5 Mtr. height above plinth level </t>
  </si>
  <si>
    <t>(c) Phylite Rock</t>
  </si>
  <si>
    <t xml:space="preserve">Add extra for pillar  masonry including bed plates as per specification (Bed plates to be paid separately) in cement sand mortar 1:4 </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</si>
  <si>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</si>
  <si>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</si>
  <si>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</si>
  <si>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</si>
  <si>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P &amp; F European type white glazed vitreous china 1st quality W.C. pan (I.S.:2556 mark) P or S trap including cutting and making good the wall and floor.</t>
  </si>
  <si>
    <t>P &amp; F automatic flushing cistern of Ist quality (IS : 774 mark) of approved make with fitting, syphon with copper tube, C.I. Brackets complete including cutting and making good the wall : White vitreous china 5 ltr.</t>
  </si>
  <si>
    <t>Construction of Soakage well in all types of soil 300 mm thick dry stone masonry top and bottom 300 mm course in Cm. 1:6 80mm thick stone slab, jointing of slab in CM 1:3, Ralthal, Kharanja, 40mm thick, M-15 grade C.C. flooring, earthwork complete as per approved drawings including disposal of earth within a lead of 50 m. Size 300 cm. Dia outside &amp; 300 Cm. Depth.</t>
  </si>
  <si>
    <t xml:space="preserve">Lintels      </t>
  </si>
  <si>
    <t>P.W.D. Div.- Rajsamand</t>
  </si>
  <si>
    <t xml:space="preserve">Estimated cost of work comes to Rs. 185.25 Lacs. Provision for electric works is incorporated in the estimate @ 7% of the cost of the civil work. It includes contingencies @ 1.50% and the Prorata charges  @ 13%. </t>
  </si>
  <si>
    <t xml:space="preserve">Construction of Judicial Courts Building at Nathdwara </t>
  </si>
  <si>
    <t>The proposed Judicial Courts shall be constructed at NATHDWARA, Rajsamand</t>
  </si>
  <si>
    <t>Cement concrete 1:4:8  , 300 mm thick.</t>
  </si>
  <si>
    <t>100 mm thick R.C.C. M-20.</t>
  </si>
  <si>
    <t>R.C.C. M-20 with steel reinforcement.</t>
  </si>
  <si>
    <r>
      <t>Kota Stone Flooring :-</t>
    </r>
    <r>
      <rPr>
        <sz val="12"/>
        <rFont val="Arial"/>
        <family val="2"/>
      </rPr>
      <t xml:space="preserve"> 25 mm thick blue Kota stone flooring laid over 20 thick base of 1 : 4 CSM in all rooms and Corridor except entrance hall..</t>
    </r>
  </si>
  <si>
    <r>
      <t>Marble Slab Flooring :-</t>
    </r>
    <r>
      <rPr>
        <sz val="12"/>
        <rFont val="Arial"/>
        <family val="2"/>
      </rPr>
      <t xml:space="preserve"> In Entrance Hall 18 to 20 mm thick Rajnagar grade I Marble slab flooring laid over 20 thick base of 1 : 4 CSM.</t>
    </r>
  </si>
  <si>
    <r>
      <t>White Glazed Tiles:-</t>
    </r>
    <r>
      <rPr>
        <sz val="12"/>
        <rFont val="Arial"/>
        <family val="2"/>
      </rPr>
      <t xml:space="preserve"> In all toilets and sanitary units I class white glazed tiles dado shall be provided.</t>
    </r>
  </si>
  <si>
    <t>Judicial Courts Building &amp; Bar Wing &amp; PP Wing Building</t>
  </si>
  <si>
    <t>Door frames of mild steel selection built with T- Section (Angle 50 x 50 x 6 mm and flat 50 x 6 mm)</t>
  </si>
  <si>
    <t xml:space="preserve"> 20 mm thick in cement mortar 1:6 over stone masonry and 20 mm thick in cement mortar 1:6 over brick masonry. Araish plaster shall be applied on inside walls and ceilings.</t>
  </si>
  <si>
    <t>Compound Wall</t>
  </si>
  <si>
    <t>Random rubble stone masonry in cement sand mortar 1:8</t>
  </si>
  <si>
    <t>Cement concrete 1:4:8  , 150 mm thick.</t>
  </si>
  <si>
    <t>Stone  masonry in cement sand mortar 1:8 walls.</t>
  </si>
  <si>
    <t>III Super structure masonry</t>
  </si>
  <si>
    <t xml:space="preserve">IV  Plaster </t>
  </si>
  <si>
    <t>V Finishing</t>
  </si>
  <si>
    <t xml:space="preserve">Finishing with water cement paint at  outside, enamel paints on steel work gates and cow catcher. </t>
  </si>
  <si>
    <t xml:space="preserve"> Parking Shed</t>
  </si>
  <si>
    <t>III Roofing</t>
  </si>
  <si>
    <t>IV  Base of Flooring</t>
  </si>
  <si>
    <t xml:space="preserve">V Flooring  </t>
  </si>
  <si>
    <r>
      <t>Plinth Area GF 2244.20 Sqm, FF 16.70 Sqm.</t>
    </r>
    <r>
      <rPr>
        <b/>
        <sz val="12"/>
        <rFont val="Arial"/>
        <family val="2"/>
      </rPr>
      <t xml:space="preserve"> Total 2260.90 Sqm</t>
    </r>
  </si>
  <si>
    <t>(II) Bar Wing &amp; PP Wing Building</t>
  </si>
  <si>
    <r>
      <t>Plinth Area GF 927.10 Sqm, FF 40.10 Sqm.</t>
    </r>
    <r>
      <rPr>
        <b/>
        <sz val="12"/>
        <rFont val="Arial"/>
        <family val="2"/>
      </rPr>
      <t xml:space="preserve"> Total 967.20 Sqm</t>
    </r>
  </si>
  <si>
    <t>1270 M long and 1.50 M high compound wall is included in the scope of the project. It also consists 2 Nos. Gates and 2 Nos. Cow Catchers.</t>
  </si>
  <si>
    <t>External Water Supply</t>
  </si>
  <si>
    <t>(I) 1250 M long 50mm dia. GI pipe line from PHED line to campus sump. (II) 10 nos. Sumps size 2.50 x 1.50 x1.50 M (III) 1 No. Sump of size 8.00 x 3.00 x 1.50 M and (IV) 1 no. 7.5 HP submersible pump set.</t>
  </si>
  <si>
    <t>Parking Shed</t>
  </si>
  <si>
    <t>(I) Car Parking shed 1 no. Size 18.00 x 6.00 M (II) Scooter Stands 2 nos. Size 18.00 x 3.00 M.</t>
  </si>
  <si>
    <t>Open excavation for levelling of inside court yard of the Judicial Court Building is included in the scope of the project.</t>
  </si>
  <si>
    <t>100 mm thick in 1:5 :10 mix over 230 mm thick dry stone kharanja.</t>
  </si>
  <si>
    <t xml:space="preserve">Finishing with water cement paint at  outside, Oil Bound distemper at inside all rooms and ceilings; enamel paints on  wood and steel work. </t>
  </si>
  <si>
    <t>20 mm thick Chequered Tiles flooring laid over 20 mm thick cement sand mortar mix 1 : 6.</t>
  </si>
  <si>
    <t>Judicial Courts Building consists of Ground Floor with  3 Nos. Court Halls (I/c PA Room &amp; Chamber), 4 Nos. Staff Rooms, Najeer Section room, Malkhana, Record Room, Library, 3 Nos. Ante Rooms, Staircase, 3 Nos. Reader rooms, 5 Nos. Toilets, 2 Nos. Unassigned Rooms, Entrance Hall and corridors.. In First floor only one head room.</t>
  </si>
  <si>
    <t xml:space="preserve"> Bar Wing &amp; PP Wing Building consists of Ground Floor with Litigant Shed, Stamp Vendor Room, Bar Room, Chamber, Chowkidar Room, canteen 2 Nos. Staff Rooms, 2 Nos. PP Rooms, Conference Hall, Male Female lockups, 2 Nos. Staircase, 8 Nos. Toilets and Verandah. In First floor only two head rooms.</t>
  </si>
  <si>
    <t>Development Work</t>
  </si>
  <si>
    <t>9. Agency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</si>
</sst>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87" formatCode="0.00000"/>
  </numFmts>
  <fonts count="18" x14ac:knownFonts="1">
    <font>
      <sz val="12"/>
      <name val="Arial"/>
    </font>
    <font>
      <b/>
      <sz val="12"/>
      <name val="Arial"/>
    </font>
    <font>
      <i/>
      <sz val="12"/>
      <name val="Arial"/>
    </font>
    <font>
      <sz val="12"/>
      <name val="Arial"/>
    </font>
    <font>
      <sz val="12"/>
      <name val="Arial"/>
      <family val="2"/>
    </font>
    <font>
      <sz val="14"/>
      <name val="Arial"/>
      <family val="2"/>
    </font>
    <font>
      <b/>
      <sz val="14"/>
      <name val="Arial"/>
    </font>
    <font>
      <sz val="10"/>
      <name val="Arial"/>
      <family val="2"/>
    </font>
    <font>
      <b/>
      <sz val="12"/>
      <name val="Arial"/>
      <family val="2"/>
    </font>
    <font>
      <sz val="14"/>
      <name val="Arial"/>
    </font>
    <font>
      <sz val="9"/>
      <name val="Arial"/>
      <family val="2"/>
    </font>
    <font>
      <sz val="8"/>
      <name val="Arial"/>
      <family val="2"/>
    </font>
    <font>
      <b/>
      <i/>
      <u/>
      <sz val="12"/>
      <name val="Arial"/>
      <family val="2"/>
    </font>
    <font>
      <i/>
      <u/>
      <sz val="12"/>
      <name val="Arial"/>
      <family val="2"/>
    </font>
    <font>
      <b/>
      <i/>
      <sz val="12"/>
      <name val="Arial"/>
      <family val="2"/>
    </font>
    <font>
      <i/>
      <sz val="12"/>
      <name val="Arial"/>
      <family val="2"/>
    </font>
    <font>
      <u/>
      <sz val="12"/>
      <name val="Arial"/>
      <family val="2"/>
    </font>
    <font>
      <sz val="11"/>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218">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1"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xf>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1"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7" fillId="0" borderId="2" xfId="0" applyFont="1" applyBorder="1" applyAlignment="1">
      <alignment horizontal="center" vertical="top"/>
    </xf>
    <xf numFmtId="0" fontId="7" fillId="0" borderId="0" xfId="0" applyFont="1" applyAlignment="1">
      <alignment horizontal="left" vertical="top"/>
    </xf>
    <xf numFmtId="0" fontId="7" fillId="0" borderId="0" xfId="0" applyFont="1"/>
    <xf numFmtId="0" fontId="7" fillId="0" borderId="0" xfId="0" applyFont="1" applyAlignment="1">
      <alignment horizontal="left"/>
    </xf>
    <xf numFmtId="0" fontId="7" fillId="0" borderId="0" xfId="0" applyFont="1" applyBorder="1" applyAlignment="1">
      <alignment horizontal="left" vertical="top"/>
    </xf>
    <xf numFmtId="0" fontId="0" fillId="0" borderId="0" xfId="0" applyBorder="1" applyAlignment="1">
      <alignment horizontal="justify" vertical="top" wrapText="1"/>
    </xf>
    <xf numFmtId="0" fontId="7" fillId="0" borderId="0" xfId="0" quotePrefix="1" applyFont="1" applyAlignment="1">
      <alignment horizontal="left"/>
    </xf>
    <xf numFmtId="0" fontId="7" fillId="0" borderId="0" xfId="0" applyFont="1" applyAlignment="1">
      <alignment horizontal="centerContinuous"/>
    </xf>
    <xf numFmtId="0" fontId="7"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7" fillId="0" borderId="2" xfId="0" applyFont="1" applyBorder="1" applyAlignment="1">
      <alignment horizontal="center"/>
    </xf>
    <xf numFmtId="1" fontId="4" fillId="0" borderId="0" xfId="0" applyNumberFormat="1" applyFont="1" applyAlignment="1">
      <alignment horizontal="right"/>
    </xf>
    <xf numFmtId="2" fontId="7" fillId="0" borderId="0" xfId="0" applyNumberFormat="1" applyFont="1" applyAlignment="1">
      <alignment horizontal="centerContinuous"/>
    </xf>
    <xf numFmtId="2" fontId="7" fillId="0" borderId="0" xfId="0" applyNumberFormat="1" applyFont="1"/>
    <xf numFmtId="0" fontId="8"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9" fillId="0" borderId="0" xfId="0" applyFont="1" applyAlignment="1">
      <alignment horizontal="centerContinuous"/>
    </xf>
    <xf numFmtId="2" fontId="8" fillId="0" borderId="0" xfId="0" applyNumberFormat="1" applyFont="1" applyAlignment="1">
      <alignment horizontal="left"/>
    </xf>
    <xf numFmtId="0" fontId="4" fillId="0" borderId="0" xfId="0" applyFont="1" applyAlignment="1">
      <alignment horizontal="left" vertical="top" wrapText="1"/>
    </xf>
    <xf numFmtId="0" fontId="4" fillId="0" borderId="0" xfId="0" applyFont="1" applyAlignment="1">
      <alignment horizontal="center"/>
    </xf>
    <xf numFmtId="2" fontId="4" fillId="0" borderId="0" xfId="0" applyNumberFormat="1" applyFont="1" applyBorder="1"/>
    <xf numFmtId="0" fontId="4" fillId="0" borderId="0" xfId="0" applyFont="1" applyAlignment="1">
      <alignment horizontal="left"/>
    </xf>
    <xf numFmtId="2" fontId="4" fillId="0" borderId="0" xfId="0" applyNumberFormat="1" applyFont="1" applyAlignment="1">
      <alignment horizontal="right"/>
    </xf>
    <xf numFmtId="0" fontId="8" fillId="0" borderId="0" xfId="0" applyFont="1"/>
    <xf numFmtId="0" fontId="4" fillId="0" borderId="0" xfId="0" quotePrefix="1" applyFont="1"/>
    <xf numFmtId="0" fontId="4" fillId="0" borderId="1" xfId="0" applyFont="1" applyBorder="1"/>
    <xf numFmtId="2" fontId="4" fillId="0" borderId="1" xfId="0" applyNumberFormat="1" applyFont="1" applyBorder="1"/>
    <xf numFmtId="0" fontId="4" fillId="0" borderId="1" xfId="0" quotePrefix="1" applyFont="1" applyBorder="1"/>
    <xf numFmtId="0" fontId="4" fillId="0" borderId="1" xfId="0" quotePrefix="1" applyFont="1" applyBorder="1" applyAlignment="1">
      <alignment horizontal="left"/>
    </xf>
    <xf numFmtId="0" fontId="4" fillId="0" borderId="0" xfId="0" quotePrefix="1" applyFont="1" applyBorder="1" applyAlignment="1">
      <alignment horizontal="left"/>
    </xf>
    <xf numFmtId="2" fontId="8" fillId="0" borderId="0" xfId="0" applyNumberFormat="1" applyFont="1"/>
    <xf numFmtId="0" fontId="4" fillId="0" borderId="0" xfId="0" quotePrefix="1" applyFont="1" applyBorder="1"/>
    <xf numFmtId="2" fontId="4" fillId="0" borderId="1" xfId="0" quotePrefix="1" applyNumberFormat="1" applyFont="1" applyBorder="1" applyAlignment="1">
      <alignment horizontal="center"/>
    </xf>
    <xf numFmtId="0" fontId="8" fillId="0" borderId="0" xfId="0" applyFont="1" applyAlignment="1">
      <alignment vertical="top"/>
    </xf>
    <xf numFmtId="0" fontId="0" fillId="0" borderId="0" xfId="0" quotePrefix="1" applyAlignment="1">
      <alignment horizontal="center"/>
    </xf>
    <xf numFmtId="0" fontId="8" fillId="0" borderId="0" xfId="0" quotePrefix="1" applyFont="1" applyAlignment="1">
      <alignment horizontal="left" vertical="top"/>
    </xf>
    <xf numFmtId="2" fontId="4" fillId="0" borderId="0" xfId="0" quotePrefix="1" applyNumberFormat="1" applyFont="1" applyBorder="1" applyAlignment="1">
      <alignment horizontal="center"/>
    </xf>
    <xf numFmtId="0" fontId="4" fillId="0" borderId="1" xfId="0" applyFont="1" applyBorder="1" applyAlignment="1">
      <alignment horizontal="left"/>
    </xf>
    <xf numFmtId="0" fontId="4" fillId="0" borderId="0" xfId="0" applyFont="1" applyBorder="1" applyAlignment="1">
      <alignment horizontal="left" vertical="top"/>
    </xf>
    <xf numFmtId="0" fontId="7"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0" fontId="10" fillId="0" borderId="0" xfId="0" quotePrefix="1" applyFont="1" applyAlignment="1">
      <alignment horizontal="left"/>
    </xf>
    <xf numFmtId="0" fontId="11" fillId="0" borderId="0" xfId="0" quotePrefix="1" applyFont="1" applyAlignment="1">
      <alignment horizontal="left"/>
    </xf>
    <xf numFmtId="1" fontId="4" fillId="0" borderId="2" xfId="0" applyNumberFormat="1" applyFont="1" applyBorder="1" applyAlignment="1"/>
    <xf numFmtId="2" fontId="0" fillId="0" borderId="0" xfId="0" applyNumberFormat="1"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10" fillId="0" borderId="1" xfId="0" quotePrefix="1" applyFont="1" applyBorder="1" applyAlignment="1">
      <alignment horizontal="left"/>
    </xf>
    <xf numFmtId="0" fontId="7" fillId="0" borderId="0" xfId="0" quotePrefix="1" applyFont="1" applyAlignment="1">
      <alignment horizontal="centerContinuous"/>
    </xf>
    <xf numFmtId="2" fontId="4" fillId="0" borderId="0" xfId="0" quotePrefix="1" applyNumberFormat="1" applyFont="1" applyAlignment="1">
      <alignment horizontal="centerContinuous"/>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11" fillId="0" borderId="2" xfId="0" applyFont="1" applyBorder="1" applyAlignment="1">
      <alignment horizontal="center" vertical="top"/>
    </xf>
    <xf numFmtId="0" fontId="4" fillId="0" borderId="0" xfId="0" applyFont="1" applyBorder="1" applyAlignment="1">
      <alignment horizontal="left" vertical="top" wrapText="1"/>
    </xf>
    <xf numFmtId="0" fontId="0" fillId="0" borderId="0" xfId="0" applyBorder="1" applyAlignment="1">
      <alignment horizontal="centerContinuous"/>
    </xf>
    <xf numFmtId="2" fontId="8" fillId="0" borderId="0" xfId="0" applyNumberFormat="1" applyFont="1" applyAlignment="1">
      <alignment horizontal="right"/>
    </xf>
    <xf numFmtId="0" fontId="8" fillId="0" borderId="0" xfId="0" applyFont="1" applyAlignment="1">
      <alignment horizontal="left" vertical="top"/>
    </xf>
    <xf numFmtId="0" fontId="10" fillId="0" borderId="0" xfId="0" applyFont="1" applyAlignment="1">
      <alignment horizontal="left" vertical="top"/>
    </xf>
    <xf numFmtId="0" fontId="4" fillId="0" borderId="0" xfId="0" applyFont="1" applyAlignment="1"/>
    <xf numFmtId="0" fontId="7" fillId="0" borderId="0" xfId="0" applyFont="1" applyAlignment="1">
      <alignment horizontal="center" vertical="top"/>
    </xf>
    <xf numFmtId="1" fontId="4" fillId="0" borderId="0" xfId="0" applyNumberFormat="1" applyFont="1" applyBorder="1" applyAlignment="1">
      <alignment horizontal="right"/>
    </xf>
    <xf numFmtId="2" fontId="4" fillId="0" borderId="0" xfId="0" applyNumberFormat="1" applyFont="1" applyBorder="1" applyAlignment="1">
      <alignment horizontal="right" vertical="top" wrapText="1"/>
    </xf>
    <xf numFmtId="1" fontId="4" fillId="0" borderId="0" xfId="0" applyNumberFormat="1" applyFont="1" applyAlignment="1">
      <alignment horizontal="center" vertical="top"/>
    </xf>
    <xf numFmtId="2" fontId="4" fillId="0" borderId="0" xfId="0" applyNumberFormat="1" applyFont="1" applyAlignment="1">
      <alignment vertical="top"/>
    </xf>
    <xf numFmtId="2" fontId="7" fillId="0" borderId="0" xfId="0" quotePrefix="1" applyNumberFormat="1" applyFont="1" applyAlignment="1">
      <alignment horizontal="centerContinuous"/>
    </xf>
    <xf numFmtId="0" fontId="8" fillId="0" borderId="0" xfId="0" quotePrefix="1" applyFont="1" applyAlignment="1">
      <alignment horizontal="left"/>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14" fillId="0" borderId="0" xfId="0" applyFont="1" applyAlignment="1">
      <alignment vertical="top"/>
    </xf>
    <xf numFmtId="0" fontId="4" fillId="0" borderId="0" xfId="0" applyFont="1" applyBorder="1" applyAlignment="1">
      <alignment vertical="center"/>
    </xf>
    <xf numFmtId="0" fontId="10" fillId="0" borderId="0" xfId="0" applyFont="1"/>
    <xf numFmtId="2" fontId="10" fillId="0" borderId="0" xfId="0" applyNumberFormat="1" applyFont="1" applyAlignment="1">
      <alignment horizontal="right"/>
    </xf>
    <xf numFmtId="0" fontId="0" fillId="0" borderId="2" xfId="0" applyBorder="1"/>
    <xf numFmtId="2" fontId="0" fillId="0" borderId="2" xfId="0" applyNumberFormat="1" applyBorder="1"/>
    <xf numFmtId="2" fontId="4" fillId="0" borderId="2" xfId="0" applyNumberFormat="1" applyFont="1" applyBorder="1"/>
    <xf numFmtId="0" fontId="4" fillId="0" borderId="2" xfId="0" quotePrefix="1" applyFont="1" applyBorder="1"/>
    <xf numFmtId="0" fontId="4" fillId="0" borderId="2" xfId="0" applyFont="1" applyBorder="1"/>
    <xf numFmtId="0" fontId="4" fillId="0" borderId="2" xfId="0" quotePrefix="1" applyFont="1" applyBorder="1" applyAlignment="1">
      <alignment horizontal="left"/>
    </xf>
    <xf numFmtId="0" fontId="4" fillId="0" borderId="0" xfId="0" quotePrefix="1" applyFont="1" applyBorder="1" applyAlignment="1">
      <alignment horizontal="left" vertical="top"/>
    </xf>
    <xf numFmtId="2" fontId="4" fillId="0" borderId="0" xfId="0" quotePrefix="1" applyNumberFormat="1" applyFont="1" applyAlignment="1">
      <alignment horizontal="left"/>
    </xf>
    <xf numFmtId="2" fontId="5" fillId="0" borderId="0" xfId="0" quotePrefix="1" applyNumberFormat="1" applyFont="1" applyAlignment="1">
      <alignment horizontal="left"/>
    </xf>
    <xf numFmtId="0" fontId="0" fillId="0" borderId="0" xfId="0" applyAlignment="1">
      <alignment vertical="top" wrapText="1"/>
    </xf>
    <xf numFmtId="1" fontId="4" fillId="0" borderId="2" xfId="0" applyNumberFormat="1" applyFont="1" applyBorder="1"/>
    <xf numFmtId="0" fontId="4" fillId="0" borderId="0" xfId="0" applyNumberFormat="1" applyFont="1" applyAlignment="1">
      <alignment horizontal="justify" vertical="top" wrapText="1"/>
    </xf>
    <xf numFmtId="0" fontId="12" fillId="0" borderId="0" xfId="0" applyNumberFormat="1" applyFont="1" applyAlignment="1">
      <alignment horizontal="justify" vertical="top" wrapText="1"/>
    </xf>
    <xf numFmtId="0" fontId="0" fillId="0" borderId="0" xfId="0" applyNumberFormat="1" applyAlignment="1">
      <alignment horizontal="justify" vertical="top" wrapText="1"/>
    </xf>
    <xf numFmtId="0" fontId="4" fillId="0" borderId="0" xfId="0" quotePrefix="1" applyNumberFormat="1" applyFont="1" applyAlignment="1">
      <alignment horizontal="justify" vertical="top" wrapText="1"/>
    </xf>
    <xf numFmtId="0" fontId="0" fillId="0" borderId="0" xfId="0" quotePrefix="1" applyNumberFormat="1" applyAlignment="1">
      <alignment horizontal="justify" vertical="top" wrapText="1"/>
    </xf>
    <xf numFmtId="0" fontId="4" fillId="0" borderId="0" xfId="0" applyNumberFormat="1" applyFont="1" applyBorder="1" applyAlignment="1">
      <alignment horizontal="justify" vertical="top" wrapText="1"/>
    </xf>
    <xf numFmtId="0" fontId="8" fillId="0" borderId="0" xfId="0" applyNumberFormat="1" applyFont="1" applyAlignment="1">
      <alignment horizontal="justify" vertical="top" wrapText="1"/>
    </xf>
    <xf numFmtId="0" fontId="3" fillId="0" borderId="0" xfId="0" applyNumberFormat="1" applyFont="1" applyAlignment="1">
      <alignment horizontal="justify" vertical="top" wrapText="1"/>
    </xf>
    <xf numFmtId="0" fontId="13" fillId="0" borderId="0" xfId="0" quotePrefix="1" applyNumberFormat="1" applyFont="1" applyAlignment="1">
      <alignment horizontal="justify" vertical="top" wrapText="1"/>
    </xf>
    <xf numFmtId="0" fontId="1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8"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8" fillId="0" borderId="0" xfId="0" applyFont="1" applyAlignment="1"/>
    <xf numFmtId="0" fontId="8" fillId="0" borderId="0" xfId="0" applyFont="1" applyAlignment="1">
      <alignment horizontal="right" vertical="top"/>
    </xf>
    <xf numFmtId="187" fontId="1" fillId="0" borderId="0" xfId="0" applyNumberFormat="1" applyFont="1" applyAlignment="1">
      <alignment horizontal="left"/>
    </xf>
    <xf numFmtId="2" fontId="0" fillId="0" borderId="2" xfId="0" applyNumberFormat="1" applyBorder="1" applyAlignment="1">
      <alignment horizontal="right"/>
    </xf>
    <xf numFmtId="2" fontId="0" fillId="0" borderId="2" xfId="0" applyNumberFormat="1" applyBorder="1" applyAlignment="1"/>
    <xf numFmtId="0" fontId="0" fillId="0" borderId="0" xfId="0" applyBorder="1" applyAlignment="1">
      <alignment vertical="top" wrapText="1"/>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0" fontId="4" fillId="0" borderId="2" xfId="0" applyNumberFormat="1" applyFont="1" applyBorder="1" applyAlignment="1">
      <alignment horizontal="center" vertical="top" wrapText="1"/>
    </xf>
    <xf numFmtId="0" fontId="2" fillId="0" borderId="0" xfId="0" quotePrefix="1" applyFont="1" applyAlignment="1">
      <alignment horizontal="justify" vertical="top" wrapText="1"/>
    </xf>
    <xf numFmtId="1" fontId="10" fillId="0" borderId="0" xfId="0" applyNumberFormat="1" applyFont="1"/>
    <xf numFmtId="0" fontId="15" fillId="0" borderId="0" xfId="0" applyNumberFormat="1" applyFont="1" applyAlignment="1">
      <alignment horizontal="justify" vertical="top" wrapText="1"/>
    </xf>
    <xf numFmtId="0" fontId="7" fillId="0" borderId="0" xfId="0" quotePrefix="1" applyFont="1" applyBorder="1" applyAlignment="1">
      <alignment horizontal="left"/>
    </xf>
    <xf numFmtId="0" fontId="4" fillId="0" borderId="0" xfId="0" applyFont="1" applyAlignment="1">
      <alignment horizontal="justify" vertical="top"/>
    </xf>
    <xf numFmtId="2" fontId="4" fillId="0" borderId="0" xfId="0" quotePrefix="1" applyNumberFormat="1" applyFont="1" applyBorder="1" applyAlignment="1">
      <alignment horizontal="left"/>
    </xf>
    <xf numFmtId="2" fontId="4" fillId="0" borderId="1" xfId="0" quotePrefix="1" applyNumberFormat="1" applyFont="1" applyBorder="1" applyAlignment="1">
      <alignment horizontal="left"/>
    </xf>
    <xf numFmtId="2" fontId="0" fillId="0" borderId="0" xfId="0" applyNumberFormat="1" applyAlignment="1">
      <alignment horizontal="justify" vertical="top" wrapText="1"/>
    </xf>
    <xf numFmtId="2" fontId="4" fillId="0" borderId="0" xfId="0" applyNumberFormat="1" applyFont="1" applyAlignment="1">
      <alignment horizontal="justify" vertical="top" wrapText="1"/>
    </xf>
    <xf numFmtId="1" fontId="0" fillId="0" borderId="0" xfId="0" applyNumberFormat="1" applyAlignment="1">
      <alignment horizontal="center"/>
    </xf>
    <xf numFmtId="2" fontId="4" fillId="0" borderId="0" xfId="0" applyNumberFormat="1" applyFont="1" applyAlignment="1">
      <alignment horizontal="left"/>
    </xf>
    <xf numFmtId="0" fontId="4" fillId="0" borderId="0" xfId="0" applyFont="1" applyBorder="1" applyAlignment="1">
      <alignment horizontal="justify" vertical="top" wrapText="1"/>
    </xf>
    <xf numFmtId="0" fontId="4" fillId="0" borderId="0" xfId="0" quotePrefix="1" applyFont="1" applyAlignment="1">
      <alignment horizontal="center"/>
    </xf>
    <xf numFmtId="2" fontId="4" fillId="0" borderId="0" xfId="0" quotePrefix="1" applyNumberFormat="1" applyFont="1" applyAlignment="1">
      <alignment horizontal="right"/>
    </xf>
    <xf numFmtId="1" fontId="4" fillId="0" borderId="0" xfId="0" applyNumberFormat="1" applyFont="1" applyAlignment="1">
      <alignment horizontal="left" vertical="top"/>
    </xf>
    <xf numFmtId="2" fontId="4" fillId="0" borderId="0" xfId="0" quotePrefix="1" applyNumberFormat="1" applyFont="1" applyAlignment="1">
      <alignment horizontal="center"/>
    </xf>
    <xf numFmtId="2" fontId="4" fillId="0" borderId="1" xfId="0" applyNumberFormat="1" applyFont="1" applyBorder="1" applyAlignment="1">
      <alignment horizontal="right"/>
    </xf>
    <xf numFmtId="0" fontId="4" fillId="0" borderId="0" xfId="0" applyFont="1" applyAlignment="1">
      <alignment horizontal="right" vertical="top"/>
    </xf>
    <xf numFmtId="0" fontId="16" fillId="0" borderId="0" xfId="0" applyNumberFormat="1" applyFont="1" applyAlignment="1">
      <alignment horizontal="justify" vertical="top" wrapText="1"/>
    </xf>
    <xf numFmtId="0" fontId="16" fillId="0" borderId="0" xfId="0" applyFont="1" applyAlignment="1">
      <alignment horizontal="justify" vertical="top" wrapText="1"/>
    </xf>
    <xf numFmtId="0" fontId="13" fillId="0" borderId="0" xfId="0" applyFont="1" applyAlignment="1">
      <alignment horizontal="justify" vertical="top"/>
    </xf>
    <xf numFmtId="1" fontId="4" fillId="0" borderId="0" xfId="0" applyNumberFormat="1" applyFont="1" applyBorder="1"/>
    <xf numFmtId="2" fontId="4" fillId="0" borderId="2" xfId="0" quotePrefix="1" applyNumberFormat="1" applyFont="1" applyBorder="1" applyAlignment="1">
      <alignment horizontal="center"/>
    </xf>
    <xf numFmtId="0" fontId="16" fillId="0" borderId="0" xfId="0" applyNumberFormat="1" applyFont="1" applyBorder="1" applyAlignment="1">
      <alignment horizontal="justify" vertical="top" wrapText="1"/>
    </xf>
    <xf numFmtId="43" fontId="4" fillId="0" borderId="0" xfId="1" quotePrefix="1" applyFont="1" applyAlignment="1">
      <alignment horizontal="left" vertical="top"/>
    </xf>
    <xf numFmtId="0" fontId="8" fillId="0" borderId="0" xfId="0" applyFont="1" applyAlignment="1">
      <alignment vertical="top" wrapText="1"/>
    </xf>
    <xf numFmtId="0" fontId="14" fillId="0" borderId="0" xfId="0" applyFont="1"/>
    <xf numFmtId="0" fontId="4" fillId="0" borderId="0" xfId="0" applyFont="1" applyBorder="1" applyAlignment="1">
      <alignment vertical="top" wrapText="1"/>
    </xf>
    <xf numFmtId="0" fontId="4" fillId="0" borderId="0" xfId="0" applyFont="1" applyAlignment="1">
      <alignment horizontal="justify"/>
    </xf>
    <xf numFmtId="0" fontId="8" fillId="0" borderId="0" xfId="0" applyFont="1" applyAlignment="1">
      <alignment horizontal="left"/>
    </xf>
    <xf numFmtId="0" fontId="8" fillId="0" borderId="0" xfId="0" quotePrefix="1" applyFont="1"/>
    <xf numFmtId="0" fontId="8" fillId="0" borderId="0" xfId="0" applyNumberFormat="1" applyFont="1" applyBorder="1" applyAlignment="1">
      <alignment horizontal="justify" vertical="top" wrapText="1"/>
    </xf>
    <xf numFmtId="0" fontId="8" fillId="0" borderId="0" xfId="0" applyFont="1" applyBorder="1"/>
    <xf numFmtId="0" fontId="17" fillId="0" borderId="0" xfId="0" quotePrefix="1" applyFont="1" applyBorder="1"/>
    <xf numFmtId="0" fontId="10" fillId="0" borderId="0" xfId="0" quotePrefix="1" applyFont="1" applyBorder="1" applyAlignment="1">
      <alignment horizontal="left"/>
    </xf>
    <xf numFmtId="0" fontId="8" fillId="0" borderId="0" xfId="0" applyNumberFormat="1" applyFont="1" applyAlignment="1">
      <alignment horizontal="right" vertical="top" wrapText="1"/>
    </xf>
    <xf numFmtId="0" fontId="14"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vertical="top"/>
    </xf>
    <xf numFmtId="0" fontId="5" fillId="0" borderId="0" xfId="0" applyFont="1" applyAlignment="1">
      <alignment horizontal="center" vertical="top" wrapText="1"/>
    </xf>
    <xf numFmtId="0" fontId="9" fillId="0" borderId="0" xfId="0" applyFont="1" applyAlignment="1">
      <alignment horizontal="center"/>
    </xf>
    <xf numFmtId="0" fontId="6" fillId="0" borderId="0" xfId="0" applyFont="1" applyAlignment="1">
      <alignment horizontal="center"/>
    </xf>
    <xf numFmtId="2" fontId="4" fillId="0" borderId="0" xfId="0" applyNumberFormat="1" applyFont="1" applyAlignment="1">
      <alignment horizontal="center"/>
    </xf>
    <xf numFmtId="0" fontId="4" fillId="0" borderId="0" xfId="0" applyFont="1" applyAlignment="1">
      <alignment horizontal="center"/>
    </xf>
    <xf numFmtId="0" fontId="3" fillId="0" borderId="1" xfId="0" applyFont="1" applyBorder="1" applyAlignment="1">
      <alignment horizontal="center"/>
    </xf>
    <xf numFmtId="0" fontId="3" fillId="0" borderId="0" xfId="0"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2</xdr:col>
      <xdr:colOff>0</xdr:colOff>
      <xdr:row>33</xdr:row>
      <xdr:rowOff>0</xdr:rowOff>
    </xdr:to>
    <xdr:sp macro="" textlink="">
      <xdr:nvSpPr>
        <xdr:cNvPr id="1055" name="Text 31"/>
        <xdr:cNvSpPr txBox="1">
          <a:spLocks noChangeArrowheads="1"/>
        </xdr:cNvSpPr>
      </xdr:nvSpPr>
      <xdr:spPr bwMode="auto">
        <a:xfrm>
          <a:off x="314325" y="30403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33</xdr:row>
      <xdr:rowOff>0</xdr:rowOff>
    </xdr:from>
    <xdr:to>
      <xdr:col>2</xdr:col>
      <xdr:colOff>0</xdr:colOff>
      <xdr:row>33</xdr:row>
      <xdr:rowOff>0</xdr:rowOff>
    </xdr:to>
    <xdr:sp macro="" textlink="">
      <xdr:nvSpPr>
        <xdr:cNvPr id="1056" name="Text 32"/>
        <xdr:cNvSpPr txBox="1">
          <a:spLocks noChangeArrowheads="1"/>
        </xdr:cNvSpPr>
      </xdr:nvSpPr>
      <xdr:spPr bwMode="auto">
        <a:xfrm>
          <a:off x="314325" y="30403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33</xdr:row>
      <xdr:rowOff>0</xdr:rowOff>
    </xdr:from>
    <xdr:to>
      <xdr:col>2</xdr:col>
      <xdr:colOff>9525</xdr:colOff>
      <xdr:row>33</xdr:row>
      <xdr:rowOff>0</xdr:rowOff>
    </xdr:to>
    <xdr:sp macro="" textlink="">
      <xdr:nvSpPr>
        <xdr:cNvPr id="1057" name="Text 33"/>
        <xdr:cNvSpPr txBox="1">
          <a:spLocks noChangeArrowheads="1"/>
        </xdr:cNvSpPr>
      </xdr:nvSpPr>
      <xdr:spPr bwMode="auto">
        <a:xfrm>
          <a:off x="314325" y="304038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xdr:row>
      <xdr:rowOff>0</xdr:rowOff>
    </xdr:from>
    <xdr:to>
      <xdr:col>2</xdr:col>
      <xdr:colOff>0</xdr:colOff>
      <xdr:row>25</xdr:row>
      <xdr:rowOff>0</xdr:rowOff>
    </xdr:to>
    <xdr:sp macro="" textlink="">
      <xdr:nvSpPr>
        <xdr:cNvPr id="1074" name="Text 50"/>
        <xdr:cNvSpPr txBox="1">
          <a:spLocks noChangeArrowheads="1"/>
        </xdr:cNvSpPr>
      </xdr:nvSpPr>
      <xdr:spPr bwMode="auto">
        <a:xfrm>
          <a:off x="314325" y="19735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18</xdr:row>
      <xdr:rowOff>0</xdr:rowOff>
    </xdr:from>
    <xdr:to>
      <xdr:col>1</xdr:col>
      <xdr:colOff>3000375</xdr:colOff>
      <xdr:row>18</xdr:row>
      <xdr:rowOff>0</xdr:rowOff>
    </xdr:to>
    <xdr:sp macro="" textlink="">
      <xdr:nvSpPr>
        <xdr:cNvPr id="1075" name="Text 51"/>
        <xdr:cNvSpPr txBox="1">
          <a:spLocks noChangeArrowheads="1"/>
        </xdr:cNvSpPr>
      </xdr:nvSpPr>
      <xdr:spPr bwMode="auto">
        <a:xfrm>
          <a:off x="314325" y="11925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33</xdr:row>
      <xdr:rowOff>0</xdr:rowOff>
    </xdr:from>
    <xdr:to>
      <xdr:col>2</xdr:col>
      <xdr:colOff>0</xdr:colOff>
      <xdr:row>33</xdr:row>
      <xdr:rowOff>0</xdr:rowOff>
    </xdr:to>
    <xdr:sp macro="" textlink="">
      <xdr:nvSpPr>
        <xdr:cNvPr id="1078" name="Text 54"/>
        <xdr:cNvSpPr txBox="1">
          <a:spLocks noChangeArrowheads="1"/>
        </xdr:cNvSpPr>
      </xdr:nvSpPr>
      <xdr:spPr bwMode="auto">
        <a:xfrm>
          <a:off x="314325" y="30403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xdr:row>
      <xdr:rowOff>0</xdr:rowOff>
    </xdr:from>
    <xdr:to>
      <xdr:col>2</xdr:col>
      <xdr:colOff>0</xdr:colOff>
      <xdr:row>22</xdr:row>
      <xdr:rowOff>0</xdr:rowOff>
    </xdr:to>
    <xdr:sp macro="" textlink="">
      <xdr:nvSpPr>
        <xdr:cNvPr id="1079" name="Text 55"/>
        <xdr:cNvSpPr txBox="1">
          <a:spLocks noChangeArrowheads="1"/>
        </xdr:cNvSpPr>
      </xdr:nvSpPr>
      <xdr:spPr bwMode="auto">
        <a:xfrm>
          <a:off x="314325" y="17068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33</xdr:row>
      <xdr:rowOff>0</xdr:rowOff>
    </xdr:from>
    <xdr:to>
      <xdr:col>2</xdr:col>
      <xdr:colOff>0</xdr:colOff>
      <xdr:row>33</xdr:row>
      <xdr:rowOff>0</xdr:rowOff>
    </xdr:to>
    <xdr:sp macro="" textlink="">
      <xdr:nvSpPr>
        <xdr:cNvPr id="1080" name="Text 56"/>
        <xdr:cNvSpPr txBox="1">
          <a:spLocks noChangeArrowheads="1"/>
        </xdr:cNvSpPr>
      </xdr:nvSpPr>
      <xdr:spPr bwMode="auto">
        <a:xfrm>
          <a:off x="333375" y="30403800"/>
          <a:ext cx="29813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33</xdr:row>
      <xdr:rowOff>0</xdr:rowOff>
    </xdr:from>
    <xdr:to>
      <xdr:col>1</xdr:col>
      <xdr:colOff>3000375</xdr:colOff>
      <xdr:row>33</xdr:row>
      <xdr:rowOff>0</xdr:rowOff>
    </xdr:to>
    <xdr:sp macro="" textlink="">
      <xdr:nvSpPr>
        <xdr:cNvPr id="1082" name="Text 58"/>
        <xdr:cNvSpPr txBox="1">
          <a:spLocks noChangeArrowheads="1"/>
        </xdr:cNvSpPr>
      </xdr:nvSpPr>
      <xdr:spPr bwMode="auto">
        <a:xfrm>
          <a:off x="314325" y="30403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33</xdr:row>
      <xdr:rowOff>0</xdr:rowOff>
    </xdr:from>
    <xdr:to>
      <xdr:col>2</xdr:col>
      <xdr:colOff>0</xdr:colOff>
      <xdr:row>33</xdr:row>
      <xdr:rowOff>0</xdr:rowOff>
    </xdr:to>
    <xdr:sp macro="" textlink="">
      <xdr:nvSpPr>
        <xdr:cNvPr id="1083" name="Text 59"/>
        <xdr:cNvSpPr txBox="1">
          <a:spLocks noChangeArrowheads="1"/>
        </xdr:cNvSpPr>
      </xdr:nvSpPr>
      <xdr:spPr bwMode="auto">
        <a:xfrm>
          <a:off x="314325" y="30403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33</xdr:row>
      <xdr:rowOff>0</xdr:rowOff>
    </xdr:from>
    <xdr:to>
      <xdr:col>2</xdr:col>
      <xdr:colOff>0</xdr:colOff>
      <xdr:row>33</xdr:row>
      <xdr:rowOff>0</xdr:rowOff>
    </xdr:to>
    <xdr:sp macro="" textlink="">
      <xdr:nvSpPr>
        <xdr:cNvPr id="1085" name="Text 61"/>
        <xdr:cNvSpPr txBox="1">
          <a:spLocks noChangeArrowheads="1"/>
        </xdr:cNvSpPr>
      </xdr:nvSpPr>
      <xdr:spPr bwMode="auto">
        <a:xfrm>
          <a:off x="314325" y="30403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18</xdr:row>
      <xdr:rowOff>0</xdr:rowOff>
    </xdr:from>
    <xdr:to>
      <xdr:col>1</xdr:col>
      <xdr:colOff>3000375</xdr:colOff>
      <xdr:row>18</xdr:row>
      <xdr:rowOff>0</xdr:rowOff>
    </xdr:to>
    <xdr:sp macro="" textlink="">
      <xdr:nvSpPr>
        <xdr:cNvPr id="1087" name="Text 63"/>
        <xdr:cNvSpPr txBox="1">
          <a:spLocks noChangeArrowheads="1"/>
        </xdr:cNvSpPr>
      </xdr:nvSpPr>
      <xdr:spPr bwMode="auto">
        <a:xfrm>
          <a:off x="314325" y="11925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xdr:col>
      <xdr:colOff>0</xdr:colOff>
      <xdr:row>20</xdr:row>
      <xdr:rowOff>0</xdr:rowOff>
    </xdr:from>
    <xdr:to>
      <xdr:col>2</xdr:col>
      <xdr:colOff>0</xdr:colOff>
      <xdr:row>20</xdr:row>
      <xdr:rowOff>0</xdr:rowOff>
    </xdr:to>
    <xdr:sp macro="" textlink="">
      <xdr:nvSpPr>
        <xdr:cNvPr id="1089" name="Text 65"/>
        <xdr:cNvSpPr txBox="1">
          <a:spLocks noChangeArrowheads="1"/>
        </xdr:cNvSpPr>
      </xdr:nvSpPr>
      <xdr:spPr bwMode="auto">
        <a:xfrm>
          <a:off x="314325" y="13258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20</xdr:row>
      <xdr:rowOff>0</xdr:rowOff>
    </xdr:from>
    <xdr:to>
      <xdr:col>1</xdr:col>
      <xdr:colOff>3000375</xdr:colOff>
      <xdr:row>20</xdr:row>
      <xdr:rowOff>0</xdr:rowOff>
    </xdr:to>
    <xdr:sp macro="" textlink="">
      <xdr:nvSpPr>
        <xdr:cNvPr id="1095" name="Text 71"/>
        <xdr:cNvSpPr txBox="1">
          <a:spLocks noChangeArrowheads="1"/>
        </xdr:cNvSpPr>
      </xdr:nvSpPr>
      <xdr:spPr bwMode="auto">
        <a:xfrm>
          <a:off x="314325" y="13258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xdr:row>
      <xdr:rowOff>0</xdr:rowOff>
    </xdr:from>
    <xdr:to>
      <xdr:col>2</xdr:col>
      <xdr:colOff>0</xdr:colOff>
      <xdr:row>22</xdr:row>
      <xdr:rowOff>0</xdr:rowOff>
    </xdr:to>
    <xdr:sp macro="" textlink="">
      <xdr:nvSpPr>
        <xdr:cNvPr id="1096" name="Text 72"/>
        <xdr:cNvSpPr txBox="1">
          <a:spLocks noChangeArrowheads="1"/>
        </xdr:cNvSpPr>
      </xdr:nvSpPr>
      <xdr:spPr bwMode="auto">
        <a:xfrm>
          <a:off x="314325" y="17068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xdr:row>
      <xdr:rowOff>0</xdr:rowOff>
    </xdr:from>
    <xdr:to>
      <xdr:col>2</xdr:col>
      <xdr:colOff>0</xdr:colOff>
      <xdr:row>22</xdr:row>
      <xdr:rowOff>0</xdr:rowOff>
    </xdr:to>
    <xdr:sp macro="" textlink="">
      <xdr:nvSpPr>
        <xdr:cNvPr id="1097" name="Text 73"/>
        <xdr:cNvSpPr txBox="1">
          <a:spLocks noChangeArrowheads="1"/>
        </xdr:cNvSpPr>
      </xdr:nvSpPr>
      <xdr:spPr bwMode="auto">
        <a:xfrm>
          <a:off x="314325" y="17068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20</xdr:row>
      <xdr:rowOff>0</xdr:rowOff>
    </xdr:from>
    <xdr:to>
      <xdr:col>2</xdr:col>
      <xdr:colOff>0</xdr:colOff>
      <xdr:row>20</xdr:row>
      <xdr:rowOff>0</xdr:rowOff>
    </xdr:to>
    <xdr:sp macro="" textlink="">
      <xdr:nvSpPr>
        <xdr:cNvPr id="1098" name="Text 74"/>
        <xdr:cNvSpPr txBox="1">
          <a:spLocks noChangeArrowheads="1"/>
        </xdr:cNvSpPr>
      </xdr:nvSpPr>
      <xdr:spPr bwMode="auto">
        <a:xfrm>
          <a:off x="314325" y="13258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37</xdr:row>
      <xdr:rowOff>0</xdr:rowOff>
    </xdr:from>
    <xdr:to>
      <xdr:col>2</xdr:col>
      <xdr:colOff>0</xdr:colOff>
      <xdr:row>37</xdr:row>
      <xdr:rowOff>0</xdr:rowOff>
    </xdr:to>
    <xdr:sp macro="" textlink="">
      <xdr:nvSpPr>
        <xdr:cNvPr id="1109" name="Text 85"/>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37</xdr:row>
      <xdr:rowOff>0</xdr:rowOff>
    </xdr:from>
    <xdr:to>
      <xdr:col>2</xdr:col>
      <xdr:colOff>0</xdr:colOff>
      <xdr:row>37</xdr:row>
      <xdr:rowOff>0</xdr:rowOff>
    </xdr:to>
    <xdr:sp macro="" textlink="">
      <xdr:nvSpPr>
        <xdr:cNvPr id="1113" name="Text 89"/>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xdr:col>
      <xdr:colOff>0</xdr:colOff>
      <xdr:row>35</xdr:row>
      <xdr:rowOff>0</xdr:rowOff>
    </xdr:from>
    <xdr:to>
      <xdr:col>2</xdr:col>
      <xdr:colOff>0</xdr:colOff>
      <xdr:row>35</xdr:row>
      <xdr:rowOff>0</xdr:rowOff>
    </xdr:to>
    <xdr:sp macro="" textlink="">
      <xdr:nvSpPr>
        <xdr:cNvPr id="1114" name="Text 90"/>
        <xdr:cNvSpPr txBox="1">
          <a:spLocks noChangeArrowheads="1"/>
        </xdr:cNvSpPr>
      </xdr:nvSpPr>
      <xdr:spPr bwMode="auto">
        <a:xfrm>
          <a:off x="314325" y="32499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35</xdr:row>
      <xdr:rowOff>0</xdr:rowOff>
    </xdr:from>
    <xdr:to>
      <xdr:col>2</xdr:col>
      <xdr:colOff>9525</xdr:colOff>
      <xdr:row>35</xdr:row>
      <xdr:rowOff>0</xdr:rowOff>
    </xdr:to>
    <xdr:sp macro="" textlink="">
      <xdr:nvSpPr>
        <xdr:cNvPr id="1115" name="Text 91"/>
        <xdr:cNvSpPr txBox="1">
          <a:spLocks noChangeArrowheads="1"/>
        </xdr:cNvSpPr>
      </xdr:nvSpPr>
      <xdr:spPr bwMode="auto">
        <a:xfrm>
          <a:off x="314325" y="324993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xdr:col>
      <xdr:colOff>0</xdr:colOff>
      <xdr:row>37</xdr:row>
      <xdr:rowOff>0</xdr:rowOff>
    </xdr:from>
    <xdr:to>
      <xdr:col>2</xdr:col>
      <xdr:colOff>0</xdr:colOff>
      <xdr:row>37</xdr:row>
      <xdr:rowOff>0</xdr:rowOff>
    </xdr:to>
    <xdr:sp macro="" textlink="">
      <xdr:nvSpPr>
        <xdr:cNvPr id="1116" name="Text 92"/>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37</xdr:row>
      <xdr:rowOff>0</xdr:rowOff>
    </xdr:from>
    <xdr:to>
      <xdr:col>1</xdr:col>
      <xdr:colOff>2962275</xdr:colOff>
      <xdr:row>37</xdr:row>
      <xdr:rowOff>0</xdr:rowOff>
    </xdr:to>
    <xdr:sp macro="" textlink="">
      <xdr:nvSpPr>
        <xdr:cNvPr id="1117" name="Text 93"/>
        <xdr:cNvSpPr txBox="1">
          <a:spLocks noChangeArrowheads="1"/>
        </xdr:cNvSpPr>
      </xdr:nvSpPr>
      <xdr:spPr bwMode="auto">
        <a:xfrm>
          <a:off x="323850" y="3326130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37</xdr:row>
      <xdr:rowOff>0</xdr:rowOff>
    </xdr:from>
    <xdr:to>
      <xdr:col>2</xdr:col>
      <xdr:colOff>0</xdr:colOff>
      <xdr:row>37</xdr:row>
      <xdr:rowOff>0</xdr:rowOff>
    </xdr:to>
    <xdr:sp macro="" textlink="">
      <xdr:nvSpPr>
        <xdr:cNvPr id="1118" name="Text 94"/>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42</xdr:row>
      <xdr:rowOff>0</xdr:rowOff>
    </xdr:from>
    <xdr:to>
      <xdr:col>2</xdr:col>
      <xdr:colOff>9525</xdr:colOff>
      <xdr:row>42</xdr:row>
      <xdr:rowOff>0</xdr:rowOff>
    </xdr:to>
    <xdr:sp macro="" textlink="">
      <xdr:nvSpPr>
        <xdr:cNvPr id="1119" name="Text 95"/>
        <xdr:cNvSpPr txBox="1">
          <a:spLocks noChangeArrowheads="1"/>
        </xdr:cNvSpPr>
      </xdr:nvSpPr>
      <xdr:spPr bwMode="auto">
        <a:xfrm>
          <a:off x="323850" y="39166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35</xdr:row>
      <xdr:rowOff>0</xdr:rowOff>
    </xdr:from>
    <xdr:to>
      <xdr:col>2</xdr:col>
      <xdr:colOff>0</xdr:colOff>
      <xdr:row>35</xdr:row>
      <xdr:rowOff>0</xdr:rowOff>
    </xdr:to>
    <xdr:sp macro="" textlink="">
      <xdr:nvSpPr>
        <xdr:cNvPr id="1130" name="Text 106"/>
        <xdr:cNvSpPr txBox="1">
          <a:spLocks noChangeArrowheads="1"/>
        </xdr:cNvSpPr>
      </xdr:nvSpPr>
      <xdr:spPr bwMode="auto">
        <a:xfrm>
          <a:off x="314325" y="324993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35</xdr:row>
      <xdr:rowOff>0</xdr:rowOff>
    </xdr:from>
    <xdr:to>
      <xdr:col>2</xdr:col>
      <xdr:colOff>0</xdr:colOff>
      <xdr:row>35</xdr:row>
      <xdr:rowOff>0</xdr:rowOff>
    </xdr:to>
    <xdr:sp macro="" textlink="">
      <xdr:nvSpPr>
        <xdr:cNvPr id="1134" name="Text 110"/>
        <xdr:cNvSpPr txBox="1">
          <a:spLocks noChangeArrowheads="1"/>
        </xdr:cNvSpPr>
      </xdr:nvSpPr>
      <xdr:spPr bwMode="auto">
        <a:xfrm>
          <a:off x="314325" y="32499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u="none" strike="noStrike" baseline="0">
              <a:solidFill>
                <a:srgbClr val="000000"/>
              </a:solidFill>
              <a:latin typeface="Arial"/>
              <a:cs typeface="Arial"/>
            </a:rPr>
            <a:t> 25 mm thick  slab area 901 to 2000 Sq. cm.</a:t>
          </a:r>
        </a:p>
      </xdr:txBody>
    </xdr:sp>
    <xdr:clientData/>
  </xdr:twoCellAnchor>
  <xdr:twoCellAnchor>
    <xdr:from>
      <xdr:col>0</xdr:col>
      <xdr:colOff>714375</xdr:colOff>
      <xdr:row>35</xdr:row>
      <xdr:rowOff>0</xdr:rowOff>
    </xdr:from>
    <xdr:to>
      <xdr:col>2</xdr:col>
      <xdr:colOff>9525</xdr:colOff>
      <xdr:row>35</xdr:row>
      <xdr:rowOff>0</xdr:rowOff>
    </xdr:to>
    <xdr:sp macro="" textlink="">
      <xdr:nvSpPr>
        <xdr:cNvPr id="1135" name="Text 111"/>
        <xdr:cNvSpPr txBox="1">
          <a:spLocks noChangeArrowheads="1"/>
        </xdr:cNvSpPr>
      </xdr:nvSpPr>
      <xdr:spPr bwMode="auto">
        <a:xfrm>
          <a:off x="314325" y="324993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21 mm thick with under layer of 15 mm thick cement plaster 1:3 (1 cement : 3 coarse sand)</a:t>
          </a:r>
        </a:p>
        <a:p>
          <a:pPr algn="l" rtl="0">
            <a:defRPr sz="1000"/>
          </a:pPr>
          <a:r>
            <a:rPr lang="en-US" sz="1200" b="0" i="0" u="none" strike="noStrike" baseline="0">
              <a:solidFill>
                <a:srgbClr val="000000"/>
              </a:solidFill>
              <a:latin typeface="Arial"/>
              <a:cs typeface="Arial"/>
            </a:rPr>
            <a:t>Light shade pigment with ordinary cement.</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37</xdr:row>
      <xdr:rowOff>0</xdr:rowOff>
    </xdr:from>
    <xdr:to>
      <xdr:col>2</xdr:col>
      <xdr:colOff>0</xdr:colOff>
      <xdr:row>37</xdr:row>
      <xdr:rowOff>0</xdr:rowOff>
    </xdr:to>
    <xdr:sp macro="" textlink="">
      <xdr:nvSpPr>
        <xdr:cNvPr id="1136" name="Text 112"/>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37</xdr:row>
      <xdr:rowOff>0</xdr:rowOff>
    </xdr:from>
    <xdr:to>
      <xdr:col>1</xdr:col>
      <xdr:colOff>2962275</xdr:colOff>
      <xdr:row>37</xdr:row>
      <xdr:rowOff>0</xdr:rowOff>
    </xdr:to>
    <xdr:sp macro="" textlink="">
      <xdr:nvSpPr>
        <xdr:cNvPr id="1137" name="Text 113"/>
        <xdr:cNvSpPr txBox="1">
          <a:spLocks noChangeArrowheads="1"/>
        </xdr:cNvSpPr>
      </xdr:nvSpPr>
      <xdr:spPr bwMode="auto">
        <a:xfrm>
          <a:off x="323850" y="3326130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37</xdr:row>
      <xdr:rowOff>0</xdr:rowOff>
    </xdr:from>
    <xdr:to>
      <xdr:col>2</xdr:col>
      <xdr:colOff>0</xdr:colOff>
      <xdr:row>37</xdr:row>
      <xdr:rowOff>0</xdr:rowOff>
    </xdr:to>
    <xdr:sp macro="" textlink="">
      <xdr:nvSpPr>
        <xdr:cNvPr id="1138" name="Text 114"/>
        <xdr:cNvSpPr txBox="1">
          <a:spLocks noChangeArrowheads="1"/>
        </xdr:cNvSpPr>
      </xdr:nvSpPr>
      <xdr:spPr bwMode="auto">
        <a:xfrm>
          <a:off x="314325" y="33261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42</xdr:row>
      <xdr:rowOff>0</xdr:rowOff>
    </xdr:from>
    <xdr:to>
      <xdr:col>2</xdr:col>
      <xdr:colOff>9525</xdr:colOff>
      <xdr:row>42</xdr:row>
      <xdr:rowOff>0</xdr:rowOff>
    </xdr:to>
    <xdr:sp macro="" textlink="">
      <xdr:nvSpPr>
        <xdr:cNvPr id="1139" name="Text 115"/>
        <xdr:cNvSpPr txBox="1">
          <a:spLocks noChangeArrowheads="1"/>
        </xdr:cNvSpPr>
      </xdr:nvSpPr>
      <xdr:spPr bwMode="auto">
        <a:xfrm>
          <a:off x="323850" y="39166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51</xdr:row>
      <xdr:rowOff>0</xdr:rowOff>
    </xdr:from>
    <xdr:to>
      <xdr:col>2</xdr:col>
      <xdr:colOff>0</xdr:colOff>
      <xdr:row>51</xdr:row>
      <xdr:rowOff>0</xdr:rowOff>
    </xdr:to>
    <xdr:sp macro="" textlink="">
      <xdr:nvSpPr>
        <xdr:cNvPr id="1152" name="Text 85"/>
        <xdr:cNvSpPr txBox="1">
          <a:spLocks noChangeArrowheads="1"/>
        </xdr:cNvSpPr>
      </xdr:nvSpPr>
      <xdr:spPr bwMode="auto">
        <a:xfrm>
          <a:off x="314325" y="469773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White Marble Banswara</a:t>
          </a:r>
        </a:p>
        <a:p>
          <a:pPr algn="l" rtl="0">
            <a:defRPr sz="1000"/>
          </a:pPr>
          <a:r>
            <a:rPr lang="en-US" sz="1200" b="0" i="0" u="none" strike="noStrike" baseline="0">
              <a:solidFill>
                <a:srgbClr val="000000"/>
              </a:solidFill>
              <a:latin typeface="Arial"/>
              <a:cs typeface="Arial"/>
            </a:rPr>
            <a:t> Above 3601 Sq. cm. </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62" name="Text 31"/>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63" name="Text 32"/>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59</xdr:row>
      <xdr:rowOff>0</xdr:rowOff>
    </xdr:from>
    <xdr:to>
      <xdr:col>2</xdr:col>
      <xdr:colOff>9525</xdr:colOff>
      <xdr:row>59</xdr:row>
      <xdr:rowOff>0</xdr:rowOff>
    </xdr:to>
    <xdr:sp macro="" textlink="">
      <xdr:nvSpPr>
        <xdr:cNvPr id="1164" name="Text 33"/>
        <xdr:cNvSpPr txBox="1">
          <a:spLocks noChangeArrowheads="1"/>
        </xdr:cNvSpPr>
      </xdr:nvSpPr>
      <xdr:spPr bwMode="auto">
        <a:xfrm>
          <a:off x="314325" y="5175885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65" name="Text 50"/>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59</xdr:row>
      <xdr:rowOff>0</xdr:rowOff>
    </xdr:from>
    <xdr:to>
      <xdr:col>1</xdr:col>
      <xdr:colOff>3000375</xdr:colOff>
      <xdr:row>59</xdr:row>
      <xdr:rowOff>0</xdr:rowOff>
    </xdr:to>
    <xdr:sp macro="" textlink="">
      <xdr:nvSpPr>
        <xdr:cNvPr id="1166" name="Text 51"/>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67" name="Text 54"/>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68" name="Text 55"/>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59</xdr:row>
      <xdr:rowOff>0</xdr:rowOff>
    </xdr:from>
    <xdr:to>
      <xdr:col>2</xdr:col>
      <xdr:colOff>0</xdr:colOff>
      <xdr:row>59</xdr:row>
      <xdr:rowOff>0</xdr:rowOff>
    </xdr:to>
    <xdr:sp macro="" textlink="">
      <xdr:nvSpPr>
        <xdr:cNvPr id="1169" name="Text 56"/>
        <xdr:cNvSpPr txBox="1">
          <a:spLocks noChangeArrowheads="1"/>
        </xdr:cNvSpPr>
      </xdr:nvSpPr>
      <xdr:spPr bwMode="auto">
        <a:xfrm>
          <a:off x="333375" y="51758850"/>
          <a:ext cx="29813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59</xdr:row>
      <xdr:rowOff>0</xdr:rowOff>
    </xdr:from>
    <xdr:to>
      <xdr:col>1</xdr:col>
      <xdr:colOff>3000375</xdr:colOff>
      <xdr:row>59</xdr:row>
      <xdr:rowOff>0</xdr:rowOff>
    </xdr:to>
    <xdr:sp macro="" textlink="">
      <xdr:nvSpPr>
        <xdr:cNvPr id="1170" name="Text 58"/>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1" name="Text 59"/>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2" name="Text 61"/>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1</xdr:col>
      <xdr:colOff>3000375</xdr:colOff>
      <xdr:row>59</xdr:row>
      <xdr:rowOff>0</xdr:rowOff>
    </xdr:to>
    <xdr:sp macro="" textlink="">
      <xdr:nvSpPr>
        <xdr:cNvPr id="1173" name="Text 63"/>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4" name="Text 65"/>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1</xdr:col>
      <xdr:colOff>3000375</xdr:colOff>
      <xdr:row>59</xdr:row>
      <xdr:rowOff>0</xdr:rowOff>
    </xdr:to>
    <xdr:sp macro="" textlink="">
      <xdr:nvSpPr>
        <xdr:cNvPr id="1175" name="Text 71"/>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6" name="Text 72"/>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7" name="Text 73"/>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8" name="Text 74"/>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79" name="Text 85"/>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0" name="Text 89"/>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1" name="Text 90"/>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59</xdr:row>
      <xdr:rowOff>0</xdr:rowOff>
    </xdr:from>
    <xdr:to>
      <xdr:col>2</xdr:col>
      <xdr:colOff>9525</xdr:colOff>
      <xdr:row>59</xdr:row>
      <xdr:rowOff>0</xdr:rowOff>
    </xdr:to>
    <xdr:sp macro="" textlink="">
      <xdr:nvSpPr>
        <xdr:cNvPr id="1182" name="Text 91"/>
        <xdr:cNvSpPr txBox="1">
          <a:spLocks noChangeArrowheads="1"/>
        </xdr:cNvSpPr>
      </xdr:nvSpPr>
      <xdr:spPr bwMode="auto">
        <a:xfrm>
          <a:off x="314325" y="5175885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3" name="Text 92"/>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59</xdr:row>
      <xdr:rowOff>0</xdr:rowOff>
    </xdr:from>
    <xdr:to>
      <xdr:col>1</xdr:col>
      <xdr:colOff>2962275</xdr:colOff>
      <xdr:row>59</xdr:row>
      <xdr:rowOff>0</xdr:rowOff>
    </xdr:to>
    <xdr:sp macro="" textlink="">
      <xdr:nvSpPr>
        <xdr:cNvPr id="1184" name="Text 93"/>
        <xdr:cNvSpPr txBox="1">
          <a:spLocks noChangeArrowheads="1"/>
        </xdr:cNvSpPr>
      </xdr:nvSpPr>
      <xdr:spPr bwMode="auto">
        <a:xfrm>
          <a:off x="323850" y="5175885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5" name="Text 94"/>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59</xdr:row>
      <xdr:rowOff>0</xdr:rowOff>
    </xdr:from>
    <xdr:to>
      <xdr:col>2</xdr:col>
      <xdr:colOff>9525</xdr:colOff>
      <xdr:row>59</xdr:row>
      <xdr:rowOff>0</xdr:rowOff>
    </xdr:to>
    <xdr:sp macro="" textlink="">
      <xdr:nvSpPr>
        <xdr:cNvPr id="1186" name="Text 95"/>
        <xdr:cNvSpPr txBox="1">
          <a:spLocks noChangeArrowheads="1"/>
        </xdr:cNvSpPr>
      </xdr:nvSpPr>
      <xdr:spPr bwMode="auto">
        <a:xfrm>
          <a:off x="323850"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7" name="Text 106"/>
        <xdr:cNvSpPr txBox="1">
          <a:spLocks noChangeArrowheads="1"/>
        </xdr:cNvSpPr>
      </xdr:nvSpPr>
      <xdr:spPr bwMode="auto">
        <a:xfrm>
          <a:off x="314325" y="5175885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88" name="Text 110"/>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u="none" strike="noStrike" baseline="0">
              <a:solidFill>
                <a:srgbClr val="000000"/>
              </a:solidFill>
              <a:latin typeface="Arial"/>
              <a:cs typeface="Arial"/>
            </a:rPr>
            <a:t> 25 mm thick  slab area 901 to 2000 Sq. cm.</a:t>
          </a:r>
        </a:p>
      </xdr:txBody>
    </xdr:sp>
    <xdr:clientData/>
  </xdr:twoCellAnchor>
  <xdr:twoCellAnchor>
    <xdr:from>
      <xdr:col>0</xdr:col>
      <xdr:colOff>714375</xdr:colOff>
      <xdr:row>59</xdr:row>
      <xdr:rowOff>0</xdr:rowOff>
    </xdr:from>
    <xdr:to>
      <xdr:col>2</xdr:col>
      <xdr:colOff>9525</xdr:colOff>
      <xdr:row>59</xdr:row>
      <xdr:rowOff>0</xdr:rowOff>
    </xdr:to>
    <xdr:sp macro="" textlink="">
      <xdr:nvSpPr>
        <xdr:cNvPr id="1189" name="Text 111"/>
        <xdr:cNvSpPr txBox="1">
          <a:spLocks noChangeArrowheads="1"/>
        </xdr:cNvSpPr>
      </xdr:nvSpPr>
      <xdr:spPr bwMode="auto">
        <a:xfrm>
          <a:off x="314325" y="5175885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21 mm thick with under layer of 15 mm thick cement plaster 1:3 (1 cement : 3 coarse sand)</a:t>
          </a:r>
        </a:p>
        <a:p>
          <a:pPr algn="l" rtl="0">
            <a:defRPr sz="1000"/>
          </a:pPr>
          <a:r>
            <a:rPr lang="en-US" sz="1200" b="0" i="0" u="none" strike="noStrike" baseline="0">
              <a:solidFill>
                <a:srgbClr val="000000"/>
              </a:solidFill>
              <a:latin typeface="Arial"/>
              <a:cs typeface="Arial"/>
            </a:rPr>
            <a:t>Light shade pigment with ordinary cement.</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59</xdr:row>
      <xdr:rowOff>0</xdr:rowOff>
    </xdr:from>
    <xdr:to>
      <xdr:col>2</xdr:col>
      <xdr:colOff>0</xdr:colOff>
      <xdr:row>59</xdr:row>
      <xdr:rowOff>0</xdr:rowOff>
    </xdr:to>
    <xdr:sp macro="" textlink="">
      <xdr:nvSpPr>
        <xdr:cNvPr id="1190" name="Text 112"/>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59</xdr:row>
      <xdr:rowOff>0</xdr:rowOff>
    </xdr:from>
    <xdr:to>
      <xdr:col>1</xdr:col>
      <xdr:colOff>2962275</xdr:colOff>
      <xdr:row>59</xdr:row>
      <xdr:rowOff>0</xdr:rowOff>
    </xdr:to>
    <xdr:sp macro="" textlink="">
      <xdr:nvSpPr>
        <xdr:cNvPr id="1191" name="Text 113"/>
        <xdr:cNvSpPr txBox="1">
          <a:spLocks noChangeArrowheads="1"/>
        </xdr:cNvSpPr>
      </xdr:nvSpPr>
      <xdr:spPr bwMode="auto">
        <a:xfrm>
          <a:off x="323850" y="5175885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92" name="Text 114"/>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59</xdr:row>
      <xdr:rowOff>0</xdr:rowOff>
    </xdr:from>
    <xdr:to>
      <xdr:col>2</xdr:col>
      <xdr:colOff>9525</xdr:colOff>
      <xdr:row>59</xdr:row>
      <xdr:rowOff>0</xdr:rowOff>
    </xdr:to>
    <xdr:sp macro="" textlink="">
      <xdr:nvSpPr>
        <xdr:cNvPr id="1193" name="Text 115"/>
        <xdr:cNvSpPr txBox="1">
          <a:spLocks noChangeArrowheads="1"/>
        </xdr:cNvSpPr>
      </xdr:nvSpPr>
      <xdr:spPr bwMode="auto">
        <a:xfrm>
          <a:off x="323850"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59</xdr:row>
      <xdr:rowOff>0</xdr:rowOff>
    </xdr:from>
    <xdr:to>
      <xdr:col>2</xdr:col>
      <xdr:colOff>0</xdr:colOff>
      <xdr:row>59</xdr:row>
      <xdr:rowOff>0</xdr:rowOff>
    </xdr:to>
    <xdr:sp macro="" textlink="">
      <xdr:nvSpPr>
        <xdr:cNvPr id="1194" name="Text 85"/>
        <xdr:cNvSpPr txBox="1">
          <a:spLocks noChangeArrowheads="1"/>
        </xdr:cNvSpPr>
      </xdr:nvSpPr>
      <xdr:spPr bwMode="auto">
        <a:xfrm>
          <a:off x="314325" y="5175885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White Marble Banswara</a:t>
          </a:r>
        </a:p>
        <a:p>
          <a:pPr algn="l" rtl="0">
            <a:defRPr sz="1000"/>
          </a:pPr>
          <a:r>
            <a:rPr lang="en-US" sz="1200" b="0" i="0" u="none" strike="noStrike" baseline="0">
              <a:solidFill>
                <a:srgbClr val="000000"/>
              </a:solidFill>
              <a:latin typeface="Arial"/>
              <a:cs typeface="Arial"/>
            </a:rPr>
            <a:t> Above 3601 Sq. cm. </a:t>
          </a:r>
        </a:p>
      </xdr:txBody>
    </xdr:sp>
    <xdr:clientData/>
  </xdr:twoCellAnchor>
  <xdr:twoCellAnchor>
    <xdr:from>
      <xdr:col>1</xdr:col>
      <xdr:colOff>0</xdr:colOff>
      <xdr:row>33</xdr:row>
      <xdr:rowOff>0</xdr:rowOff>
    </xdr:from>
    <xdr:to>
      <xdr:col>2</xdr:col>
      <xdr:colOff>0</xdr:colOff>
      <xdr:row>33</xdr:row>
      <xdr:rowOff>0</xdr:rowOff>
    </xdr:to>
    <xdr:sp macro="" textlink="">
      <xdr:nvSpPr>
        <xdr:cNvPr id="1195" name="Text 90"/>
        <xdr:cNvSpPr txBox="1">
          <a:spLocks noChangeArrowheads="1"/>
        </xdr:cNvSpPr>
      </xdr:nvSpPr>
      <xdr:spPr bwMode="auto">
        <a:xfrm>
          <a:off x="314325" y="30403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33</xdr:row>
      <xdr:rowOff>0</xdr:rowOff>
    </xdr:from>
    <xdr:to>
      <xdr:col>2</xdr:col>
      <xdr:colOff>9525</xdr:colOff>
      <xdr:row>33</xdr:row>
      <xdr:rowOff>0</xdr:rowOff>
    </xdr:to>
    <xdr:sp macro="" textlink="">
      <xdr:nvSpPr>
        <xdr:cNvPr id="1196" name="Text 91"/>
        <xdr:cNvSpPr txBox="1">
          <a:spLocks noChangeArrowheads="1"/>
        </xdr:cNvSpPr>
      </xdr:nvSpPr>
      <xdr:spPr bwMode="auto">
        <a:xfrm>
          <a:off x="314325" y="304038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xdr:col>
      <xdr:colOff>0</xdr:colOff>
      <xdr:row>33</xdr:row>
      <xdr:rowOff>0</xdr:rowOff>
    </xdr:from>
    <xdr:to>
      <xdr:col>2</xdr:col>
      <xdr:colOff>0</xdr:colOff>
      <xdr:row>33</xdr:row>
      <xdr:rowOff>0</xdr:rowOff>
    </xdr:to>
    <xdr:sp macro="" textlink="">
      <xdr:nvSpPr>
        <xdr:cNvPr id="1197" name="Text 106"/>
        <xdr:cNvSpPr txBox="1">
          <a:spLocks noChangeArrowheads="1"/>
        </xdr:cNvSpPr>
      </xdr:nvSpPr>
      <xdr:spPr bwMode="auto">
        <a:xfrm>
          <a:off x="314325" y="30403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33</xdr:row>
      <xdr:rowOff>0</xdr:rowOff>
    </xdr:from>
    <xdr:to>
      <xdr:col>2</xdr:col>
      <xdr:colOff>0</xdr:colOff>
      <xdr:row>33</xdr:row>
      <xdr:rowOff>0</xdr:rowOff>
    </xdr:to>
    <xdr:sp macro="" textlink="">
      <xdr:nvSpPr>
        <xdr:cNvPr id="1198" name="Text 110"/>
        <xdr:cNvSpPr txBox="1">
          <a:spLocks noChangeArrowheads="1"/>
        </xdr:cNvSpPr>
      </xdr:nvSpPr>
      <xdr:spPr bwMode="auto">
        <a:xfrm>
          <a:off x="314325" y="30403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u="none" strike="noStrike" baseline="0">
              <a:solidFill>
                <a:srgbClr val="000000"/>
              </a:solidFill>
              <a:latin typeface="Arial"/>
              <a:cs typeface="Arial"/>
            </a:rPr>
            <a:t> 25 mm thick  slab area 901 to 2000 Sq. cm.</a:t>
          </a:r>
        </a:p>
      </xdr:txBody>
    </xdr:sp>
    <xdr:clientData/>
  </xdr:twoCellAnchor>
  <xdr:twoCellAnchor>
    <xdr:from>
      <xdr:col>0</xdr:col>
      <xdr:colOff>714375</xdr:colOff>
      <xdr:row>33</xdr:row>
      <xdr:rowOff>0</xdr:rowOff>
    </xdr:from>
    <xdr:to>
      <xdr:col>2</xdr:col>
      <xdr:colOff>9525</xdr:colOff>
      <xdr:row>33</xdr:row>
      <xdr:rowOff>0</xdr:rowOff>
    </xdr:to>
    <xdr:sp macro="" textlink="">
      <xdr:nvSpPr>
        <xdr:cNvPr id="1199" name="Text 111"/>
        <xdr:cNvSpPr txBox="1">
          <a:spLocks noChangeArrowheads="1"/>
        </xdr:cNvSpPr>
      </xdr:nvSpPr>
      <xdr:spPr bwMode="auto">
        <a:xfrm>
          <a:off x="314325" y="304038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21 mm thick with under layer of 15 mm thick cement plaster 1:3 (1 cement : 3 coarse sand)</a:t>
          </a:r>
        </a:p>
        <a:p>
          <a:pPr algn="l" rtl="0">
            <a:defRPr sz="1000"/>
          </a:pPr>
          <a:r>
            <a:rPr lang="en-US" sz="1200" b="0" i="0" u="none" strike="noStrike" baseline="0">
              <a:solidFill>
                <a:srgbClr val="000000"/>
              </a:solidFill>
              <a:latin typeface="Arial"/>
              <a:cs typeface="Arial"/>
            </a:rPr>
            <a:t>Light shade pigment with ordinary cement.</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7</xdr:col>
      <xdr:colOff>0</xdr:colOff>
      <xdr:row>7</xdr:row>
      <xdr:rowOff>0</xdr:rowOff>
    </xdr:from>
    <xdr:to>
      <xdr:col>7</xdr:col>
      <xdr:colOff>0</xdr:colOff>
      <xdr:row>7</xdr:row>
      <xdr:rowOff>0</xdr:rowOff>
    </xdr:to>
    <xdr:sp macro="" textlink="">
      <xdr:nvSpPr>
        <xdr:cNvPr id="1200" name="Text 140"/>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White washing with lime to give an even shade including all scaffolding:</a:t>
          </a:r>
        </a:p>
        <a:p>
          <a:pPr algn="l" rtl="0">
            <a:defRPr sz="1000"/>
          </a:pPr>
          <a:r>
            <a:rPr lang="en-US" sz="1200" b="0" i="0" u="none" strike="noStrike" baseline="0">
              <a:solidFill>
                <a:srgbClr val="000000"/>
              </a:solidFill>
              <a:latin typeface="Arial"/>
              <a:cs typeface="Arial"/>
            </a:rPr>
            <a:t>New work (two or more coats).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1" name="Text 141"/>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2" name="Text 142"/>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3" name="Text 121"/>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4" name="Text 128"/>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5" name="Text 132"/>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(A) M.P. teakwood grade I 35 mm thick . Panels 12 mm thick shuttering ply (both faces).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6" name="Text 138"/>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7" name="Text 141"/>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7</xdr:row>
      <xdr:rowOff>0</xdr:rowOff>
    </xdr:from>
    <xdr:to>
      <xdr:col>7</xdr:col>
      <xdr:colOff>0</xdr:colOff>
      <xdr:row>7</xdr:row>
      <xdr:rowOff>0</xdr:rowOff>
    </xdr:to>
    <xdr:sp macro="" textlink="">
      <xdr:nvSpPr>
        <xdr:cNvPr id="1208" name="Text 142"/>
        <xdr:cNvSpPr txBox="1">
          <a:spLocks noChangeArrowheads="1"/>
        </xdr:cNvSpPr>
      </xdr:nvSpPr>
      <xdr:spPr bwMode="auto">
        <a:xfrm>
          <a:off x="6753225" y="4305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7</xdr:col>
      <xdr:colOff>0</xdr:colOff>
      <xdr:row>6</xdr:row>
      <xdr:rowOff>0</xdr:rowOff>
    </xdr:from>
    <xdr:to>
      <xdr:col>7</xdr:col>
      <xdr:colOff>0</xdr:colOff>
      <xdr:row>7</xdr:row>
      <xdr:rowOff>0</xdr:rowOff>
    </xdr:to>
    <xdr:sp macro="" textlink="">
      <xdr:nvSpPr>
        <xdr:cNvPr id="1209" name="Text 141"/>
        <xdr:cNvSpPr txBox="1">
          <a:spLocks noChangeArrowheads="1"/>
        </xdr:cNvSpPr>
      </xdr:nvSpPr>
      <xdr:spPr bwMode="auto">
        <a:xfrm>
          <a:off x="6753225" y="41148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6</xdr:row>
      <xdr:rowOff>0</xdr:rowOff>
    </xdr:from>
    <xdr:to>
      <xdr:col>7</xdr:col>
      <xdr:colOff>0</xdr:colOff>
      <xdr:row>7</xdr:row>
      <xdr:rowOff>0</xdr:rowOff>
    </xdr:to>
    <xdr:sp macro="" textlink="">
      <xdr:nvSpPr>
        <xdr:cNvPr id="1210" name="Text 142"/>
        <xdr:cNvSpPr txBox="1">
          <a:spLocks noChangeArrowheads="1"/>
        </xdr:cNvSpPr>
      </xdr:nvSpPr>
      <xdr:spPr bwMode="auto">
        <a:xfrm>
          <a:off x="6753225" y="41148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7</xdr:col>
      <xdr:colOff>0</xdr:colOff>
      <xdr:row>8</xdr:row>
      <xdr:rowOff>0</xdr:rowOff>
    </xdr:from>
    <xdr:to>
      <xdr:col>7</xdr:col>
      <xdr:colOff>0</xdr:colOff>
      <xdr:row>8</xdr:row>
      <xdr:rowOff>0</xdr:rowOff>
    </xdr:to>
    <xdr:sp macro="" textlink="">
      <xdr:nvSpPr>
        <xdr:cNvPr id="1211" name="Text 140"/>
        <xdr:cNvSpPr txBox="1">
          <a:spLocks noChangeArrowheads="1"/>
        </xdr:cNvSpPr>
      </xdr:nvSpPr>
      <xdr:spPr bwMode="auto">
        <a:xfrm>
          <a:off x="6753225" y="449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White washing with lime to give an even shade including all scaffolding:</a:t>
          </a:r>
        </a:p>
        <a:p>
          <a:pPr algn="l" rtl="0">
            <a:defRPr sz="1000"/>
          </a:pPr>
          <a:r>
            <a:rPr lang="en-US" sz="1200" b="0" i="0" u="none" strike="noStrike" baseline="0">
              <a:solidFill>
                <a:srgbClr val="000000"/>
              </a:solidFill>
              <a:latin typeface="Arial"/>
              <a:cs typeface="Arial"/>
            </a:rPr>
            <a:t>New work (two or more coats).</a:t>
          </a:r>
        </a:p>
      </xdr:txBody>
    </xdr:sp>
    <xdr:clientData/>
  </xdr:twoCellAnchor>
  <xdr:twoCellAnchor>
    <xdr:from>
      <xdr:col>7</xdr:col>
      <xdr:colOff>0</xdr:colOff>
      <xdr:row>8</xdr:row>
      <xdr:rowOff>0</xdr:rowOff>
    </xdr:from>
    <xdr:to>
      <xdr:col>7</xdr:col>
      <xdr:colOff>0</xdr:colOff>
      <xdr:row>8</xdr:row>
      <xdr:rowOff>0</xdr:rowOff>
    </xdr:to>
    <xdr:sp macro="" textlink="">
      <xdr:nvSpPr>
        <xdr:cNvPr id="1212" name="Text 141"/>
        <xdr:cNvSpPr txBox="1">
          <a:spLocks noChangeArrowheads="1"/>
        </xdr:cNvSpPr>
      </xdr:nvSpPr>
      <xdr:spPr bwMode="auto">
        <a:xfrm>
          <a:off x="6753225" y="449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8</xdr:row>
      <xdr:rowOff>0</xdr:rowOff>
    </xdr:from>
    <xdr:to>
      <xdr:col>7</xdr:col>
      <xdr:colOff>0</xdr:colOff>
      <xdr:row>8</xdr:row>
      <xdr:rowOff>0</xdr:rowOff>
    </xdr:to>
    <xdr:sp macro="" textlink="">
      <xdr:nvSpPr>
        <xdr:cNvPr id="1213" name="Text 142"/>
        <xdr:cNvSpPr txBox="1">
          <a:spLocks noChangeArrowheads="1"/>
        </xdr:cNvSpPr>
      </xdr:nvSpPr>
      <xdr:spPr bwMode="auto">
        <a:xfrm>
          <a:off x="6753225" y="449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7</xdr:col>
      <xdr:colOff>0</xdr:colOff>
      <xdr:row>7</xdr:row>
      <xdr:rowOff>0</xdr:rowOff>
    </xdr:from>
    <xdr:to>
      <xdr:col>7</xdr:col>
      <xdr:colOff>0</xdr:colOff>
      <xdr:row>8</xdr:row>
      <xdr:rowOff>0</xdr:rowOff>
    </xdr:to>
    <xdr:sp macro="" textlink="">
      <xdr:nvSpPr>
        <xdr:cNvPr id="1214" name="Text 141"/>
        <xdr:cNvSpPr txBox="1">
          <a:spLocks noChangeArrowheads="1"/>
        </xdr:cNvSpPr>
      </xdr:nvSpPr>
      <xdr:spPr bwMode="auto">
        <a:xfrm>
          <a:off x="6753225" y="43053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7</xdr:row>
      <xdr:rowOff>0</xdr:rowOff>
    </xdr:from>
    <xdr:to>
      <xdr:col>7</xdr:col>
      <xdr:colOff>0</xdr:colOff>
      <xdr:row>8</xdr:row>
      <xdr:rowOff>0</xdr:rowOff>
    </xdr:to>
    <xdr:sp macro="" textlink="">
      <xdr:nvSpPr>
        <xdr:cNvPr id="1215" name="Text 142"/>
        <xdr:cNvSpPr txBox="1">
          <a:spLocks noChangeArrowheads="1"/>
        </xdr:cNvSpPr>
      </xdr:nvSpPr>
      <xdr:spPr bwMode="auto">
        <a:xfrm>
          <a:off x="6753225" y="43053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7</xdr:col>
      <xdr:colOff>0</xdr:colOff>
      <xdr:row>8</xdr:row>
      <xdr:rowOff>0</xdr:rowOff>
    </xdr:from>
    <xdr:to>
      <xdr:col>7</xdr:col>
      <xdr:colOff>0</xdr:colOff>
      <xdr:row>9</xdr:row>
      <xdr:rowOff>0</xdr:rowOff>
    </xdr:to>
    <xdr:sp macro="" textlink="">
      <xdr:nvSpPr>
        <xdr:cNvPr id="1216" name="Text 141"/>
        <xdr:cNvSpPr txBox="1">
          <a:spLocks noChangeArrowheads="1"/>
        </xdr:cNvSpPr>
      </xdr:nvSpPr>
      <xdr:spPr bwMode="auto">
        <a:xfrm>
          <a:off x="6753225" y="44958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7</xdr:col>
      <xdr:colOff>0</xdr:colOff>
      <xdr:row>8</xdr:row>
      <xdr:rowOff>0</xdr:rowOff>
    </xdr:from>
    <xdr:to>
      <xdr:col>7</xdr:col>
      <xdr:colOff>0</xdr:colOff>
      <xdr:row>9</xdr:row>
      <xdr:rowOff>0</xdr:rowOff>
    </xdr:to>
    <xdr:sp macro="" textlink="">
      <xdr:nvSpPr>
        <xdr:cNvPr id="1217" name="Text 142"/>
        <xdr:cNvSpPr txBox="1">
          <a:spLocks noChangeArrowheads="1"/>
        </xdr:cNvSpPr>
      </xdr:nvSpPr>
      <xdr:spPr bwMode="auto">
        <a:xfrm>
          <a:off x="6753225" y="44958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xdr:col>
      <xdr:colOff>0</xdr:colOff>
      <xdr:row>21</xdr:row>
      <xdr:rowOff>0</xdr:rowOff>
    </xdr:from>
    <xdr:to>
      <xdr:col>2</xdr:col>
      <xdr:colOff>0</xdr:colOff>
      <xdr:row>21</xdr:row>
      <xdr:rowOff>0</xdr:rowOff>
    </xdr:to>
    <xdr:sp macro="" textlink="">
      <xdr:nvSpPr>
        <xdr:cNvPr id="1218" name="Text 65"/>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21</xdr:row>
      <xdr:rowOff>0</xdr:rowOff>
    </xdr:from>
    <xdr:to>
      <xdr:col>1</xdr:col>
      <xdr:colOff>3000375</xdr:colOff>
      <xdr:row>21</xdr:row>
      <xdr:rowOff>0</xdr:rowOff>
    </xdr:to>
    <xdr:sp macro="" textlink="">
      <xdr:nvSpPr>
        <xdr:cNvPr id="1219" name="Text 71"/>
        <xdr:cNvSpPr txBox="1">
          <a:spLocks noChangeArrowheads="1"/>
        </xdr:cNvSpPr>
      </xdr:nvSpPr>
      <xdr:spPr bwMode="auto">
        <a:xfrm>
          <a:off x="314325" y="14401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21</xdr:row>
      <xdr:rowOff>0</xdr:rowOff>
    </xdr:from>
    <xdr:to>
      <xdr:col>2</xdr:col>
      <xdr:colOff>0</xdr:colOff>
      <xdr:row>21</xdr:row>
      <xdr:rowOff>0</xdr:rowOff>
    </xdr:to>
    <xdr:sp macro="" textlink="">
      <xdr:nvSpPr>
        <xdr:cNvPr id="1220" name="Text 74"/>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21</xdr:row>
      <xdr:rowOff>0</xdr:rowOff>
    </xdr:from>
    <xdr:to>
      <xdr:col>2</xdr:col>
      <xdr:colOff>0</xdr:colOff>
      <xdr:row>21</xdr:row>
      <xdr:rowOff>0</xdr:rowOff>
    </xdr:to>
    <xdr:sp macro="" textlink="">
      <xdr:nvSpPr>
        <xdr:cNvPr id="1221" name="Text 65"/>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21</xdr:row>
      <xdr:rowOff>0</xdr:rowOff>
    </xdr:from>
    <xdr:to>
      <xdr:col>1</xdr:col>
      <xdr:colOff>3000375</xdr:colOff>
      <xdr:row>21</xdr:row>
      <xdr:rowOff>0</xdr:rowOff>
    </xdr:to>
    <xdr:sp macro="" textlink="">
      <xdr:nvSpPr>
        <xdr:cNvPr id="1222" name="Text 71"/>
        <xdr:cNvSpPr txBox="1">
          <a:spLocks noChangeArrowheads="1"/>
        </xdr:cNvSpPr>
      </xdr:nvSpPr>
      <xdr:spPr bwMode="auto">
        <a:xfrm>
          <a:off x="314325" y="14401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21</xdr:row>
      <xdr:rowOff>0</xdr:rowOff>
    </xdr:from>
    <xdr:to>
      <xdr:col>2</xdr:col>
      <xdr:colOff>0</xdr:colOff>
      <xdr:row>21</xdr:row>
      <xdr:rowOff>0</xdr:rowOff>
    </xdr:to>
    <xdr:sp macro="" textlink="">
      <xdr:nvSpPr>
        <xdr:cNvPr id="1223" name="Text 74"/>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21</xdr:row>
      <xdr:rowOff>0</xdr:rowOff>
    </xdr:from>
    <xdr:to>
      <xdr:col>2</xdr:col>
      <xdr:colOff>0</xdr:colOff>
      <xdr:row>21</xdr:row>
      <xdr:rowOff>0</xdr:rowOff>
    </xdr:to>
    <xdr:sp macro="" textlink="">
      <xdr:nvSpPr>
        <xdr:cNvPr id="1224" name="Text 65"/>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21</xdr:row>
      <xdr:rowOff>0</xdr:rowOff>
    </xdr:from>
    <xdr:to>
      <xdr:col>1</xdr:col>
      <xdr:colOff>3000375</xdr:colOff>
      <xdr:row>21</xdr:row>
      <xdr:rowOff>0</xdr:rowOff>
    </xdr:to>
    <xdr:sp macro="" textlink="">
      <xdr:nvSpPr>
        <xdr:cNvPr id="1225" name="Text 71"/>
        <xdr:cNvSpPr txBox="1">
          <a:spLocks noChangeArrowheads="1"/>
        </xdr:cNvSpPr>
      </xdr:nvSpPr>
      <xdr:spPr bwMode="auto">
        <a:xfrm>
          <a:off x="314325" y="14401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21</xdr:row>
      <xdr:rowOff>0</xdr:rowOff>
    </xdr:from>
    <xdr:to>
      <xdr:col>2</xdr:col>
      <xdr:colOff>0</xdr:colOff>
      <xdr:row>21</xdr:row>
      <xdr:rowOff>0</xdr:rowOff>
    </xdr:to>
    <xdr:sp macro="" textlink="">
      <xdr:nvSpPr>
        <xdr:cNvPr id="1226" name="Text 74"/>
        <xdr:cNvSpPr txBox="1">
          <a:spLocks noChangeArrowheads="1"/>
        </xdr:cNvSpPr>
      </xdr:nvSpPr>
      <xdr:spPr bwMode="auto">
        <a:xfrm>
          <a:off x="314325" y="14401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34</xdr:row>
      <xdr:rowOff>0</xdr:rowOff>
    </xdr:from>
    <xdr:to>
      <xdr:col>2</xdr:col>
      <xdr:colOff>0</xdr:colOff>
      <xdr:row>34</xdr:row>
      <xdr:rowOff>0</xdr:rowOff>
    </xdr:to>
    <xdr:sp macro="" textlink="">
      <xdr:nvSpPr>
        <xdr:cNvPr id="1227" name="Text 40"/>
        <xdr:cNvSpPr txBox="1">
          <a:spLocks noChangeArrowheads="1"/>
        </xdr:cNvSpPr>
      </xdr:nvSpPr>
      <xdr:spPr bwMode="auto">
        <a:xfrm>
          <a:off x="314325" y="31546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34</xdr:row>
      <xdr:rowOff>0</xdr:rowOff>
    </xdr:from>
    <xdr:to>
      <xdr:col>2</xdr:col>
      <xdr:colOff>0</xdr:colOff>
      <xdr:row>34</xdr:row>
      <xdr:rowOff>0</xdr:rowOff>
    </xdr:to>
    <xdr:sp macro="" textlink="">
      <xdr:nvSpPr>
        <xdr:cNvPr id="1228" name="Text 41"/>
        <xdr:cNvSpPr txBox="1">
          <a:spLocks noChangeArrowheads="1"/>
        </xdr:cNvSpPr>
      </xdr:nvSpPr>
      <xdr:spPr bwMode="auto">
        <a:xfrm>
          <a:off x="314325" y="31546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34</xdr:row>
      <xdr:rowOff>0</xdr:rowOff>
    </xdr:from>
    <xdr:to>
      <xdr:col>2</xdr:col>
      <xdr:colOff>9525</xdr:colOff>
      <xdr:row>34</xdr:row>
      <xdr:rowOff>0</xdr:rowOff>
    </xdr:to>
    <xdr:sp macro="" textlink="">
      <xdr:nvSpPr>
        <xdr:cNvPr id="1229" name="Text 42"/>
        <xdr:cNvSpPr txBox="1">
          <a:spLocks noChangeArrowheads="1"/>
        </xdr:cNvSpPr>
      </xdr:nvSpPr>
      <xdr:spPr bwMode="auto">
        <a:xfrm>
          <a:off x="314325" y="31546800"/>
          <a:ext cx="30099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34</xdr:row>
      <xdr:rowOff>0</xdr:rowOff>
    </xdr:from>
    <xdr:to>
      <xdr:col>2</xdr:col>
      <xdr:colOff>0</xdr:colOff>
      <xdr:row>34</xdr:row>
      <xdr:rowOff>0</xdr:rowOff>
    </xdr:to>
    <xdr:sp macro="" textlink="">
      <xdr:nvSpPr>
        <xdr:cNvPr id="1230" name="Text 47"/>
        <xdr:cNvSpPr txBox="1">
          <a:spLocks noChangeArrowheads="1"/>
        </xdr:cNvSpPr>
      </xdr:nvSpPr>
      <xdr:spPr bwMode="auto">
        <a:xfrm>
          <a:off x="314325" y="31546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34</xdr:row>
      <xdr:rowOff>0</xdr:rowOff>
    </xdr:from>
    <xdr:to>
      <xdr:col>2</xdr:col>
      <xdr:colOff>0</xdr:colOff>
      <xdr:row>34</xdr:row>
      <xdr:rowOff>0</xdr:rowOff>
    </xdr:to>
    <xdr:sp macro="" textlink="">
      <xdr:nvSpPr>
        <xdr:cNvPr id="1231" name="Text 49"/>
        <xdr:cNvSpPr txBox="1">
          <a:spLocks noChangeArrowheads="1"/>
        </xdr:cNvSpPr>
      </xdr:nvSpPr>
      <xdr:spPr bwMode="auto">
        <a:xfrm>
          <a:off x="333375" y="31546800"/>
          <a:ext cx="29813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34</xdr:row>
      <xdr:rowOff>0</xdr:rowOff>
    </xdr:from>
    <xdr:to>
      <xdr:col>1</xdr:col>
      <xdr:colOff>2828925</xdr:colOff>
      <xdr:row>34</xdr:row>
      <xdr:rowOff>0</xdr:rowOff>
    </xdr:to>
    <xdr:sp macro="" textlink="">
      <xdr:nvSpPr>
        <xdr:cNvPr id="1232" name="Text 50"/>
        <xdr:cNvSpPr txBox="1">
          <a:spLocks noChangeArrowheads="1"/>
        </xdr:cNvSpPr>
      </xdr:nvSpPr>
      <xdr:spPr bwMode="auto">
        <a:xfrm>
          <a:off x="314325" y="31546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34</xdr:row>
      <xdr:rowOff>0</xdr:rowOff>
    </xdr:from>
    <xdr:to>
      <xdr:col>2</xdr:col>
      <xdr:colOff>0</xdr:colOff>
      <xdr:row>34</xdr:row>
      <xdr:rowOff>0</xdr:rowOff>
    </xdr:to>
    <xdr:sp macro="" textlink="">
      <xdr:nvSpPr>
        <xdr:cNvPr id="1233" name="Text 51"/>
        <xdr:cNvSpPr txBox="1">
          <a:spLocks noChangeArrowheads="1"/>
        </xdr:cNvSpPr>
      </xdr:nvSpPr>
      <xdr:spPr bwMode="auto">
        <a:xfrm>
          <a:off x="314325" y="31546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34</xdr:row>
      <xdr:rowOff>0</xdr:rowOff>
    </xdr:from>
    <xdr:to>
      <xdr:col>2</xdr:col>
      <xdr:colOff>0</xdr:colOff>
      <xdr:row>34</xdr:row>
      <xdr:rowOff>0</xdr:rowOff>
    </xdr:to>
    <xdr:sp macro="" textlink="">
      <xdr:nvSpPr>
        <xdr:cNvPr id="1234" name="Text 52"/>
        <xdr:cNvSpPr txBox="1">
          <a:spLocks noChangeArrowheads="1"/>
        </xdr:cNvSpPr>
      </xdr:nvSpPr>
      <xdr:spPr bwMode="auto">
        <a:xfrm>
          <a:off x="314325" y="31546800"/>
          <a:ext cx="30003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536</xdr:row>
      <xdr:rowOff>0</xdr:rowOff>
    </xdr:from>
    <xdr:to>
      <xdr:col>2</xdr:col>
      <xdr:colOff>0</xdr:colOff>
      <xdr:row>536</xdr:row>
      <xdr:rowOff>0</xdr:rowOff>
    </xdr:to>
    <xdr:sp macro="" textlink="">
      <xdr:nvSpPr>
        <xdr:cNvPr id="2072" name="Text 24"/>
        <xdr:cNvSpPr txBox="1">
          <a:spLocks noChangeArrowheads="1"/>
        </xdr:cNvSpPr>
      </xdr:nvSpPr>
      <xdr:spPr bwMode="auto">
        <a:xfrm>
          <a:off x="314325" y="138588750"/>
          <a:ext cx="28098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73" name="Text 25"/>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536</xdr:row>
      <xdr:rowOff>0</xdr:rowOff>
    </xdr:from>
    <xdr:to>
      <xdr:col>1</xdr:col>
      <xdr:colOff>2828925</xdr:colOff>
      <xdr:row>536</xdr:row>
      <xdr:rowOff>0</xdr:rowOff>
    </xdr:to>
    <xdr:sp macro="" textlink="">
      <xdr:nvSpPr>
        <xdr:cNvPr id="2074" name="Text 26"/>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75" name="Text 27"/>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76" name="Text 28"/>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77" name="Text 29"/>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536</xdr:row>
      <xdr:rowOff>0</xdr:rowOff>
    </xdr:from>
    <xdr:to>
      <xdr:col>2</xdr:col>
      <xdr:colOff>0</xdr:colOff>
      <xdr:row>536</xdr:row>
      <xdr:rowOff>0</xdr:rowOff>
    </xdr:to>
    <xdr:sp macro="" textlink="">
      <xdr:nvSpPr>
        <xdr:cNvPr id="2078" name="Text 30"/>
        <xdr:cNvSpPr txBox="1">
          <a:spLocks noChangeArrowheads="1"/>
        </xdr:cNvSpPr>
      </xdr:nvSpPr>
      <xdr:spPr bwMode="auto">
        <a:xfrm>
          <a:off x="314325" y="138588750"/>
          <a:ext cx="28098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536</xdr:row>
      <xdr:rowOff>0</xdr:rowOff>
    </xdr:from>
    <xdr:to>
      <xdr:col>1</xdr:col>
      <xdr:colOff>2828925</xdr:colOff>
      <xdr:row>536</xdr:row>
      <xdr:rowOff>0</xdr:rowOff>
    </xdr:to>
    <xdr:sp macro="" textlink="">
      <xdr:nvSpPr>
        <xdr:cNvPr id="2080" name="Text 32"/>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81" name="Text 33"/>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83" name="Text 35"/>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536</xdr:row>
      <xdr:rowOff>0</xdr:rowOff>
    </xdr:from>
    <xdr:to>
      <xdr:col>1</xdr:col>
      <xdr:colOff>2828925</xdr:colOff>
      <xdr:row>536</xdr:row>
      <xdr:rowOff>0</xdr:rowOff>
    </xdr:to>
    <xdr:sp macro="" textlink="">
      <xdr:nvSpPr>
        <xdr:cNvPr id="2084" name="Text 36"/>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536</xdr:row>
      <xdr:rowOff>0</xdr:rowOff>
    </xdr:from>
    <xdr:to>
      <xdr:col>1</xdr:col>
      <xdr:colOff>2828925</xdr:colOff>
      <xdr:row>536</xdr:row>
      <xdr:rowOff>0</xdr:rowOff>
    </xdr:to>
    <xdr:sp macro="" textlink="">
      <xdr:nvSpPr>
        <xdr:cNvPr id="2085" name="Text 37"/>
        <xdr:cNvSpPr txBox="1">
          <a:spLocks noChangeArrowheads="1"/>
        </xdr:cNvSpPr>
      </xdr:nvSpPr>
      <xdr:spPr bwMode="auto">
        <a:xfrm>
          <a:off x="295275" y="138588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86" name="Text 38"/>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536</xdr:row>
      <xdr:rowOff>0</xdr:rowOff>
    </xdr:from>
    <xdr:to>
      <xdr:col>2</xdr:col>
      <xdr:colOff>0</xdr:colOff>
      <xdr:row>536</xdr:row>
      <xdr:rowOff>0</xdr:rowOff>
    </xdr:to>
    <xdr:sp macro="" textlink="">
      <xdr:nvSpPr>
        <xdr:cNvPr id="2087" name="Text 39"/>
        <xdr:cNvSpPr txBox="1">
          <a:spLocks noChangeArrowheads="1"/>
        </xdr:cNvSpPr>
      </xdr:nvSpPr>
      <xdr:spPr bwMode="auto">
        <a:xfrm>
          <a:off x="295275" y="1385887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431</xdr:row>
      <xdr:rowOff>0</xdr:rowOff>
    </xdr:from>
    <xdr:to>
      <xdr:col>2</xdr:col>
      <xdr:colOff>0</xdr:colOff>
      <xdr:row>431</xdr:row>
      <xdr:rowOff>0</xdr:rowOff>
    </xdr:to>
    <xdr:sp macro="" textlink="">
      <xdr:nvSpPr>
        <xdr:cNvPr id="2088" name="Text 40"/>
        <xdr:cNvSpPr txBox="1">
          <a:spLocks noChangeArrowheads="1"/>
        </xdr:cNvSpPr>
      </xdr:nvSpPr>
      <xdr:spPr bwMode="auto">
        <a:xfrm>
          <a:off x="295275" y="109242225"/>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431</xdr:row>
      <xdr:rowOff>0</xdr:rowOff>
    </xdr:from>
    <xdr:to>
      <xdr:col>2</xdr:col>
      <xdr:colOff>0</xdr:colOff>
      <xdr:row>431</xdr:row>
      <xdr:rowOff>0</xdr:rowOff>
    </xdr:to>
    <xdr:sp macro="" textlink="">
      <xdr:nvSpPr>
        <xdr:cNvPr id="2089" name="Text 41"/>
        <xdr:cNvSpPr txBox="1">
          <a:spLocks noChangeArrowheads="1"/>
        </xdr:cNvSpPr>
      </xdr:nvSpPr>
      <xdr:spPr bwMode="auto">
        <a:xfrm>
          <a:off x="295275" y="109242225"/>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431</xdr:row>
      <xdr:rowOff>0</xdr:rowOff>
    </xdr:from>
    <xdr:to>
      <xdr:col>2</xdr:col>
      <xdr:colOff>9525</xdr:colOff>
      <xdr:row>431</xdr:row>
      <xdr:rowOff>0</xdr:rowOff>
    </xdr:to>
    <xdr:sp macro="" textlink="">
      <xdr:nvSpPr>
        <xdr:cNvPr id="2090" name="Text 42"/>
        <xdr:cNvSpPr txBox="1">
          <a:spLocks noChangeArrowheads="1"/>
        </xdr:cNvSpPr>
      </xdr:nvSpPr>
      <xdr:spPr bwMode="auto">
        <a:xfrm>
          <a:off x="295275" y="109242225"/>
          <a:ext cx="2838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320</xdr:row>
      <xdr:rowOff>0</xdr:rowOff>
    </xdr:from>
    <xdr:to>
      <xdr:col>2</xdr:col>
      <xdr:colOff>0</xdr:colOff>
      <xdr:row>320</xdr:row>
      <xdr:rowOff>0</xdr:rowOff>
    </xdr:to>
    <xdr:sp macro="" textlink="">
      <xdr:nvSpPr>
        <xdr:cNvPr id="2092" name="Text 44"/>
        <xdr:cNvSpPr txBox="1">
          <a:spLocks noChangeArrowheads="1"/>
        </xdr:cNvSpPr>
      </xdr:nvSpPr>
      <xdr:spPr bwMode="auto">
        <a:xfrm>
          <a:off x="295275" y="77266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431</xdr:row>
      <xdr:rowOff>0</xdr:rowOff>
    </xdr:from>
    <xdr:to>
      <xdr:col>2</xdr:col>
      <xdr:colOff>0</xdr:colOff>
      <xdr:row>431</xdr:row>
      <xdr:rowOff>0</xdr:rowOff>
    </xdr:to>
    <xdr:sp macro="" textlink="">
      <xdr:nvSpPr>
        <xdr:cNvPr id="2095" name="Text 47"/>
        <xdr:cNvSpPr txBox="1">
          <a:spLocks noChangeArrowheads="1"/>
        </xdr:cNvSpPr>
      </xdr:nvSpPr>
      <xdr:spPr bwMode="auto">
        <a:xfrm>
          <a:off x="295275" y="109242225"/>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096" name="Text 48"/>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431</xdr:row>
      <xdr:rowOff>0</xdr:rowOff>
    </xdr:from>
    <xdr:to>
      <xdr:col>2</xdr:col>
      <xdr:colOff>0</xdr:colOff>
      <xdr:row>431</xdr:row>
      <xdr:rowOff>0</xdr:rowOff>
    </xdr:to>
    <xdr:sp macro="" textlink="">
      <xdr:nvSpPr>
        <xdr:cNvPr id="2097" name="Text 49"/>
        <xdr:cNvSpPr txBox="1">
          <a:spLocks noChangeArrowheads="1"/>
        </xdr:cNvSpPr>
      </xdr:nvSpPr>
      <xdr:spPr bwMode="auto">
        <a:xfrm>
          <a:off x="314325" y="109242225"/>
          <a:ext cx="28098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431</xdr:row>
      <xdr:rowOff>0</xdr:rowOff>
    </xdr:from>
    <xdr:to>
      <xdr:col>1</xdr:col>
      <xdr:colOff>2828925</xdr:colOff>
      <xdr:row>431</xdr:row>
      <xdr:rowOff>0</xdr:rowOff>
    </xdr:to>
    <xdr:sp macro="" textlink="">
      <xdr:nvSpPr>
        <xdr:cNvPr id="2098" name="Text 50"/>
        <xdr:cNvSpPr txBox="1">
          <a:spLocks noChangeArrowheads="1"/>
        </xdr:cNvSpPr>
      </xdr:nvSpPr>
      <xdr:spPr bwMode="auto">
        <a:xfrm>
          <a:off x="295275" y="109242225"/>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431</xdr:row>
      <xdr:rowOff>0</xdr:rowOff>
    </xdr:from>
    <xdr:to>
      <xdr:col>2</xdr:col>
      <xdr:colOff>0</xdr:colOff>
      <xdr:row>431</xdr:row>
      <xdr:rowOff>0</xdr:rowOff>
    </xdr:to>
    <xdr:sp macro="" textlink="">
      <xdr:nvSpPr>
        <xdr:cNvPr id="2099" name="Text 51"/>
        <xdr:cNvSpPr txBox="1">
          <a:spLocks noChangeArrowheads="1"/>
        </xdr:cNvSpPr>
      </xdr:nvSpPr>
      <xdr:spPr bwMode="auto">
        <a:xfrm>
          <a:off x="295275" y="109242225"/>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431</xdr:row>
      <xdr:rowOff>0</xdr:rowOff>
    </xdr:from>
    <xdr:to>
      <xdr:col>2</xdr:col>
      <xdr:colOff>0</xdr:colOff>
      <xdr:row>431</xdr:row>
      <xdr:rowOff>0</xdr:rowOff>
    </xdr:to>
    <xdr:sp macro="" textlink="">
      <xdr:nvSpPr>
        <xdr:cNvPr id="2100" name="Text 52"/>
        <xdr:cNvSpPr txBox="1">
          <a:spLocks noChangeArrowheads="1"/>
        </xdr:cNvSpPr>
      </xdr:nvSpPr>
      <xdr:spPr bwMode="auto">
        <a:xfrm>
          <a:off x="295275" y="109242225"/>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109" name="Text 61"/>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110" name="Text 62"/>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12" name="Text 64"/>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16" name="Text 68"/>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17" name="Text 69"/>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19" name="Text 71"/>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480</xdr:row>
      <xdr:rowOff>0</xdr:rowOff>
    </xdr:from>
    <xdr:to>
      <xdr:col>1</xdr:col>
      <xdr:colOff>2828925</xdr:colOff>
      <xdr:row>480</xdr:row>
      <xdr:rowOff>0</xdr:rowOff>
    </xdr:to>
    <xdr:sp macro="" textlink="">
      <xdr:nvSpPr>
        <xdr:cNvPr id="2120" name="Text 72"/>
        <xdr:cNvSpPr txBox="1">
          <a:spLocks noChangeArrowheads="1"/>
        </xdr:cNvSpPr>
      </xdr:nvSpPr>
      <xdr:spPr bwMode="auto">
        <a:xfrm>
          <a:off x="304800" y="120072150"/>
          <a:ext cx="28194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21" name="Text 73"/>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122" name="Text 74"/>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27" name="Text 79"/>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u="none" strike="noStrike" baseline="0">
              <a:solidFill>
                <a:srgbClr val="000000"/>
              </a:solidFill>
              <a:latin typeface="Arial"/>
              <a:cs typeface="Arial"/>
            </a:rPr>
            <a:t> 25 mm thick  slab area 901 to 2000 Sq. cm.</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29" name="Text 81"/>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480</xdr:row>
      <xdr:rowOff>0</xdr:rowOff>
    </xdr:from>
    <xdr:to>
      <xdr:col>1</xdr:col>
      <xdr:colOff>2828925</xdr:colOff>
      <xdr:row>480</xdr:row>
      <xdr:rowOff>0</xdr:rowOff>
    </xdr:to>
    <xdr:sp macro="" textlink="">
      <xdr:nvSpPr>
        <xdr:cNvPr id="2130" name="Text 82"/>
        <xdr:cNvSpPr txBox="1">
          <a:spLocks noChangeArrowheads="1"/>
        </xdr:cNvSpPr>
      </xdr:nvSpPr>
      <xdr:spPr bwMode="auto">
        <a:xfrm>
          <a:off x="304800" y="120072150"/>
          <a:ext cx="28194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131" name="Text 83"/>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132" name="Text 84"/>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135" name="Text 87"/>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136" name="Text 88"/>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252</xdr:row>
      <xdr:rowOff>0</xdr:rowOff>
    </xdr:from>
    <xdr:to>
      <xdr:col>4</xdr:col>
      <xdr:colOff>0</xdr:colOff>
      <xdr:row>252</xdr:row>
      <xdr:rowOff>0</xdr:rowOff>
    </xdr:to>
    <xdr:sp macro="" textlink="">
      <xdr:nvSpPr>
        <xdr:cNvPr id="2138" name="Text 90"/>
        <xdr:cNvSpPr txBox="1">
          <a:spLocks noChangeArrowheads="1"/>
        </xdr:cNvSpPr>
      </xdr:nvSpPr>
      <xdr:spPr bwMode="auto">
        <a:xfrm>
          <a:off x="3590925" y="62217300"/>
          <a:ext cx="2190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3</xdr:col>
      <xdr:colOff>0</xdr:colOff>
      <xdr:row>252</xdr:row>
      <xdr:rowOff>0</xdr:rowOff>
    </xdr:from>
    <xdr:to>
      <xdr:col>4</xdr:col>
      <xdr:colOff>0</xdr:colOff>
      <xdr:row>252</xdr:row>
      <xdr:rowOff>0</xdr:rowOff>
    </xdr:to>
    <xdr:sp macro="" textlink="">
      <xdr:nvSpPr>
        <xdr:cNvPr id="2140" name="Text 92"/>
        <xdr:cNvSpPr txBox="1">
          <a:spLocks noChangeArrowheads="1"/>
        </xdr:cNvSpPr>
      </xdr:nvSpPr>
      <xdr:spPr bwMode="auto">
        <a:xfrm>
          <a:off x="3590925" y="62217300"/>
          <a:ext cx="2190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252</xdr:row>
      <xdr:rowOff>0</xdr:rowOff>
    </xdr:from>
    <xdr:to>
      <xdr:col>4</xdr:col>
      <xdr:colOff>0</xdr:colOff>
      <xdr:row>252</xdr:row>
      <xdr:rowOff>0</xdr:rowOff>
    </xdr:to>
    <xdr:sp macro="" textlink="">
      <xdr:nvSpPr>
        <xdr:cNvPr id="2141" name="Text 93"/>
        <xdr:cNvSpPr txBox="1">
          <a:spLocks noChangeArrowheads="1"/>
        </xdr:cNvSpPr>
      </xdr:nvSpPr>
      <xdr:spPr bwMode="auto">
        <a:xfrm>
          <a:off x="3590925" y="62217300"/>
          <a:ext cx="2190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3" name="Text 95"/>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4" name="Text 96"/>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5" name="Text 97"/>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7" name="Text 99"/>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8" name="Text 10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49" name="Text 10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0" name="Text 102"/>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1" name="Text 103"/>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2" name="Text 10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3" name="Text 105"/>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4" name="Text 106"/>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5" name="Text 107"/>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6" name="Text 108"/>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7" name="Text 109"/>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58" name="Text 110"/>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REF!">
      <xdr:nvSpPr>
        <xdr:cNvPr id="2160" name="Text 11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B2EECE7-9C28-4082-8793-C2AD7F7D13ED}" type="TxLink">
            <a:rPr lang="en-US"/>
            <a:t>​</a:t>
          </a:fld>
          <a:endParaRPr lang="en-US"/>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1" name="Text 11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2" name="Text 11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3" name="Text 115"/>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4" name="Text 116"/>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5" name="Text 117"/>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66" name="Text 118"/>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7" name="Text 119"/>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68" name="Text 12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169" name="Text 12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70" name="Text 122"/>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71" name="Text 12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66</xdr:row>
      <xdr:rowOff>0</xdr:rowOff>
    </xdr:from>
    <xdr:to>
      <xdr:col>12</xdr:col>
      <xdr:colOff>0</xdr:colOff>
      <xdr:row>67</xdr:row>
      <xdr:rowOff>0</xdr:rowOff>
    </xdr:to>
    <xdr:sp macro="" textlink="">
      <xdr:nvSpPr>
        <xdr:cNvPr id="2172" name="Text 124"/>
        <xdr:cNvSpPr txBox="1">
          <a:spLocks noChangeArrowheads="1"/>
        </xdr:cNvSpPr>
      </xdr:nvSpPr>
      <xdr:spPr bwMode="auto">
        <a:xfrm>
          <a:off x="7562850" y="14325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73" name="Text 125"/>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74" name="Text 126"/>
        <xdr:cNvSpPr txBox="1">
          <a:spLocks noChangeArrowheads="1"/>
        </xdr:cNvSpPr>
      </xdr:nvSpPr>
      <xdr:spPr bwMode="auto">
        <a:xfrm>
          <a:off x="7562850" y="14516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75" name="Text 127"/>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176" name="Text 128"/>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63</xdr:row>
      <xdr:rowOff>0</xdr:rowOff>
    </xdr:from>
    <xdr:to>
      <xdr:col>12</xdr:col>
      <xdr:colOff>0</xdr:colOff>
      <xdr:row>64</xdr:row>
      <xdr:rowOff>0</xdr:rowOff>
    </xdr:to>
    <xdr:sp macro="" textlink="">
      <xdr:nvSpPr>
        <xdr:cNvPr id="2177" name="Text 129"/>
        <xdr:cNvSpPr txBox="1">
          <a:spLocks noChangeArrowheads="1"/>
        </xdr:cNvSpPr>
      </xdr:nvSpPr>
      <xdr:spPr bwMode="auto">
        <a:xfrm>
          <a:off x="7562850" y="1375410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78" name="Text 13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79" name="Text 13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180" name="Text 13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81" name="Text 13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u="none" strike="noStrike" baseline="0">
              <a:solidFill>
                <a:srgbClr val="000000"/>
              </a:solidFill>
              <a:latin typeface="Arial"/>
              <a:cs typeface="Arial"/>
            </a:rPr>
            <a:t> 25 mm thick  slab area 901 to 2000 Sq. cm.</a:t>
          </a:r>
        </a:p>
      </xdr:txBody>
    </xdr:sp>
    <xdr:clientData/>
  </xdr:twoCellAnchor>
  <xdr:twoCellAnchor>
    <xdr:from>
      <xdr:col>11</xdr:col>
      <xdr:colOff>714375</xdr:colOff>
      <xdr:row>66</xdr:row>
      <xdr:rowOff>0</xdr:rowOff>
    </xdr:from>
    <xdr:to>
      <xdr:col>12</xdr:col>
      <xdr:colOff>0</xdr:colOff>
      <xdr:row>67</xdr:row>
      <xdr:rowOff>0</xdr:rowOff>
    </xdr:to>
    <xdr:sp macro="" textlink="">
      <xdr:nvSpPr>
        <xdr:cNvPr id="2182" name="Text 134"/>
        <xdr:cNvSpPr txBox="1">
          <a:spLocks noChangeArrowheads="1"/>
        </xdr:cNvSpPr>
      </xdr:nvSpPr>
      <xdr:spPr bwMode="auto">
        <a:xfrm>
          <a:off x="7562850" y="14325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21 mm thick with under layer of 15 mm thick cement plaster 1:3 (1 cement : 3 coarse sand)</a:t>
          </a:r>
        </a:p>
        <a:p>
          <a:pPr algn="l" rtl="0">
            <a:defRPr sz="1000"/>
          </a:pPr>
          <a:r>
            <a:rPr lang="en-US" sz="1200" b="0" i="0" u="none" strike="noStrike" baseline="0">
              <a:solidFill>
                <a:srgbClr val="000000"/>
              </a:solidFill>
              <a:latin typeface="Arial"/>
              <a:cs typeface="Arial"/>
            </a:rPr>
            <a:t>Light shade pigment with ordinary cement.</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83" name="Text 135"/>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84" name="Text 136"/>
        <xdr:cNvSpPr txBox="1">
          <a:spLocks noChangeArrowheads="1"/>
        </xdr:cNvSpPr>
      </xdr:nvSpPr>
      <xdr:spPr bwMode="auto">
        <a:xfrm>
          <a:off x="7562850" y="14516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85" name="Text 137"/>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186" name="Text 138"/>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67</xdr:row>
      <xdr:rowOff>0</xdr:rowOff>
    </xdr:from>
    <xdr:to>
      <xdr:col>12</xdr:col>
      <xdr:colOff>0</xdr:colOff>
      <xdr:row>67</xdr:row>
      <xdr:rowOff>0</xdr:rowOff>
    </xdr:to>
    <xdr:sp macro="" textlink="">
      <xdr:nvSpPr>
        <xdr:cNvPr id="2187" name="Text 139"/>
        <xdr:cNvSpPr txBox="1">
          <a:spLocks noChangeArrowheads="1"/>
        </xdr:cNvSpPr>
      </xdr:nvSpPr>
      <xdr:spPr bwMode="auto">
        <a:xfrm>
          <a:off x="7562850" y="14516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glass strips in joints of terrazzo/ cement concrete floors</a:t>
          </a:r>
        </a:p>
        <a:p>
          <a:pPr algn="l" rtl="0">
            <a:defRPr sz="1000"/>
          </a:pPr>
          <a:r>
            <a:rPr lang="en-US" sz="1200" b="0" i="0" u="none" strike="noStrike" baseline="0">
              <a:solidFill>
                <a:srgbClr val="000000"/>
              </a:solidFill>
              <a:latin typeface="Arial"/>
              <a:cs typeface="Arial"/>
            </a:rPr>
            <a:t>40 mm wide and 4 mm thick.</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188" name="Text 140"/>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White washing with lime to give an even shade including all scaffolding:</a:t>
          </a:r>
        </a:p>
        <a:p>
          <a:pPr algn="l" rtl="0">
            <a:defRPr sz="1000"/>
          </a:pPr>
          <a:r>
            <a:rPr lang="en-US" sz="1200" b="0" i="0" u="none" strike="noStrike" baseline="0">
              <a:solidFill>
                <a:srgbClr val="000000"/>
              </a:solidFill>
              <a:latin typeface="Arial"/>
              <a:cs typeface="Arial"/>
            </a:rPr>
            <a:t>New work (two or more coats).</a:t>
          </a:r>
        </a:p>
      </xdr:txBody>
    </xdr:sp>
    <xdr:clientData/>
  </xdr:twoCellAnchor>
  <xdr:twoCellAnchor>
    <xdr:from>
      <xdr:col>12</xdr:col>
      <xdr:colOff>0</xdr:colOff>
      <xdr:row>69</xdr:row>
      <xdr:rowOff>0</xdr:rowOff>
    </xdr:from>
    <xdr:to>
      <xdr:col>12</xdr:col>
      <xdr:colOff>0</xdr:colOff>
      <xdr:row>70</xdr:row>
      <xdr:rowOff>0</xdr:rowOff>
    </xdr:to>
    <xdr:sp macro="" textlink="">
      <xdr:nvSpPr>
        <xdr:cNvPr id="2189" name="Text 141"/>
        <xdr:cNvSpPr txBox="1">
          <a:spLocks noChangeArrowheads="1"/>
        </xdr:cNvSpPr>
      </xdr:nvSpPr>
      <xdr:spPr bwMode="auto">
        <a:xfrm>
          <a:off x="7562850" y="16611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69</xdr:row>
      <xdr:rowOff>0</xdr:rowOff>
    </xdr:from>
    <xdr:to>
      <xdr:col>12</xdr:col>
      <xdr:colOff>0</xdr:colOff>
      <xdr:row>70</xdr:row>
      <xdr:rowOff>0</xdr:rowOff>
    </xdr:to>
    <xdr:sp macro="" textlink="">
      <xdr:nvSpPr>
        <xdr:cNvPr id="2190" name="Text 142"/>
        <xdr:cNvSpPr txBox="1">
          <a:spLocks noChangeArrowheads="1"/>
        </xdr:cNvSpPr>
      </xdr:nvSpPr>
      <xdr:spPr bwMode="auto">
        <a:xfrm>
          <a:off x="7562850" y="16611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191" name="Text 14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192" name="Text 14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386</xdr:row>
      <xdr:rowOff>0</xdr:rowOff>
    </xdr:from>
    <xdr:to>
      <xdr:col>2</xdr:col>
      <xdr:colOff>0</xdr:colOff>
      <xdr:row>386</xdr:row>
      <xdr:rowOff>0</xdr:rowOff>
    </xdr:to>
    <xdr:sp macro="" textlink="">
      <xdr:nvSpPr>
        <xdr:cNvPr id="2193" name="Text 145"/>
        <xdr:cNvSpPr txBox="1">
          <a:spLocks noChangeArrowheads="1"/>
        </xdr:cNvSpPr>
      </xdr:nvSpPr>
      <xdr:spPr bwMode="auto">
        <a:xfrm>
          <a:off x="295275" y="90601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386</xdr:row>
      <xdr:rowOff>0</xdr:rowOff>
    </xdr:from>
    <xdr:to>
      <xdr:col>2</xdr:col>
      <xdr:colOff>0</xdr:colOff>
      <xdr:row>386</xdr:row>
      <xdr:rowOff>0</xdr:rowOff>
    </xdr:to>
    <xdr:sp macro="" textlink="">
      <xdr:nvSpPr>
        <xdr:cNvPr id="2194" name="Text 146"/>
        <xdr:cNvSpPr txBox="1">
          <a:spLocks noChangeArrowheads="1"/>
        </xdr:cNvSpPr>
      </xdr:nvSpPr>
      <xdr:spPr bwMode="auto">
        <a:xfrm>
          <a:off x="295275" y="90601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xdr:col>
      <xdr:colOff>0</xdr:colOff>
      <xdr:row>250</xdr:row>
      <xdr:rowOff>0</xdr:rowOff>
    </xdr:from>
    <xdr:to>
      <xdr:col>2</xdr:col>
      <xdr:colOff>0</xdr:colOff>
      <xdr:row>250</xdr:row>
      <xdr:rowOff>0</xdr:rowOff>
    </xdr:to>
    <xdr:sp macro="" textlink="">
      <xdr:nvSpPr>
        <xdr:cNvPr id="2196" name="Text 148"/>
        <xdr:cNvSpPr txBox="1">
          <a:spLocks noChangeArrowheads="1"/>
        </xdr:cNvSpPr>
      </xdr:nvSpPr>
      <xdr:spPr bwMode="auto">
        <a:xfrm>
          <a:off x="295275" y="591693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250</xdr:row>
      <xdr:rowOff>0</xdr:rowOff>
    </xdr:from>
    <xdr:to>
      <xdr:col>2</xdr:col>
      <xdr:colOff>0</xdr:colOff>
      <xdr:row>250</xdr:row>
      <xdr:rowOff>0</xdr:rowOff>
    </xdr:to>
    <xdr:sp macro="" textlink="">
      <xdr:nvSpPr>
        <xdr:cNvPr id="2197" name="Text 149"/>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250</xdr:row>
      <xdr:rowOff>0</xdr:rowOff>
    </xdr:from>
    <xdr:to>
      <xdr:col>2</xdr:col>
      <xdr:colOff>0</xdr:colOff>
      <xdr:row>250</xdr:row>
      <xdr:rowOff>0</xdr:rowOff>
    </xdr:to>
    <xdr:sp macro="" textlink="">
      <xdr:nvSpPr>
        <xdr:cNvPr id="2200" name="Text 152"/>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204" name="Text 156"/>
        <xdr:cNvSpPr txBox="1">
          <a:spLocks noChangeArrowheads="1"/>
        </xdr:cNvSpPr>
      </xdr:nvSpPr>
      <xdr:spPr bwMode="auto">
        <a:xfrm>
          <a:off x="295275" y="120072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480</xdr:row>
      <xdr:rowOff>0</xdr:rowOff>
    </xdr:from>
    <xdr:to>
      <xdr:col>2</xdr:col>
      <xdr:colOff>0</xdr:colOff>
      <xdr:row>480</xdr:row>
      <xdr:rowOff>0</xdr:rowOff>
    </xdr:to>
    <xdr:sp macro="" textlink="">
      <xdr:nvSpPr>
        <xdr:cNvPr id="2205" name="Text 157"/>
        <xdr:cNvSpPr txBox="1">
          <a:spLocks noChangeArrowheads="1"/>
        </xdr:cNvSpPr>
      </xdr:nvSpPr>
      <xdr:spPr bwMode="auto">
        <a:xfrm>
          <a:off x="295275" y="120072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21 mm thick with under layer of 15 mm thick cement plaster 1:3 (1 cement : 3 coarse sand)</a:t>
          </a:r>
        </a:p>
        <a:p>
          <a:pPr algn="l" rtl="0">
            <a:defRPr sz="1000"/>
          </a:pPr>
          <a:r>
            <a:rPr lang="en-US" sz="1200" b="0" i="0" u="none" strike="noStrike" baseline="0">
              <a:solidFill>
                <a:srgbClr val="000000"/>
              </a:solidFill>
              <a:latin typeface="Arial"/>
              <a:cs typeface="Arial"/>
            </a:rPr>
            <a:t>Light shade pigment with ordinary cement.</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9525</xdr:colOff>
      <xdr:row>519</xdr:row>
      <xdr:rowOff>0</xdr:rowOff>
    </xdr:from>
    <xdr:to>
      <xdr:col>2</xdr:col>
      <xdr:colOff>0</xdr:colOff>
      <xdr:row>519</xdr:row>
      <xdr:rowOff>0</xdr:rowOff>
    </xdr:to>
    <xdr:sp macro="" textlink="">
      <xdr:nvSpPr>
        <xdr:cNvPr id="2206" name="Text 158"/>
        <xdr:cNvSpPr txBox="1">
          <a:spLocks noChangeArrowheads="1"/>
        </xdr:cNvSpPr>
      </xdr:nvSpPr>
      <xdr:spPr bwMode="auto">
        <a:xfrm>
          <a:off x="304800" y="132683250"/>
          <a:ext cx="28194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558</xdr:row>
      <xdr:rowOff>0</xdr:rowOff>
    </xdr:from>
    <xdr:to>
      <xdr:col>2</xdr:col>
      <xdr:colOff>0</xdr:colOff>
      <xdr:row>558</xdr:row>
      <xdr:rowOff>0</xdr:rowOff>
    </xdr:to>
    <xdr:sp macro="" textlink="">
      <xdr:nvSpPr>
        <xdr:cNvPr id="2208" name="Text 160"/>
        <xdr:cNvSpPr txBox="1">
          <a:spLocks noChangeArrowheads="1"/>
        </xdr:cNvSpPr>
      </xdr:nvSpPr>
      <xdr:spPr bwMode="auto">
        <a:xfrm>
          <a:off x="295275" y="146589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558</xdr:row>
      <xdr:rowOff>0</xdr:rowOff>
    </xdr:from>
    <xdr:to>
      <xdr:col>2</xdr:col>
      <xdr:colOff>0</xdr:colOff>
      <xdr:row>558</xdr:row>
      <xdr:rowOff>0</xdr:rowOff>
    </xdr:to>
    <xdr:sp macro="" textlink="">
      <xdr:nvSpPr>
        <xdr:cNvPr id="2209" name="Text 161"/>
        <xdr:cNvSpPr txBox="1">
          <a:spLocks noChangeArrowheads="1"/>
        </xdr:cNvSpPr>
      </xdr:nvSpPr>
      <xdr:spPr bwMode="auto">
        <a:xfrm>
          <a:off x="295275" y="146589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10" name="Text 16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11" name="Text 16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12" name="Text 16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13" name="Text 165"/>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REF!">
      <xdr:nvSpPr>
        <xdr:cNvPr id="2218" name="Text 11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86BBA8F-3EEB-4EC0-BF5F-633BF4D5305A}" type="TxLink">
            <a:rPr lang="en-US"/>
            <a:t>​</a:t>
          </a:fld>
          <a:endParaRPr lang="en-US"/>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19" name="Text 11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0" name="Text 99"/>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1" name="Text 10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2" name="Text 119"/>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3" name="Text 12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4" name="Text 13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5" name="Text 13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6" name="Text 16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7" name="Text 16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8" name="Text 16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29" name="Text 165"/>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0" name="Text 99"/>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1" name="Text 10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2" name="Text 119"/>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3" name="Text 12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4" name="Text 130"/>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5" name="Text 13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6" name="Text 16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7" name="Text 163"/>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8" name="Text 164"/>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39" name="Text 165"/>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40" name="Text 99"/>
        <xdr:cNvSpPr txBox="1">
          <a:spLocks noChangeArrowheads="1"/>
        </xdr:cNvSpPr>
      </xdr:nvSpPr>
      <xdr:spPr bwMode="auto">
        <a:xfrm>
          <a:off x="7562850" y="13754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63</xdr:row>
      <xdr:rowOff>0</xdr:rowOff>
    </xdr:from>
    <xdr:to>
      <xdr:col>12</xdr:col>
      <xdr:colOff>0</xdr:colOff>
      <xdr:row>63</xdr:row>
      <xdr:rowOff>0</xdr:rowOff>
    </xdr:to>
    <xdr:sp macro="" textlink="">
      <xdr:nvSpPr>
        <xdr:cNvPr id="2241" name="Text 101"/>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63</xdr:row>
      <xdr:rowOff>0</xdr:rowOff>
    </xdr:from>
    <xdr:to>
      <xdr:col>12</xdr:col>
      <xdr:colOff>0</xdr:colOff>
      <xdr:row>63</xdr:row>
      <xdr:rowOff>0</xdr:rowOff>
    </xdr:to>
    <xdr:sp macro="" textlink="#REF!">
      <xdr:nvSpPr>
        <xdr:cNvPr id="2242" name="Text 11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220BE8E-7B55-4C60-9330-EC420ABC8650}" type="TxLink">
            <a:rPr lang="en-US"/>
            <a:t>​</a:t>
          </a:fld>
          <a:endParaRPr lang="en-US"/>
        </a:p>
      </xdr:txBody>
    </xdr:sp>
    <xdr:clientData/>
  </xdr:twoCellAnchor>
  <xdr:twoCellAnchor>
    <xdr:from>
      <xdr:col>12</xdr:col>
      <xdr:colOff>0</xdr:colOff>
      <xdr:row>63</xdr:row>
      <xdr:rowOff>0</xdr:rowOff>
    </xdr:from>
    <xdr:to>
      <xdr:col>12</xdr:col>
      <xdr:colOff>0</xdr:colOff>
      <xdr:row>63</xdr:row>
      <xdr:rowOff>0</xdr:rowOff>
    </xdr:to>
    <xdr:sp macro="" textlink="#REF!">
      <xdr:nvSpPr>
        <xdr:cNvPr id="2243" name="Text 112"/>
        <xdr:cNvSpPr txBox="1">
          <a:spLocks noChangeArrowheads="1"/>
        </xdr:cNvSpPr>
      </xdr:nvSpPr>
      <xdr:spPr bwMode="auto">
        <a:xfrm>
          <a:off x="7562850" y="1375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6ECE89A-93CC-4297-9708-2E05961DDCAD}"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4" name="Text 95"/>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5" name="Text 96"/>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6" name="Text 97"/>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7"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8" name="Text 10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49"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0" name="Text 102"/>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1" name="Text 103"/>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2" name="Text 10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3" name="Text 10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4" name="Text 106"/>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5" name="Text 107"/>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6" name="Text 108"/>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7" name="Text 10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58" name="Text 110"/>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259"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30271B0-EF7C-4CE9-8EC6-23F87F748A2A}"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0" name="Text 11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1" name="Text 11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2" name="Text 115"/>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3" name="Text 116"/>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4" name="Text 117"/>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5"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6"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7"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8"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69" name="Text 14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0"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1"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2"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3"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274"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0880665-18EF-46CA-B85A-55C9D4053A9C}"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5" name="Text 11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6"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7"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8"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79"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0"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1"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2"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3"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4"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5"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6"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7"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8"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89"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0"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1"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2"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3"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4"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5"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6"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297"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298"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BB0315F-2ABF-424A-8225-664E5EB8AA64}"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299"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2284C8E-6715-49E8-9A88-CC8AD0856F94}"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0" name="Text 95"/>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1" name="Text 96"/>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2" name="Text 97"/>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3"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4" name="Text 10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5"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6" name="Text 102"/>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7" name="Text 103"/>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8" name="Text 10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09" name="Text 10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0" name="Text 106"/>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1" name="Text 107"/>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2" name="Text 108"/>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3" name="Text 10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4" name="Text 110"/>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315"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6879D0A-1CD5-4501-931B-1F22E36B7655}"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6" name="Text 11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7" name="Text 11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8" name="Text 115"/>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19" name="Text 116"/>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0" name="Text 117"/>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1"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2"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3"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4"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5" name="Text 14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6"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7"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8"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29"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330"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57D6576-525A-41BC-B003-CAC240BAF27B}"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1" name="Text 11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2"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3"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4"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5"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6"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7"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8"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39"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0"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1"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2"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3"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4" name="Text 119"/>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5" name="Text 12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6" name="Text 130"/>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7" name="Text 13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8" name="Text 16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49" name="Text 163"/>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50" name="Text 164"/>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51" name="Text 165"/>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52" name="Text 99"/>
        <xdr:cNvSpPr txBox="1">
          <a:spLocks noChangeArrowheads="1"/>
        </xdr:cNvSpPr>
      </xdr:nvSpPr>
      <xdr:spPr bwMode="auto">
        <a:xfrm>
          <a:off x="7562850" y="2792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108</xdr:row>
      <xdr:rowOff>0</xdr:rowOff>
    </xdr:from>
    <xdr:to>
      <xdr:col>12</xdr:col>
      <xdr:colOff>0</xdr:colOff>
      <xdr:row>108</xdr:row>
      <xdr:rowOff>0</xdr:rowOff>
    </xdr:to>
    <xdr:sp macro="" textlink="">
      <xdr:nvSpPr>
        <xdr:cNvPr id="2353" name="Text 101"/>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354"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E79C573-F941-4ACF-9EB4-2A48045A0112}" type="TxLink">
            <a:rPr lang="en-US"/>
            <a:t>​</a:t>
          </a:fld>
          <a:endParaRPr lang="en-US"/>
        </a:p>
      </xdr:txBody>
    </xdr:sp>
    <xdr:clientData/>
  </xdr:twoCellAnchor>
  <xdr:twoCellAnchor>
    <xdr:from>
      <xdr:col>12</xdr:col>
      <xdr:colOff>0</xdr:colOff>
      <xdr:row>108</xdr:row>
      <xdr:rowOff>0</xdr:rowOff>
    </xdr:from>
    <xdr:to>
      <xdr:col>12</xdr:col>
      <xdr:colOff>0</xdr:colOff>
      <xdr:row>108</xdr:row>
      <xdr:rowOff>0</xdr:rowOff>
    </xdr:to>
    <xdr:sp macro="" textlink="#REF!">
      <xdr:nvSpPr>
        <xdr:cNvPr id="2355" name="Text 112"/>
        <xdr:cNvSpPr txBox="1">
          <a:spLocks noChangeArrowheads="1"/>
        </xdr:cNvSpPr>
      </xdr:nvSpPr>
      <xdr:spPr bwMode="auto">
        <a:xfrm>
          <a:off x="7562850" y="2792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BF28F2E-E0EC-4D7D-ADA7-B84C572A0DD3}"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56"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57" name="Text 10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58"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59" name="Text 103"/>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0" name="Text 108"/>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1" name="Text 10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2" name="Text 110"/>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363"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34CF430-FBB9-42E9-95A9-45A2A27D64A8}"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4" name="Text 11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5" name="Text 11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6" name="Text 115"/>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7" name="Text 116"/>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8" name="Text 117"/>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69"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0"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1"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2"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3" name="Text 14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4"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5"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6"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7"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378"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9B6EC7F-5DFD-4F21-B927-76F88CA21BEE}"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79" name="Text 11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0"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1"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2"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3"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4"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5"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6"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7"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8"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89"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0"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1"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2"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3"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4"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5"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6"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7"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8"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399"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0"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1"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02"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6A55D3A-83B3-406A-BDC3-D114D91CCEE8}"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03"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994BFD0-0275-4DF8-934E-0BCB091D67F2}"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4"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5" name="Text 10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6"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7" name="Text 103"/>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8" name="Text 108"/>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09" name="Text 10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0" name="Text 110"/>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11"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4963F30-4992-417F-86B4-E556AF7B472C}"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2" name="Text 11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3" name="Text 11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4" name="Text 115"/>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5" name="Text 116"/>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6" name="Text 117"/>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7"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8"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19"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0"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1" name="Text 14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2"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3"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4"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5"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26"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32A2BF5-64ED-4A4F-837C-E8CFDB543FA2}"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7" name="Text 11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8"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29"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0"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1"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2"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3"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4"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5"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6"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7"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8"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39"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0" name="Text 119"/>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1" name="Text 12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2" name="Text 130"/>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3" name="Text 13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4" name="Text 16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5" name="Text 163"/>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6" name="Text 164"/>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7" name="Text 165"/>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8" name="Text 99"/>
        <xdr:cNvSpPr txBox="1">
          <a:spLocks noChangeArrowheads="1"/>
        </xdr:cNvSpPr>
      </xdr:nvSpPr>
      <xdr:spPr bwMode="auto">
        <a:xfrm>
          <a:off x="7562850" y="2964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117</xdr:row>
      <xdr:rowOff>0</xdr:rowOff>
    </xdr:from>
    <xdr:to>
      <xdr:col>12</xdr:col>
      <xdr:colOff>0</xdr:colOff>
      <xdr:row>117</xdr:row>
      <xdr:rowOff>0</xdr:rowOff>
    </xdr:to>
    <xdr:sp macro="" textlink="">
      <xdr:nvSpPr>
        <xdr:cNvPr id="2449" name="Text 101"/>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50"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F6B7EE6-737C-4006-9337-7BEDA799BF73}" type="TxLink">
            <a:rPr lang="en-US"/>
            <a:t>​</a:t>
          </a:fld>
          <a:endParaRPr lang="en-US"/>
        </a:p>
      </xdr:txBody>
    </xdr:sp>
    <xdr:clientData/>
  </xdr:twoCellAnchor>
  <xdr:twoCellAnchor>
    <xdr:from>
      <xdr:col>12</xdr:col>
      <xdr:colOff>0</xdr:colOff>
      <xdr:row>117</xdr:row>
      <xdr:rowOff>0</xdr:rowOff>
    </xdr:from>
    <xdr:to>
      <xdr:col>12</xdr:col>
      <xdr:colOff>0</xdr:colOff>
      <xdr:row>117</xdr:row>
      <xdr:rowOff>0</xdr:rowOff>
    </xdr:to>
    <xdr:sp macro="" textlink="#REF!">
      <xdr:nvSpPr>
        <xdr:cNvPr id="2451" name="Text 112"/>
        <xdr:cNvSpPr txBox="1">
          <a:spLocks noChangeArrowheads="1"/>
        </xdr:cNvSpPr>
      </xdr:nvSpPr>
      <xdr:spPr bwMode="auto">
        <a:xfrm>
          <a:off x="7562850" y="2964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28B5104-EAF8-4620-AB62-0D164351BA2A}"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2" name="Text 9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3" name="Text 10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4" name="Text 10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5" name="Text 103"/>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121</xdr:row>
      <xdr:rowOff>0</xdr:rowOff>
    </xdr:from>
    <xdr:to>
      <xdr:col>12</xdr:col>
      <xdr:colOff>0</xdr:colOff>
      <xdr:row>122</xdr:row>
      <xdr:rowOff>0</xdr:rowOff>
    </xdr:to>
    <xdr:sp macro="" textlink="">
      <xdr:nvSpPr>
        <xdr:cNvPr id="2456" name="Text 108"/>
        <xdr:cNvSpPr txBox="1">
          <a:spLocks noChangeArrowheads="1"/>
        </xdr:cNvSpPr>
      </xdr:nvSpPr>
      <xdr:spPr bwMode="auto">
        <a:xfrm>
          <a:off x="7562850" y="309753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7" name="Text 10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58" name="Text 110"/>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459"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E7E82F9-1420-4197-93B5-09816B80BD72}"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0" name="Text 113"/>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1" name="Text 114"/>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2" name="Text 115"/>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3" name="Text 116"/>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4" name="Text 117"/>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5" name="Text 119"/>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6" name="Text 12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7" name="Text 13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8" name="Text 13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69" name="Text 144"/>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0" name="Text 16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1" name="Text 163"/>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2" name="Text 164"/>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3" name="Text 165"/>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474"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374EA05-F4CC-4AD0-8D0A-56FF195A9FA8}"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5" name="Text 113"/>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6" name="Text 9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7" name="Text 10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8" name="Text 119"/>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79" name="Text 12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0" name="Text 13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1" name="Text 13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2" name="Text 16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3" name="Text 163"/>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4" name="Text 164"/>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5" name="Text 165"/>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6" name="Text 9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7" name="Text 10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8" name="Text 119"/>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9" name="Text 12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0" name="Text 130"/>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1" name="Text 13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2" name="Text 16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3" name="Text 163"/>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4" name="Text 164"/>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95" name="Text 165"/>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122</xdr:row>
      <xdr:rowOff>0</xdr:rowOff>
    </xdr:from>
    <xdr:to>
      <xdr:col>12</xdr:col>
      <xdr:colOff>0</xdr:colOff>
      <xdr:row>122</xdr:row>
      <xdr:rowOff>0</xdr:rowOff>
    </xdr:to>
    <xdr:sp macro="" textlink="">
      <xdr:nvSpPr>
        <xdr:cNvPr id="2496" name="Text 99"/>
        <xdr:cNvSpPr txBox="1">
          <a:spLocks noChangeArrowheads="1"/>
        </xdr:cNvSpPr>
      </xdr:nvSpPr>
      <xdr:spPr bwMode="auto">
        <a:xfrm>
          <a:off x="7562850" y="3116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122</xdr:row>
      <xdr:rowOff>0</xdr:rowOff>
    </xdr:from>
    <xdr:to>
      <xdr:col>12</xdr:col>
      <xdr:colOff>0</xdr:colOff>
      <xdr:row>122</xdr:row>
      <xdr:rowOff>0</xdr:rowOff>
    </xdr:to>
    <xdr:sp macro="" textlink="">
      <xdr:nvSpPr>
        <xdr:cNvPr id="2497" name="Text 101"/>
        <xdr:cNvSpPr txBox="1">
          <a:spLocks noChangeArrowheads="1"/>
        </xdr:cNvSpPr>
      </xdr:nvSpPr>
      <xdr:spPr bwMode="auto">
        <a:xfrm>
          <a:off x="7562850" y="3116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498"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19C839F-855C-4D2C-B49B-2BFD1B8B5878}"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499"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222E2D4-33D8-455B-B05B-88BB78BEE7D0}" type="TxLink">
            <a:rPr lang="en-US"/>
            <a:t>​</a:t>
          </a:fld>
          <a:endParaRPr lang="en-US"/>
        </a:p>
      </xdr:txBody>
    </xdr:sp>
    <xdr:clientData/>
  </xdr:twoCellAnchor>
  <xdr:twoCellAnchor>
    <xdr:from>
      <xdr:col>12</xdr:col>
      <xdr:colOff>0</xdr:colOff>
      <xdr:row>119</xdr:row>
      <xdr:rowOff>0</xdr:rowOff>
    </xdr:from>
    <xdr:to>
      <xdr:col>12</xdr:col>
      <xdr:colOff>0</xdr:colOff>
      <xdr:row>119</xdr:row>
      <xdr:rowOff>0</xdr:rowOff>
    </xdr:to>
    <xdr:sp macro="" textlink="#REF!">
      <xdr:nvSpPr>
        <xdr:cNvPr id="2500" name="Text 112"/>
        <xdr:cNvSpPr txBox="1">
          <a:spLocks noChangeArrowheads="1"/>
        </xdr:cNvSpPr>
      </xdr:nvSpPr>
      <xdr:spPr bwMode="auto">
        <a:xfrm>
          <a:off x="7562850" y="30594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B6A4F88-7766-4488-A9AB-43D685F83BDA}" type="TxLink">
            <a:rPr lang="en-US"/>
            <a:t>​</a:t>
          </a:fld>
          <a:endParaRPr lang="en-US"/>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1" name="Text 95"/>
        <xdr:cNvSpPr txBox="1">
          <a:spLocks noChangeArrowheads="1"/>
        </xdr:cNvSpPr>
      </xdr:nvSpPr>
      <xdr:spPr bwMode="auto">
        <a:xfrm>
          <a:off x="7562850" y="37833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2" name="Text 96"/>
        <xdr:cNvSpPr txBox="1">
          <a:spLocks noChangeArrowheads="1"/>
        </xdr:cNvSpPr>
      </xdr:nvSpPr>
      <xdr:spPr bwMode="auto">
        <a:xfrm>
          <a:off x="7562850" y="37833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3" name="Text 97"/>
        <xdr:cNvSpPr txBox="1">
          <a:spLocks noChangeArrowheads="1"/>
        </xdr:cNvSpPr>
      </xdr:nvSpPr>
      <xdr:spPr bwMode="auto">
        <a:xfrm>
          <a:off x="7562850" y="37833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4" name="Text 102"/>
        <xdr:cNvSpPr txBox="1">
          <a:spLocks noChangeArrowheads="1"/>
        </xdr:cNvSpPr>
      </xdr:nvSpPr>
      <xdr:spPr bwMode="auto">
        <a:xfrm>
          <a:off x="7562850" y="37833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5" name="Text 104"/>
        <xdr:cNvSpPr txBox="1">
          <a:spLocks noChangeArrowheads="1"/>
        </xdr:cNvSpPr>
      </xdr:nvSpPr>
      <xdr:spPr bwMode="auto">
        <a:xfrm>
          <a:off x="7562850" y="37833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6" name="Text 105"/>
        <xdr:cNvSpPr txBox="1">
          <a:spLocks noChangeArrowheads="1"/>
        </xdr:cNvSpPr>
      </xdr:nvSpPr>
      <xdr:spPr bwMode="auto">
        <a:xfrm>
          <a:off x="7562850" y="37833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7" name="Text 106"/>
        <xdr:cNvSpPr txBox="1">
          <a:spLocks noChangeArrowheads="1"/>
        </xdr:cNvSpPr>
      </xdr:nvSpPr>
      <xdr:spPr bwMode="auto">
        <a:xfrm>
          <a:off x="7562850" y="37833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151</xdr:row>
      <xdr:rowOff>0</xdr:rowOff>
    </xdr:from>
    <xdr:to>
      <xdr:col>12</xdr:col>
      <xdr:colOff>0</xdr:colOff>
      <xdr:row>151</xdr:row>
      <xdr:rowOff>0</xdr:rowOff>
    </xdr:to>
    <xdr:sp macro="" textlink="">
      <xdr:nvSpPr>
        <xdr:cNvPr id="2508" name="Text 107"/>
        <xdr:cNvSpPr txBox="1">
          <a:spLocks noChangeArrowheads="1"/>
        </xdr:cNvSpPr>
      </xdr:nvSpPr>
      <xdr:spPr bwMode="auto">
        <a:xfrm>
          <a:off x="7562850" y="37833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325</xdr:row>
      <xdr:rowOff>0</xdr:rowOff>
    </xdr:from>
    <xdr:to>
      <xdr:col>12</xdr:col>
      <xdr:colOff>0</xdr:colOff>
      <xdr:row>325</xdr:row>
      <xdr:rowOff>0</xdr:rowOff>
    </xdr:to>
    <xdr:sp macro="" textlink="">
      <xdr:nvSpPr>
        <xdr:cNvPr id="2509" name="Text 143"/>
        <xdr:cNvSpPr txBox="1">
          <a:spLocks noChangeArrowheads="1"/>
        </xdr:cNvSpPr>
      </xdr:nvSpPr>
      <xdr:spPr bwMode="auto">
        <a:xfrm>
          <a:off x="7562850" y="7879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0" name="Text 99"/>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1" name="Text 10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2" name="Text 10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3" name="Text 103"/>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4" name="Text 109"/>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5" name="Text 110"/>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REF!">
      <xdr:nvSpPr>
        <xdr:cNvPr id="2516" name="Text 11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1C23114F-85F2-4E37-B516-ED69D1B06BFF}" type="TxLink">
            <a:rPr lang="en-US"/>
            <a:t>​</a:t>
          </a:fld>
          <a:endParaRPr lang="en-US"/>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7" name="Text 113"/>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8" name="Text 114"/>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19" name="Text 115"/>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0" name="Text 116"/>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1" name="Text 117"/>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2" name="Text 119"/>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3" name="Text 12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4" name="Text 13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5" name="Text 13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6" name="Text 144"/>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7" name="Text 16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8" name="Text 163"/>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29" name="Text 164"/>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0" name="Text 165"/>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REF!">
      <xdr:nvSpPr>
        <xdr:cNvPr id="2531" name="Text 11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B004DD3-698A-493B-A40D-6D6A397EB18A}" type="TxLink">
            <a:rPr lang="en-US"/>
            <a:t>​</a:t>
          </a:fld>
          <a:endParaRPr lang="en-US"/>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2" name="Text 113"/>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3" name="Text 99"/>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4" name="Text 10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5" name="Text 119"/>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6" name="Text 12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7" name="Text 13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8" name="Text 13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39" name="Text 16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0" name="Text 163"/>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1" name="Text 164"/>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2" name="Text 165"/>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3" name="Text 99"/>
        <xdr:cNvSpPr txBox="1">
          <a:spLocks noChangeArrowheads="1"/>
        </xdr:cNvSpPr>
      </xdr:nvSpPr>
      <xdr:spPr bwMode="auto">
        <a:xfrm>
          <a:off x="7562850" y="46024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4" name="Text 10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5" name="Text 119"/>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6" name="Text 12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7" name="Text 130"/>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8" name="Text 131"/>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49" name="Text 16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50" name="Text 163"/>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51" name="Text 164"/>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181</xdr:row>
      <xdr:rowOff>0</xdr:rowOff>
    </xdr:from>
    <xdr:to>
      <xdr:col>12</xdr:col>
      <xdr:colOff>0</xdr:colOff>
      <xdr:row>181</xdr:row>
      <xdr:rowOff>0</xdr:rowOff>
    </xdr:to>
    <xdr:sp macro="" textlink="">
      <xdr:nvSpPr>
        <xdr:cNvPr id="2552" name="Text 165"/>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181</xdr:row>
      <xdr:rowOff>0</xdr:rowOff>
    </xdr:from>
    <xdr:to>
      <xdr:col>12</xdr:col>
      <xdr:colOff>0</xdr:colOff>
      <xdr:row>181</xdr:row>
      <xdr:rowOff>0</xdr:rowOff>
    </xdr:to>
    <xdr:sp macro="" textlink="#REF!">
      <xdr:nvSpPr>
        <xdr:cNvPr id="2553" name="Text 11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CF9C82A-5939-4179-9648-74BEB16529D5}" type="TxLink">
            <a:rPr lang="en-US"/>
            <a:t>​</a:t>
          </a:fld>
          <a:endParaRPr lang="en-US"/>
        </a:p>
      </xdr:txBody>
    </xdr:sp>
    <xdr:clientData/>
  </xdr:twoCellAnchor>
  <xdr:twoCellAnchor>
    <xdr:from>
      <xdr:col>12</xdr:col>
      <xdr:colOff>0</xdr:colOff>
      <xdr:row>181</xdr:row>
      <xdr:rowOff>0</xdr:rowOff>
    </xdr:from>
    <xdr:to>
      <xdr:col>12</xdr:col>
      <xdr:colOff>0</xdr:colOff>
      <xdr:row>181</xdr:row>
      <xdr:rowOff>0</xdr:rowOff>
    </xdr:to>
    <xdr:sp macro="" textlink="#REF!">
      <xdr:nvSpPr>
        <xdr:cNvPr id="2554" name="Text 112"/>
        <xdr:cNvSpPr txBox="1">
          <a:spLocks noChangeArrowheads="1"/>
        </xdr:cNvSpPr>
      </xdr:nvSpPr>
      <xdr:spPr bwMode="auto">
        <a:xfrm>
          <a:off x="7562850" y="46024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F936F16-8E3B-4E90-9DDC-E73A9D7B8E1C}"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57"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58" name="Text 10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59"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0" name="Text 103"/>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1" name="Text 108"/>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2" name="Text 10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3" name="Text 110"/>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564"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211013F-451E-4761-9FCE-BBE8BEF7BC11}"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5"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6" name="Text 11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7" name="Text 11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8" name="Text 11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69" name="Text 11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0"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1"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2"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3"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4" name="Text 14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5"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6"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7"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78"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579"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8F4E18F-2535-4271-9459-444E5B2279FE}"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0"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1"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2"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3"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4"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5"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6"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7"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8"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89"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0"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1"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2"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3"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4"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5"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6"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7"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8"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599"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0"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1"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2"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603"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8C86AE4-81BA-4BBA-B2FE-E7019EE6D8CC}"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604"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F3A215A-795F-4D86-AA0A-89DB88FE5733}"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5" name="Text 9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6" name="Text 9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7" name="Text 97"/>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8" name="Text 102"/>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09" name="Text 10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10" name="Text 10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11" name="Text 106"/>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612" name="Text 10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558</xdr:row>
      <xdr:rowOff>0</xdr:rowOff>
    </xdr:from>
    <xdr:to>
      <xdr:col>2</xdr:col>
      <xdr:colOff>0</xdr:colOff>
      <xdr:row>558</xdr:row>
      <xdr:rowOff>0</xdr:rowOff>
    </xdr:to>
    <xdr:sp macro="" textlink="">
      <xdr:nvSpPr>
        <xdr:cNvPr id="2920" name="Text 85"/>
        <xdr:cNvSpPr txBox="1">
          <a:spLocks noChangeArrowheads="1"/>
        </xdr:cNvSpPr>
      </xdr:nvSpPr>
      <xdr:spPr bwMode="auto">
        <a:xfrm>
          <a:off x="295275" y="146589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White Marble Banswara</a:t>
          </a:r>
        </a:p>
        <a:p>
          <a:pPr algn="l" rtl="0">
            <a:defRPr sz="1000"/>
          </a:pPr>
          <a:r>
            <a:rPr lang="en-US" sz="1200" b="0" i="0" u="none" strike="noStrike" baseline="0">
              <a:solidFill>
                <a:srgbClr val="000000"/>
              </a:solidFill>
              <a:latin typeface="Arial"/>
              <a:cs typeface="Arial"/>
            </a:rPr>
            <a:t> Above 3601 Sq. cm. </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922" name="Text 87"/>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519</xdr:row>
      <xdr:rowOff>0</xdr:rowOff>
    </xdr:from>
    <xdr:to>
      <xdr:col>2</xdr:col>
      <xdr:colOff>9525</xdr:colOff>
      <xdr:row>519</xdr:row>
      <xdr:rowOff>0</xdr:rowOff>
    </xdr:to>
    <xdr:sp macro="" textlink="">
      <xdr:nvSpPr>
        <xdr:cNvPr id="2923" name="Text 88"/>
        <xdr:cNvSpPr txBox="1">
          <a:spLocks noChangeArrowheads="1"/>
        </xdr:cNvSpPr>
      </xdr:nvSpPr>
      <xdr:spPr bwMode="auto">
        <a:xfrm>
          <a:off x="304800" y="1326832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560</xdr:row>
      <xdr:rowOff>0</xdr:rowOff>
    </xdr:from>
    <xdr:to>
      <xdr:col>2</xdr:col>
      <xdr:colOff>9525</xdr:colOff>
      <xdr:row>560</xdr:row>
      <xdr:rowOff>0</xdr:rowOff>
    </xdr:to>
    <xdr:sp macro="" textlink="">
      <xdr:nvSpPr>
        <xdr:cNvPr id="2924" name="Text 87"/>
        <xdr:cNvSpPr txBox="1">
          <a:spLocks noChangeArrowheads="1"/>
        </xdr:cNvSpPr>
      </xdr:nvSpPr>
      <xdr:spPr bwMode="auto">
        <a:xfrm>
          <a:off x="304800" y="147351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560</xdr:row>
      <xdr:rowOff>0</xdr:rowOff>
    </xdr:from>
    <xdr:to>
      <xdr:col>2</xdr:col>
      <xdr:colOff>9525</xdr:colOff>
      <xdr:row>560</xdr:row>
      <xdr:rowOff>0</xdr:rowOff>
    </xdr:to>
    <xdr:sp macro="" textlink="">
      <xdr:nvSpPr>
        <xdr:cNvPr id="2925" name="Text 88"/>
        <xdr:cNvSpPr txBox="1">
          <a:spLocks noChangeArrowheads="1"/>
        </xdr:cNvSpPr>
      </xdr:nvSpPr>
      <xdr:spPr bwMode="auto">
        <a:xfrm>
          <a:off x="304800" y="1473517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12</xdr:col>
      <xdr:colOff>0</xdr:colOff>
      <xdr:row>59</xdr:row>
      <xdr:rowOff>0</xdr:rowOff>
    </xdr:from>
    <xdr:to>
      <xdr:col>12</xdr:col>
      <xdr:colOff>0</xdr:colOff>
      <xdr:row>59</xdr:row>
      <xdr:rowOff>0</xdr:rowOff>
    </xdr:to>
    <xdr:sp macro="" textlink="">
      <xdr:nvSpPr>
        <xdr:cNvPr id="2932" name="Text 99"/>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3" name="Text 100"/>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4" name="Text 101"/>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5" name="Text 103"/>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6" name="Text 108"/>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7" name="Text 109"/>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38" name="Text 110"/>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939"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415231E-CFF9-46CA-B1BB-83D657F06B51}"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
      <xdr:nvSpPr>
        <xdr:cNvPr id="2940" name="Text 113"/>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1" name="Text 114"/>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2" name="Text 115"/>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3" name="Text 116"/>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4" name="Text 117"/>
        <xdr:cNvSpPr txBox="1">
          <a:spLocks noChangeArrowheads="1"/>
        </xdr:cNvSpPr>
      </xdr:nvSpPr>
      <xdr:spPr bwMode="auto">
        <a:xfrm>
          <a:off x="7562850" y="114681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5" name="Text 119"/>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6" name="Text 120"/>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7" name="Text 130"/>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8" name="Text 131"/>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49" name="Text 144"/>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0" name="Text 16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1" name="Text 16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2" name="Text 164"/>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3" name="Text 165"/>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54"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6E0D952-7A08-449D-B6F8-7F395BDD73FA}"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5" name="Text 11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56" name="Text 101"/>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57"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642DDDB-BF2A-4783-9DF6-43C5B524D24E}"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958"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39DBDEE-C22E-425A-B903-C08D86B98442}"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
      <xdr:nvSpPr>
        <xdr:cNvPr id="2959" name="Text 113"/>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60"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99702B9-DC78-4ADB-B023-8A7B0442D35F}"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61" name="Text 11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62"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D8B5039-EE02-4292-9E7B-6A6D3278523B}"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63" name="Text 11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64"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8CBBC8D-E6EF-4D20-851A-2D86B3389E5E}"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65" name="Text 11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66"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3F253FF-77CC-4733-8618-05F4478687D1}"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
      <xdr:nvSpPr>
        <xdr:cNvPr id="2967" name="Text 113"/>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968"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652EA91-C4D3-4212-8E31-78B0DA2AE90B}" type="TxLink">
            <a:rPr lang="en-US"/>
            <a:t>​</a:t>
          </a:fld>
          <a:endParaRPr lang="en-US"/>
        </a:p>
      </xdr:txBody>
    </xdr:sp>
    <xdr:clientData/>
  </xdr:twoCellAnchor>
  <xdr:twoCellAnchor>
    <xdr:from>
      <xdr:col>12</xdr:col>
      <xdr:colOff>0</xdr:colOff>
      <xdr:row>58</xdr:row>
      <xdr:rowOff>0</xdr:rowOff>
    </xdr:from>
    <xdr:to>
      <xdr:col>12</xdr:col>
      <xdr:colOff>0</xdr:colOff>
      <xdr:row>58</xdr:row>
      <xdr:rowOff>0</xdr:rowOff>
    </xdr:to>
    <xdr:sp macro="" textlink="#REF!">
      <xdr:nvSpPr>
        <xdr:cNvPr id="2969" name="Text 112"/>
        <xdr:cNvSpPr txBox="1">
          <a:spLocks noChangeArrowheads="1"/>
        </xdr:cNvSpPr>
      </xdr:nvSpPr>
      <xdr:spPr bwMode="auto">
        <a:xfrm>
          <a:off x="7562850" y="11277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1E35099-B751-41DA-8457-02614BB4B953}"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70"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56E81DA-6EDA-4566-9A84-BA0EB35E9A14}"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71"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2D4F2E0-9DE2-4E4D-94BD-4B5B04A30CD7}"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72"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8E2D229-4977-452D-927A-77CAEB3AA999}"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74"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78432CD-C6D1-4CBA-9E26-47FDEB606979}"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975"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4F0CDF0-CED4-44D2-9E15-FBD67EEB0896}" type="TxLink">
            <a:rPr lang="en-US"/>
            <a:t>​</a:t>
          </a:fld>
          <a:endParaRPr lang="en-US"/>
        </a:p>
      </xdr:txBody>
    </xdr:sp>
    <xdr:clientData/>
  </xdr:twoCellAnchor>
  <xdr:twoCellAnchor>
    <xdr:from>
      <xdr:col>12</xdr:col>
      <xdr:colOff>0</xdr:colOff>
      <xdr:row>119</xdr:row>
      <xdr:rowOff>0</xdr:rowOff>
    </xdr:from>
    <xdr:to>
      <xdr:col>12</xdr:col>
      <xdr:colOff>0</xdr:colOff>
      <xdr:row>119</xdr:row>
      <xdr:rowOff>0</xdr:rowOff>
    </xdr:to>
    <xdr:sp macro="" textlink="#REF!">
      <xdr:nvSpPr>
        <xdr:cNvPr id="2976" name="Text 112"/>
        <xdr:cNvSpPr txBox="1">
          <a:spLocks noChangeArrowheads="1"/>
        </xdr:cNvSpPr>
      </xdr:nvSpPr>
      <xdr:spPr bwMode="auto">
        <a:xfrm>
          <a:off x="7562850" y="30594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CD2B9FE-0AF2-421A-9E28-061B4B089933}"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77" name="Text 108"/>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78" name="Text 9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79" name="Text 10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980"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F3E9E03-CFC3-42AA-9008-F042FFFCB384}"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981"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3E939C6-A4AE-4B47-BF1E-B1A93FD5BA22}"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82" name="Text 108"/>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83" name="Text 9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984" name="Text 101"/>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985"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759D340-FB54-4465-9C05-872240E52389}" type="TxLink">
            <a:rPr lang="en-US"/>
            <a:t>​</a:t>
          </a:fld>
          <a:endParaRPr lang="en-US"/>
        </a:p>
      </xdr:txBody>
    </xdr:sp>
    <xdr:clientData/>
  </xdr:twoCellAnchor>
  <xdr:twoCellAnchor>
    <xdr:from>
      <xdr:col>12</xdr:col>
      <xdr:colOff>0</xdr:colOff>
      <xdr:row>569</xdr:row>
      <xdr:rowOff>0</xdr:rowOff>
    </xdr:from>
    <xdr:to>
      <xdr:col>12</xdr:col>
      <xdr:colOff>0</xdr:colOff>
      <xdr:row>569</xdr:row>
      <xdr:rowOff>0</xdr:rowOff>
    </xdr:to>
    <xdr:sp macro="" textlink="#REF!">
      <xdr:nvSpPr>
        <xdr:cNvPr id="2986" name="Text 112"/>
        <xdr:cNvSpPr txBox="1">
          <a:spLocks noChangeArrowheads="1"/>
        </xdr:cNvSpPr>
      </xdr:nvSpPr>
      <xdr:spPr bwMode="auto">
        <a:xfrm>
          <a:off x="7562850" y="1521142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AEC1D7C-A66D-4F9F-B6D8-16C6DC49996B}" type="TxLink">
            <a:rPr lang="en-US"/>
            <a:t>​</a:t>
          </a:fld>
          <a:endParaRPr lang="en-US"/>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87" name="Text 95"/>
        <xdr:cNvSpPr txBox="1">
          <a:spLocks noChangeArrowheads="1"/>
        </xdr:cNvSpPr>
      </xdr:nvSpPr>
      <xdr:spPr bwMode="auto">
        <a:xfrm>
          <a:off x="7562850" y="4069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88" name="Text 96"/>
        <xdr:cNvSpPr txBox="1">
          <a:spLocks noChangeArrowheads="1"/>
        </xdr:cNvSpPr>
      </xdr:nvSpPr>
      <xdr:spPr bwMode="auto">
        <a:xfrm>
          <a:off x="7562850" y="4069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89" name="Text 97"/>
        <xdr:cNvSpPr txBox="1">
          <a:spLocks noChangeArrowheads="1"/>
        </xdr:cNvSpPr>
      </xdr:nvSpPr>
      <xdr:spPr bwMode="auto">
        <a:xfrm>
          <a:off x="7562850" y="4069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90" name="Text 102"/>
        <xdr:cNvSpPr txBox="1">
          <a:spLocks noChangeArrowheads="1"/>
        </xdr:cNvSpPr>
      </xdr:nvSpPr>
      <xdr:spPr bwMode="auto">
        <a:xfrm>
          <a:off x="7562850" y="4069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91" name="Text 104"/>
        <xdr:cNvSpPr txBox="1">
          <a:spLocks noChangeArrowheads="1"/>
        </xdr:cNvSpPr>
      </xdr:nvSpPr>
      <xdr:spPr bwMode="auto">
        <a:xfrm>
          <a:off x="7562850" y="4069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92" name="Text 105"/>
        <xdr:cNvSpPr txBox="1">
          <a:spLocks noChangeArrowheads="1"/>
        </xdr:cNvSpPr>
      </xdr:nvSpPr>
      <xdr:spPr bwMode="auto">
        <a:xfrm>
          <a:off x="7562850" y="4069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93" name="Text 106"/>
        <xdr:cNvSpPr txBox="1">
          <a:spLocks noChangeArrowheads="1"/>
        </xdr:cNvSpPr>
      </xdr:nvSpPr>
      <xdr:spPr bwMode="auto">
        <a:xfrm>
          <a:off x="7562850" y="4069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166</xdr:row>
      <xdr:rowOff>0</xdr:rowOff>
    </xdr:from>
    <xdr:to>
      <xdr:col>12</xdr:col>
      <xdr:colOff>0</xdr:colOff>
      <xdr:row>166</xdr:row>
      <xdr:rowOff>0</xdr:rowOff>
    </xdr:to>
    <xdr:sp macro="" textlink="">
      <xdr:nvSpPr>
        <xdr:cNvPr id="2994" name="Text 107"/>
        <xdr:cNvSpPr txBox="1">
          <a:spLocks noChangeArrowheads="1"/>
        </xdr:cNvSpPr>
      </xdr:nvSpPr>
      <xdr:spPr bwMode="auto">
        <a:xfrm>
          <a:off x="7562850" y="4069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995" name="Text 99"/>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996" name="Text 10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997" name="Text 10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998" name="Text 103"/>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999" name="Text 109"/>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0" name="Text 110"/>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REF!">
      <xdr:nvSpPr>
        <xdr:cNvPr id="3001" name="Text 11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9C71A6E-0365-40C5-8F0F-247B996A8B22}" type="TxLink">
            <a:rPr lang="en-US"/>
            <a:t>​</a:t>
          </a:fld>
          <a:endParaRPr lang="en-US"/>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2" name="Text 11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3" name="Text 114"/>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4" name="Text 115"/>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5" name="Text 116"/>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6" name="Text 117"/>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7" name="Text 119"/>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8" name="Text 12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09" name="Text 13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0" name="Text 13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1" name="Text 144"/>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2" name="Text 16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3" name="Text 16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4" name="Text 164"/>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5" name="Text 165"/>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REF!">
      <xdr:nvSpPr>
        <xdr:cNvPr id="3016" name="Text 11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2C13CC7-7F58-4E57-9178-2C01098499D9}" type="TxLink">
            <a:rPr lang="en-US"/>
            <a:t>​</a:t>
          </a:fld>
          <a:endParaRPr lang="en-US"/>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7" name="Text 11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8" name="Text 99"/>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19" name="Text 10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0" name="Text 119"/>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1" name="Text 12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2" name="Text 13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3" name="Text 13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4" name="Text 16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5" name="Text 16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6" name="Text 164"/>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7" name="Text 165"/>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8" name="Text 99"/>
        <xdr:cNvSpPr txBox="1">
          <a:spLocks noChangeArrowheads="1"/>
        </xdr:cNvSpPr>
      </xdr:nvSpPr>
      <xdr:spPr bwMode="auto">
        <a:xfrm>
          <a:off x="7562850" y="5897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29" name="Text 10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0" name="Text 119"/>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1" name="Text 12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2" name="Text 130"/>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3" name="Text 131"/>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4" name="Text 16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5" name="Text 16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6" name="Text 164"/>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3037" name="Text 165"/>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249</xdr:row>
      <xdr:rowOff>0</xdr:rowOff>
    </xdr:from>
    <xdr:to>
      <xdr:col>12</xdr:col>
      <xdr:colOff>0</xdr:colOff>
      <xdr:row>249</xdr:row>
      <xdr:rowOff>0</xdr:rowOff>
    </xdr:to>
    <xdr:sp macro="" textlink="#REF!">
      <xdr:nvSpPr>
        <xdr:cNvPr id="3038" name="Text 11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17167A5-2F49-497F-95FC-447D5D196C6B}" type="TxLink">
            <a:rPr lang="en-US"/>
            <a:t>​</a:t>
          </a:fld>
          <a:endParaRPr lang="en-US"/>
        </a:p>
      </xdr:txBody>
    </xdr:sp>
    <xdr:clientData/>
  </xdr:twoCellAnchor>
  <xdr:twoCellAnchor>
    <xdr:from>
      <xdr:col>12</xdr:col>
      <xdr:colOff>0</xdr:colOff>
      <xdr:row>249</xdr:row>
      <xdr:rowOff>0</xdr:rowOff>
    </xdr:from>
    <xdr:to>
      <xdr:col>12</xdr:col>
      <xdr:colOff>0</xdr:colOff>
      <xdr:row>249</xdr:row>
      <xdr:rowOff>0</xdr:rowOff>
    </xdr:to>
    <xdr:sp macro="" textlink="#REF!">
      <xdr:nvSpPr>
        <xdr:cNvPr id="3039" name="Text 112"/>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CDD5801-550F-491F-8856-46A5BC124EE5}"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0"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1" name="Text 10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2"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3" name="Text 103"/>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4" name="Text 10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5" name="Text 110"/>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3046"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DC2991D-D0CB-44BF-BC65-42A8BB2D5A5F}"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7" name="Text 11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8" name="Text 11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49" name="Text 115"/>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0" name="Text 116"/>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1" name="Text 117"/>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2"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3"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4"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5"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6" name="Text 14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7"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8"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59"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0"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3061"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105C750-9213-47D5-894C-6155FFE71B92}"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2" name="Text 11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3"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4"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5"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6"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7"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8"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69"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70"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3071"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76"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77"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78"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79"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0"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1"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2"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3"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4"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5"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4586"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4587"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53FD620-3EA0-4ADC-83FB-FD64E204449B}"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4588"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EC303CE-B410-4C89-B943-FA49630BAC05}"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89"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0" name="Text 10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1"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2" name="Text 103"/>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3" name="Text 10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4" name="Text 110"/>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595"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891DE1-C260-498E-9FFE-05BDD689B3AC}"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6"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7" name="Text 11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8" name="Text 11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599" name="Text 11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0" name="Text 11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1"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2"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3"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4"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5" name="Text 14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6"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7"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8"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09"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10"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17FBD7F9-BD9C-4F9F-8BFD-888B73F132B9}"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1"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2"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3"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4"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5"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6"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7"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8"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19"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0"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1"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2"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3"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4"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5"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6"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7"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8"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29"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0"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1"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32"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FDA9504-72CA-40B2-A653-CA1442147864}"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33"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27EFA4F-8709-46C3-9D60-18E940443A78}"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4"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5" name="Text 10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6"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7" name="Text 103"/>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8" name="Text 10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39" name="Text 110"/>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40"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AC14D38-7EC3-4ECC-86B3-CB2319F87F7E}"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1"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2" name="Text 11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3" name="Text 11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4" name="Text 11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5" name="Text 11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6"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7"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8"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49"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0" name="Text 14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1"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2"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3"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4"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55"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92D421D-3F14-446A-990F-8AA2FB9543F4}"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6"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7"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8"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59"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0"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1"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2"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3"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4"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5"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6"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7"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8"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69"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0"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1"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2"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3"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4"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5"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6"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77"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1697248-F454-4604-BB45-7E5A63774622}"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78"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1B4BB1F-624B-4EF0-BBB4-74E2070B37DA}"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79"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0" name="Text 10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1"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2" name="Text 103"/>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3" name="Text 10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4" name="Text 110"/>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685"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02709D7-4F65-4E13-BC33-F74B6EF4856B}"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6"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7" name="Text 11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8" name="Text 11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89" name="Text 11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0" name="Text 11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1"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2"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3"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4"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5" name="Text 14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6"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7"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8"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699"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700"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9F1AFB7-AB95-4070-87B3-FAD56B06E4B0}"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1"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2"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3"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4"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5"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6"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7"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8"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09"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0"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1"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2"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3"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4"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5"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6"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7"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8"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19"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20"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721"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722"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00FD290-A0EA-4187-9B78-7A33613D6FCF}"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723"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F296C1-6F6A-43F0-82C4-FEA567AC6E7A}"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4"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5" name="Text 10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6"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7" name="Text 103"/>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8" name="Text 10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29" name="Text 110"/>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730"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7FC2C32-954B-4220-8CD3-ECA741328BAF}"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1" name="Text 11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2" name="Text 11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3" name="Text 115"/>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4" name="Text 116"/>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5" name="Text 117"/>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6"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7"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8"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39"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0" name="Text 14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1"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2"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3"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4"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745"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54AB346-2B3A-4372-9BF6-66B597F16071}"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6" name="Text 11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7"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8"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49"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0"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1"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2"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3"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4"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5"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6"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7"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8"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59"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0"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1"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2"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3"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4"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5"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766"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767"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C15484F-C7BD-4D1F-87D8-7B8264983E4B}"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768"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429AE3E-7FB8-433A-8694-F8393E8CAAF1}"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69"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0"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1"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2"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3"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4"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775"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40CB573-E966-4762-8A37-8EE60C059F25}"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6"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7"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8"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79"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0"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1"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2"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3"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4"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5"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6"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7"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8"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89"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790"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D96D783-EAD9-490E-B48F-37F18B181401}"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1"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2"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3"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4"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5"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6"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7"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8"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799"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0"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1"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2"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3"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4"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5"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6"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7"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8"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09"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0"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1"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12"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17BE4FF-DF6A-44B5-B9EB-333EC6465C8E}"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13"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5C1E0B0-42BA-4885-868F-A9A10A44BD6B}"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4"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5"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6"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7"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8"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19"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20"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5AE1383-32EE-45C5-94C8-967E0B80A606}"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1"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2"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3"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4"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5"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6"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7"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8"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29"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0"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1"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2"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3"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4"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35"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EA32589-7E49-40C5-B130-90018250A377}"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6"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7"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8"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39"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0"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1"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2"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3"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4"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5"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6"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7"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8"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49"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0"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1"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2"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3"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4"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5"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856"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57"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5CB3D94-3566-44EA-B5A4-2A73E6A95F1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858"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F588E9F-1B5F-44D8-9B81-1CAB50C6148B}" type="TxLink">
            <a:rPr lang="en-US"/>
            <a:t>​</a:t>
          </a:fld>
          <a:endParaRPr lang="en-US"/>
        </a:p>
      </xdr:txBody>
    </xdr:sp>
    <xdr:clientData/>
  </xdr:twoCellAnchor>
  <xdr:twoCellAnchor>
    <xdr:from>
      <xdr:col>1</xdr:col>
      <xdr:colOff>0</xdr:colOff>
      <xdr:row>250</xdr:row>
      <xdr:rowOff>0</xdr:rowOff>
    </xdr:from>
    <xdr:to>
      <xdr:col>2</xdr:col>
      <xdr:colOff>0</xdr:colOff>
      <xdr:row>250</xdr:row>
      <xdr:rowOff>0</xdr:rowOff>
    </xdr:to>
    <xdr:sp macro="" textlink="">
      <xdr:nvSpPr>
        <xdr:cNvPr id="24859" name="Text 65"/>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250</xdr:row>
      <xdr:rowOff>0</xdr:rowOff>
    </xdr:from>
    <xdr:to>
      <xdr:col>1</xdr:col>
      <xdr:colOff>2828925</xdr:colOff>
      <xdr:row>250</xdr:row>
      <xdr:rowOff>0</xdr:rowOff>
    </xdr:to>
    <xdr:sp macro="" textlink="">
      <xdr:nvSpPr>
        <xdr:cNvPr id="24860" name="Text 71"/>
        <xdr:cNvSpPr txBox="1">
          <a:spLocks noChangeArrowheads="1"/>
        </xdr:cNvSpPr>
      </xdr:nvSpPr>
      <xdr:spPr bwMode="auto">
        <a:xfrm>
          <a:off x="295275" y="591693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250</xdr:row>
      <xdr:rowOff>0</xdr:rowOff>
    </xdr:from>
    <xdr:to>
      <xdr:col>2</xdr:col>
      <xdr:colOff>0</xdr:colOff>
      <xdr:row>250</xdr:row>
      <xdr:rowOff>0</xdr:rowOff>
    </xdr:to>
    <xdr:sp macro="" textlink="">
      <xdr:nvSpPr>
        <xdr:cNvPr id="24861" name="Text 74"/>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27</xdr:row>
      <xdr:rowOff>0</xdr:rowOff>
    </xdr:from>
    <xdr:to>
      <xdr:col>12</xdr:col>
      <xdr:colOff>0</xdr:colOff>
      <xdr:row>28</xdr:row>
      <xdr:rowOff>0</xdr:rowOff>
    </xdr:to>
    <xdr:sp macro="" textlink="#REF!">
      <xdr:nvSpPr>
        <xdr:cNvPr id="24862" name="Text 112"/>
        <xdr:cNvSpPr txBox="1">
          <a:spLocks noChangeArrowheads="1"/>
        </xdr:cNvSpPr>
      </xdr:nvSpPr>
      <xdr:spPr bwMode="auto">
        <a:xfrm>
          <a:off x="7562850" y="5181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1E735624-7EF2-486F-A6A7-8A126C821A17}"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4863"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A424905-79A5-48AE-B8FD-FD0F33F6C2CF}"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4864"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40152EE-F77D-4830-9C6D-38B1AEFE0C20}" type="TxLink">
            <a:rPr lang="en-US"/>
            <a:t>​</a:t>
          </a:fld>
          <a:endParaRPr lang="en-US"/>
        </a:p>
      </xdr:txBody>
    </xdr:sp>
    <xdr:clientData/>
  </xdr:twoCellAnchor>
  <xdr:twoCellAnchor>
    <xdr:from>
      <xdr:col>12</xdr:col>
      <xdr:colOff>0</xdr:colOff>
      <xdr:row>38</xdr:row>
      <xdr:rowOff>0</xdr:rowOff>
    </xdr:from>
    <xdr:to>
      <xdr:col>12</xdr:col>
      <xdr:colOff>0</xdr:colOff>
      <xdr:row>39</xdr:row>
      <xdr:rowOff>0</xdr:rowOff>
    </xdr:to>
    <xdr:sp macro="" textlink="#REF!">
      <xdr:nvSpPr>
        <xdr:cNvPr id="24865" name="Text 112"/>
        <xdr:cNvSpPr txBox="1">
          <a:spLocks noChangeArrowheads="1"/>
        </xdr:cNvSpPr>
      </xdr:nvSpPr>
      <xdr:spPr bwMode="auto">
        <a:xfrm>
          <a:off x="7562850" y="7467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C7DFD77-022A-4BC1-9C2A-DEC412F35523}"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4866"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91AF32B-7BFB-4A03-A134-F7A8E63E34AE}" type="TxLink">
            <a:rPr lang="en-US"/>
            <a:t>​</a:t>
          </a:fld>
          <a:endParaRPr lang="en-US"/>
        </a:p>
      </xdr:txBody>
    </xdr:sp>
    <xdr:clientData/>
  </xdr:twoCellAnchor>
  <xdr:twoCellAnchor>
    <xdr:from>
      <xdr:col>12</xdr:col>
      <xdr:colOff>0</xdr:colOff>
      <xdr:row>58</xdr:row>
      <xdr:rowOff>0</xdr:rowOff>
    </xdr:from>
    <xdr:to>
      <xdr:col>12</xdr:col>
      <xdr:colOff>0</xdr:colOff>
      <xdr:row>59</xdr:row>
      <xdr:rowOff>0</xdr:rowOff>
    </xdr:to>
    <xdr:sp macro="" textlink="#REF!">
      <xdr:nvSpPr>
        <xdr:cNvPr id="24867" name="Text 112"/>
        <xdr:cNvSpPr txBox="1">
          <a:spLocks noChangeArrowheads="1"/>
        </xdr:cNvSpPr>
      </xdr:nvSpPr>
      <xdr:spPr bwMode="auto">
        <a:xfrm>
          <a:off x="7562850" y="11277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659DE3E-394B-4AA7-8679-0A60EA7D3A03}"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4868"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758617E-678B-41EC-86DB-FCAC84BE8BC9}" type="TxLink">
            <a:rPr lang="en-US"/>
            <a:t>​</a:t>
          </a:fld>
          <a:endParaRPr lang="en-US"/>
        </a:p>
      </xdr:txBody>
    </xdr:sp>
    <xdr:clientData/>
  </xdr:twoCellAnchor>
  <xdr:twoCellAnchor>
    <xdr:from>
      <xdr:col>12</xdr:col>
      <xdr:colOff>0</xdr:colOff>
      <xdr:row>39</xdr:row>
      <xdr:rowOff>0</xdr:rowOff>
    </xdr:from>
    <xdr:to>
      <xdr:col>12</xdr:col>
      <xdr:colOff>0</xdr:colOff>
      <xdr:row>39</xdr:row>
      <xdr:rowOff>0</xdr:rowOff>
    </xdr:to>
    <xdr:sp macro="" textlink="#REF!">
      <xdr:nvSpPr>
        <xdr:cNvPr id="24869" name="Text 112"/>
        <xdr:cNvSpPr txBox="1">
          <a:spLocks noChangeArrowheads="1"/>
        </xdr:cNvSpPr>
      </xdr:nvSpPr>
      <xdr:spPr bwMode="auto">
        <a:xfrm>
          <a:off x="7562850" y="765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5144F13-D0F7-42C1-8154-5362B920157B}" type="TxLink">
            <a:rPr lang="en-US"/>
            <a:t>​</a:t>
          </a:fld>
          <a:endParaRPr lang="en-US"/>
        </a:p>
      </xdr:txBody>
    </xdr:sp>
    <xdr:clientData/>
  </xdr:twoCellAnchor>
  <xdr:twoCellAnchor>
    <xdr:from>
      <xdr:col>12</xdr:col>
      <xdr:colOff>0</xdr:colOff>
      <xdr:row>59</xdr:row>
      <xdr:rowOff>0</xdr:rowOff>
    </xdr:from>
    <xdr:to>
      <xdr:col>12</xdr:col>
      <xdr:colOff>0</xdr:colOff>
      <xdr:row>59</xdr:row>
      <xdr:rowOff>0</xdr:rowOff>
    </xdr:to>
    <xdr:sp macro="" textlink="#REF!">
      <xdr:nvSpPr>
        <xdr:cNvPr id="24870" name="Text 112"/>
        <xdr:cNvSpPr txBox="1">
          <a:spLocks noChangeArrowheads="1"/>
        </xdr:cNvSpPr>
      </xdr:nvSpPr>
      <xdr:spPr bwMode="auto">
        <a:xfrm>
          <a:off x="7562850" y="11468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7CCD023-F31C-49A2-B124-D29888DB3978}" type="TxLink">
            <a:rPr lang="en-US"/>
            <a:t>​</a:t>
          </a:fld>
          <a:endParaRPr lang="en-US"/>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2" name="Text 121"/>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3" name="Text 128"/>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4" name="Text 132"/>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5" name="Text 138"/>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6" name="Text 141"/>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70</xdr:row>
      <xdr:rowOff>0</xdr:rowOff>
    </xdr:from>
    <xdr:to>
      <xdr:col>12</xdr:col>
      <xdr:colOff>0</xdr:colOff>
      <xdr:row>70</xdr:row>
      <xdr:rowOff>0</xdr:rowOff>
    </xdr:to>
    <xdr:sp macro="" textlink="">
      <xdr:nvSpPr>
        <xdr:cNvPr id="24877" name="Text 142"/>
        <xdr:cNvSpPr txBox="1">
          <a:spLocks noChangeArrowheads="1"/>
        </xdr:cNvSpPr>
      </xdr:nvSpPr>
      <xdr:spPr bwMode="auto">
        <a:xfrm>
          <a:off x="7562850" y="16802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569</xdr:row>
      <xdr:rowOff>0</xdr:rowOff>
    </xdr:from>
    <xdr:to>
      <xdr:col>12</xdr:col>
      <xdr:colOff>0</xdr:colOff>
      <xdr:row>569</xdr:row>
      <xdr:rowOff>0</xdr:rowOff>
    </xdr:to>
    <xdr:sp macro="" textlink="">
      <xdr:nvSpPr>
        <xdr:cNvPr id="24878" name="Text 129"/>
        <xdr:cNvSpPr txBox="1">
          <a:spLocks noChangeArrowheads="1"/>
        </xdr:cNvSpPr>
      </xdr:nvSpPr>
      <xdr:spPr bwMode="auto">
        <a:xfrm>
          <a:off x="7562850" y="1521142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u="none" strike="noStrike" baseline="0">
              <a:solidFill>
                <a:srgbClr val="000000"/>
              </a:solidFill>
              <a:latin typeface="Arial"/>
              <a:cs typeface="Arial"/>
            </a:rPr>
            <a:t>Ordinary  cement. without any pigment</a:t>
          </a: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0"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1" name="Text 10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2"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3" name="Text 103"/>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4" name="Text 108"/>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5" name="Text 10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6" name="Text 110"/>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887"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53B24C9-174B-46F6-A812-57A3FD2F9655}"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8"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89" name="Text 11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0" name="Text 115"/>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1" name="Text 116"/>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2" name="Text 117"/>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3"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4"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5"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6"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7" name="Text 14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8"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899"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0"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1"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02"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ED89134-792B-43CD-8327-4F3FFC32D701}"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3" name="Text 11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4"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5"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6"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7"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8"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09"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0"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1"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2"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3"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4"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5"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6" name="Text 119"/>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7" name="Text 12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8" name="Text 130"/>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19" name="Text 13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0" name="Text 16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1" name="Text 163"/>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2" name="Text 164"/>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3" name="Text 165"/>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4"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25"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26"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1DF3D19-2B01-49B8-8C8F-B4E83C1EEF32}"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27"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6574667-0635-489D-9ECE-12A38914A092}"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28"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AA26FD-F281-44C5-B61D-3C8E0CFDC081}"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29"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F5228E5-8497-47C7-B212-F6DB31BC222E}"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0" name="Text 108"/>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1"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2"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33"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64A289F-6DB6-4692-B700-632D380FE85C}"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34"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05A8929-C9E0-4287-8DCD-50361890CF00}"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5" name="Text 108"/>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6" name="Text 99"/>
        <xdr:cNvSpPr txBox="1">
          <a:spLocks noChangeArrowheads="1"/>
        </xdr:cNvSpPr>
      </xdr:nvSpPr>
      <xdr:spPr bwMode="auto">
        <a:xfrm>
          <a:off x="7562850" y="35737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37" name="Text 101"/>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38"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5003983-6C09-40C8-9993-501C91D2781D}" type="TxLink">
            <a:rPr lang="en-US"/>
            <a:t>​</a:t>
          </a:fld>
          <a:endParaRPr lang="en-US"/>
        </a:p>
      </xdr:txBody>
    </xdr:sp>
    <xdr:clientData/>
  </xdr:twoCellAnchor>
  <xdr:twoCellAnchor>
    <xdr:from>
      <xdr:col>12</xdr:col>
      <xdr:colOff>0</xdr:colOff>
      <xdr:row>146</xdr:row>
      <xdr:rowOff>0</xdr:rowOff>
    </xdr:from>
    <xdr:to>
      <xdr:col>12</xdr:col>
      <xdr:colOff>0</xdr:colOff>
      <xdr:row>146</xdr:row>
      <xdr:rowOff>0</xdr:rowOff>
    </xdr:to>
    <xdr:sp macro="" textlink="#REF!">
      <xdr:nvSpPr>
        <xdr:cNvPr id="24939" name="Text 112"/>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8FEF19F-BDE3-443D-BEC6-4ED49DAADE6D}" type="TxLink">
            <a:rPr lang="en-US"/>
            <a:t>​</a:t>
          </a:fld>
          <a:endParaRPr lang="en-US"/>
        </a:p>
      </xdr:txBody>
    </xdr:sp>
    <xdr:clientData/>
  </xdr:twoCellAnchor>
  <xdr:twoCellAnchor>
    <xdr:from>
      <xdr:col>12</xdr:col>
      <xdr:colOff>0</xdr:colOff>
      <xdr:row>119</xdr:row>
      <xdr:rowOff>0</xdr:rowOff>
    </xdr:from>
    <xdr:to>
      <xdr:col>12</xdr:col>
      <xdr:colOff>0</xdr:colOff>
      <xdr:row>120</xdr:row>
      <xdr:rowOff>0</xdr:rowOff>
    </xdr:to>
    <xdr:sp macro="" textlink="">
      <xdr:nvSpPr>
        <xdr:cNvPr id="24940" name="Text 108"/>
        <xdr:cNvSpPr txBox="1">
          <a:spLocks noChangeArrowheads="1"/>
        </xdr:cNvSpPr>
      </xdr:nvSpPr>
      <xdr:spPr bwMode="auto">
        <a:xfrm>
          <a:off x="7562850" y="305943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146</xdr:row>
      <xdr:rowOff>0</xdr:rowOff>
    </xdr:from>
    <xdr:to>
      <xdr:col>12</xdr:col>
      <xdr:colOff>0</xdr:colOff>
      <xdr:row>146</xdr:row>
      <xdr:rowOff>0</xdr:rowOff>
    </xdr:to>
    <xdr:sp macro="" textlink="">
      <xdr:nvSpPr>
        <xdr:cNvPr id="24941" name="Text 108"/>
        <xdr:cNvSpPr txBox="1">
          <a:spLocks noChangeArrowheads="1"/>
        </xdr:cNvSpPr>
      </xdr:nvSpPr>
      <xdr:spPr bwMode="auto">
        <a:xfrm>
          <a:off x="7562850" y="35737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2" name="Text 14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249</xdr:row>
      <xdr:rowOff>0</xdr:rowOff>
    </xdr:from>
    <xdr:to>
      <xdr:col>12</xdr:col>
      <xdr:colOff>0</xdr:colOff>
      <xdr:row>249</xdr:row>
      <xdr:rowOff>0</xdr:rowOff>
    </xdr:to>
    <xdr:sp macro="" textlink="">
      <xdr:nvSpPr>
        <xdr:cNvPr id="24943" name="Text 143"/>
        <xdr:cNvSpPr txBox="1">
          <a:spLocks noChangeArrowheads="1"/>
        </xdr:cNvSpPr>
      </xdr:nvSpPr>
      <xdr:spPr bwMode="auto">
        <a:xfrm>
          <a:off x="7562850" y="5897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4944" name="Text 148"/>
        <xdr:cNvSpPr txBox="1">
          <a:spLocks noChangeArrowheads="1"/>
        </xdr:cNvSpPr>
      </xdr:nvSpPr>
      <xdr:spPr bwMode="auto">
        <a:xfrm>
          <a:off x="295275" y="622173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4945" name="Text 149"/>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4946" name="Text 152"/>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47"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48" name="Text 10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49"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0" name="Text 103"/>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1" name="Text 10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2" name="Text 110"/>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953"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C41F309-639E-4FDA-B659-6949DC1524FC}"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4" name="Text 11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5" name="Text 11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6" name="Text 115"/>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7" name="Text 116"/>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8" name="Text 117"/>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59"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0"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1"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2"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3" name="Text 14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4"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5"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6"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7"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968"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CB80BF0-0DFB-4CFA-A179-6A1535637614}"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69" name="Text 11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0"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1"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2"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3"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4"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5"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6"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7"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8"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79"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0" name="Text 99"/>
        <xdr:cNvSpPr txBox="1">
          <a:spLocks noChangeArrowheads="1"/>
        </xdr:cNvSpPr>
      </xdr:nvSpPr>
      <xdr:spPr bwMode="auto">
        <a:xfrm>
          <a:off x="7562850" y="71551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1" name="Text 10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2" name="Text 119"/>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3" name="Text 12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4" name="Text 130"/>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5" name="Text 131"/>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6" name="Text 16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7" name="Text 163"/>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8" name="Text 164"/>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298</xdr:row>
      <xdr:rowOff>0</xdr:rowOff>
    </xdr:from>
    <xdr:to>
      <xdr:col>12</xdr:col>
      <xdr:colOff>0</xdr:colOff>
      <xdr:row>298</xdr:row>
      <xdr:rowOff>0</xdr:rowOff>
    </xdr:to>
    <xdr:sp macro="" textlink="">
      <xdr:nvSpPr>
        <xdr:cNvPr id="24989" name="Text 165"/>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990"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A3AE8DA-FBDC-4C76-B2D0-665766D96644}" type="TxLink">
            <a:rPr lang="en-US"/>
            <a:t>​</a:t>
          </a:fld>
          <a:endParaRPr lang="en-US"/>
        </a:p>
      </xdr:txBody>
    </xdr:sp>
    <xdr:clientData/>
  </xdr:twoCellAnchor>
  <xdr:twoCellAnchor>
    <xdr:from>
      <xdr:col>12</xdr:col>
      <xdr:colOff>0</xdr:colOff>
      <xdr:row>298</xdr:row>
      <xdr:rowOff>0</xdr:rowOff>
    </xdr:from>
    <xdr:to>
      <xdr:col>12</xdr:col>
      <xdr:colOff>0</xdr:colOff>
      <xdr:row>298</xdr:row>
      <xdr:rowOff>0</xdr:rowOff>
    </xdr:to>
    <xdr:sp macro="" textlink="#REF!">
      <xdr:nvSpPr>
        <xdr:cNvPr id="24991" name="Text 112"/>
        <xdr:cNvSpPr txBox="1">
          <a:spLocks noChangeArrowheads="1"/>
        </xdr:cNvSpPr>
      </xdr:nvSpPr>
      <xdr:spPr bwMode="auto">
        <a:xfrm>
          <a:off x="7562850" y="71551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6A27272-83A8-45AA-8B64-D8F38C4A4E84}"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2"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3"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4"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5"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6" name="Text 108"/>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7"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4998"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499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56BA3C5-7DDF-400B-ABB4-D1FB1D92DDBA}"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0"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1"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2"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3"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4"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09"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0"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1"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2"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3"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01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81819CD-8AD5-4C50-B11F-5CF195E1EDED}"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5"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6"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8"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19"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0"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1"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2"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3"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4"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5"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6"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8"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29"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0"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1"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2"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3"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4"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5"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6"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3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038"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B22CF45-6274-4527-8195-C308C1DEABBA}"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03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5550541-BAF0-46B3-96C1-F41C9F802E29}"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0" name="Text 9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1" name="Text 9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2" name="Text 97"/>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3" name="Text 102"/>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4" name="Text 10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5" name="Text 10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6" name="Text 106"/>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047" name="Text 10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48"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49" name="Text 10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0"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1" name="Text 103"/>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2" name="Text 10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3" name="Text 110"/>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054"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A7736BB-F880-450B-9F5B-34AE297F7D7F}"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5" name="Text 11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6" name="Text 11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7" name="Text 115"/>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8" name="Text 116"/>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59" name="Text 117"/>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0"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1"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2"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3"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4" name="Text 14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5"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6"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7"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68"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069"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553455B-96FD-44E2-A97E-A1638D4C24DB}"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0" name="Text 11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1"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2"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3"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4"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5"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6"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7"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8"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79"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0"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1"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2"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3"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4"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5"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6"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7"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8"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89"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0"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091"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559CF5A-C1B6-4EDE-BF6B-78E7BAE4B6AC}"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092"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972D8C9-215D-4050-95DA-1FC4C96948DD}"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3"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4" name="Text 10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5"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6" name="Text 103"/>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7" name="Text 10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098" name="Text 110"/>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099"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A6A7EEC-4418-46A5-A7A7-EE99FE0B63D5}"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0" name="Text 11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1" name="Text 11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2" name="Text 115"/>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3" name="Text 116"/>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4" name="Text 117"/>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5"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6"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7"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8"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09" name="Text 14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0"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1"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2"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3"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114"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922B279-8EC8-4EC0-851D-094C6466FBBE}"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5" name="Text 11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6"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7"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8"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19"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0"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1"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2"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3"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4"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5"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6" name="Text 99"/>
        <xdr:cNvSpPr txBox="1">
          <a:spLocks noChangeArrowheads="1"/>
        </xdr:cNvSpPr>
      </xdr:nvSpPr>
      <xdr:spPr bwMode="auto">
        <a:xfrm>
          <a:off x="7562850" y="62217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7" name="Text 10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8" name="Text 119"/>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29" name="Text 12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0" name="Text 130"/>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1" name="Text 131"/>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2" name="Text 16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3" name="Text 16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4" name="Text 164"/>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135" name="Text 165"/>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136"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7D471EB-37CB-4A77-933A-00A3914CA64D}" type="TxLink">
            <a:rPr lang="en-US"/>
            <a:t>​</a:t>
          </a:fld>
          <a:endParaRPr lang="en-US"/>
        </a:p>
      </xdr:txBody>
    </xdr:sp>
    <xdr:clientData/>
  </xdr:twoCellAnchor>
  <xdr:twoCellAnchor>
    <xdr:from>
      <xdr:col>12</xdr:col>
      <xdr:colOff>0</xdr:colOff>
      <xdr:row>252</xdr:row>
      <xdr:rowOff>0</xdr:rowOff>
    </xdr:from>
    <xdr:to>
      <xdr:col>12</xdr:col>
      <xdr:colOff>0</xdr:colOff>
      <xdr:row>252</xdr:row>
      <xdr:rowOff>0</xdr:rowOff>
    </xdr:to>
    <xdr:sp macro="" textlink="#REF!">
      <xdr:nvSpPr>
        <xdr:cNvPr id="25137" name="Text 112"/>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965C14F-9B11-4392-AB19-858BB2433AF7}"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38"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39"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0"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1"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2"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3"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14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DA37CB-89EF-4130-A5D8-286F08746AF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5"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6"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7"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8"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49"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0"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1"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2"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3"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4"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5"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6"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7"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58"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15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3585881-6B23-483A-8AD3-7B3C5E4E0BA0}"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0"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1"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3"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4"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5"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6"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6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1"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3"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4"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5"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6"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7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181"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AB3269A-A8CE-4D46-B4FB-BE577E10E516}"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182"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103B3BB-D3A1-4A3E-A1E5-EAF10D6C8FEC}"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3"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4"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5"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6"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7"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88"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18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60B95D2-7C56-48F1-AC06-BCFABDF0C616}"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0"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1"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2"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3"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4"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199"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0"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1"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2"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3"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0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4B1C364-4F63-41E9-AE03-173827A36237}"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5"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6"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8"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09"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0"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1"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2"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3"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4"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5"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6"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8"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19"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0"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1"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2"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3"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4"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5"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26"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842847C-F40F-440A-86D9-AE429271B1E8}"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27"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5FF330E-12CB-4151-B063-537A5F07FC4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8"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29"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0"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1"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2"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3"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3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9332CE9-CF17-4E69-8825-AFA89EB1FF2E}"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5"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6"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7"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8"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39"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0"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1"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2"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3"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4"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5"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6"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7"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48"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4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3B5B49E-DA78-4CA1-ADFF-1DCF16A63EEC}"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0"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1"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3"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4"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5"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6"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5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1"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3"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4"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5"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6"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6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527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71"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F73EB73-C5F2-4516-BE8D-72417B86E723}"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5272"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94CE6F0-84B5-4385-8561-5815BD98BCDE}" type="TxLink">
            <a:rPr lang="en-US"/>
            <a:t>​</a:t>
          </a:fld>
          <a:endParaRPr lang="en-US"/>
        </a:p>
      </xdr:txBody>
    </xdr:sp>
    <xdr:clientData/>
  </xdr:twoCellAnchor>
  <xdr:twoCellAnchor>
    <xdr:from>
      <xdr:col>1</xdr:col>
      <xdr:colOff>0</xdr:colOff>
      <xdr:row>252</xdr:row>
      <xdr:rowOff>0</xdr:rowOff>
    </xdr:from>
    <xdr:to>
      <xdr:col>2</xdr:col>
      <xdr:colOff>0</xdr:colOff>
      <xdr:row>252</xdr:row>
      <xdr:rowOff>0</xdr:rowOff>
    </xdr:to>
    <xdr:sp macro="" textlink="">
      <xdr:nvSpPr>
        <xdr:cNvPr id="25273" name="Text 65"/>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252</xdr:row>
      <xdr:rowOff>0</xdr:rowOff>
    </xdr:from>
    <xdr:to>
      <xdr:col>1</xdr:col>
      <xdr:colOff>2828925</xdr:colOff>
      <xdr:row>252</xdr:row>
      <xdr:rowOff>0</xdr:rowOff>
    </xdr:to>
    <xdr:sp macro="" textlink="">
      <xdr:nvSpPr>
        <xdr:cNvPr id="25274" name="Text 71"/>
        <xdr:cNvSpPr txBox="1">
          <a:spLocks noChangeArrowheads="1"/>
        </xdr:cNvSpPr>
      </xdr:nvSpPr>
      <xdr:spPr bwMode="auto">
        <a:xfrm>
          <a:off x="295275" y="622173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252</xdr:row>
      <xdr:rowOff>0</xdr:rowOff>
    </xdr:from>
    <xdr:to>
      <xdr:col>2</xdr:col>
      <xdr:colOff>0</xdr:colOff>
      <xdr:row>252</xdr:row>
      <xdr:rowOff>0</xdr:rowOff>
    </xdr:to>
    <xdr:sp macro="" textlink="">
      <xdr:nvSpPr>
        <xdr:cNvPr id="25275" name="Text 74"/>
        <xdr:cNvSpPr txBox="1">
          <a:spLocks noChangeArrowheads="1"/>
        </xdr:cNvSpPr>
      </xdr:nvSpPr>
      <xdr:spPr bwMode="auto">
        <a:xfrm>
          <a:off x="295275" y="62217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252</xdr:row>
      <xdr:rowOff>0</xdr:rowOff>
    </xdr:from>
    <xdr:to>
      <xdr:col>12</xdr:col>
      <xdr:colOff>0</xdr:colOff>
      <xdr:row>252</xdr:row>
      <xdr:rowOff>0</xdr:rowOff>
    </xdr:to>
    <xdr:sp macro="" textlink="">
      <xdr:nvSpPr>
        <xdr:cNvPr id="25276" name="Text 143"/>
        <xdr:cNvSpPr txBox="1">
          <a:spLocks noChangeArrowheads="1"/>
        </xdr:cNvSpPr>
      </xdr:nvSpPr>
      <xdr:spPr bwMode="auto">
        <a:xfrm>
          <a:off x="7562850" y="62217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68</xdr:row>
      <xdr:rowOff>0</xdr:rowOff>
    </xdr:from>
    <xdr:to>
      <xdr:col>12</xdr:col>
      <xdr:colOff>0</xdr:colOff>
      <xdr:row>69</xdr:row>
      <xdr:rowOff>0</xdr:rowOff>
    </xdr:to>
    <xdr:sp macro="" textlink="">
      <xdr:nvSpPr>
        <xdr:cNvPr id="25860" name="Text 141"/>
        <xdr:cNvSpPr txBox="1">
          <a:spLocks noChangeArrowheads="1"/>
        </xdr:cNvSpPr>
      </xdr:nvSpPr>
      <xdr:spPr bwMode="auto">
        <a:xfrm>
          <a:off x="7562850" y="16421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68</xdr:row>
      <xdr:rowOff>0</xdr:rowOff>
    </xdr:from>
    <xdr:to>
      <xdr:col>12</xdr:col>
      <xdr:colOff>0</xdr:colOff>
      <xdr:row>69</xdr:row>
      <xdr:rowOff>0</xdr:rowOff>
    </xdr:to>
    <xdr:sp macro="" textlink="">
      <xdr:nvSpPr>
        <xdr:cNvPr id="25861" name="Text 142"/>
        <xdr:cNvSpPr txBox="1">
          <a:spLocks noChangeArrowheads="1"/>
        </xdr:cNvSpPr>
      </xdr:nvSpPr>
      <xdr:spPr bwMode="auto">
        <a:xfrm>
          <a:off x="7562850" y="16421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72</xdr:row>
      <xdr:rowOff>0</xdr:rowOff>
    </xdr:from>
    <xdr:to>
      <xdr:col>12</xdr:col>
      <xdr:colOff>0</xdr:colOff>
      <xdr:row>72</xdr:row>
      <xdr:rowOff>0</xdr:rowOff>
    </xdr:to>
    <xdr:sp macro="" textlink="">
      <xdr:nvSpPr>
        <xdr:cNvPr id="25862" name="Text 140"/>
        <xdr:cNvSpPr txBox="1">
          <a:spLocks noChangeArrowheads="1"/>
        </xdr:cNvSpPr>
      </xdr:nvSpPr>
      <xdr:spPr bwMode="auto">
        <a:xfrm>
          <a:off x="7562850" y="17183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White washing with lime to give an even shade including all scaffolding:</a:t>
          </a:r>
        </a:p>
        <a:p>
          <a:pPr algn="l" rtl="0">
            <a:defRPr sz="1000"/>
          </a:pPr>
          <a:r>
            <a:rPr lang="en-US" sz="1200" b="0" i="0" u="none" strike="noStrike" baseline="0">
              <a:solidFill>
                <a:srgbClr val="000000"/>
              </a:solidFill>
              <a:latin typeface="Arial"/>
              <a:cs typeface="Arial"/>
            </a:rPr>
            <a:t>New work (two or more coats).</a:t>
          </a:r>
        </a:p>
      </xdr:txBody>
    </xdr:sp>
    <xdr:clientData/>
  </xdr:twoCellAnchor>
  <xdr:twoCellAnchor>
    <xdr:from>
      <xdr:col>12</xdr:col>
      <xdr:colOff>0</xdr:colOff>
      <xdr:row>71</xdr:row>
      <xdr:rowOff>0</xdr:rowOff>
    </xdr:from>
    <xdr:to>
      <xdr:col>12</xdr:col>
      <xdr:colOff>0</xdr:colOff>
      <xdr:row>72</xdr:row>
      <xdr:rowOff>0</xdr:rowOff>
    </xdr:to>
    <xdr:sp macro="" textlink="">
      <xdr:nvSpPr>
        <xdr:cNvPr id="25863" name="Text 141"/>
        <xdr:cNvSpPr txBox="1">
          <a:spLocks noChangeArrowheads="1"/>
        </xdr:cNvSpPr>
      </xdr:nvSpPr>
      <xdr:spPr bwMode="auto">
        <a:xfrm>
          <a:off x="7562850" y="16992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71</xdr:row>
      <xdr:rowOff>0</xdr:rowOff>
    </xdr:from>
    <xdr:to>
      <xdr:col>12</xdr:col>
      <xdr:colOff>0</xdr:colOff>
      <xdr:row>72</xdr:row>
      <xdr:rowOff>0</xdr:rowOff>
    </xdr:to>
    <xdr:sp macro="" textlink="">
      <xdr:nvSpPr>
        <xdr:cNvPr id="25864" name="Text 142"/>
        <xdr:cNvSpPr txBox="1">
          <a:spLocks noChangeArrowheads="1"/>
        </xdr:cNvSpPr>
      </xdr:nvSpPr>
      <xdr:spPr bwMode="auto">
        <a:xfrm>
          <a:off x="7562850" y="16992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70</xdr:row>
      <xdr:rowOff>0</xdr:rowOff>
    </xdr:from>
    <xdr:to>
      <xdr:col>12</xdr:col>
      <xdr:colOff>0</xdr:colOff>
      <xdr:row>71</xdr:row>
      <xdr:rowOff>0</xdr:rowOff>
    </xdr:to>
    <xdr:sp macro="" textlink="">
      <xdr:nvSpPr>
        <xdr:cNvPr id="25865" name="Text 141"/>
        <xdr:cNvSpPr txBox="1">
          <a:spLocks noChangeArrowheads="1"/>
        </xdr:cNvSpPr>
      </xdr:nvSpPr>
      <xdr:spPr bwMode="auto">
        <a:xfrm>
          <a:off x="7562850" y="16802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70</xdr:row>
      <xdr:rowOff>0</xdr:rowOff>
    </xdr:from>
    <xdr:to>
      <xdr:col>12</xdr:col>
      <xdr:colOff>0</xdr:colOff>
      <xdr:row>71</xdr:row>
      <xdr:rowOff>0</xdr:rowOff>
    </xdr:to>
    <xdr:sp macro="" textlink="">
      <xdr:nvSpPr>
        <xdr:cNvPr id="25866" name="Text 142"/>
        <xdr:cNvSpPr txBox="1">
          <a:spLocks noChangeArrowheads="1"/>
        </xdr:cNvSpPr>
      </xdr:nvSpPr>
      <xdr:spPr bwMode="auto">
        <a:xfrm>
          <a:off x="7562850" y="16802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74</xdr:row>
      <xdr:rowOff>0</xdr:rowOff>
    </xdr:from>
    <xdr:to>
      <xdr:col>12</xdr:col>
      <xdr:colOff>0</xdr:colOff>
      <xdr:row>74</xdr:row>
      <xdr:rowOff>0</xdr:rowOff>
    </xdr:to>
    <xdr:sp macro="" textlink="">
      <xdr:nvSpPr>
        <xdr:cNvPr id="25867" name="Text 140"/>
        <xdr:cNvSpPr txBox="1">
          <a:spLocks noChangeArrowheads="1"/>
        </xdr:cNvSpPr>
      </xdr:nvSpPr>
      <xdr:spPr bwMode="auto">
        <a:xfrm>
          <a:off x="7562850" y="1756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White washing with lime to give an even shade including all scaffolding:</a:t>
          </a:r>
        </a:p>
        <a:p>
          <a:pPr algn="l" rtl="0">
            <a:defRPr sz="1000"/>
          </a:pPr>
          <a:r>
            <a:rPr lang="en-US" sz="1200" b="0" i="0" u="none" strike="noStrike" baseline="0">
              <a:solidFill>
                <a:srgbClr val="000000"/>
              </a:solidFill>
              <a:latin typeface="Arial"/>
              <a:cs typeface="Arial"/>
            </a:rPr>
            <a:t>New work (two or more coats).</a:t>
          </a:r>
        </a:p>
      </xdr:txBody>
    </xdr:sp>
    <xdr:clientData/>
  </xdr:twoCellAnchor>
  <xdr:twoCellAnchor>
    <xdr:from>
      <xdr:col>12</xdr:col>
      <xdr:colOff>0</xdr:colOff>
      <xdr:row>73</xdr:row>
      <xdr:rowOff>0</xdr:rowOff>
    </xdr:from>
    <xdr:to>
      <xdr:col>12</xdr:col>
      <xdr:colOff>0</xdr:colOff>
      <xdr:row>74</xdr:row>
      <xdr:rowOff>0</xdr:rowOff>
    </xdr:to>
    <xdr:sp macro="" textlink="">
      <xdr:nvSpPr>
        <xdr:cNvPr id="25868" name="Text 141"/>
        <xdr:cNvSpPr txBox="1">
          <a:spLocks noChangeArrowheads="1"/>
        </xdr:cNvSpPr>
      </xdr:nvSpPr>
      <xdr:spPr bwMode="auto">
        <a:xfrm>
          <a:off x="7562850" y="17373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73</xdr:row>
      <xdr:rowOff>0</xdr:rowOff>
    </xdr:from>
    <xdr:to>
      <xdr:col>12</xdr:col>
      <xdr:colOff>0</xdr:colOff>
      <xdr:row>74</xdr:row>
      <xdr:rowOff>0</xdr:rowOff>
    </xdr:to>
    <xdr:sp macro="" textlink="">
      <xdr:nvSpPr>
        <xdr:cNvPr id="25869" name="Text 142"/>
        <xdr:cNvSpPr txBox="1">
          <a:spLocks noChangeArrowheads="1"/>
        </xdr:cNvSpPr>
      </xdr:nvSpPr>
      <xdr:spPr bwMode="auto">
        <a:xfrm>
          <a:off x="7562850" y="17373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72</xdr:row>
      <xdr:rowOff>0</xdr:rowOff>
    </xdr:from>
    <xdr:to>
      <xdr:col>12</xdr:col>
      <xdr:colOff>0</xdr:colOff>
      <xdr:row>73</xdr:row>
      <xdr:rowOff>0</xdr:rowOff>
    </xdr:to>
    <xdr:sp macro="" textlink="">
      <xdr:nvSpPr>
        <xdr:cNvPr id="25870" name="Text 141"/>
        <xdr:cNvSpPr txBox="1">
          <a:spLocks noChangeArrowheads="1"/>
        </xdr:cNvSpPr>
      </xdr:nvSpPr>
      <xdr:spPr bwMode="auto">
        <a:xfrm>
          <a:off x="7562850" y="17183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72</xdr:row>
      <xdr:rowOff>0</xdr:rowOff>
    </xdr:from>
    <xdr:to>
      <xdr:col>12</xdr:col>
      <xdr:colOff>0</xdr:colOff>
      <xdr:row>73</xdr:row>
      <xdr:rowOff>0</xdr:rowOff>
    </xdr:to>
    <xdr:sp macro="" textlink="">
      <xdr:nvSpPr>
        <xdr:cNvPr id="25871" name="Text 142"/>
        <xdr:cNvSpPr txBox="1">
          <a:spLocks noChangeArrowheads="1"/>
        </xdr:cNvSpPr>
      </xdr:nvSpPr>
      <xdr:spPr bwMode="auto">
        <a:xfrm>
          <a:off x="7562850" y="171831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u="none" strike="noStrike" baseline="0">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2" name="Text 99"/>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3" name="Text 10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4" name="Text 10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5" name="Text 103"/>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6" name="Text 109"/>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7" name="Text 110"/>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REF!">
      <xdr:nvSpPr>
        <xdr:cNvPr id="25878" name="Text 11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4285668-8739-4535-9508-13918E2E4618}" type="TxLink">
            <a:rPr lang="en-US"/>
            <a:t>​</a:t>
          </a:fld>
          <a:endParaRPr lang="en-US"/>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79" name="Text 113"/>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0" name="Text 114"/>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1" name="Text 115"/>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2" name="Text 116"/>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3" name="Text 117"/>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4" name="Text 119"/>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5" name="Text 12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6" name="Text 13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7" name="Text 13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8" name="Text 144"/>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89" name="Text 16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0" name="Text 163"/>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1" name="Text 164"/>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2" name="Text 165"/>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REF!">
      <xdr:nvSpPr>
        <xdr:cNvPr id="25893" name="Text 11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6CBAFCE-9B23-4E74-8AC2-52A8D8E5A787}" type="TxLink">
            <a:rPr lang="en-US"/>
            <a:t>​</a:t>
          </a:fld>
          <a:endParaRPr lang="en-US"/>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4" name="Text 113"/>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5" name="Text 99"/>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6" name="Text 10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7" name="Text 119"/>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8" name="Text 12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899" name="Text 13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0" name="Text 13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1" name="Text 16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2" name="Text 163"/>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3" name="Text 164"/>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4" name="Text 165"/>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5" name="Text 99"/>
        <xdr:cNvSpPr txBox="1">
          <a:spLocks noChangeArrowheads="1"/>
        </xdr:cNvSpPr>
      </xdr:nvSpPr>
      <xdr:spPr bwMode="auto">
        <a:xfrm>
          <a:off x="7562850" y="4373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6" name="Text 10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7" name="Text 119"/>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8" name="Text 12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09" name="Text 130"/>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10" name="Text 131"/>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11" name="Text 16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12" name="Text 163"/>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13" name="Text 164"/>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174</xdr:row>
      <xdr:rowOff>0</xdr:rowOff>
    </xdr:from>
    <xdr:to>
      <xdr:col>12</xdr:col>
      <xdr:colOff>0</xdr:colOff>
      <xdr:row>174</xdr:row>
      <xdr:rowOff>0</xdr:rowOff>
    </xdr:to>
    <xdr:sp macro="" textlink="">
      <xdr:nvSpPr>
        <xdr:cNvPr id="25914" name="Text 165"/>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174</xdr:row>
      <xdr:rowOff>0</xdr:rowOff>
    </xdr:from>
    <xdr:to>
      <xdr:col>12</xdr:col>
      <xdr:colOff>0</xdr:colOff>
      <xdr:row>174</xdr:row>
      <xdr:rowOff>0</xdr:rowOff>
    </xdr:to>
    <xdr:sp macro="" textlink="#REF!">
      <xdr:nvSpPr>
        <xdr:cNvPr id="25915" name="Text 11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0931F5E-735D-47A3-A4A3-B57247D76C17}" type="TxLink">
            <a:rPr lang="en-US"/>
            <a:t>​</a:t>
          </a:fld>
          <a:endParaRPr lang="en-US"/>
        </a:p>
      </xdr:txBody>
    </xdr:sp>
    <xdr:clientData/>
  </xdr:twoCellAnchor>
  <xdr:twoCellAnchor>
    <xdr:from>
      <xdr:col>12</xdr:col>
      <xdr:colOff>0</xdr:colOff>
      <xdr:row>174</xdr:row>
      <xdr:rowOff>0</xdr:rowOff>
    </xdr:from>
    <xdr:to>
      <xdr:col>12</xdr:col>
      <xdr:colOff>0</xdr:colOff>
      <xdr:row>174</xdr:row>
      <xdr:rowOff>0</xdr:rowOff>
    </xdr:to>
    <xdr:sp macro="" textlink="#REF!">
      <xdr:nvSpPr>
        <xdr:cNvPr id="25916" name="Text 112"/>
        <xdr:cNvSpPr txBox="1">
          <a:spLocks noChangeArrowheads="1"/>
        </xdr:cNvSpPr>
      </xdr:nvSpPr>
      <xdr:spPr bwMode="auto">
        <a:xfrm>
          <a:off x="7562850" y="4373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C552B59-3CA1-4871-BAF1-17BCF2E136A4}"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17"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18" name="Text 10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19"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0" name="Text 103"/>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1" name="Text 108"/>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2" name="Text 10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3" name="Text 110"/>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24"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FE6C999-C540-4E1F-9010-F3A5EE534BCB}"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5"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6" name="Text 11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7" name="Text 115"/>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8" name="Text 116"/>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29" name="Text 117"/>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0"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1"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2"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3"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4" name="Text 14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5"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6"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7"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38"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39"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CC1039A-2E99-430A-98A5-C943F2CA86D3}"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0"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1"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2"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3"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4"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5"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6"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7"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8"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49"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0"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1"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2"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3"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4"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5"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6"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7"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8"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59"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0"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1"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2"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63"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8524987-8422-4E3A-A0E4-44179F09ADC2}"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64"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CD8717A-09F6-43DA-A8B1-1956B5CF5BB3}"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5" name="Text 95"/>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6" name="Text 96"/>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7" name="Text 97"/>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8" name="Text 102"/>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69" name="Text 10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0" name="Text 10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1" name="Text 106"/>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2" name="Text 107"/>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3"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4" name="Text 10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5"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6" name="Text 103"/>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7" name="Text 10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78" name="Text 110"/>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79"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15AA2262-61B4-4419-8414-8B300466B0B3}"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0"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1" name="Text 11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2" name="Text 115"/>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3" name="Text 116"/>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4" name="Text 117"/>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5"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6"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7"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8"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89" name="Text 14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0"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1"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2"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3"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5994"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FA12960-3F14-4CEC-806D-0A86F0DF2339}"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5"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6"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7"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8"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5999"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0"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1"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2"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3"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4"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5"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6"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7"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8"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09"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0"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1"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2"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3"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4"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5"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16"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C6754AC-BD1D-441C-8E47-988840D3BC45}"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17"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6E3A60C-B06C-4A9F-97E7-A237B252F7F7}"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8"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19" name="Text 10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0"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1" name="Text 103"/>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2" name="Text 10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3" name="Text 110"/>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24"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DA83CF0-7ED0-4A71-91EE-A8637500A0F0}"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5"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6" name="Text 11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7" name="Text 115"/>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8" name="Text 116"/>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29" name="Text 117"/>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0"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1"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2"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3"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4" name="Text 14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5"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6"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7"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38"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39"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3E3B345-049D-44FD-A43A-2D4635D5E0DD}"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0"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1"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2"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3"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4"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5"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6"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7"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8"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49"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0"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1"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2"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3"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4"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5"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6"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7"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8"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59"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0"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61"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15672E1-411E-453F-9A71-7397A61C0C7B}"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62"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C3E2E8B-CCB2-4615-ABCA-DCA4DF7122EC}"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3"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4" name="Text 10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5"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6" name="Text 103"/>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7" name="Text 10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68" name="Text 110"/>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69"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B963034-1BB2-4AEA-AB50-DA4C055CF854}"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0"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1" name="Text 11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2" name="Text 115"/>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3" name="Text 116"/>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4" name="Text 117"/>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5"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6"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7"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8"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79" name="Text 14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0"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1"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2"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3"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084"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7CC11A9-4E8D-4158-8F20-4299A562B16A}"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5" name="Text 11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6"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7"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8"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89"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0"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1"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2"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3"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4"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5"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6" name="Text 99"/>
        <xdr:cNvSpPr txBox="1">
          <a:spLocks noChangeArrowheads="1"/>
        </xdr:cNvSpPr>
      </xdr:nvSpPr>
      <xdr:spPr bwMode="auto">
        <a:xfrm>
          <a:off x="7562850" y="44310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7" name="Text 10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8" name="Text 119"/>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099" name="Text 12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0" name="Text 130"/>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1" name="Text 131"/>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2" name="Text 16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3" name="Text 163"/>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4" name="Text 164"/>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177</xdr:row>
      <xdr:rowOff>0</xdr:rowOff>
    </xdr:from>
    <xdr:to>
      <xdr:col>12</xdr:col>
      <xdr:colOff>0</xdr:colOff>
      <xdr:row>177</xdr:row>
      <xdr:rowOff>0</xdr:rowOff>
    </xdr:to>
    <xdr:sp macro="" textlink="">
      <xdr:nvSpPr>
        <xdr:cNvPr id="26105" name="Text 165"/>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106"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8900A88-826B-4343-9885-A58FDD0BEA8E}" type="TxLink">
            <a:rPr lang="en-US"/>
            <a:t>​</a:t>
          </a:fld>
          <a:endParaRPr lang="en-US"/>
        </a:p>
      </xdr:txBody>
    </xdr:sp>
    <xdr:clientData/>
  </xdr:twoCellAnchor>
  <xdr:twoCellAnchor>
    <xdr:from>
      <xdr:col>12</xdr:col>
      <xdr:colOff>0</xdr:colOff>
      <xdr:row>177</xdr:row>
      <xdr:rowOff>0</xdr:rowOff>
    </xdr:from>
    <xdr:to>
      <xdr:col>12</xdr:col>
      <xdr:colOff>0</xdr:colOff>
      <xdr:row>177</xdr:row>
      <xdr:rowOff>0</xdr:rowOff>
    </xdr:to>
    <xdr:sp macro="" textlink="#REF!">
      <xdr:nvSpPr>
        <xdr:cNvPr id="26107" name="Text 112"/>
        <xdr:cNvSpPr txBox="1">
          <a:spLocks noChangeArrowheads="1"/>
        </xdr:cNvSpPr>
      </xdr:nvSpPr>
      <xdr:spPr bwMode="auto">
        <a:xfrm>
          <a:off x="7562850" y="44310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DED79AA-7980-4CE0-BD9D-D2713DB1A471}" type="TxLink">
            <a:rPr lang="en-US"/>
            <a:t>​</a:t>
          </a:fld>
          <a:endParaRPr lang="en-US"/>
        </a:p>
      </xdr:txBody>
    </xdr:sp>
    <xdr:clientData/>
  </xdr:twoCellAnchor>
  <xdr:twoCellAnchor>
    <xdr:from>
      <xdr:col>1</xdr:col>
      <xdr:colOff>0</xdr:colOff>
      <xdr:row>250</xdr:row>
      <xdr:rowOff>0</xdr:rowOff>
    </xdr:from>
    <xdr:to>
      <xdr:col>2</xdr:col>
      <xdr:colOff>0</xdr:colOff>
      <xdr:row>250</xdr:row>
      <xdr:rowOff>0</xdr:rowOff>
    </xdr:to>
    <xdr:sp macro="" textlink="">
      <xdr:nvSpPr>
        <xdr:cNvPr id="26108" name="Text 65"/>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250</xdr:row>
      <xdr:rowOff>0</xdr:rowOff>
    </xdr:from>
    <xdr:to>
      <xdr:col>1</xdr:col>
      <xdr:colOff>2828925</xdr:colOff>
      <xdr:row>250</xdr:row>
      <xdr:rowOff>0</xdr:rowOff>
    </xdr:to>
    <xdr:sp macro="" textlink="">
      <xdr:nvSpPr>
        <xdr:cNvPr id="26109" name="Text 71"/>
        <xdr:cNvSpPr txBox="1">
          <a:spLocks noChangeArrowheads="1"/>
        </xdr:cNvSpPr>
      </xdr:nvSpPr>
      <xdr:spPr bwMode="auto">
        <a:xfrm>
          <a:off x="295275" y="591693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250</xdr:row>
      <xdr:rowOff>0</xdr:rowOff>
    </xdr:from>
    <xdr:to>
      <xdr:col>2</xdr:col>
      <xdr:colOff>0</xdr:colOff>
      <xdr:row>250</xdr:row>
      <xdr:rowOff>0</xdr:rowOff>
    </xdr:to>
    <xdr:sp macro="" textlink="">
      <xdr:nvSpPr>
        <xdr:cNvPr id="26110" name="Text 74"/>
        <xdr:cNvSpPr txBox="1">
          <a:spLocks noChangeArrowheads="1"/>
        </xdr:cNvSpPr>
      </xdr:nvSpPr>
      <xdr:spPr bwMode="auto">
        <a:xfrm>
          <a:off x="295275" y="591693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1"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2" name="Text 10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3"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4" name="Text 103"/>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5" name="Text 10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6" name="Text 110"/>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6117"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DAA2108-FD31-4716-9DCC-433458AF0690}"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8" name="Text 11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19" name="Text 11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0" name="Text 115"/>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1" name="Text 116"/>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2" name="Text 117"/>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3"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4"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5"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6"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7" name="Text 14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8"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29"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0"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1"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6132"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57970D3-B644-4D67-A016-10104F189EFC}"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3" name="Text 11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4"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5"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6"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7"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8"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39"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0"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1"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2"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3"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4" name="Text 99"/>
        <xdr:cNvSpPr txBox="1">
          <a:spLocks noChangeArrowheads="1"/>
        </xdr:cNvSpPr>
      </xdr:nvSpPr>
      <xdr:spPr bwMode="auto">
        <a:xfrm>
          <a:off x="7562850" y="59169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5" name="Text 10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6" name="Text 119"/>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7" name="Text 12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8" name="Text 130"/>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49" name="Text 131"/>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50" name="Text 16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51" name="Text 16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52" name="Text 164"/>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53" name="Text 165"/>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6154"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55EE9F4-9B49-4F03-8CB0-EF860D29992A}"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REF!">
      <xdr:nvSpPr>
        <xdr:cNvPr id="26155" name="Text 112"/>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4F071E3-167E-4EE9-9B6B-FC05A8E0E64C}" type="TxLink">
            <a:rPr lang="en-US"/>
            <a:t>​</a:t>
          </a:fld>
          <a:endParaRPr lang="en-US"/>
        </a:p>
      </xdr:txBody>
    </xdr:sp>
    <xdr:clientData/>
  </xdr:twoCellAnchor>
  <xdr:twoCellAnchor>
    <xdr:from>
      <xdr:col>12</xdr:col>
      <xdr:colOff>0</xdr:colOff>
      <xdr:row>250</xdr:row>
      <xdr:rowOff>0</xdr:rowOff>
    </xdr:from>
    <xdr:to>
      <xdr:col>12</xdr:col>
      <xdr:colOff>0</xdr:colOff>
      <xdr:row>250</xdr:row>
      <xdr:rowOff>0</xdr:rowOff>
    </xdr:to>
    <xdr:sp macro="" textlink="">
      <xdr:nvSpPr>
        <xdr:cNvPr id="26156" name="Text 143"/>
        <xdr:cNvSpPr txBox="1">
          <a:spLocks noChangeArrowheads="1"/>
        </xdr:cNvSpPr>
      </xdr:nvSpPr>
      <xdr:spPr bwMode="auto">
        <a:xfrm>
          <a:off x="7562850" y="59169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59" name="Text 99"/>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0" name="Text 10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1" name="Text 10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2" name="Text 103"/>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3" name="Text 109"/>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4" name="Text 110"/>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REF!">
      <xdr:nvSpPr>
        <xdr:cNvPr id="26165" name="Text 11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8B22410-B362-4BAD-B422-570CCD122412}" type="TxLink">
            <a:rPr lang="en-US"/>
            <a:t>​</a:t>
          </a:fld>
          <a:endParaRPr lang="en-US"/>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6" name="Text 11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7" name="Text 114"/>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8" name="Text 115"/>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69" name="Text 116"/>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0" name="Text 117"/>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1" name="Text 119"/>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2" name="Text 12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3" name="Text 13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4" name="Text 13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5" name="Text 144"/>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6" name="Text 16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7" name="Text 16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8" name="Text 164"/>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79" name="Text 165"/>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REF!">
      <xdr:nvSpPr>
        <xdr:cNvPr id="26180" name="Text 11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3C6CE26-428D-438A-9003-F0FA499F1BD0}" type="TxLink">
            <a:rPr lang="en-US"/>
            <a:t>​</a:t>
          </a:fld>
          <a:endParaRPr lang="en-US"/>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1" name="Text 11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2" name="Text 99"/>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3" name="Text 10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4" name="Text 119"/>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5" name="Text 12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6" name="Text 13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7" name="Text 13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8" name="Text 16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89" name="Text 16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0" name="Text 164"/>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1" name="Text 165"/>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2" name="Text 99"/>
        <xdr:cNvSpPr txBox="1">
          <a:spLocks noChangeArrowheads="1"/>
        </xdr:cNvSpPr>
      </xdr:nvSpPr>
      <xdr:spPr bwMode="auto">
        <a:xfrm>
          <a:off x="7562850" y="5935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3" name="Text 10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4" name="Text 119"/>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5" name="Text 12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6" name="Text 130"/>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7" name="Text 131"/>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8" name="Text 16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199" name="Text 16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200" name="Text 164"/>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201" name="Text 165"/>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251</xdr:row>
      <xdr:rowOff>0</xdr:rowOff>
    </xdr:from>
    <xdr:to>
      <xdr:col>12</xdr:col>
      <xdr:colOff>0</xdr:colOff>
      <xdr:row>251</xdr:row>
      <xdr:rowOff>0</xdr:rowOff>
    </xdr:to>
    <xdr:sp macro="" textlink="#REF!">
      <xdr:nvSpPr>
        <xdr:cNvPr id="26202" name="Text 11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A96345D-AB63-4998-AFC9-FCC8C5D4D76F}" type="TxLink">
            <a:rPr lang="en-US"/>
            <a:t>​</a:t>
          </a:fld>
          <a:endParaRPr lang="en-US"/>
        </a:p>
      </xdr:txBody>
    </xdr:sp>
    <xdr:clientData/>
  </xdr:twoCellAnchor>
  <xdr:twoCellAnchor>
    <xdr:from>
      <xdr:col>12</xdr:col>
      <xdr:colOff>0</xdr:colOff>
      <xdr:row>251</xdr:row>
      <xdr:rowOff>0</xdr:rowOff>
    </xdr:from>
    <xdr:to>
      <xdr:col>12</xdr:col>
      <xdr:colOff>0</xdr:colOff>
      <xdr:row>251</xdr:row>
      <xdr:rowOff>0</xdr:rowOff>
    </xdr:to>
    <xdr:sp macro="" textlink="#REF!">
      <xdr:nvSpPr>
        <xdr:cNvPr id="26203" name="Text 112"/>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616B76E-F364-4434-810D-C52BDB74B202}" type="TxLink">
            <a:rPr lang="en-US"/>
            <a:t>​</a:t>
          </a:fld>
          <a:endParaRPr lang="en-US"/>
        </a:p>
      </xdr:txBody>
    </xdr:sp>
    <xdr:clientData/>
  </xdr:twoCellAnchor>
  <xdr:twoCellAnchor>
    <xdr:from>
      <xdr:col>12</xdr:col>
      <xdr:colOff>0</xdr:colOff>
      <xdr:row>251</xdr:row>
      <xdr:rowOff>0</xdr:rowOff>
    </xdr:from>
    <xdr:to>
      <xdr:col>12</xdr:col>
      <xdr:colOff>0</xdr:colOff>
      <xdr:row>251</xdr:row>
      <xdr:rowOff>0</xdr:rowOff>
    </xdr:to>
    <xdr:sp macro="" textlink="">
      <xdr:nvSpPr>
        <xdr:cNvPr id="26204" name="Text 143"/>
        <xdr:cNvSpPr txBox="1">
          <a:spLocks noChangeArrowheads="1"/>
        </xdr:cNvSpPr>
      </xdr:nvSpPr>
      <xdr:spPr bwMode="auto">
        <a:xfrm>
          <a:off x="7562850" y="5935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05"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06" name="Text 10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07"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08" name="Text 103"/>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09" name="Text 10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0" name="Text 110"/>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11"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A41D54C-BDED-4278-BD92-E86EADAEC7FC}"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2" name="Text 11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3" name="Text 11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4" name="Text 115"/>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5" name="Text 116"/>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6" name="Text 117"/>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7"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8"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19"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0"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1" name="Text 14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2"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3"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4"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5"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26"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9E70E30-C2E6-471C-85B4-D2F0284039C4}"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7" name="Text 11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8"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29"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0"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1"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2"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3"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4"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5"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6"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7"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8"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39"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0"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1"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2"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3"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4"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5"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6"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47"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48"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342012B-853F-436F-90D2-33DEA65F0793}"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49"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F773E69-7074-46D6-87A3-3984A6B2EC5C}"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0"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1" name="Text 10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2"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3" name="Text 103"/>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4" name="Text 10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5" name="Text 110"/>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56"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D7C5FBF-F102-48D6-9CE4-5A3A36B8C28A}"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7" name="Text 11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8" name="Text 11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59" name="Text 115"/>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0" name="Text 116"/>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1" name="Text 117"/>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2"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3"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4"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5"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6" name="Text 14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7"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8"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69"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0"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71"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CC57AE-540A-4F8F-81F9-E989434B85CB}"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2" name="Text 11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3"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4"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5"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6"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7"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8"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79"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0"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1"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2"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3" name="Text 99"/>
        <xdr:cNvSpPr txBox="1">
          <a:spLocks noChangeArrowheads="1"/>
        </xdr:cNvSpPr>
      </xdr:nvSpPr>
      <xdr:spPr bwMode="auto">
        <a:xfrm>
          <a:off x="7562850" y="755523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4" name="Text 10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5" name="Text 119"/>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6" name="Text 12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7" name="Text 130"/>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8" name="Text 131"/>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89" name="Text 16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90" name="Text 163"/>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91" name="Text 164"/>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318</xdr:row>
      <xdr:rowOff>0</xdr:rowOff>
    </xdr:from>
    <xdr:to>
      <xdr:col>12</xdr:col>
      <xdr:colOff>0</xdr:colOff>
      <xdr:row>318</xdr:row>
      <xdr:rowOff>0</xdr:rowOff>
    </xdr:to>
    <xdr:sp macro="" textlink="">
      <xdr:nvSpPr>
        <xdr:cNvPr id="26292" name="Text 165"/>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93"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F0BC41A-4E82-4774-A394-50C6C3106769}" type="TxLink">
            <a:rPr lang="en-US"/>
            <a:t>​</a:t>
          </a:fld>
          <a:endParaRPr lang="en-US"/>
        </a:p>
      </xdr:txBody>
    </xdr:sp>
    <xdr:clientData/>
  </xdr:twoCellAnchor>
  <xdr:twoCellAnchor>
    <xdr:from>
      <xdr:col>12</xdr:col>
      <xdr:colOff>0</xdr:colOff>
      <xdr:row>318</xdr:row>
      <xdr:rowOff>0</xdr:rowOff>
    </xdr:from>
    <xdr:to>
      <xdr:col>12</xdr:col>
      <xdr:colOff>0</xdr:colOff>
      <xdr:row>318</xdr:row>
      <xdr:rowOff>0</xdr:rowOff>
    </xdr:to>
    <xdr:sp macro="" textlink="#REF!">
      <xdr:nvSpPr>
        <xdr:cNvPr id="26294" name="Text 112"/>
        <xdr:cNvSpPr txBox="1">
          <a:spLocks noChangeArrowheads="1"/>
        </xdr:cNvSpPr>
      </xdr:nvSpPr>
      <xdr:spPr bwMode="auto">
        <a:xfrm>
          <a:off x="7562850" y="75552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27F3AE3-8100-4114-8485-389EE0EBDD88}" type="TxLink">
            <a:rPr lang="en-US"/>
            <a:t>​</a:t>
          </a:fld>
          <a:endParaRPr lang="en-US"/>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295" name="Text 99"/>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296" name="Text 10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297" name="Text 10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298" name="Text 103"/>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299" name="Text 109"/>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0" name="Text 110"/>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REF!">
      <xdr:nvSpPr>
        <xdr:cNvPr id="26301" name="Text 11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EAB5849-FF86-4CC2-A434-FE1F92761515}" type="TxLink">
            <a:rPr lang="en-US"/>
            <a:t>​</a:t>
          </a:fld>
          <a:endParaRPr lang="en-US"/>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2" name="Text 113"/>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3" name="Text 114"/>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4" name="Text 115"/>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5" name="Text 116"/>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6" name="Text 117"/>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7" name="Text 119"/>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8" name="Text 12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09" name="Text 13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0" name="Text 13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1" name="Text 144"/>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2" name="Text 16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3" name="Text 163"/>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4" name="Text 164"/>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5" name="Text 165"/>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REF!">
      <xdr:nvSpPr>
        <xdr:cNvPr id="26316" name="Text 11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42EFBA3-A528-4114-A1E7-50AA591E5E3F}" type="TxLink">
            <a:rPr lang="en-US"/>
            <a:t>​</a:t>
          </a:fld>
          <a:endParaRPr lang="en-US"/>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7" name="Text 113"/>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8" name="Text 99"/>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19" name="Text 10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0" name="Text 119"/>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1" name="Text 12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2" name="Text 13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3" name="Text 13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4" name="Text 16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5" name="Text 163"/>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6" name="Text 164"/>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7" name="Text 165"/>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8" name="Text 99"/>
        <xdr:cNvSpPr txBox="1">
          <a:spLocks noChangeArrowheads="1"/>
        </xdr:cNvSpPr>
      </xdr:nvSpPr>
      <xdr:spPr bwMode="auto">
        <a:xfrm>
          <a:off x="7562850" y="74980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29" name="Text 10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0" name="Text 119"/>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1" name="Text 12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2" name="Text 130"/>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3" name="Text 131"/>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4" name="Text 16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5" name="Text 163"/>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6" name="Text 164"/>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315</xdr:row>
      <xdr:rowOff>0</xdr:rowOff>
    </xdr:from>
    <xdr:to>
      <xdr:col>12</xdr:col>
      <xdr:colOff>0</xdr:colOff>
      <xdr:row>315</xdr:row>
      <xdr:rowOff>0</xdr:rowOff>
    </xdr:to>
    <xdr:sp macro="" textlink="">
      <xdr:nvSpPr>
        <xdr:cNvPr id="26337" name="Text 165"/>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315</xdr:row>
      <xdr:rowOff>0</xdr:rowOff>
    </xdr:from>
    <xdr:to>
      <xdr:col>12</xdr:col>
      <xdr:colOff>0</xdr:colOff>
      <xdr:row>315</xdr:row>
      <xdr:rowOff>0</xdr:rowOff>
    </xdr:to>
    <xdr:sp macro="" textlink="#REF!">
      <xdr:nvSpPr>
        <xdr:cNvPr id="26338" name="Text 11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6A3D8FF-6D66-4E4A-8BA4-09C34AE605AD}" type="TxLink">
            <a:rPr lang="en-US"/>
            <a:t>​</a:t>
          </a:fld>
          <a:endParaRPr lang="en-US"/>
        </a:p>
      </xdr:txBody>
    </xdr:sp>
    <xdr:clientData/>
  </xdr:twoCellAnchor>
  <xdr:twoCellAnchor>
    <xdr:from>
      <xdr:col>12</xdr:col>
      <xdr:colOff>0</xdr:colOff>
      <xdr:row>315</xdr:row>
      <xdr:rowOff>0</xdr:rowOff>
    </xdr:from>
    <xdr:to>
      <xdr:col>12</xdr:col>
      <xdr:colOff>0</xdr:colOff>
      <xdr:row>315</xdr:row>
      <xdr:rowOff>0</xdr:rowOff>
    </xdr:to>
    <xdr:sp macro="" textlink="#REF!">
      <xdr:nvSpPr>
        <xdr:cNvPr id="26339" name="Text 112"/>
        <xdr:cNvSpPr txBox="1">
          <a:spLocks noChangeArrowheads="1"/>
        </xdr:cNvSpPr>
      </xdr:nvSpPr>
      <xdr:spPr bwMode="auto">
        <a:xfrm>
          <a:off x="7562850" y="74980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505BBC47-97B3-474D-8D97-A4D703E3272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0"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1"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3"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4"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5"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346"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888AF43-E3D8-4430-8F60-19079A59397B}"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7"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8"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49"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0"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1"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2"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3"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4"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5"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6"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5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361"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5ACFCB1-91C2-4BC3-AC60-480B2586F4A1}"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2"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3"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4"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69"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0"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1"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2"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3"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4"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79"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0"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1"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2"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383"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675EA5F-8BA9-493E-80D5-7C02F5A9F1C6}"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38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1446B14-8E2B-423A-BE47-D8D2CD9D2B2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5"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6"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7"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8"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89"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0"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391"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3ACC8F7-9DF4-40C9-9A9B-9EFB83764FEF}"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2"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3"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4"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5"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6"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7"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8"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399"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0"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1"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2"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3"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4"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5"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06"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3A393A0-8D5A-40A3-9B07-B661C7663FE4}"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7"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8"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09"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0"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1"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2"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3"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4"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5"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6"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7"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8"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19"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0"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1"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2"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3"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4"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5"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6"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27"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28"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AEFCB77-635D-4BA7-A1D1-E488C89758FA}"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29"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380A0B90-2992-4686-9A4B-FAC54B94C4F5}"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0"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1" name="Text 10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2"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3" name="Text 103"/>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4" name="Text 10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5" name="Text 110"/>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36"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B398DB2-5C76-41DA-BD0B-72EAAE0601AE}"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7"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8" name="Text 11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39" name="Text 115"/>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0" name="Text 116"/>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1" name="Text 117"/>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2"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3"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4"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5"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6" name="Text 14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7"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8"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49"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0"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51"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4138B77-EC9B-4634-818F-317C8FFDECEC}"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2" name="Text 11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3"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4"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59"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0"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1"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2"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3" name="Text 99"/>
        <xdr:cNvSpPr txBox="1">
          <a:spLocks noChangeArrowheads="1"/>
        </xdr:cNvSpPr>
      </xdr:nvSpPr>
      <xdr:spPr bwMode="auto">
        <a:xfrm>
          <a:off x="7562850" y="74599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4" name="Text 10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5" name="Text 119"/>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6" name="Text 12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7" name="Text 130"/>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8" name="Text 131"/>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69" name="Text 16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70" name="Text 163"/>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71" name="Text 164"/>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314</xdr:row>
      <xdr:rowOff>0</xdr:rowOff>
    </xdr:from>
    <xdr:to>
      <xdr:col>12</xdr:col>
      <xdr:colOff>0</xdr:colOff>
      <xdr:row>314</xdr:row>
      <xdr:rowOff>0</xdr:rowOff>
    </xdr:to>
    <xdr:sp macro="" textlink="">
      <xdr:nvSpPr>
        <xdr:cNvPr id="26472" name="Text 165"/>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73"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4E137737-184E-4540-A50B-648B6B929259}" type="TxLink">
            <a:rPr lang="en-US"/>
            <a:t>​</a:t>
          </a:fld>
          <a:endParaRPr lang="en-US"/>
        </a:p>
      </xdr:txBody>
    </xdr:sp>
    <xdr:clientData/>
  </xdr:twoCellAnchor>
  <xdr:twoCellAnchor>
    <xdr:from>
      <xdr:col>12</xdr:col>
      <xdr:colOff>0</xdr:colOff>
      <xdr:row>314</xdr:row>
      <xdr:rowOff>0</xdr:rowOff>
    </xdr:from>
    <xdr:to>
      <xdr:col>12</xdr:col>
      <xdr:colOff>0</xdr:colOff>
      <xdr:row>314</xdr:row>
      <xdr:rowOff>0</xdr:rowOff>
    </xdr:to>
    <xdr:sp macro="" textlink="#REF!">
      <xdr:nvSpPr>
        <xdr:cNvPr id="26474" name="Text 112"/>
        <xdr:cNvSpPr txBox="1">
          <a:spLocks noChangeArrowheads="1"/>
        </xdr:cNvSpPr>
      </xdr:nvSpPr>
      <xdr:spPr bwMode="auto">
        <a:xfrm>
          <a:off x="7562850" y="74599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5426F9F-6EE9-4ABA-89EA-059C847196CE}" type="TxLink">
            <a:rPr lang="en-US"/>
            <a:t>​</a:t>
          </a:fld>
          <a:endParaRPr lang="en-US"/>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75" name="Text 99"/>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76" name="Text 10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77" name="Text 10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78" name="Text 103"/>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79" name="Text 109"/>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0" name="Text 110"/>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REF!">
      <xdr:nvSpPr>
        <xdr:cNvPr id="26481" name="Text 11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F2207C9-CF0A-4304-AAF7-BF71CCD18AFB}" type="TxLink">
            <a:rPr lang="en-US"/>
            <a:t>​</a:t>
          </a:fld>
          <a:endParaRPr lang="en-US"/>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2" name="Text 113"/>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3" name="Text 114"/>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4" name="Text 115"/>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5" name="Text 116"/>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6" name="Text 117"/>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7" name="Text 119"/>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8" name="Text 12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89" name="Text 13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0" name="Text 13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1" name="Text 144"/>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2" name="Text 16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3" name="Text 163"/>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4" name="Text 164"/>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5" name="Text 165"/>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REF!">
      <xdr:nvSpPr>
        <xdr:cNvPr id="26496" name="Text 11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50E6504-112F-404D-92E6-6F753CAF191D}" type="TxLink">
            <a:rPr lang="en-US"/>
            <a:t>​</a:t>
          </a:fld>
          <a:endParaRPr lang="en-US"/>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7" name="Text 113"/>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8" name="Text 99"/>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499" name="Text 10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0" name="Text 119"/>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1" name="Text 12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2" name="Text 13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3" name="Text 13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4" name="Text 16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5" name="Text 163"/>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6" name="Text 164"/>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7" name="Text 165"/>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8" name="Text 99"/>
        <xdr:cNvSpPr txBox="1">
          <a:spLocks noChangeArrowheads="1"/>
        </xdr:cNvSpPr>
      </xdr:nvSpPr>
      <xdr:spPr bwMode="auto">
        <a:xfrm>
          <a:off x="7562850" y="71932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09" name="Text 10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0" name="Text 119"/>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1" name="Text 12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2" name="Text 130"/>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3" name="Text 131"/>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4" name="Text 16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5" name="Text 163"/>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6" name="Text 164"/>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300</xdr:row>
      <xdr:rowOff>0</xdr:rowOff>
    </xdr:from>
    <xdr:to>
      <xdr:col>12</xdr:col>
      <xdr:colOff>0</xdr:colOff>
      <xdr:row>300</xdr:row>
      <xdr:rowOff>0</xdr:rowOff>
    </xdr:to>
    <xdr:sp macro="" textlink="">
      <xdr:nvSpPr>
        <xdr:cNvPr id="26517" name="Text 165"/>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300</xdr:row>
      <xdr:rowOff>0</xdr:rowOff>
    </xdr:from>
    <xdr:to>
      <xdr:col>12</xdr:col>
      <xdr:colOff>0</xdr:colOff>
      <xdr:row>300</xdr:row>
      <xdr:rowOff>0</xdr:rowOff>
    </xdr:to>
    <xdr:sp macro="" textlink="#REF!">
      <xdr:nvSpPr>
        <xdr:cNvPr id="26518" name="Text 11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D72AF37-63C4-4754-AA4A-98C9EB71F258}" type="TxLink">
            <a:rPr lang="en-US"/>
            <a:t>​</a:t>
          </a:fld>
          <a:endParaRPr lang="en-US"/>
        </a:p>
      </xdr:txBody>
    </xdr:sp>
    <xdr:clientData/>
  </xdr:twoCellAnchor>
  <xdr:twoCellAnchor>
    <xdr:from>
      <xdr:col>12</xdr:col>
      <xdr:colOff>0</xdr:colOff>
      <xdr:row>300</xdr:row>
      <xdr:rowOff>0</xdr:rowOff>
    </xdr:from>
    <xdr:to>
      <xdr:col>12</xdr:col>
      <xdr:colOff>0</xdr:colOff>
      <xdr:row>300</xdr:row>
      <xdr:rowOff>0</xdr:rowOff>
    </xdr:to>
    <xdr:sp macro="" textlink="#REF!">
      <xdr:nvSpPr>
        <xdr:cNvPr id="26519" name="Text 112"/>
        <xdr:cNvSpPr txBox="1">
          <a:spLocks noChangeArrowheads="1"/>
        </xdr:cNvSpPr>
      </xdr:nvSpPr>
      <xdr:spPr bwMode="auto">
        <a:xfrm>
          <a:off x="7562850" y="7193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CD871E18-337F-4B58-9D87-9758072F8083}" type="TxLink">
            <a:rPr lang="en-US"/>
            <a:t>​</a:t>
          </a:fld>
          <a:endParaRPr lang="en-US"/>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520" name="Text 148"/>
        <xdr:cNvSpPr txBox="1">
          <a:spLocks noChangeArrowheads="1"/>
        </xdr:cNvSpPr>
      </xdr:nvSpPr>
      <xdr:spPr bwMode="auto">
        <a:xfrm>
          <a:off x="295275" y="70408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521" name="Text 149"/>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522" name="Text 152"/>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3"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4" name="Text 10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5"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6" name="Text 103"/>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7" name="Text 10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28" name="Text 110"/>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29"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DE6B49F-56CF-48FE-9190-5C465A59DF7E}"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0" name="Text 11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1" name="Text 11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2" name="Text 115"/>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3" name="Text 116"/>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4" name="Text 117"/>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5"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6"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7"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8"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39" name="Text 14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0"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1"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2"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3"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44"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F3F611F-CC67-4D27-9502-F5EE6F4766D5}"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5" name="Text 11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6"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7"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8"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49"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0"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1"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2"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3"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4"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5"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6"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7"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8"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59"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0"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1"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2"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3"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4"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5"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66"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723B85E-50E0-45BE-B500-83040C8B0F27}"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67"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651F245-A578-4670-80DA-76231ECFCC62}"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8"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69" name="Text 10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0"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1" name="Text 103"/>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2" name="Text 10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3" name="Text 110"/>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74"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8C1CCCF-FA54-4040-8E94-41792D6F74B4}"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5" name="Text 11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6" name="Text 11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7" name="Text 115"/>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8" name="Text 116"/>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79" name="Text 117"/>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0"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1"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2"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3"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4" name="Text 14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5"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6"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7"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88"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589"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1C5FA30-994D-40D1-9447-A40F5923876C}"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0" name="Text 11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1"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2"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3"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4"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5"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6"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7"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8"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599"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0"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1" name="Text 99"/>
        <xdr:cNvSpPr txBox="1">
          <a:spLocks noChangeArrowheads="1"/>
        </xdr:cNvSpPr>
      </xdr:nvSpPr>
      <xdr:spPr bwMode="auto">
        <a:xfrm>
          <a:off x="7562850" y="70408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2" name="Text 10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3" name="Text 119"/>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4" name="Text 12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5" name="Text 130"/>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6" name="Text 131"/>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7" name="Text 16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8" name="Text 16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09" name="Text 164"/>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10" name="Text 165"/>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611"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AA15922-B95E-4BEB-AA2A-F5EDE2439734}" type="TxLink">
            <a:rPr lang="en-US"/>
            <a:t>​</a:t>
          </a:fld>
          <a:endParaRPr lang="en-US"/>
        </a:p>
      </xdr:txBody>
    </xdr:sp>
    <xdr:clientData/>
  </xdr:twoCellAnchor>
  <xdr:twoCellAnchor>
    <xdr:from>
      <xdr:col>12</xdr:col>
      <xdr:colOff>0</xdr:colOff>
      <xdr:row>295</xdr:row>
      <xdr:rowOff>0</xdr:rowOff>
    </xdr:from>
    <xdr:to>
      <xdr:col>12</xdr:col>
      <xdr:colOff>0</xdr:colOff>
      <xdr:row>295</xdr:row>
      <xdr:rowOff>0</xdr:rowOff>
    </xdr:to>
    <xdr:sp macro="" textlink="#REF!">
      <xdr:nvSpPr>
        <xdr:cNvPr id="26612" name="Text 112"/>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D4C6867-9BE3-4A41-AA25-9CF60B9DDEB6}" type="TxLink">
            <a:rPr lang="en-US"/>
            <a:t>​</a:t>
          </a:fld>
          <a:endParaRPr lang="en-US"/>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613" name="Text 65"/>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295</xdr:row>
      <xdr:rowOff>0</xdr:rowOff>
    </xdr:from>
    <xdr:to>
      <xdr:col>1</xdr:col>
      <xdr:colOff>2828925</xdr:colOff>
      <xdr:row>295</xdr:row>
      <xdr:rowOff>0</xdr:rowOff>
    </xdr:to>
    <xdr:sp macro="" textlink="">
      <xdr:nvSpPr>
        <xdr:cNvPr id="26614" name="Text 71"/>
        <xdr:cNvSpPr txBox="1">
          <a:spLocks noChangeArrowheads="1"/>
        </xdr:cNvSpPr>
      </xdr:nvSpPr>
      <xdr:spPr bwMode="auto">
        <a:xfrm>
          <a:off x="295275" y="70408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615" name="Text 74"/>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16" name="Text 14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617" name="Text 65"/>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295</xdr:row>
      <xdr:rowOff>0</xdr:rowOff>
    </xdr:from>
    <xdr:to>
      <xdr:col>1</xdr:col>
      <xdr:colOff>2828925</xdr:colOff>
      <xdr:row>295</xdr:row>
      <xdr:rowOff>0</xdr:rowOff>
    </xdr:to>
    <xdr:sp macro="" textlink="">
      <xdr:nvSpPr>
        <xdr:cNvPr id="26618" name="Text 71"/>
        <xdr:cNvSpPr txBox="1">
          <a:spLocks noChangeArrowheads="1"/>
        </xdr:cNvSpPr>
      </xdr:nvSpPr>
      <xdr:spPr bwMode="auto">
        <a:xfrm>
          <a:off x="295275" y="70408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295</xdr:row>
      <xdr:rowOff>0</xdr:rowOff>
    </xdr:from>
    <xdr:to>
      <xdr:col>2</xdr:col>
      <xdr:colOff>0</xdr:colOff>
      <xdr:row>295</xdr:row>
      <xdr:rowOff>0</xdr:rowOff>
    </xdr:to>
    <xdr:sp macro="" textlink="">
      <xdr:nvSpPr>
        <xdr:cNvPr id="26619" name="Text 74"/>
        <xdr:cNvSpPr txBox="1">
          <a:spLocks noChangeArrowheads="1"/>
        </xdr:cNvSpPr>
      </xdr:nvSpPr>
      <xdr:spPr bwMode="auto">
        <a:xfrm>
          <a:off x="295275" y="70408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20" name="Text 14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295</xdr:row>
      <xdr:rowOff>0</xdr:rowOff>
    </xdr:from>
    <xdr:to>
      <xdr:col>12</xdr:col>
      <xdr:colOff>0</xdr:colOff>
      <xdr:row>295</xdr:row>
      <xdr:rowOff>0</xdr:rowOff>
    </xdr:to>
    <xdr:sp macro="" textlink="">
      <xdr:nvSpPr>
        <xdr:cNvPr id="26621" name="Text 143"/>
        <xdr:cNvSpPr txBox="1">
          <a:spLocks noChangeArrowheads="1"/>
        </xdr:cNvSpPr>
      </xdr:nvSpPr>
      <xdr:spPr bwMode="auto">
        <a:xfrm>
          <a:off x="7562850" y="70408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89</xdr:row>
      <xdr:rowOff>0</xdr:rowOff>
    </xdr:from>
    <xdr:to>
      <xdr:col>2</xdr:col>
      <xdr:colOff>0</xdr:colOff>
      <xdr:row>89</xdr:row>
      <xdr:rowOff>0</xdr:rowOff>
    </xdr:to>
    <xdr:sp macro="" textlink="">
      <xdr:nvSpPr>
        <xdr:cNvPr id="27648" name="Text 148"/>
        <xdr:cNvSpPr txBox="1">
          <a:spLocks noChangeArrowheads="1"/>
        </xdr:cNvSpPr>
      </xdr:nvSpPr>
      <xdr:spPr bwMode="auto">
        <a:xfrm>
          <a:off x="295275" y="215646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89</xdr:row>
      <xdr:rowOff>0</xdr:rowOff>
    </xdr:from>
    <xdr:to>
      <xdr:col>2</xdr:col>
      <xdr:colOff>0</xdr:colOff>
      <xdr:row>89</xdr:row>
      <xdr:rowOff>0</xdr:rowOff>
    </xdr:to>
    <xdr:sp macro="" textlink="">
      <xdr:nvSpPr>
        <xdr:cNvPr id="27649" name="Text 149"/>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89</xdr:row>
      <xdr:rowOff>0</xdr:rowOff>
    </xdr:from>
    <xdr:to>
      <xdr:col>2</xdr:col>
      <xdr:colOff>0</xdr:colOff>
      <xdr:row>89</xdr:row>
      <xdr:rowOff>0</xdr:rowOff>
    </xdr:to>
    <xdr:sp macro="" textlink="">
      <xdr:nvSpPr>
        <xdr:cNvPr id="27650" name="Text 152"/>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1"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2" name="Text 10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3"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4" name="Text 103"/>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5" name="Text 10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6" name="Text 110"/>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657"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DCD175B-9D56-4871-BE40-096887A289D3}"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8" name="Text 11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59" name="Text 11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0" name="Text 115"/>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1" name="Text 116"/>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2" name="Text 117"/>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3"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4"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5"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6"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7" name="Text 14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8"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69"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0"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1"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672"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F42C0A1-C9D9-4710-B100-61DF05D88F7D}"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3" name="Text 11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4"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5"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6"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7"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8"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79"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0"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1"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2"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3"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4"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5"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6"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7"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8"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89"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0"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1"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2"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3"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694"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A801EB2-B786-47C9-A1B5-731E6A5B9426}"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695"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FB6944F-E5C0-4281-B4B2-7050E0F2932F}"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6"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7" name="Text 10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8"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699" name="Text 103"/>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0" name="Text 10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1" name="Text 110"/>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702"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DA4CA17C-79E3-4E24-A27D-D0C3561A02F4}"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3" name="Text 11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4" name="Text 11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5" name="Text 115"/>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6" name="Text 116"/>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7" name="Text 117"/>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8"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09"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0"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1"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2" name="Text 14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3"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4"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5"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6"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717"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B820EF2-7197-4C78-AF61-3943B66D71B2}"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8" name="Text 11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19"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0"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1"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2"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3"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4"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5"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6"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7"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8"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29" name="Text 99"/>
        <xdr:cNvSpPr txBox="1">
          <a:spLocks noChangeArrowheads="1"/>
        </xdr:cNvSpPr>
      </xdr:nvSpPr>
      <xdr:spPr bwMode="auto">
        <a:xfrm>
          <a:off x="7562850" y="215646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0" name="Text 10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1" name="Text 119"/>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2" name="Text 12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3" name="Text 130"/>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4" name="Text 131"/>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5" name="Text 16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6" name="Text 163"/>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7" name="Text 164"/>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89</xdr:row>
      <xdr:rowOff>0</xdr:rowOff>
    </xdr:from>
    <xdr:to>
      <xdr:col>12</xdr:col>
      <xdr:colOff>0</xdr:colOff>
      <xdr:row>89</xdr:row>
      <xdr:rowOff>0</xdr:rowOff>
    </xdr:to>
    <xdr:sp macro="" textlink="">
      <xdr:nvSpPr>
        <xdr:cNvPr id="27738" name="Text 165"/>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739"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29C76092-7387-4DE6-A01A-13D7B310C997}" type="TxLink">
            <a:rPr lang="en-US"/>
            <a:t>​</a:t>
          </a:fld>
          <a:endParaRPr lang="en-US"/>
        </a:p>
      </xdr:txBody>
    </xdr:sp>
    <xdr:clientData/>
  </xdr:twoCellAnchor>
  <xdr:twoCellAnchor>
    <xdr:from>
      <xdr:col>12</xdr:col>
      <xdr:colOff>0</xdr:colOff>
      <xdr:row>89</xdr:row>
      <xdr:rowOff>0</xdr:rowOff>
    </xdr:from>
    <xdr:to>
      <xdr:col>12</xdr:col>
      <xdr:colOff>0</xdr:colOff>
      <xdr:row>89</xdr:row>
      <xdr:rowOff>0</xdr:rowOff>
    </xdr:to>
    <xdr:sp macro="" textlink="#REF!">
      <xdr:nvSpPr>
        <xdr:cNvPr id="27740" name="Text 112"/>
        <xdr:cNvSpPr txBox="1">
          <a:spLocks noChangeArrowheads="1"/>
        </xdr:cNvSpPr>
      </xdr:nvSpPr>
      <xdr:spPr bwMode="auto">
        <a:xfrm>
          <a:off x="7562850" y="215646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D8FDEA3-0834-4927-8610-387E35F0244D}" type="TxLink">
            <a:rPr lang="en-US"/>
            <a:t>​</a:t>
          </a:fld>
          <a:endParaRPr lang="en-US"/>
        </a:p>
      </xdr:txBody>
    </xdr:sp>
    <xdr:clientData/>
  </xdr:twoCellAnchor>
  <xdr:twoCellAnchor>
    <xdr:from>
      <xdr:col>1</xdr:col>
      <xdr:colOff>0</xdr:colOff>
      <xdr:row>89</xdr:row>
      <xdr:rowOff>0</xdr:rowOff>
    </xdr:from>
    <xdr:to>
      <xdr:col>2</xdr:col>
      <xdr:colOff>0</xdr:colOff>
      <xdr:row>89</xdr:row>
      <xdr:rowOff>0</xdr:rowOff>
    </xdr:to>
    <xdr:sp macro="" textlink="">
      <xdr:nvSpPr>
        <xdr:cNvPr id="27741" name="Text 65"/>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89</xdr:row>
      <xdr:rowOff>0</xdr:rowOff>
    </xdr:from>
    <xdr:to>
      <xdr:col>1</xdr:col>
      <xdr:colOff>2828925</xdr:colOff>
      <xdr:row>89</xdr:row>
      <xdr:rowOff>0</xdr:rowOff>
    </xdr:to>
    <xdr:sp macro="" textlink="">
      <xdr:nvSpPr>
        <xdr:cNvPr id="27742" name="Text 71"/>
        <xdr:cNvSpPr txBox="1">
          <a:spLocks noChangeArrowheads="1"/>
        </xdr:cNvSpPr>
      </xdr:nvSpPr>
      <xdr:spPr bwMode="auto">
        <a:xfrm>
          <a:off x="295275" y="215646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89</xdr:row>
      <xdr:rowOff>0</xdr:rowOff>
    </xdr:from>
    <xdr:to>
      <xdr:col>2</xdr:col>
      <xdr:colOff>0</xdr:colOff>
      <xdr:row>89</xdr:row>
      <xdr:rowOff>0</xdr:rowOff>
    </xdr:to>
    <xdr:sp macro="" textlink="">
      <xdr:nvSpPr>
        <xdr:cNvPr id="27743" name="Text 74"/>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88</xdr:row>
      <xdr:rowOff>0</xdr:rowOff>
    </xdr:from>
    <xdr:to>
      <xdr:col>12</xdr:col>
      <xdr:colOff>0</xdr:colOff>
      <xdr:row>88</xdr:row>
      <xdr:rowOff>0</xdr:rowOff>
    </xdr:to>
    <xdr:sp macro="" textlink="">
      <xdr:nvSpPr>
        <xdr:cNvPr id="27744" name="Text 143"/>
        <xdr:cNvSpPr txBox="1">
          <a:spLocks noChangeArrowheads="1"/>
        </xdr:cNvSpPr>
      </xdr:nvSpPr>
      <xdr:spPr bwMode="auto">
        <a:xfrm>
          <a:off x="7562850" y="213741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89</xdr:row>
      <xdr:rowOff>0</xdr:rowOff>
    </xdr:from>
    <xdr:to>
      <xdr:col>2</xdr:col>
      <xdr:colOff>0</xdr:colOff>
      <xdr:row>89</xdr:row>
      <xdr:rowOff>0</xdr:rowOff>
    </xdr:to>
    <xdr:sp macro="" textlink="">
      <xdr:nvSpPr>
        <xdr:cNvPr id="27745" name="Text 65"/>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89</xdr:row>
      <xdr:rowOff>0</xdr:rowOff>
    </xdr:from>
    <xdr:to>
      <xdr:col>1</xdr:col>
      <xdr:colOff>2828925</xdr:colOff>
      <xdr:row>89</xdr:row>
      <xdr:rowOff>0</xdr:rowOff>
    </xdr:to>
    <xdr:sp macro="" textlink="">
      <xdr:nvSpPr>
        <xdr:cNvPr id="27746" name="Text 71"/>
        <xdr:cNvSpPr txBox="1">
          <a:spLocks noChangeArrowheads="1"/>
        </xdr:cNvSpPr>
      </xdr:nvSpPr>
      <xdr:spPr bwMode="auto">
        <a:xfrm>
          <a:off x="295275" y="215646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89</xdr:row>
      <xdr:rowOff>0</xdr:rowOff>
    </xdr:from>
    <xdr:to>
      <xdr:col>2</xdr:col>
      <xdr:colOff>0</xdr:colOff>
      <xdr:row>89</xdr:row>
      <xdr:rowOff>0</xdr:rowOff>
    </xdr:to>
    <xdr:sp macro="" textlink="">
      <xdr:nvSpPr>
        <xdr:cNvPr id="27747" name="Text 74"/>
        <xdr:cNvSpPr txBox="1">
          <a:spLocks noChangeArrowheads="1"/>
        </xdr:cNvSpPr>
      </xdr:nvSpPr>
      <xdr:spPr bwMode="auto">
        <a:xfrm>
          <a:off x="295275" y="215646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748" name="Text 148"/>
        <xdr:cNvSpPr txBox="1">
          <a:spLocks noChangeArrowheads="1"/>
        </xdr:cNvSpPr>
      </xdr:nvSpPr>
      <xdr:spPr bwMode="auto">
        <a:xfrm>
          <a:off x="295275" y="115119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749" name="Text 149"/>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750" name="Text 152"/>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1"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2" name="Text 10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3"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4" name="Text 103"/>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5" name="Text 10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6" name="Text 110"/>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757"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B4EC732D-5D34-4319-A859-CC679E67585E}"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8" name="Text 11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59" name="Text 11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0" name="Text 115"/>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1" name="Text 116"/>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2" name="Text 117"/>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3"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4"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5"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6"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7" name="Text 14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8"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69"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0"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1"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772"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AFDADCC-27D1-42AE-922F-35D68BFF788F}"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3" name="Text 11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4"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5"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6"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7"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8"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79"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0"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1"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2"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3"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4"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5"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6"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7"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8"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89"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0"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1"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2"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3"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794"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B8EBB0B-8F45-4575-BD99-FAF7DC806D09}"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795"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FB776C5-074A-4863-A851-B70BB5DE4DB6}"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6"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7" name="Text 10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8"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799" name="Text 103"/>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0" name="Text 10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1" name="Text 110"/>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802"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E587D44C-03D7-46E7-8115-61D7FCF6C4CE}"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3" name="Text 11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4" name="Text 11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5" name="Text 115"/>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6" name="Text 116"/>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7" name="Text 117"/>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8"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09"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0"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1"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2" name="Text 14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3"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4"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5"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6"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817"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48E4395-78A8-47F3-AAEF-786CC0C04E22}"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8" name="Text 11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19"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0"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1"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2"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3"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4"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5"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6"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7"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8"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29" name="Text 99"/>
        <xdr:cNvSpPr txBox="1">
          <a:spLocks noChangeArrowheads="1"/>
        </xdr:cNvSpPr>
      </xdr:nvSpPr>
      <xdr:spPr bwMode="auto">
        <a:xfrm>
          <a:off x="7562850" y="1151191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0" name="Text 10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1" name="Text 119"/>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2" name="Text 12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3" name="Text 130"/>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4" name="Text 131"/>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5" name="Text 16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6" name="Text 16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7" name="Text 164"/>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38" name="Text 165"/>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839"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6B2E3D77-C0D2-4713-8FBD-7FB6988F3D43}" type="TxLink">
            <a:rPr lang="en-US"/>
            <a:t>​</a:t>
          </a:fld>
          <a:endParaRPr lang="en-US"/>
        </a:p>
      </xdr:txBody>
    </xdr:sp>
    <xdr:clientData/>
  </xdr:twoCellAnchor>
  <xdr:twoCellAnchor>
    <xdr:from>
      <xdr:col>12</xdr:col>
      <xdr:colOff>0</xdr:colOff>
      <xdr:row>455</xdr:row>
      <xdr:rowOff>0</xdr:rowOff>
    </xdr:from>
    <xdr:to>
      <xdr:col>12</xdr:col>
      <xdr:colOff>0</xdr:colOff>
      <xdr:row>455</xdr:row>
      <xdr:rowOff>0</xdr:rowOff>
    </xdr:to>
    <xdr:sp macro="" textlink="#REF!">
      <xdr:nvSpPr>
        <xdr:cNvPr id="27840" name="Text 112"/>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1282258-EBFE-436F-84C4-79BB99F261FD}" type="TxLink">
            <a:rPr lang="en-US"/>
            <a:t>​</a:t>
          </a:fld>
          <a:endParaRPr lang="en-US"/>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841" name="Text 65"/>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455</xdr:row>
      <xdr:rowOff>0</xdr:rowOff>
    </xdr:from>
    <xdr:to>
      <xdr:col>1</xdr:col>
      <xdr:colOff>2828925</xdr:colOff>
      <xdr:row>455</xdr:row>
      <xdr:rowOff>0</xdr:rowOff>
    </xdr:to>
    <xdr:sp macro="" textlink="">
      <xdr:nvSpPr>
        <xdr:cNvPr id="27842" name="Text 71"/>
        <xdr:cNvSpPr txBox="1">
          <a:spLocks noChangeArrowheads="1"/>
        </xdr:cNvSpPr>
      </xdr:nvSpPr>
      <xdr:spPr bwMode="auto">
        <a:xfrm>
          <a:off x="295275" y="115119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843" name="Text 74"/>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455</xdr:row>
      <xdr:rowOff>0</xdr:rowOff>
    </xdr:from>
    <xdr:to>
      <xdr:col>12</xdr:col>
      <xdr:colOff>0</xdr:colOff>
      <xdr:row>455</xdr:row>
      <xdr:rowOff>0</xdr:rowOff>
    </xdr:to>
    <xdr:sp macro="" textlink="">
      <xdr:nvSpPr>
        <xdr:cNvPr id="27844" name="Text 143"/>
        <xdr:cNvSpPr txBox="1">
          <a:spLocks noChangeArrowheads="1"/>
        </xdr:cNvSpPr>
      </xdr:nvSpPr>
      <xdr:spPr bwMode="auto">
        <a:xfrm>
          <a:off x="7562850" y="11511915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845" name="Text 65"/>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455</xdr:row>
      <xdr:rowOff>0</xdr:rowOff>
    </xdr:from>
    <xdr:to>
      <xdr:col>1</xdr:col>
      <xdr:colOff>2828925</xdr:colOff>
      <xdr:row>455</xdr:row>
      <xdr:rowOff>0</xdr:rowOff>
    </xdr:to>
    <xdr:sp macro="" textlink="">
      <xdr:nvSpPr>
        <xdr:cNvPr id="27846" name="Text 71"/>
        <xdr:cNvSpPr txBox="1">
          <a:spLocks noChangeArrowheads="1"/>
        </xdr:cNvSpPr>
      </xdr:nvSpPr>
      <xdr:spPr bwMode="auto">
        <a:xfrm>
          <a:off x="295275" y="11511915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455</xdr:row>
      <xdr:rowOff>0</xdr:rowOff>
    </xdr:from>
    <xdr:to>
      <xdr:col>2</xdr:col>
      <xdr:colOff>0</xdr:colOff>
      <xdr:row>455</xdr:row>
      <xdr:rowOff>0</xdr:rowOff>
    </xdr:to>
    <xdr:sp macro="" textlink="">
      <xdr:nvSpPr>
        <xdr:cNvPr id="27847" name="Text 74"/>
        <xdr:cNvSpPr txBox="1">
          <a:spLocks noChangeArrowheads="1"/>
        </xdr:cNvSpPr>
      </xdr:nvSpPr>
      <xdr:spPr bwMode="auto">
        <a:xfrm>
          <a:off x="295275" y="11511915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436</xdr:row>
      <xdr:rowOff>0</xdr:rowOff>
    </xdr:from>
    <xdr:to>
      <xdr:col>12</xdr:col>
      <xdr:colOff>0</xdr:colOff>
      <xdr:row>436</xdr:row>
      <xdr:rowOff>0</xdr:rowOff>
    </xdr:to>
    <xdr:sp macro="" textlink="">
      <xdr:nvSpPr>
        <xdr:cNvPr id="27848" name="Text 143"/>
        <xdr:cNvSpPr txBox="1">
          <a:spLocks noChangeArrowheads="1"/>
        </xdr:cNvSpPr>
      </xdr:nvSpPr>
      <xdr:spPr bwMode="auto">
        <a:xfrm>
          <a:off x="7562850" y="111147225"/>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849" name="Text 148"/>
        <xdr:cNvSpPr txBox="1">
          <a:spLocks noChangeArrowheads="1"/>
        </xdr:cNvSpPr>
      </xdr:nvSpPr>
      <xdr:spPr bwMode="auto">
        <a:xfrm>
          <a:off x="295275" y="84505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850" name="Text 149"/>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851" name="Text 152"/>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2"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3" name="Text 10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4"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5" name="Text 103"/>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6" name="Text 10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7" name="Text 110"/>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858"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929BD79E-CD2F-4D9E-95D1-03033D9B8261}"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59" name="Text 11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0" name="Text 11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1" name="Text 115"/>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2" name="Text 116"/>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3" name="Text 117"/>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4"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5"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6"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7"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8" name="Text 14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69"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0"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1"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2"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873"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2E050C2-61A5-497F-93F3-4FB3DFE1DD0F}"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4" name="Text 11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5"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6"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7"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8"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79"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0"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1"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2"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3"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4"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5"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6"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7"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8"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89"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0"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1"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2"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3"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4"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895"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1F635B27-D8FE-4CCD-A430-FA2CC520B01C}"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896"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185D42A-45EE-40C2-88B7-252D82076A92}"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7"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8" name="Text 10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899"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0" name="Text 103"/>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1" name="Text 10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graded stone aggregate 20 mm nominal size).</a:t>
          </a:r>
        </a:p>
        <a:p>
          <a:pPr algn="l" rtl="0">
            <a:defRPr sz="1000"/>
          </a:pPr>
          <a:r>
            <a:rPr lang="en-US" sz="1200" b="0" i="0" u="none" strike="noStrike" baseline="0">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2" name="Text 110"/>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903"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F5D8D700-4CE7-415B-8C04-D1C4905ADF76}"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4" name="Text 11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5" name="Text 11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6" name="Text 115"/>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7" name="Text 116"/>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a:t>
          </a:r>
          <a:r>
            <a:rPr lang="en-US" sz="1200" b="0" i="1" u="none" strike="noStrike" baseline="0">
              <a:solidFill>
                <a:srgbClr val="000000"/>
              </a:solidFill>
              <a:latin typeface="Arial"/>
              <a:cs typeface="Arial"/>
            </a:rPr>
            <a:t>for 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8" name="Text 117"/>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09"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0"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1"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2"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3" name="Text 14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u="none" strike="noStrike" baseline="0">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4"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5"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6"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7"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918"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5E20682-8AA5-4574-975A-A908586A99F7}"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19" name="Text 11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0"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1"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2"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3"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4"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5"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6"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7"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8"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29"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0" name="Text 99"/>
        <xdr:cNvSpPr txBox="1">
          <a:spLocks noChangeArrowheads="1"/>
        </xdr:cNvSpPr>
      </xdr:nvSpPr>
      <xdr:spPr bwMode="auto">
        <a:xfrm>
          <a:off x="7562850" y="845058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1" name="Text 10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2" name="Text 119"/>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3" name="Text 12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4" name="Text 130"/>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5" name="Text 131"/>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6" name="Text 16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7" name="Text 16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8" name="Text 164"/>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39" name="Text 165"/>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u="none" strike="noStrike" baseline="0">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940"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0C933CAC-D245-433E-AFE9-25FCB3FF3627}"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27941" name="Text 112"/>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A53CB20C-5136-4155-B429-44008320E9D1}" type="TxLink">
            <a:rPr lang="en-US"/>
            <a:t>​</a:t>
          </a:fld>
          <a:endParaRPr lang="en-US"/>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942" name="Text 65"/>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355</xdr:row>
      <xdr:rowOff>0</xdr:rowOff>
    </xdr:from>
    <xdr:to>
      <xdr:col>1</xdr:col>
      <xdr:colOff>2828925</xdr:colOff>
      <xdr:row>355</xdr:row>
      <xdr:rowOff>0</xdr:rowOff>
    </xdr:to>
    <xdr:sp macro="" textlink="">
      <xdr:nvSpPr>
        <xdr:cNvPr id="27943" name="Text 71"/>
        <xdr:cNvSpPr txBox="1">
          <a:spLocks noChangeArrowheads="1"/>
        </xdr:cNvSpPr>
      </xdr:nvSpPr>
      <xdr:spPr bwMode="auto">
        <a:xfrm>
          <a:off x="295275" y="84505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944" name="Text 74"/>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7945" name="Text 143"/>
        <xdr:cNvSpPr txBox="1">
          <a:spLocks noChangeArrowheads="1"/>
        </xdr:cNvSpPr>
      </xdr:nvSpPr>
      <xdr:spPr bwMode="auto">
        <a:xfrm>
          <a:off x="7562850" y="84505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946" name="Text 65"/>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upto 4.5 m height above plinth level</a:t>
          </a:r>
          <a:r>
            <a:rPr lang="en-US" sz="1200" b="0" i="0" u="none" strike="noStrike" baseline="0">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355</xdr:row>
      <xdr:rowOff>0</xdr:rowOff>
    </xdr:from>
    <xdr:to>
      <xdr:col>1</xdr:col>
      <xdr:colOff>2828925</xdr:colOff>
      <xdr:row>355</xdr:row>
      <xdr:rowOff>0</xdr:rowOff>
    </xdr:to>
    <xdr:sp macro="" textlink="">
      <xdr:nvSpPr>
        <xdr:cNvPr id="27947" name="Text 71"/>
        <xdr:cNvSpPr txBox="1">
          <a:spLocks noChangeArrowheads="1"/>
        </xdr:cNvSpPr>
      </xdr:nvSpPr>
      <xdr:spPr bwMode="auto">
        <a:xfrm>
          <a:off x="295275" y="84505800"/>
          <a:ext cx="2828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355</xdr:row>
      <xdr:rowOff>0</xdr:rowOff>
    </xdr:from>
    <xdr:to>
      <xdr:col>2</xdr:col>
      <xdr:colOff>0</xdr:colOff>
      <xdr:row>355</xdr:row>
      <xdr:rowOff>0</xdr:rowOff>
    </xdr:to>
    <xdr:sp macro="" textlink="">
      <xdr:nvSpPr>
        <xdr:cNvPr id="27948" name="Text 74"/>
        <xdr:cNvSpPr txBox="1">
          <a:spLocks noChangeArrowheads="1"/>
        </xdr:cNvSpPr>
      </xdr:nvSpPr>
      <xdr:spPr bwMode="auto">
        <a:xfrm>
          <a:off x="295275" y="84505800"/>
          <a:ext cx="28289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graded stone aggregate 20 mm nominal size).</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12</xdr:col>
      <xdr:colOff>0</xdr:colOff>
      <xdr:row>32</xdr:row>
      <xdr:rowOff>0</xdr:rowOff>
    </xdr:from>
    <xdr:to>
      <xdr:col>12</xdr:col>
      <xdr:colOff>0</xdr:colOff>
      <xdr:row>33</xdr:row>
      <xdr:rowOff>0</xdr:rowOff>
    </xdr:to>
    <xdr:sp macro="" textlink="#REF!">
      <xdr:nvSpPr>
        <xdr:cNvPr id="27949" name="Text 112"/>
        <xdr:cNvSpPr txBox="1">
          <a:spLocks noChangeArrowheads="1"/>
        </xdr:cNvSpPr>
      </xdr:nvSpPr>
      <xdr:spPr bwMode="auto">
        <a:xfrm>
          <a:off x="7562850" y="6324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89758672-8C3B-49B5-BC3A-CBB85C5C1529}" type="TxLink">
            <a:rPr lang="en-US"/>
            <a:t>​</a:t>
          </a:fld>
          <a:endParaRPr lang="en-US"/>
        </a:p>
      </xdr:txBody>
    </xdr:sp>
    <xdr:clientData/>
  </xdr:twoCellAnchor>
  <xdr:twoCellAnchor>
    <xdr:from>
      <xdr:col>12</xdr:col>
      <xdr:colOff>0</xdr:colOff>
      <xdr:row>244</xdr:row>
      <xdr:rowOff>0</xdr:rowOff>
    </xdr:from>
    <xdr:to>
      <xdr:col>12</xdr:col>
      <xdr:colOff>0</xdr:colOff>
      <xdr:row>244</xdr:row>
      <xdr:rowOff>0</xdr:rowOff>
    </xdr:to>
    <xdr:sp macro="" textlink="">
      <xdr:nvSpPr>
        <xdr:cNvPr id="27950" name="Text 143"/>
        <xdr:cNvSpPr txBox="1">
          <a:spLocks noChangeArrowheads="1"/>
        </xdr:cNvSpPr>
      </xdr:nvSpPr>
      <xdr:spPr bwMode="auto">
        <a:xfrm>
          <a:off x="7562850" y="58026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120</xdr:row>
      <xdr:rowOff>0</xdr:rowOff>
    </xdr:from>
    <xdr:to>
      <xdr:col>12</xdr:col>
      <xdr:colOff>0</xdr:colOff>
      <xdr:row>121</xdr:row>
      <xdr:rowOff>0</xdr:rowOff>
    </xdr:to>
    <xdr:sp macro="" textlink="">
      <xdr:nvSpPr>
        <xdr:cNvPr id="27951" name="Text 108"/>
        <xdr:cNvSpPr txBox="1">
          <a:spLocks noChangeArrowheads="1"/>
        </xdr:cNvSpPr>
      </xdr:nvSpPr>
      <xdr:spPr bwMode="auto">
        <a:xfrm>
          <a:off x="7562850" y="307848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u="none" strike="noStrike" baseline="0">
              <a:solidFill>
                <a:srgbClr val="000000"/>
              </a:solidFill>
              <a:latin typeface="Arial"/>
              <a:cs typeface="Arial"/>
            </a:rPr>
            <a:t>Columns, pillars, posts and struts etc.</a:t>
          </a:r>
        </a:p>
      </xdr:txBody>
    </xdr:sp>
    <xdr:clientData/>
  </xdr:twoCellAnchor>
  <xdr:twoCellAnchor>
    <xdr:from>
      <xdr:col>12</xdr:col>
      <xdr:colOff>0</xdr:colOff>
      <xdr:row>52</xdr:row>
      <xdr:rowOff>0</xdr:rowOff>
    </xdr:from>
    <xdr:to>
      <xdr:col>12</xdr:col>
      <xdr:colOff>0</xdr:colOff>
      <xdr:row>53</xdr:row>
      <xdr:rowOff>0</xdr:rowOff>
    </xdr:to>
    <xdr:sp macro="" textlink="#REF!">
      <xdr:nvSpPr>
        <xdr:cNvPr id="27952" name="Text 112"/>
        <xdr:cNvSpPr txBox="1">
          <a:spLocks noChangeArrowheads="1"/>
        </xdr:cNvSpPr>
      </xdr:nvSpPr>
      <xdr:spPr bwMode="auto">
        <a:xfrm>
          <a:off x="7562850" y="1013460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a:lstStyle/>
        <a:p>
          <a:fld id="{724E74A6-ED51-47C1-AEAF-368E9132EA3E}" type="TxLink">
            <a:rPr lang="en-US"/>
            <a:t>​</a:t>
          </a:fld>
          <a:endParaRPr lang="en-US"/>
        </a:p>
      </xdr:txBody>
    </xdr:sp>
    <xdr:clientData/>
  </xdr:twoCellAnchor>
  <xdr:twoCellAnchor>
    <xdr:from>
      <xdr:col>12</xdr:col>
      <xdr:colOff>0</xdr:colOff>
      <xdr:row>290</xdr:row>
      <xdr:rowOff>0</xdr:rowOff>
    </xdr:from>
    <xdr:to>
      <xdr:col>12</xdr:col>
      <xdr:colOff>0</xdr:colOff>
      <xdr:row>290</xdr:row>
      <xdr:rowOff>0</xdr:rowOff>
    </xdr:to>
    <xdr:sp macro="" textlink="">
      <xdr:nvSpPr>
        <xdr:cNvPr id="27953" name="Text 143"/>
        <xdr:cNvSpPr txBox="1">
          <a:spLocks noChangeArrowheads="1"/>
        </xdr:cNvSpPr>
      </xdr:nvSpPr>
      <xdr:spPr bwMode="auto">
        <a:xfrm>
          <a:off x="7562850" y="694563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349</xdr:row>
      <xdr:rowOff>0</xdr:rowOff>
    </xdr:from>
    <xdr:to>
      <xdr:col>12</xdr:col>
      <xdr:colOff>0</xdr:colOff>
      <xdr:row>349</xdr:row>
      <xdr:rowOff>0</xdr:rowOff>
    </xdr:to>
    <xdr:sp macro="" textlink="">
      <xdr:nvSpPr>
        <xdr:cNvPr id="27954" name="Text 143"/>
        <xdr:cNvSpPr txBox="1">
          <a:spLocks noChangeArrowheads="1"/>
        </xdr:cNvSpPr>
      </xdr:nvSpPr>
      <xdr:spPr bwMode="auto">
        <a:xfrm>
          <a:off x="7562850" y="83362800"/>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twoCellAnchor>
    <xdr:from>
      <xdr:col>12</xdr:col>
      <xdr:colOff>0</xdr:colOff>
      <xdr:row>448</xdr:row>
      <xdr:rowOff>0</xdr:rowOff>
    </xdr:from>
    <xdr:to>
      <xdr:col>12</xdr:col>
      <xdr:colOff>0</xdr:colOff>
      <xdr:row>448</xdr:row>
      <xdr:rowOff>0</xdr:rowOff>
    </xdr:to>
    <xdr:sp macro="" textlink="">
      <xdr:nvSpPr>
        <xdr:cNvPr id="27955" name="Text 143"/>
        <xdr:cNvSpPr txBox="1">
          <a:spLocks noChangeArrowheads="1"/>
        </xdr:cNvSpPr>
      </xdr:nvSpPr>
      <xdr:spPr bwMode="auto">
        <a:xfrm>
          <a:off x="7562850" y="113718975"/>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u="none" strike="noStrike" baseline="0">
              <a:solidFill>
                <a:srgbClr val="000000"/>
              </a:solidFill>
              <a:latin typeface="Arial"/>
              <a:cs typeface="Arial"/>
            </a:rPr>
            <a:t>With 75 mm opening when closed.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876300"/>
          <a:ext cx="30194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u="none" strike="noStrike" baseline="0">
              <a:solidFill>
                <a:srgbClr val="000000"/>
              </a:solidFill>
              <a:latin typeface="Arial"/>
              <a:cs typeface="Arial"/>
            </a:rPr>
            <a:t>in first floor </a:t>
          </a:r>
          <a:r>
            <a:rPr lang="en-US" sz="1200" b="0" i="0" u="none" strike="noStrike" baseline="0">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876300"/>
          <a:ext cx="30194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suspended floors, roofs, girders, cantilevers,  staircases, landings,  balconies,   bands, copings, bed plates, anchor blocks, sills, and beams etc. </a:t>
          </a:r>
          <a:r>
            <a:rPr lang="en-US" sz="1200" b="1" i="1" u="none" strike="noStrike" baseline="0">
              <a:solidFill>
                <a:srgbClr val="000000"/>
              </a:solidFill>
              <a:latin typeface="Arial"/>
              <a:cs typeface="Arial"/>
            </a:rPr>
            <a:t>in first floor</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a:t>
          </a:r>
          <a:r>
            <a:rPr lang="en-US" sz="1200" b="1" i="1" u="none" strike="noStrike" baseline="0">
              <a:solidFill>
                <a:srgbClr val="000000"/>
              </a:solidFill>
              <a:latin typeface="Arial"/>
              <a:cs typeface="Arial"/>
            </a:rPr>
            <a:t>in first floor</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876300"/>
          <a:ext cx="31337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876300"/>
          <a:ext cx="31051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876300"/>
          <a:ext cx="30194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u="none" strike="noStrike" baseline="0">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876300"/>
          <a:ext cx="31337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87630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8763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876300"/>
          <a:ext cx="31146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u="none" strike="noStrike" baseline="0">
              <a:solidFill>
                <a:srgbClr val="000000"/>
              </a:solidFill>
              <a:latin typeface="Arial"/>
              <a:cs typeface="Arial"/>
            </a:rPr>
            <a:t> (a) Steel windows Partly fixed and  Partly Openable (fixed area not to exceed 33%).</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876300"/>
          <a:ext cx="31146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u="none" strike="noStrike" baseline="0">
              <a:solidFill>
                <a:srgbClr val="000000"/>
              </a:solidFill>
              <a:latin typeface="Arial"/>
              <a:cs typeface="Arial"/>
            </a:rPr>
            <a:t>150mm Dai nominal bore.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8763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u="none" strike="noStrike" baseline="0">
              <a:solidFill>
                <a:srgbClr val="000000"/>
              </a:solidFill>
              <a:latin typeface="Arial"/>
              <a:cs typeface="Arial"/>
            </a:rPr>
            <a:t>7.5 H.P., Head (M)34-55, Discharge 35-20 cum/Hr. </a:t>
          </a:r>
        </a:p>
      </xdr:txBody>
    </xdr:sp>
    <xdr:clientData/>
  </xdr:twoCellAnchor>
  <xdr:twoCellAnchor>
    <xdr:from>
      <xdr:col>1</xdr:col>
      <xdr:colOff>9525</xdr:colOff>
      <xdr:row>34</xdr:row>
      <xdr:rowOff>0</xdr:rowOff>
    </xdr:from>
    <xdr:to>
      <xdr:col>2</xdr:col>
      <xdr:colOff>0</xdr:colOff>
      <xdr:row>34</xdr:row>
      <xdr:rowOff>0</xdr:rowOff>
    </xdr:to>
    <xdr:sp macro="" textlink="">
      <xdr:nvSpPr>
        <xdr:cNvPr id="9247" name="Text 52"/>
        <xdr:cNvSpPr txBox="1">
          <a:spLocks noChangeArrowheads="1"/>
        </xdr:cNvSpPr>
      </xdr:nvSpPr>
      <xdr:spPr bwMode="auto">
        <a:xfrm>
          <a:off x="390525" y="14973300"/>
          <a:ext cx="31146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0</xdr:colOff>
      <xdr:row>22</xdr:row>
      <xdr:rowOff>0</xdr:rowOff>
    </xdr:from>
    <xdr:to>
      <xdr:col>2</xdr:col>
      <xdr:colOff>9525</xdr:colOff>
      <xdr:row>22</xdr:row>
      <xdr:rowOff>0</xdr:rowOff>
    </xdr:to>
    <xdr:sp macro="" textlink="">
      <xdr:nvSpPr>
        <xdr:cNvPr id="9248" name="Text 53"/>
        <xdr:cNvSpPr txBox="1">
          <a:spLocks noChangeArrowheads="1"/>
        </xdr:cNvSpPr>
      </xdr:nvSpPr>
      <xdr:spPr bwMode="auto">
        <a:xfrm>
          <a:off x="381000" y="10591800"/>
          <a:ext cx="31337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 </a:t>
          </a:r>
        </a:p>
      </xdr:txBody>
    </xdr:sp>
    <xdr:clientData/>
  </xdr:twoCellAnchor>
  <xdr:twoCellAnchor>
    <xdr:from>
      <xdr:col>1</xdr:col>
      <xdr:colOff>0</xdr:colOff>
      <xdr:row>39</xdr:row>
      <xdr:rowOff>0</xdr:rowOff>
    </xdr:from>
    <xdr:to>
      <xdr:col>2</xdr:col>
      <xdr:colOff>0</xdr:colOff>
      <xdr:row>39</xdr:row>
      <xdr:rowOff>0</xdr:rowOff>
    </xdr:to>
    <xdr:sp macro="" textlink="">
      <xdr:nvSpPr>
        <xdr:cNvPr id="9249" name="Text 54"/>
        <xdr:cNvSpPr txBox="1">
          <a:spLocks noChangeArrowheads="1"/>
        </xdr:cNvSpPr>
      </xdr:nvSpPr>
      <xdr:spPr bwMode="auto">
        <a:xfrm>
          <a:off x="381000" y="189738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u="none" strike="noStrike" baseline="0">
              <a:solidFill>
                <a:srgbClr val="000000"/>
              </a:solidFill>
              <a:latin typeface="Arial"/>
              <a:cs typeface="Arial"/>
            </a:rPr>
            <a:t>Inside  size300 x 300 mm depth upto 0.5 M &amp; 5 kg CI cover with frame.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39</xdr:row>
      <xdr:rowOff>0</xdr:rowOff>
    </xdr:from>
    <xdr:to>
      <xdr:col>1</xdr:col>
      <xdr:colOff>3019425</xdr:colOff>
      <xdr:row>39</xdr:row>
      <xdr:rowOff>0</xdr:rowOff>
    </xdr:to>
    <xdr:sp macro="" textlink="">
      <xdr:nvSpPr>
        <xdr:cNvPr id="9250" name="Text 55"/>
        <xdr:cNvSpPr txBox="1">
          <a:spLocks noChangeArrowheads="1"/>
        </xdr:cNvSpPr>
      </xdr:nvSpPr>
      <xdr:spPr bwMode="auto">
        <a:xfrm>
          <a:off x="400050" y="18973800"/>
          <a:ext cx="3000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22</xdr:row>
      <xdr:rowOff>0</xdr:rowOff>
    </xdr:from>
    <xdr:to>
      <xdr:col>2</xdr:col>
      <xdr:colOff>0</xdr:colOff>
      <xdr:row>22</xdr:row>
      <xdr:rowOff>0</xdr:rowOff>
    </xdr:to>
    <xdr:sp macro="" textlink="">
      <xdr:nvSpPr>
        <xdr:cNvPr id="9255" name="Text 60"/>
        <xdr:cNvSpPr txBox="1">
          <a:spLocks noChangeArrowheads="1"/>
        </xdr:cNvSpPr>
      </xdr:nvSpPr>
      <xdr:spPr bwMode="auto">
        <a:xfrm>
          <a:off x="381000" y="10591800"/>
          <a:ext cx="31242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u="none" strike="noStrike" baseline="0">
              <a:solidFill>
                <a:srgbClr val="000000"/>
              </a:solidFill>
              <a:latin typeface="Arial"/>
              <a:cs typeface="Arial"/>
            </a:rPr>
            <a:t>Complete as per approved drawing including disposal of surplus earth within a lead of 5o m</a:t>
          </a:r>
        </a:p>
        <a:p>
          <a:pPr algn="l" rtl="0">
            <a:defRPr sz="1000"/>
          </a:pPr>
          <a:r>
            <a:rPr lang="en-US" sz="1200" b="0" i="0" u="none" strike="noStrike" baseline="0">
              <a:solidFill>
                <a:srgbClr val="000000"/>
              </a:solidFill>
              <a:latin typeface="Arial"/>
              <a:cs typeface="Arial"/>
            </a:rPr>
            <a:t>Size 400 X 140 x 150 Cm ( for 50 users)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43</xdr:row>
      <xdr:rowOff>0</xdr:rowOff>
    </xdr:from>
    <xdr:to>
      <xdr:col>2</xdr:col>
      <xdr:colOff>0</xdr:colOff>
      <xdr:row>43</xdr:row>
      <xdr:rowOff>0</xdr:rowOff>
    </xdr:to>
    <xdr:sp macro="" textlink="">
      <xdr:nvSpPr>
        <xdr:cNvPr id="9257" name="Text 27"/>
        <xdr:cNvSpPr txBox="1">
          <a:spLocks noChangeArrowheads="1"/>
        </xdr:cNvSpPr>
      </xdr:nvSpPr>
      <xdr:spPr bwMode="auto">
        <a:xfrm>
          <a:off x="381000" y="23164800"/>
          <a:ext cx="31242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9525</xdr:colOff>
      <xdr:row>45</xdr:row>
      <xdr:rowOff>0</xdr:rowOff>
    </xdr:from>
    <xdr:to>
      <xdr:col>2</xdr:col>
      <xdr:colOff>0</xdr:colOff>
      <xdr:row>45</xdr:row>
      <xdr:rowOff>0</xdr:rowOff>
    </xdr:to>
    <xdr:sp macro="" textlink="">
      <xdr:nvSpPr>
        <xdr:cNvPr id="9258" name="Text 52"/>
        <xdr:cNvSpPr txBox="1">
          <a:spLocks noChangeArrowheads="1"/>
        </xdr:cNvSpPr>
      </xdr:nvSpPr>
      <xdr:spPr bwMode="auto">
        <a:xfrm>
          <a:off x="390525" y="24688800"/>
          <a:ext cx="31146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P/F Sand cast iron  (S.C.I) pipe (IS 1729 mark) of approved make in wall or in floor with MS holder bat clamps in 10 x 10 x 10 cm M-15 grade concrete blocks, joints filled with CM 1:4 with spun yarn including cutting holes and making good the wall : 100 mm dia</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9525</xdr:colOff>
      <xdr:row>50</xdr:row>
      <xdr:rowOff>0</xdr:rowOff>
    </xdr:from>
    <xdr:to>
      <xdr:col>2</xdr:col>
      <xdr:colOff>0</xdr:colOff>
      <xdr:row>50</xdr:row>
      <xdr:rowOff>0</xdr:rowOff>
    </xdr:to>
    <xdr:sp macro="" textlink="">
      <xdr:nvSpPr>
        <xdr:cNvPr id="9259" name="Text 52"/>
        <xdr:cNvSpPr txBox="1">
          <a:spLocks noChangeArrowheads="1"/>
        </xdr:cNvSpPr>
      </xdr:nvSpPr>
      <xdr:spPr bwMode="auto">
        <a:xfrm>
          <a:off x="390525" y="31356300"/>
          <a:ext cx="31146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P/F Sand cast iron  (S.C.I) pipe (IS 1729 mark) of approved make in wall or in floor with MS holder bat clamps in 10 x 10 x 10 cm M-15 grade concrete blocks, joints filled with CM 1:4 with spun yarn including cutting holes and making good the wall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u="none" strike="noStrike" baseline="0">
              <a:solidFill>
                <a:srgbClr val="000000"/>
              </a:solidFill>
              <a:latin typeface="Arial"/>
              <a:cs typeface="Arial"/>
            </a:rPr>
            <a:t> </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752725"/>
          <a:ext cx="360045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u="none" strike="noStrike" baseline="0">
              <a:solidFill>
                <a:srgbClr val="000000"/>
              </a:solidFill>
              <a:latin typeface="Arial"/>
              <a:cs typeface="Arial"/>
            </a:rPr>
            <a:t>Hot rolled deformed (IS : 1139 ), cold twisted (IS : 1786) bars.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838200"/>
          <a:ext cx="30384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u="none" strike="noStrike" baseline="0">
              <a:solidFill>
                <a:srgbClr val="000000"/>
              </a:solidFill>
              <a:latin typeface="Arial"/>
              <a:cs typeface="Arial"/>
            </a:rPr>
            <a:t>in first floor </a:t>
          </a:r>
          <a:r>
            <a:rPr lang="en-US" sz="1200" b="0" i="0" u="none" strike="noStrike" baseline="0">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838200"/>
          <a:ext cx="30384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suspended floors, roofs, girders, cantilevers,  staircases, landings,  balconies,   bands, copings, bed plates, anchor blocks, sills, and beams etc. </a:t>
          </a:r>
          <a:r>
            <a:rPr lang="en-US" sz="1200" b="1" i="1" u="none" strike="noStrike" baseline="0">
              <a:solidFill>
                <a:srgbClr val="000000"/>
              </a:solidFill>
              <a:latin typeface="Arial"/>
              <a:cs typeface="Arial"/>
            </a:rPr>
            <a:t>in first floor</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1:2:4(1:cement, :2- coarse Sand: 4-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a:t>
          </a:r>
          <a:r>
            <a:rPr lang="en-US" sz="1200" b="0" i="1" u="none" strike="noStrike" baseline="0">
              <a:solidFill>
                <a:srgbClr val="000000"/>
              </a:solidFill>
              <a:latin typeface="Arial"/>
              <a:cs typeface="Arial"/>
            </a:rPr>
            <a:t>pillars, columns, piers, abutments, posts and struts etc. </a:t>
          </a:r>
          <a:r>
            <a:rPr lang="en-US" sz="1200" b="1" i="1" u="none" strike="noStrike" baseline="0">
              <a:solidFill>
                <a:srgbClr val="000000"/>
              </a:solidFill>
              <a:latin typeface="Arial"/>
              <a:cs typeface="Arial"/>
            </a:rPr>
            <a:t>in first floor</a:t>
          </a:r>
          <a:r>
            <a:rPr lang="en-US" sz="1200" b="0" i="0" u="none" strike="noStrike" baseline="0">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M-20 grade mix 1:1.5:3 (1:cement, 1.5: coarse Sand: 3- grade stone) aggregate 20 mm nominal size.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u="none" strike="noStrike" baseline="0">
              <a:solidFill>
                <a:srgbClr val="000000"/>
              </a:solidFill>
              <a:latin typeface="Arial"/>
              <a:cs typeface="Arial"/>
            </a:rPr>
            <a:t>M-15 grade mix 1:2:4 (1:cement, 2: coarse Sand 4: grade stone) aggregate 20 mm nominal size.</a:t>
          </a:r>
        </a:p>
        <a:p>
          <a:pPr algn="l" rtl="0">
            <a:defRPr sz="1000"/>
          </a:pPr>
          <a:r>
            <a:rPr lang="en-US" sz="1200" b="0" i="0" u="none" strike="noStrike" baseline="0">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838200"/>
          <a:ext cx="36195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838200"/>
          <a:ext cx="3590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838200"/>
          <a:ext cx="30384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single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u="none" strike="noStrike" baseline="0">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u="none" strike="noStrike" baseline="0">
              <a:solidFill>
                <a:srgbClr val="000000"/>
              </a:solidFill>
              <a:latin typeface="Arial"/>
              <a:cs typeface="Arial"/>
            </a:rPr>
            <a:t>Rajnagar Ist quality with light spots</a:t>
          </a:r>
        </a:p>
        <a:p>
          <a:pPr algn="l" rtl="0">
            <a:defRPr sz="1000"/>
          </a:pPr>
          <a:r>
            <a:rPr lang="en-US" sz="1200" b="0" i="0" u="none" strike="noStrike" baseline="0">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838200"/>
          <a:ext cx="36195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u="none" strike="noStrike" baseline="0">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838200"/>
          <a:ext cx="295275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u="none" strike="noStrike" baseline="0">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8382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fully panelled double</a:t>
          </a:r>
        </a:p>
        <a:p>
          <a:pPr algn="l" rtl="0">
            <a:defRPr sz="1000"/>
          </a:pPr>
          <a:r>
            <a:rPr lang="en-US" sz="1200" b="0" i="0" u="none" strike="noStrike" baseline="0">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838200"/>
          <a:ext cx="360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838200"/>
          <a:ext cx="360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u="none" strike="noStrike" baseline="0">
              <a:solidFill>
                <a:srgbClr val="000000"/>
              </a:solidFill>
              <a:latin typeface="Arial"/>
              <a:cs typeface="Arial"/>
            </a:rPr>
            <a:t> (a) Steel windows Partly fixed and  Partly openable (fixed area not to exceed 33%).</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838200"/>
          <a:ext cx="360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53</xdr:row>
      <xdr:rowOff>9525</xdr:rowOff>
    </xdr:from>
    <xdr:to>
      <xdr:col>2</xdr:col>
      <xdr:colOff>0</xdr:colOff>
      <xdr:row>54</xdr:row>
      <xdr:rowOff>0</xdr:rowOff>
    </xdr:to>
    <xdr:sp macro="" textlink="">
      <xdr:nvSpPr>
        <xdr:cNvPr id="10275" name="Text 65"/>
        <xdr:cNvSpPr txBox="1">
          <a:spLocks noChangeArrowheads="1"/>
        </xdr:cNvSpPr>
      </xdr:nvSpPr>
      <xdr:spPr bwMode="auto">
        <a:xfrm>
          <a:off x="361950" y="14373225"/>
          <a:ext cx="3609975"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838200"/>
          <a:ext cx="30194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u="none" strike="noStrike" baseline="0">
              <a:solidFill>
                <a:srgbClr val="000000"/>
              </a:solidFill>
              <a:latin typeface="Arial"/>
              <a:cs typeface="Arial"/>
            </a:rPr>
            <a:t>150mm dia nominal bore.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838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u="none" strike="noStrike" baseline="0">
              <a:solidFill>
                <a:srgbClr val="000000"/>
              </a:solidFill>
              <a:latin typeface="Arial"/>
              <a:cs typeface="Arial"/>
            </a:rPr>
            <a:t>7.5 H.P., Head (M)34-55, Discharge 35-20 cum/Hr. </a:t>
          </a:r>
        </a:p>
      </xdr:txBody>
    </xdr:sp>
    <xdr:clientData/>
  </xdr:twoCellAnchor>
  <xdr:twoCellAnchor>
    <xdr:from>
      <xdr:col>1</xdr:col>
      <xdr:colOff>19050</xdr:colOff>
      <xdr:row>72</xdr:row>
      <xdr:rowOff>0</xdr:rowOff>
    </xdr:from>
    <xdr:to>
      <xdr:col>2</xdr:col>
      <xdr:colOff>0</xdr:colOff>
      <xdr:row>72</xdr:row>
      <xdr:rowOff>0</xdr:rowOff>
    </xdr:to>
    <xdr:sp macro="" textlink="">
      <xdr:nvSpPr>
        <xdr:cNvPr id="10280" name="Text 74"/>
        <xdr:cNvSpPr txBox="1">
          <a:spLocks noChangeArrowheads="1"/>
        </xdr:cNvSpPr>
      </xdr:nvSpPr>
      <xdr:spPr bwMode="auto">
        <a:xfrm>
          <a:off x="381000" y="21412200"/>
          <a:ext cx="359092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72</xdr:row>
      <xdr:rowOff>0</xdr:rowOff>
    </xdr:from>
    <xdr:to>
      <xdr:col>1</xdr:col>
      <xdr:colOff>3019425</xdr:colOff>
      <xdr:row>72</xdr:row>
      <xdr:rowOff>0</xdr:rowOff>
    </xdr:to>
    <xdr:sp macro="" textlink="">
      <xdr:nvSpPr>
        <xdr:cNvPr id="10281" name="Text 76"/>
        <xdr:cNvSpPr txBox="1">
          <a:spLocks noChangeArrowheads="1"/>
        </xdr:cNvSpPr>
      </xdr:nvSpPr>
      <xdr:spPr bwMode="auto">
        <a:xfrm>
          <a:off x="361950" y="21412200"/>
          <a:ext cx="30194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u="none" strike="noStrike" baseline="0">
              <a:solidFill>
                <a:srgbClr val="000000"/>
              </a:solidFill>
              <a:latin typeface="Arial"/>
              <a:cs typeface="Arial"/>
            </a:rPr>
            <a:t>Inside  size300 x 300 mm depth upto 0.5 M &amp; 5 kg CI cover with frame.</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81</xdr:row>
      <xdr:rowOff>0</xdr:rowOff>
    </xdr:from>
    <xdr:to>
      <xdr:col>2</xdr:col>
      <xdr:colOff>0</xdr:colOff>
      <xdr:row>81</xdr:row>
      <xdr:rowOff>0</xdr:rowOff>
    </xdr:to>
    <xdr:sp macro="" textlink="">
      <xdr:nvSpPr>
        <xdr:cNvPr id="10282" name="Text 60"/>
        <xdr:cNvSpPr txBox="1">
          <a:spLocks noChangeArrowheads="1"/>
        </xdr:cNvSpPr>
      </xdr:nvSpPr>
      <xdr:spPr bwMode="auto">
        <a:xfrm>
          <a:off x="361950" y="26174700"/>
          <a:ext cx="36099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u="none" strike="noStrike" baseline="0">
              <a:solidFill>
                <a:srgbClr val="000000"/>
              </a:solidFill>
              <a:latin typeface="Arial"/>
              <a:cs typeface="Arial"/>
            </a:rPr>
            <a:t>Complete as per approved drawing including disposal of surplus earth within a lead of 5o m</a:t>
          </a:r>
        </a:p>
        <a:p>
          <a:pPr algn="l" rtl="0">
            <a:defRPr sz="1000"/>
          </a:pPr>
          <a:r>
            <a:rPr lang="en-US" sz="1200" b="0" i="0" u="none" strike="noStrike" baseline="0">
              <a:solidFill>
                <a:srgbClr val="000000"/>
              </a:solidFill>
              <a:latin typeface="Arial"/>
              <a:cs typeface="Arial"/>
            </a:rPr>
            <a:t>Size 400 X 140 x 150 Cm ( for 50 users)</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0</xdr:colOff>
      <xdr:row>83</xdr:row>
      <xdr:rowOff>0</xdr:rowOff>
    </xdr:from>
    <xdr:to>
      <xdr:col>2</xdr:col>
      <xdr:colOff>0</xdr:colOff>
      <xdr:row>83</xdr:row>
      <xdr:rowOff>0</xdr:rowOff>
    </xdr:to>
    <xdr:sp macro="" textlink="">
      <xdr:nvSpPr>
        <xdr:cNvPr id="10283" name="Text 27"/>
        <xdr:cNvSpPr txBox="1">
          <a:spLocks noChangeArrowheads="1"/>
        </xdr:cNvSpPr>
      </xdr:nvSpPr>
      <xdr:spPr bwMode="auto">
        <a:xfrm>
          <a:off x="361950" y="26746200"/>
          <a:ext cx="36099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u="none" strike="noStrike" baseline="0">
            <a:solidFill>
              <a:srgbClr val="000000"/>
            </a:solidFill>
            <a:latin typeface="Arial"/>
            <a:cs typeface="Arial"/>
          </a:endParaRPr>
        </a:p>
      </xdr:txBody>
    </xdr:sp>
    <xdr:clientData/>
  </xdr:twoCellAnchor>
  <xdr:twoCellAnchor>
    <xdr:from>
      <xdr:col>1</xdr:col>
      <xdr:colOff>9525</xdr:colOff>
      <xdr:row>84</xdr:row>
      <xdr:rowOff>0</xdr:rowOff>
    </xdr:from>
    <xdr:to>
      <xdr:col>2</xdr:col>
      <xdr:colOff>0</xdr:colOff>
      <xdr:row>84</xdr:row>
      <xdr:rowOff>0</xdr:rowOff>
    </xdr:to>
    <xdr:sp macro="" textlink="">
      <xdr:nvSpPr>
        <xdr:cNvPr id="10284" name="Text 52"/>
        <xdr:cNvSpPr txBox="1">
          <a:spLocks noChangeArrowheads="1"/>
        </xdr:cNvSpPr>
      </xdr:nvSpPr>
      <xdr:spPr bwMode="auto">
        <a:xfrm>
          <a:off x="371475" y="26936700"/>
          <a:ext cx="360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P/F Sand cast iron  (S.C.I) pipe (IS 1729 mark) of approved make in wall or in floor with MS holder bat clamps in 10 x 10 x 10 cm M-15 grade concrete blocks, joints filled with CM 1:4 with spun yarn including cutting holes and making good the wall : 100 mm dia</a:t>
          </a:r>
        </a:p>
        <a:p>
          <a:pPr algn="l" rtl="0">
            <a:defRPr sz="1000"/>
          </a:pPr>
          <a:endParaRPr lang="en-US" sz="1200" b="0"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66"/>
  <sheetViews>
    <sheetView zoomScaleNormal="100" workbookViewId="0"/>
    <sheetView workbookViewId="1"/>
    <sheetView workbookViewId="2">
      <selection activeCell="D8" sqref="D8"/>
    </sheetView>
  </sheetViews>
  <sheetFormatPr defaultRowHeight="15" x14ac:dyDescent="0.2"/>
  <cols>
    <col min="1" max="1" width="3.44140625" style="11" customWidth="1"/>
    <col min="2" max="2" width="22.5546875" style="11" customWidth="1"/>
    <col min="3" max="3" width="1.5546875" style="122" customWidth="1"/>
    <col min="4" max="4" width="37" style="11" customWidth="1"/>
    <col min="5" max="16384" width="8.88671875" style="48"/>
  </cols>
  <sheetData>
    <row r="1" spans="1:4" ht="36" x14ac:dyDescent="0.2">
      <c r="A1" s="60" t="str">
        <f>'gen-abstract'!A2</f>
        <v xml:space="preserve">NAME OF WORK :- Construction of Additional Session Judge Bungalow at Nathdwara </v>
      </c>
      <c r="B1" s="93"/>
      <c r="C1" s="119"/>
      <c r="D1" s="120"/>
    </row>
    <row r="2" spans="1:4" ht="18" x14ac:dyDescent="0.2">
      <c r="B2" s="121"/>
      <c r="D2" s="57"/>
    </row>
    <row r="3" spans="1:4" ht="15.75" x14ac:dyDescent="0.25">
      <c r="A3" s="53" t="s">
        <v>277</v>
      </c>
      <c r="B3" s="3"/>
      <c r="C3" s="123"/>
      <c r="D3" s="14"/>
    </row>
    <row r="5" spans="1:4" ht="30" x14ac:dyDescent="0.2">
      <c r="A5" s="58" t="s">
        <v>278</v>
      </c>
      <c r="B5"/>
      <c r="C5" s="123" t="s">
        <v>279</v>
      </c>
      <c r="D5" s="63" t="s">
        <v>398</v>
      </c>
    </row>
    <row r="6" spans="1:4" ht="15.75" x14ac:dyDescent="0.2">
      <c r="A6" s="58"/>
      <c r="B6"/>
      <c r="C6" s="123"/>
      <c r="D6" s="55"/>
    </row>
    <row r="7" spans="1:4" ht="15.75" x14ac:dyDescent="0.2">
      <c r="A7" s="58" t="s">
        <v>280</v>
      </c>
      <c r="B7"/>
      <c r="C7" s="123" t="s">
        <v>279</v>
      </c>
      <c r="D7" s="20"/>
    </row>
    <row r="8" spans="1:4" ht="15.75" x14ac:dyDescent="0.2">
      <c r="A8" s="58"/>
      <c r="B8"/>
      <c r="C8" s="123"/>
      <c r="D8" s="20"/>
    </row>
    <row r="9" spans="1:4" ht="30" x14ac:dyDescent="0.2">
      <c r="A9" s="58" t="s">
        <v>281</v>
      </c>
      <c r="B9"/>
      <c r="C9" s="123" t="s">
        <v>279</v>
      </c>
      <c r="D9" s="20" t="s">
        <v>399</v>
      </c>
    </row>
    <row r="10" spans="1:4" ht="15.75" x14ac:dyDescent="0.2">
      <c r="A10" s="124"/>
      <c r="B10"/>
      <c r="C10" s="123"/>
      <c r="D10" s="20"/>
    </row>
    <row r="11" spans="1:4" ht="60" x14ac:dyDescent="0.2">
      <c r="A11" s="125" t="s">
        <v>282</v>
      </c>
      <c r="B11"/>
      <c r="C11" s="123" t="s">
        <v>279</v>
      </c>
      <c r="D11" s="20" t="s">
        <v>283</v>
      </c>
    </row>
    <row r="12" spans="1:4" x14ac:dyDescent="0.2">
      <c r="B12" s="208" t="s">
        <v>406</v>
      </c>
      <c r="C12" s="208"/>
      <c r="D12" s="208"/>
    </row>
    <row r="13" spans="1:4" x14ac:dyDescent="0.2">
      <c r="B13" s="126" t="s">
        <v>284</v>
      </c>
      <c r="C13" s="123" t="s">
        <v>279</v>
      </c>
      <c r="D13" s="20" t="s">
        <v>400</v>
      </c>
    </row>
    <row r="14" spans="1:4" x14ac:dyDescent="0.2">
      <c r="B14" s="126"/>
      <c r="C14" s="123"/>
      <c r="D14" s="127"/>
    </row>
    <row r="15" spans="1:4" ht="30" x14ac:dyDescent="0.2">
      <c r="B15" s="54" t="s">
        <v>285</v>
      </c>
      <c r="C15" s="123" t="s">
        <v>279</v>
      </c>
      <c r="D15" s="20" t="s">
        <v>286</v>
      </c>
    </row>
    <row r="16" spans="1:4" x14ac:dyDescent="0.2">
      <c r="B16" s="10"/>
      <c r="C16" s="123"/>
      <c r="D16" s="56"/>
    </row>
    <row r="17" spans="2:4" x14ac:dyDescent="0.2">
      <c r="B17" s="54" t="s">
        <v>287</v>
      </c>
      <c r="C17" s="123" t="s">
        <v>279</v>
      </c>
      <c r="D17" s="63" t="s">
        <v>401</v>
      </c>
    </row>
    <row r="18" spans="2:4" x14ac:dyDescent="0.2">
      <c r="B18" s="10"/>
      <c r="C18" s="123"/>
      <c r="D18" s="56"/>
    </row>
    <row r="19" spans="2:4" ht="30" x14ac:dyDescent="0.2">
      <c r="B19" s="10" t="s">
        <v>288</v>
      </c>
      <c r="C19" s="123" t="s">
        <v>279</v>
      </c>
      <c r="D19" s="20" t="s">
        <v>289</v>
      </c>
    </row>
    <row r="20" spans="2:4" x14ac:dyDescent="0.2">
      <c r="B20" s="10"/>
      <c r="C20" s="123"/>
      <c r="D20" s="20"/>
    </row>
    <row r="21" spans="2:4" x14ac:dyDescent="0.2">
      <c r="B21" s="10" t="s">
        <v>290</v>
      </c>
      <c r="C21" s="123" t="s">
        <v>279</v>
      </c>
      <c r="D21" s="127" t="s">
        <v>402</v>
      </c>
    </row>
    <row r="22" spans="2:4" x14ac:dyDescent="0.2">
      <c r="B22" s="10"/>
      <c r="C22" s="123"/>
      <c r="D22" s="127"/>
    </row>
    <row r="23" spans="2:4" ht="30" x14ac:dyDescent="0.2">
      <c r="B23" s="54" t="s">
        <v>291</v>
      </c>
      <c r="C23" s="123" t="s">
        <v>279</v>
      </c>
      <c r="D23" s="20" t="s">
        <v>292</v>
      </c>
    </row>
    <row r="24" spans="2:4" x14ac:dyDescent="0.2">
      <c r="B24" s="10"/>
      <c r="C24" s="123"/>
      <c r="D24" s="56"/>
    </row>
    <row r="25" spans="2:4" ht="30" x14ac:dyDescent="0.2">
      <c r="B25" s="54" t="s">
        <v>293</v>
      </c>
      <c r="C25" s="123" t="s">
        <v>279</v>
      </c>
      <c r="D25" s="63" t="s">
        <v>430</v>
      </c>
    </row>
    <row r="26" spans="2:4" x14ac:dyDescent="0.2">
      <c r="B26" s="54"/>
      <c r="C26" s="123"/>
      <c r="D26" s="20"/>
    </row>
    <row r="27" spans="2:4" x14ac:dyDescent="0.2">
      <c r="B27" s="54" t="s">
        <v>294</v>
      </c>
      <c r="C27" s="198" t="s">
        <v>329</v>
      </c>
      <c r="D27" s="63"/>
    </row>
    <row r="28" spans="2:4" s="11" customFormat="1" ht="60.75" x14ac:dyDescent="0.2">
      <c r="B28" s="128"/>
      <c r="D28" s="197" t="s">
        <v>403</v>
      </c>
    </row>
    <row r="29" spans="2:4" s="11" customFormat="1" ht="45.75" x14ac:dyDescent="0.2">
      <c r="B29" s="59"/>
      <c r="D29" s="197" t="s">
        <v>404</v>
      </c>
    </row>
    <row r="30" spans="2:4" s="11" customFormat="1" ht="45.75" x14ac:dyDescent="0.2">
      <c r="B30" s="59"/>
      <c r="D30" s="197" t="s">
        <v>405</v>
      </c>
    </row>
    <row r="31" spans="2:4" s="11" customFormat="1" ht="15.75" x14ac:dyDescent="0.25">
      <c r="C31" s="68" t="s">
        <v>330</v>
      </c>
    </row>
    <row r="32" spans="2:4" s="11" customFormat="1" ht="60.75" x14ac:dyDescent="0.2">
      <c r="B32" s="59"/>
      <c r="D32" s="197" t="s">
        <v>403</v>
      </c>
    </row>
    <row r="33" spans="1:4" s="11" customFormat="1" ht="45.75" x14ac:dyDescent="0.2">
      <c r="B33" s="59"/>
      <c r="D33" s="197" t="s">
        <v>405</v>
      </c>
    </row>
    <row r="34" spans="1:4" x14ac:dyDescent="0.2">
      <c r="B34" s="85"/>
      <c r="C34" s="123"/>
      <c r="D34" s="20"/>
    </row>
    <row r="35" spans="1:4" ht="60" x14ac:dyDescent="0.2">
      <c r="B35" s="54" t="s">
        <v>295</v>
      </c>
      <c r="C35" s="123" t="s">
        <v>279</v>
      </c>
      <c r="D35" s="63" t="s">
        <v>408</v>
      </c>
    </row>
    <row r="36" spans="1:4" x14ac:dyDescent="0.2">
      <c r="B36" s="10"/>
      <c r="C36" s="123"/>
      <c r="D36" s="63"/>
    </row>
    <row r="37" spans="1:4" ht="45" x14ac:dyDescent="0.2">
      <c r="B37" s="54" t="s">
        <v>296</v>
      </c>
      <c r="C37" s="123" t="s">
        <v>279</v>
      </c>
      <c r="D37" s="20" t="s">
        <v>407</v>
      </c>
    </row>
    <row r="38" spans="1:4" x14ac:dyDescent="0.2">
      <c r="B38" s="10"/>
      <c r="C38" s="123"/>
      <c r="D38" s="20"/>
    </row>
    <row r="39" spans="1:4" ht="90" x14ac:dyDescent="0.2">
      <c r="B39" s="54" t="s">
        <v>297</v>
      </c>
      <c r="C39" s="123" t="s">
        <v>279</v>
      </c>
      <c r="D39" s="63" t="s">
        <v>21</v>
      </c>
    </row>
    <row r="40" spans="1:4" x14ac:dyDescent="0.2">
      <c r="B40" s="10"/>
      <c r="C40" s="123"/>
      <c r="D40" s="56"/>
    </row>
    <row r="41" spans="1:4" ht="60" x14ac:dyDescent="0.2">
      <c r="B41" s="54" t="s">
        <v>298</v>
      </c>
      <c r="C41" s="123" t="s">
        <v>279</v>
      </c>
      <c r="D41" s="63" t="s">
        <v>431</v>
      </c>
    </row>
    <row r="42" spans="1:4" x14ac:dyDescent="0.2">
      <c r="B42" s="10"/>
      <c r="C42" s="123"/>
      <c r="D42" s="56"/>
    </row>
    <row r="43" spans="1:4" x14ac:dyDescent="0.2">
      <c r="A43" s="48"/>
      <c r="B43" s="130" t="s">
        <v>299</v>
      </c>
      <c r="C43" s="123" t="s">
        <v>279</v>
      </c>
      <c r="D43" s="56" t="s">
        <v>300</v>
      </c>
    </row>
    <row r="44" spans="1:4" ht="15.75" x14ac:dyDescent="0.2">
      <c r="A44" s="125"/>
      <c r="B44"/>
      <c r="C44" s="123"/>
      <c r="D44" s="56"/>
    </row>
    <row r="45" spans="1:4" x14ac:dyDescent="0.2">
      <c r="B45" s="208" t="s">
        <v>409</v>
      </c>
      <c r="C45" s="208"/>
      <c r="D45" s="208"/>
    </row>
    <row r="46" spans="1:4" x14ac:dyDescent="0.2">
      <c r="B46" s="126" t="s">
        <v>284</v>
      </c>
      <c r="C46" s="123" t="s">
        <v>279</v>
      </c>
      <c r="D46" s="20" t="s">
        <v>411</v>
      </c>
    </row>
    <row r="47" spans="1:4" x14ac:dyDescent="0.2">
      <c r="B47" s="126"/>
      <c r="C47" s="123"/>
      <c r="D47" s="127"/>
    </row>
    <row r="48" spans="1:4" ht="30" x14ac:dyDescent="0.2">
      <c r="B48" s="54" t="s">
        <v>285</v>
      </c>
      <c r="C48" s="123" t="s">
        <v>279</v>
      </c>
      <c r="D48" s="20" t="s">
        <v>410</v>
      </c>
    </row>
    <row r="49" spans="2:4" x14ac:dyDescent="0.2">
      <c r="B49" s="10"/>
      <c r="C49" s="123"/>
      <c r="D49" s="56"/>
    </row>
    <row r="50" spans="2:4" ht="30" x14ac:dyDescent="0.2">
      <c r="B50" s="10" t="s">
        <v>413</v>
      </c>
      <c r="C50" s="123" t="s">
        <v>279</v>
      </c>
      <c r="D50" s="20" t="s">
        <v>412</v>
      </c>
    </row>
    <row r="51" spans="2:4" x14ac:dyDescent="0.2">
      <c r="B51" s="10"/>
      <c r="C51" s="123"/>
      <c r="D51" s="20"/>
    </row>
    <row r="52" spans="2:4" x14ac:dyDescent="0.2">
      <c r="B52" s="85"/>
      <c r="C52" s="123"/>
      <c r="D52" s="20"/>
    </row>
    <row r="53" spans="2:4" ht="60" x14ac:dyDescent="0.2">
      <c r="B53" s="54" t="s">
        <v>414</v>
      </c>
      <c r="C53" s="123" t="s">
        <v>279</v>
      </c>
      <c r="D53" s="63" t="s">
        <v>408</v>
      </c>
    </row>
    <row r="54" spans="2:4" x14ac:dyDescent="0.2">
      <c r="B54" s="10"/>
      <c r="C54" s="123"/>
      <c r="D54" s="63"/>
    </row>
    <row r="55" spans="2:4" ht="45" x14ac:dyDescent="0.2">
      <c r="B55" s="55" t="s">
        <v>415</v>
      </c>
      <c r="C55" s="123" t="s">
        <v>279</v>
      </c>
      <c r="D55" s="63" t="s">
        <v>416</v>
      </c>
    </row>
    <row r="56" spans="2:4" s="11" customFormat="1" ht="15.75" x14ac:dyDescent="0.25">
      <c r="B56" s="209" t="s">
        <v>417</v>
      </c>
      <c r="C56" s="209"/>
      <c r="D56" s="209"/>
    </row>
    <row r="57" spans="2:4" x14ac:dyDescent="0.2">
      <c r="B57" s="126" t="s">
        <v>284</v>
      </c>
      <c r="C57" s="123" t="s">
        <v>279</v>
      </c>
      <c r="D57" s="20" t="s">
        <v>411</v>
      </c>
    </row>
    <row r="58" spans="2:4" x14ac:dyDescent="0.2">
      <c r="B58" s="126"/>
      <c r="C58" s="123"/>
      <c r="D58" s="127"/>
    </row>
    <row r="59" spans="2:4" ht="30" x14ac:dyDescent="0.2">
      <c r="B59" s="54" t="s">
        <v>285</v>
      </c>
      <c r="C59" s="123" t="s">
        <v>279</v>
      </c>
      <c r="D59" s="20" t="s">
        <v>286</v>
      </c>
    </row>
    <row r="60" spans="2:4" x14ac:dyDescent="0.2">
      <c r="B60" s="10"/>
      <c r="C60" s="123"/>
      <c r="D60" s="56"/>
    </row>
    <row r="61" spans="2:4" x14ac:dyDescent="0.2">
      <c r="B61" s="10" t="s">
        <v>418</v>
      </c>
      <c r="C61" s="123" t="s">
        <v>279</v>
      </c>
      <c r="D61" s="127" t="s">
        <v>402</v>
      </c>
    </row>
    <row r="62" spans="2:4" x14ac:dyDescent="0.2">
      <c r="B62" s="10"/>
      <c r="C62" s="123"/>
      <c r="D62" s="56"/>
    </row>
    <row r="63" spans="2:4" ht="30" x14ac:dyDescent="0.2">
      <c r="B63" s="54" t="s">
        <v>419</v>
      </c>
      <c r="C63" s="123" t="s">
        <v>279</v>
      </c>
      <c r="D63" s="63" t="s">
        <v>430</v>
      </c>
    </row>
    <row r="64" spans="2:4" x14ac:dyDescent="0.2">
      <c r="B64" s="54"/>
      <c r="C64" s="123"/>
      <c r="D64" s="20"/>
    </row>
    <row r="65" spans="1:4" ht="45" x14ac:dyDescent="0.2">
      <c r="B65" s="55" t="s">
        <v>420</v>
      </c>
      <c r="C65" s="198"/>
      <c r="D65" s="56" t="s">
        <v>432</v>
      </c>
    </row>
    <row r="66" spans="1:4" ht="15.75" x14ac:dyDescent="0.2">
      <c r="A66" s="125" t="s">
        <v>301</v>
      </c>
      <c r="B66"/>
      <c r="C66" s="123" t="s">
        <v>279</v>
      </c>
      <c r="D66" s="56"/>
    </row>
    <row r="67" spans="1:4" ht="31.5" x14ac:dyDescent="0.2">
      <c r="B67" s="56" t="s">
        <v>329</v>
      </c>
      <c r="C67" s="123"/>
      <c r="D67" s="199" t="s">
        <v>421</v>
      </c>
    </row>
    <row r="68" spans="1:4" ht="120" x14ac:dyDescent="0.2">
      <c r="B68" s="10"/>
      <c r="C68" s="123"/>
      <c r="D68" s="170" t="s">
        <v>433</v>
      </c>
    </row>
    <row r="69" spans="1:4" ht="15.75" x14ac:dyDescent="0.2">
      <c r="A69" s="125"/>
      <c r="B69" s="129"/>
      <c r="C69" s="123"/>
      <c r="D69" s="56"/>
    </row>
    <row r="70" spans="1:4" ht="31.5" x14ac:dyDescent="0.2">
      <c r="B70" s="56" t="s">
        <v>422</v>
      </c>
      <c r="C70" s="123"/>
      <c r="D70" s="199" t="s">
        <v>423</v>
      </c>
    </row>
    <row r="71" spans="1:4" ht="120" x14ac:dyDescent="0.2">
      <c r="B71" s="10"/>
      <c r="C71" s="123"/>
      <c r="D71" s="170" t="s">
        <v>434</v>
      </c>
    </row>
    <row r="72" spans="1:4" x14ac:dyDescent="0.2">
      <c r="B72" s="10"/>
      <c r="C72" s="123"/>
      <c r="D72" s="63"/>
    </row>
    <row r="73" spans="1:4" ht="60" x14ac:dyDescent="0.2">
      <c r="B73" s="56" t="s">
        <v>409</v>
      </c>
      <c r="C73" s="123"/>
      <c r="D73" s="199" t="s">
        <v>424</v>
      </c>
    </row>
    <row r="74" spans="1:4" x14ac:dyDescent="0.2">
      <c r="B74" s="10"/>
      <c r="C74" s="123"/>
      <c r="D74" s="170"/>
    </row>
    <row r="75" spans="1:4" ht="75" x14ac:dyDescent="0.2">
      <c r="B75" s="56" t="s">
        <v>425</v>
      </c>
      <c r="C75" s="123"/>
      <c r="D75" s="183" t="s">
        <v>426</v>
      </c>
    </row>
    <row r="76" spans="1:4" x14ac:dyDescent="0.2">
      <c r="B76" s="56"/>
      <c r="C76" s="123"/>
      <c r="D76" s="199"/>
    </row>
    <row r="77" spans="1:4" ht="45" x14ac:dyDescent="0.2">
      <c r="B77" s="56" t="s">
        <v>427</v>
      </c>
      <c r="C77" s="123"/>
      <c r="D77" s="183" t="s">
        <v>428</v>
      </c>
    </row>
    <row r="78" spans="1:4" x14ac:dyDescent="0.2">
      <c r="B78" s="56"/>
      <c r="C78" s="123"/>
      <c r="D78" s="199"/>
    </row>
    <row r="79" spans="1:4" ht="45" x14ac:dyDescent="0.2">
      <c r="B79" s="56" t="s">
        <v>435</v>
      </c>
      <c r="C79" s="123"/>
      <c r="D79" s="183" t="s">
        <v>429</v>
      </c>
    </row>
    <row r="80" spans="1:4" x14ac:dyDescent="0.2">
      <c r="B80" s="56"/>
      <c r="C80" s="123"/>
      <c r="D80" s="199"/>
    </row>
    <row r="81" spans="1:4" ht="30" x14ac:dyDescent="0.2">
      <c r="A81" s="125" t="s">
        <v>302</v>
      </c>
      <c r="B81"/>
      <c r="C81" s="123" t="s">
        <v>279</v>
      </c>
      <c r="D81" s="20" t="s">
        <v>22</v>
      </c>
    </row>
    <row r="82" spans="1:4" ht="15.75" x14ac:dyDescent="0.2">
      <c r="A82" s="125"/>
      <c r="B82"/>
      <c r="C82" s="123"/>
      <c r="D82" s="56"/>
    </row>
    <row r="83" spans="1:4" ht="75" x14ac:dyDescent="0.2">
      <c r="A83" s="125" t="s">
        <v>303</v>
      </c>
      <c r="B83"/>
      <c r="C83" s="123" t="s">
        <v>279</v>
      </c>
      <c r="D83" s="169" t="s">
        <v>397</v>
      </c>
    </row>
    <row r="84" spans="1:4" ht="15.75" x14ac:dyDescent="0.2">
      <c r="A84" s="125"/>
      <c r="B84"/>
      <c r="C84" s="123"/>
      <c r="D84" s="20"/>
    </row>
    <row r="85" spans="1:4" ht="15.75" x14ac:dyDescent="0.2">
      <c r="A85" s="58" t="s">
        <v>304</v>
      </c>
      <c r="B85"/>
      <c r="C85" s="123" t="s">
        <v>279</v>
      </c>
      <c r="D85" s="20" t="s">
        <v>305</v>
      </c>
    </row>
    <row r="87" spans="1:4" ht="30" x14ac:dyDescent="0.2">
      <c r="A87" s="58" t="s">
        <v>436</v>
      </c>
      <c r="B87"/>
      <c r="C87" s="123" t="s">
        <v>279</v>
      </c>
      <c r="D87" s="200" t="s">
        <v>0</v>
      </c>
    </row>
    <row r="90" spans="1:4" s="162" customFormat="1" ht="15.75" x14ac:dyDescent="0.25">
      <c r="A90" s="108" t="s">
        <v>328</v>
      </c>
      <c r="C90" s="108"/>
      <c r="D90" s="163" t="s">
        <v>327</v>
      </c>
    </row>
    <row r="91" spans="1:4" s="162" customFormat="1" ht="15.75" x14ac:dyDescent="0.25">
      <c r="A91" s="108" t="s">
        <v>16</v>
      </c>
      <c r="C91" s="108"/>
      <c r="D91" s="163" t="s">
        <v>396</v>
      </c>
    </row>
    <row r="92" spans="1:4" ht="15.75" x14ac:dyDescent="0.2">
      <c r="D92" s="80"/>
    </row>
    <row r="93" spans="1:4" x14ac:dyDescent="0.2">
      <c r="A93" s="48"/>
      <c r="B93" s="48"/>
      <c r="C93" s="131"/>
      <c r="D93" s="48"/>
    </row>
    <row r="94" spans="1:4" x14ac:dyDescent="0.2">
      <c r="A94" s="48"/>
      <c r="B94" s="48"/>
      <c r="C94" s="131"/>
      <c r="D94" s="48"/>
    </row>
    <row r="95" spans="1:4" x14ac:dyDescent="0.2">
      <c r="A95" s="48"/>
      <c r="B95" s="48"/>
      <c r="C95" s="131"/>
      <c r="D95" s="48"/>
    </row>
    <row r="96" spans="1:4" x14ac:dyDescent="0.2">
      <c r="A96" s="48"/>
      <c r="B96" s="48"/>
      <c r="C96" s="131"/>
      <c r="D96" s="48"/>
    </row>
    <row r="97" spans="1:4" x14ac:dyDescent="0.2">
      <c r="A97" s="48"/>
      <c r="B97" s="48"/>
      <c r="C97" s="131"/>
      <c r="D97" s="48"/>
    </row>
    <row r="98" spans="1:4" x14ac:dyDescent="0.2">
      <c r="A98" s="48"/>
      <c r="B98" s="48"/>
      <c r="C98" s="131"/>
      <c r="D98" s="48"/>
    </row>
    <row r="99" spans="1:4" x14ac:dyDescent="0.2">
      <c r="A99" s="48"/>
      <c r="B99" s="48"/>
      <c r="C99" s="131"/>
      <c r="D99" s="48"/>
    </row>
    <row r="100" spans="1:4" x14ac:dyDescent="0.2">
      <c r="A100" s="48"/>
      <c r="B100" s="48"/>
      <c r="C100" s="131"/>
      <c r="D100" s="48"/>
    </row>
    <row r="101" spans="1:4" x14ac:dyDescent="0.2">
      <c r="A101" s="48"/>
      <c r="B101" s="48"/>
      <c r="C101" s="131"/>
      <c r="D101" s="48"/>
    </row>
    <row r="102" spans="1:4" x14ac:dyDescent="0.2">
      <c r="A102" s="48"/>
      <c r="B102" s="48"/>
      <c r="C102" s="131"/>
      <c r="D102" s="48"/>
    </row>
    <row r="103" spans="1:4" x14ac:dyDescent="0.2">
      <c r="A103" s="48"/>
      <c r="B103" s="48"/>
      <c r="C103" s="131"/>
      <c r="D103" s="48"/>
    </row>
    <row r="104" spans="1:4" x14ac:dyDescent="0.2">
      <c r="A104" s="48"/>
      <c r="B104" s="48"/>
      <c r="C104" s="131"/>
      <c r="D104" s="48"/>
    </row>
    <row r="105" spans="1:4" x14ac:dyDescent="0.2">
      <c r="A105" s="48"/>
      <c r="B105" s="48"/>
      <c r="C105" s="131"/>
      <c r="D105" s="48"/>
    </row>
    <row r="106" spans="1:4" x14ac:dyDescent="0.2">
      <c r="A106" s="48"/>
      <c r="B106" s="48"/>
      <c r="C106" s="131"/>
      <c r="D106" s="48"/>
    </row>
    <row r="107" spans="1:4" x14ac:dyDescent="0.2">
      <c r="A107" s="48"/>
      <c r="B107" s="48"/>
      <c r="C107" s="131"/>
      <c r="D107" s="48"/>
    </row>
    <row r="108" spans="1:4" x14ac:dyDescent="0.2">
      <c r="A108" s="48"/>
      <c r="B108" s="48"/>
      <c r="C108" s="131"/>
      <c r="D108" s="48"/>
    </row>
    <row r="109" spans="1:4" x14ac:dyDescent="0.2">
      <c r="A109" s="48"/>
      <c r="B109" s="48"/>
      <c r="C109" s="131"/>
      <c r="D109" s="48"/>
    </row>
    <row r="110" spans="1:4" x14ac:dyDescent="0.2">
      <c r="A110" s="48"/>
      <c r="B110" s="48"/>
      <c r="C110" s="131"/>
      <c r="D110" s="48"/>
    </row>
    <row r="111" spans="1:4" x14ac:dyDescent="0.2">
      <c r="A111" s="48"/>
      <c r="B111" s="48"/>
      <c r="C111" s="131"/>
      <c r="D111" s="48"/>
    </row>
    <row r="112" spans="1:4" x14ac:dyDescent="0.2">
      <c r="A112" s="48"/>
      <c r="B112" s="48"/>
      <c r="C112" s="131"/>
      <c r="D112" s="48"/>
    </row>
    <row r="113" spans="1:4" x14ac:dyDescent="0.2">
      <c r="A113" s="48"/>
      <c r="B113" s="48"/>
      <c r="C113" s="131"/>
      <c r="D113" s="48"/>
    </row>
    <row r="114" spans="1:4" x14ac:dyDescent="0.2">
      <c r="A114" s="48"/>
      <c r="B114" s="48"/>
      <c r="C114" s="131"/>
      <c r="D114" s="48"/>
    </row>
    <row r="115" spans="1:4" x14ac:dyDescent="0.2">
      <c r="A115" s="48"/>
      <c r="B115" s="48"/>
      <c r="C115" s="131"/>
      <c r="D115" s="48"/>
    </row>
    <row r="116" spans="1:4" x14ac:dyDescent="0.2">
      <c r="A116" s="48"/>
      <c r="B116" s="48"/>
      <c r="C116" s="131"/>
      <c r="D116" s="48"/>
    </row>
    <row r="117" spans="1:4" x14ac:dyDescent="0.2">
      <c r="A117" s="48"/>
      <c r="B117" s="48"/>
      <c r="C117" s="131"/>
      <c r="D117" s="48"/>
    </row>
    <row r="118" spans="1:4" x14ac:dyDescent="0.2">
      <c r="A118" s="48"/>
      <c r="B118" s="48"/>
      <c r="C118" s="131"/>
      <c r="D118" s="48"/>
    </row>
    <row r="119" spans="1:4" x14ac:dyDescent="0.2">
      <c r="A119" s="48"/>
      <c r="B119" s="48"/>
      <c r="C119" s="131"/>
      <c r="D119" s="48"/>
    </row>
    <row r="120" spans="1:4" x14ac:dyDescent="0.2">
      <c r="A120" s="48"/>
      <c r="B120" s="48"/>
      <c r="C120" s="131"/>
      <c r="D120" s="48"/>
    </row>
    <row r="121" spans="1:4" x14ac:dyDescent="0.2">
      <c r="A121" s="48"/>
      <c r="B121" s="48"/>
      <c r="C121" s="131"/>
      <c r="D121" s="48"/>
    </row>
    <row r="122" spans="1:4" x14ac:dyDescent="0.2">
      <c r="A122" s="48"/>
      <c r="B122" s="48"/>
      <c r="C122" s="131"/>
      <c r="D122" s="48"/>
    </row>
    <row r="123" spans="1:4" x14ac:dyDescent="0.2">
      <c r="A123" s="48"/>
      <c r="B123" s="48"/>
      <c r="C123" s="131"/>
      <c r="D123" s="48"/>
    </row>
    <row r="124" spans="1:4" x14ac:dyDescent="0.2">
      <c r="A124" s="48"/>
      <c r="B124" s="48"/>
      <c r="C124" s="131"/>
      <c r="D124" s="48"/>
    </row>
    <row r="125" spans="1:4" x14ac:dyDescent="0.2">
      <c r="A125" s="48"/>
      <c r="B125" s="48"/>
      <c r="C125" s="131"/>
      <c r="D125" s="48"/>
    </row>
    <row r="126" spans="1:4" x14ac:dyDescent="0.2">
      <c r="A126" s="48"/>
      <c r="B126" s="48"/>
      <c r="C126" s="131"/>
      <c r="D126" s="48"/>
    </row>
    <row r="127" spans="1:4" x14ac:dyDescent="0.2">
      <c r="A127" s="48"/>
      <c r="B127" s="48"/>
      <c r="C127" s="131"/>
      <c r="D127" s="48"/>
    </row>
    <row r="128" spans="1:4" x14ac:dyDescent="0.2">
      <c r="A128" s="48"/>
      <c r="B128" s="48"/>
      <c r="C128" s="131"/>
      <c r="D128" s="48"/>
    </row>
    <row r="129" spans="1:4" x14ac:dyDescent="0.2">
      <c r="A129" s="48"/>
      <c r="B129" s="48"/>
      <c r="C129" s="131"/>
      <c r="D129" s="48"/>
    </row>
    <row r="130" spans="1:4" x14ac:dyDescent="0.2">
      <c r="A130" s="48"/>
      <c r="B130" s="48"/>
      <c r="C130" s="131"/>
      <c r="D130" s="48"/>
    </row>
    <row r="131" spans="1:4" x14ac:dyDescent="0.2">
      <c r="A131" s="48"/>
      <c r="B131" s="48"/>
      <c r="C131" s="131"/>
      <c r="D131" s="48"/>
    </row>
    <row r="132" spans="1:4" x14ac:dyDescent="0.2">
      <c r="A132" s="48"/>
      <c r="B132" s="48"/>
      <c r="C132" s="131"/>
      <c r="D132" s="48"/>
    </row>
    <row r="133" spans="1:4" x14ac:dyDescent="0.2">
      <c r="A133" s="48"/>
      <c r="B133" s="48"/>
      <c r="C133" s="131"/>
      <c r="D133" s="48"/>
    </row>
    <row r="134" spans="1:4" x14ac:dyDescent="0.2">
      <c r="A134" s="48"/>
      <c r="B134" s="48"/>
      <c r="C134" s="131"/>
      <c r="D134" s="48"/>
    </row>
    <row r="135" spans="1:4" x14ac:dyDescent="0.2">
      <c r="A135" s="48"/>
      <c r="B135" s="48"/>
      <c r="C135" s="131"/>
      <c r="D135" s="48"/>
    </row>
    <row r="136" spans="1:4" x14ac:dyDescent="0.2">
      <c r="A136" s="48"/>
      <c r="B136" s="48"/>
      <c r="C136" s="131"/>
      <c r="D136" s="48"/>
    </row>
    <row r="137" spans="1:4" x14ac:dyDescent="0.2">
      <c r="A137" s="48"/>
      <c r="B137" s="48"/>
      <c r="C137" s="131"/>
      <c r="D137" s="48"/>
    </row>
    <row r="138" spans="1:4" x14ac:dyDescent="0.2">
      <c r="A138" s="48"/>
      <c r="B138" s="48"/>
      <c r="C138" s="131"/>
      <c r="D138" s="48"/>
    </row>
    <row r="139" spans="1:4" x14ac:dyDescent="0.2">
      <c r="A139" s="48"/>
      <c r="B139" s="48"/>
      <c r="C139" s="131"/>
      <c r="D139" s="48"/>
    </row>
    <row r="140" spans="1:4" x14ac:dyDescent="0.2">
      <c r="A140" s="48"/>
      <c r="B140" s="48"/>
      <c r="C140" s="131"/>
      <c r="D140" s="48"/>
    </row>
    <row r="141" spans="1:4" x14ac:dyDescent="0.2">
      <c r="A141" s="48"/>
      <c r="B141" s="48"/>
      <c r="C141" s="131"/>
      <c r="D141" s="48"/>
    </row>
    <row r="142" spans="1:4" x14ac:dyDescent="0.2">
      <c r="A142" s="48"/>
      <c r="B142" s="48"/>
      <c r="C142" s="131"/>
      <c r="D142" s="48"/>
    </row>
    <row r="143" spans="1:4" x14ac:dyDescent="0.2">
      <c r="A143" s="48"/>
      <c r="B143" s="48"/>
      <c r="C143" s="131"/>
      <c r="D143" s="48"/>
    </row>
    <row r="144" spans="1:4" x14ac:dyDescent="0.2">
      <c r="A144" s="48"/>
      <c r="B144" s="48"/>
      <c r="C144" s="131"/>
      <c r="D144" s="48"/>
    </row>
    <row r="145" spans="1:4" x14ac:dyDescent="0.2">
      <c r="A145" s="48"/>
      <c r="B145" s="48"/>
      <c r="C145" s="131"/>
      <c r="D145" s="48"/>
    </row>
    <row r="146" spans="1:4" x14ac:dyDescent="0.2">
      <c r="A146" s="48"/>
      <c r="B146" s="48"/>
      <c r="C146" s="131"/>
      <c r="D146" s="48"/>
    </row>
    <row r="147" spans="1:4" x14ac:dyDescent="0.2">
      <c r="A147" s="48"/>
      <c r="B147" s="48"/>
      <c r="C147" s="131"/>
      <c r="D147" s="48"/>
    </row>
    <row r="148" spans="1:4" x14ac:dyDescent="0.2">
      <c r="A148" s="48"/>
      <c r="B148" s="48"/>
      <c r="C148" s="131"/>
      <c r="D148" s="48"/>
    </row>
    <row r="149" spans="1:4" x14ac:dyDescent="0.2">
      <c r="A149" s="48"/>
      <c r="B149" s="48"/>
      <c r="C149" s="131"/>
      <c r="D149" s="48"/>
    </row>
    <row r="150" spans="1:4" x14ac:dyDescent="0.2">
      <c r="A150" s="48"/>
      <c r="B150" s="48"/>
      <c r="C150" s="131"/>
      <c r="D150" s="48"/>
    </row>
    <row r="151" spans="1:4" x14ac:dyDescent="0.2">
      <c r="A151" s="48"/>
      <c r="B151" s="48"/>
      <c r="C151" s="131"/>
      <c r="D151" s="48"/>
    </row>
    <row r="152" spans="1:4" x14ac:dyDescent="0.2">
      <c r="A152" s="48"/>
      <c r="B152" s="48"/>
      <c r="C152" s="131"/>
      <c r="D152" s="48"/>
    </row>
    <row r="153" spans="1:4" x14ac:dyDescent="0.2">
      <c r="A153" s="48"/>
      <c r="B153" s="48"/>
      <c r="C153" s="131"/>
      <c r="D153" s="48"/>
    </row>
    <row r="154" spans="1:4" x14ac:dyDescent="0.2">
      <c r="A154" s="48"/>
      <c r="B154" s="48"/>
      <c r="C154" s="131"/>
      <c r="D154" s="48"/>
    </row>
    <row r="155" spans="1:4" x14ac:dyDescent="0.2">
      <c r="A155" s="48"/>
      <c r="B155" s="48"/>
      <c r="C155" s="131"/>
      <c r="D155" s="48"/>
    </row>
    <row r="156" spans="1:4" x14ac:dyDescent="0.2">
      <c r="A156" s="48"/>
      <c r="B156" s="48"/>
      <c r="C156" s="131"/>
      <c r="D156" s="48"/>
    </row>
    <row r="157" spans="1:4" x14ac:dyDescent="0.2">
      <c r="A157" s="48"/>
      <c r="B157" s="48"/>
      <c r="C157" s="131"/>
      <c r="D157" s="48"/>
    </row>
    <row r="158" spans="1:4" x14ac:dyDescent="0.2">
      <c r="A158" s="48"/>
      <c r="B158" s="48"/>
      <c r="C158" s="131"/>
      <c r="D158" s="48"/>
    </row>
    <row r="159" spans="1:4" x14ac:dyDescent="0.2">
      <c r="A159" s="48"/>
      <c r="B159" s="48"/>
      <c r="C159" s="131"/>
      <c r="D159" s="48"/>
    </row>
    <row r="160" spans="1:4" x14ac:dyDescent="0.2">
      <c r="A160" s="48"/>
      <c r="B160" s="48"/>
      <c r="C160" s="131"/>
      <c r="D160" s="48"/>
    </row>
    <row r="161" spans="1:4" x14ac:dyDescent="0.2">
      <c r="A161" s="48"/>
      <c r="B161" s="48"/>
      <c r="C161" s="131"/>
      <c r="D161" s="48"/>
    </row>
    <row r="162" spans="1:4" x14ac:dyDescent="0.2">
      <c r="A162" s="48"/>
      <c r="B162" s="48"/>
      <c r="C162" s="131"/>
      <c r="D162" s="48"/>
    </row>
    <row r="163" spans="1:4" x14ac:dyDescent="0.2">
      <c r="A163" s="48"/>
      <c r="B163" s="48"/>
      <c r="C163" s="131"/>
      <c r="D163" s="48"/>
    </row>
    <row r="164" spans="1:4" x14ac:dyDescent="0.2">
      <c r="A164" s="48"/>
      <c r="B164" s="48"/>
      <c r="C164" s="131"/>
      <c r="D164" s="48"/>
    </row>
    <row r="165" spans="1:4" x14ac:dyDescent="0.2">
      <c r="A165" s="48"/>
      <c r="B165" s="48"/>
      <c r="C165" s="131"/>
      <c r="D165" s="48"/>
    </row>
    <row r="166" spans="1:4" x14ac:dyDescent="0.2">
      <c r="A166" s="48"/>
      <c r="B166" s="48"/>
      <c r="C166" s="131"/>
      <c r="D166" s="48"/>
    </row>
    <row r="167" spans="1:4" x14ac:dyDescent="0.2">
      <c r="A167" s="48"/>
      <c r="B167" s="48"/>
      <c r="C167" s="131"/>
      <c r="D167" s="48"/>
    </row>
    <row r="168" spans="1:4" x14ac:dyDescent="0.2">
      <c r="A168" s="48"/>
      <c r="B168" s="48"/>
      <c r="C168" s="131"/>
      <c r="D168" s="48"/>
    </row>
    <row r="169" spans="1:4" x14ac:dyDescent="0.2">
      <c r="A169" s="48"/>
      <c r="B169" s="48"/>
      <c r="C169" s="131"/>
      <c r="D169" s="48"/>
    </row>
    <row r="170" spans="1:4" x14ac:dyDescent="0.2">
      <c r="A170" s="48"/>
      <c r="B170" s="48"/>
      <c r="C170" s="131"/>
      <c r="D170" s="48"/>
    </row>
    <row r="171" spans="1:4" x14ac:dyDescent="0.2">
      <c r="A171" s="48"/>
      <c r="B171" s="48"/>
      <c r="C171" s="131"/>
      <c r="D171" s="48"/>
    </row>
    <row r="172" spans="1:4" x14ac:dyDescent="0.2">
      <c r="A172" s="48"/>
      <c r="B172" s="48"/>
      <c r="C172" s="131"/>
      <c r="D172" s="48"/>
    </row>
    <row r="173" spans="1:4" x14ac:dyDescent="0.2">
      <c r="A173" s="48"/>
      <c r="B173" s="48"/>
      <c r="C173" s="131"/>
      <c r="D173" s="48"/>
    </row>
    <row r="174" spans="1:4" x14ac:dyDescent="0.2">
      <c r="A174" s="48"/>
      <c r="B174" s="48"/>
      <c r="C174" s="131"/>
      <c r="D174" s="48"/>
    </row>
    <row r="175" spans="1:4" x14ac:dyDescent="0.2">
      <c r="A175" s="48"/>
      <c r="B175" s="48"/>
      <c r="C175" s="131"/>
      <c r="D175" s="48"/>
    </row>
    <row r="176" spans="1:4" x14ac:dyDescent="0.2">
      <c r="A176" s="48"/>
      <c r="B176" s="48"/>
      <c r="C176" s="131"/>
      <c r="D176" s="48"/>
    </row>
    <row r="177" spans="1:4" x14ac:dyDescent="0.2">
      <c r="A177" s="48"/>
      <c r="B177" s="48"/>
      <c r="C177" s="131"/>
      <c r="D177" s="48"/>
    </row>
    <row r="178" spans="1:4" x14ac:dyDescent="0.2">
      <c r="A178" s="48"/>
      <c r="B178" s="48"/>
      <c r="C178" s="131"/>
      <c r="D178" s="48"/>
    </row>
    <row r="179" spans="1:4" x14ac:dyDescent="0.2">
      <c r="A179" s="48"/>
      <c r="B179" s="48"/>
      <c r="C179" s="131"/>
      <c r="D179" s="48"/>
    </row>
    <row r="180" spans="1:4" x14ac:dyDescent="0.2">
      <c r="A180" s="48"/>
      <c r="B180" s="48"/>
      <c r="C180" s="131"/>
      <c r="D180" s="48"/>
    </row>
    <row r="181" spans="1:4" x14ac:dyDescent="0.2">
      <c r="A181" s="48"/>
      <c r="B181" s="48"/>
      <c r="C181" s="131"/>
      <c r="D181" s="48"/>
    </row>
    <row r="182" spans="1:4" x14ac:dyDescent="0.2">
      <c r="A182" s="48"/>
      <c r="B182" s="48"/>
      <c r="C182" s="131"/>
      <c r="D182" s="48"/>
    </row>
    <row r="183" spans="1:4" x14ac:dyDescent="0.2">
      <c r="A183" s="48"/>
      <c r="B183" s="48"/>
      <c r="C183" s="131"/>
      <c r="D183" s="48"/>
    </row>
    <row r="184" spans="1:4" x14ac:dyDescent="0.2">
      <c r="A184" s="48"/>
      <c r="B184" s="48"/>
      <c r="C184" s="131"/>
      <c r="D184" s="48"/>
    </row>
    <row r="185" spans="1:4" x14ac:dyDescent="0.2">
      <c r="A185" s="48"/>
      <c r="B185" s="48"/>
      <c r="C185" s="131"/>
      <c r="D185" s="48"/>
    </row>
    <row r="186" spans="1:4" x14ac:dyDescent="0.2">
      <c r="A186" s="48"/>
      <c r="B186" s="48"/>
      <c r="C186" s="131"/>
      <c r="D186" s="48"/>
    </row>
    <row r="187" spans="1:4" x14ac:dyDescent="0.2">
      <c r="A187" s="48"/>
      <c r="B187" s="48"/>
      <c r="C187" s="131"/>
      <c r="D187" s="48"/>
    </row>
    <row r="188" spans="1:4" x14ac:dyDescent="0.2">
      <c r="A188" s="48"/>
      <c r="B188" s="48"/>
      <c r="C188" s="131"/>
      <c r="D188" s="48"/>
    </row>
    <row r="189" spans="1:4" x14ac:dyDescent="0.2">
      <c r="A189" s="48"/>
      <c r="B189" s="48"/>
      <c r="C189" s="131"/>
      <c r="D189" s="48"/>
    </row>
    <row r="190" spans="1:4" x14ac:dyDescent="0.2">
      <c r="A190" s="48"/>
      <c r="B190" s="48"/>
      <c r="C190" s="131"/>
      <c r="D190" s="48"/>
    </row>
    <row r="191" spans="1:4" x14ac:dyDescent="0.2">
      <c r="A191" s="48"/>
      <c r="B191" s="48"/>
      <c r="C191" s="131"/>
      <c r="D191" s="48"/>
    </row>
    <row r="192" spans="1:4" x14ac:dyDescent="0.2">
      <c r="A192" s="48"/>
      <c r="B192" s="48"/>
      <c r="C192" s="131"/>
      <c r="D192" s="48"/>
    </row>
    <row r="193" spans="1:4" x14ac:dyDescent="0.2">
      <c r="A193" s="48"/>
      <c r="B193" s="48"/>
      <c r="C193" s="131"/>
      <c r="D193" s="48"/>
    </row>
    <row r="194" spans="1:4" x14ac:dyDescent="0.2">
      <c r="A194" s="48"/>
      <c r="B194" s="48"/>
      <c r="C194" s="131"/>
      <c r="D194" s="48"/>
    </row>
    <row r="195" spans="1:4" x14ac:dyDescent="0.2">
      <c r="A195" s="48"/>
      <c r="B195" s="48"/>
      <c r="C195" s="131"/>
      <c r="D195" s="48"/>
    </row>
    <row r="196" spans="1:4" x14ac:dyDescent="0.2">
      <c r="A196" s="48"/>
      <c r="B196" s="48"/>
      <c r="C196" s="131"/>
      <c r="D196" s="48"/>
    </row>
    <row r="197" spans="1:4" x14ac:dyDescent="0.2">
      <c r="A197" s="48"/>
      <c r="B197" s="48"/>
      <c r="C197" s="131"/>
      <c r="D197" s="48"/>
    </row>
    <row r="198" spans="1:4" x14ac:dyDescent="0.2">
      <c r="A198" s="48"/>
      <c r="B198" s="48"/>
      <c r="C198" s="131"/>
      <c r="D198" s="48"/>
    </row>
    <row r="199" spans="1:4" x14ac:dyDescent="0.2">
      <c r="A199" s="48"/>
      <c r="B199" s="48"/>
      <c r="C199" s="131"/>
      <c r="D199" s="48"/>
    </row>
    <row r="200" spans="1:4" x14ac:dyDescent="0.2">
      <c r="A200" s="48"/>
      <c r="B200" s="48"/>
      <c r="C200" s="131"/>
      <c r="D200" s="48"/>
    </row>
    <row r="201" spans="1:4" x14ac:dyDescent="0.2">
      <c r="A201" s="48"/>
      <c r="B201" s="48"/>
      <c r="C201" s="131"/>
      <c r="D201" s="48"/>
    </row>
    <row r="202" spans="1:4" x14ac:dyDescent="0.2">
      <c r="A202" s="48"/>
      <c r="B202" s="48"/>
      <c r="C202" s="131"/>
      <c r="D202" s="48"/>
    </row>
    <row r="203" spans="1:4" x14ac:dyDescent="0.2">
      <c r="A203" s="48"/>
      <c r="B203" s="48"/>
      <c r="C203" s="131"/>
      <c r="D203" s="48"/>
    </row>
    <row r="204" spans="1:4" x14ac:dyDescent="0.2">
      <c r="A204" s="48"/>
      <c r="B204" s="48"/>
      <c r="C204" s="131"/>
      <c r="D204" s="48"/>
    </row>
    <row r="205" spans="1:4" x14ac:dyDescent="0.2">
      <c r="A205" s="48"/>
      <c r="B205" s="48"/>
      <c r="C205" s="131"/>
      <c r="D205" s="48"/>
    </row>
    <row r="206" spans="1:4" x14ac:dyDescent="0.2">
      <c r="A206" s="48"/>
      <c r="B206" s="48"/>
      <c r="C206" s="131"/>
      <c r="D206" s="48"/>
    </row>
    <row r="207" spans="1:4" x14ac:dyDescent="0.2">
      <c r="A207" s="48"/>
      <c r="B207" s="48"/>
      <c r="C207" s="131"/>
      <c r="D207" s="48"/>
    </row>
    <row r="208" spans="1:4" x14ac:dyDescent="0.2">
      <c r="A208" s="48"/>
      <c r="B208" s="48"/>
      <c r="C208" s="131"/>
      <c r="D208" s="48"/>
    </row>
    <row r="209" spans="1:4" x14ac:dyDescent="0.2">
      <c r="A209" s="48"/>
      <c r="B209" s="48"/>
      <c r="C209" s="131"/>
      <c r="D209" s="48"/>
    </row>
    <row r="210" spans="1:4" x14ac:dyDescent="0.2">
      <c r="A210" s="48"/>
      <c r="B210" s="48"/>
      <c r="C210" s="131"/>
      <c r="D210" s="48"/>
    </row>
    <row r="211" spans="1:4" x14ac:dyDescent="0.2">
      <c r="A211" s="48"/>
      <c r="B211" s="48"/>
      <c r="C211" s="131"/>
      <c r="D211" s="48"/>
    </row>
    <row r="212" spans="1:4" x14ac:dyDescent="0.2">
      <c r="A212" s="48"/>
      <c r="B212" s="48"/>
      <c r="C212" s="131"/>
      <c r="D212" s="48"/>
    </row>
    <row r="213" spans="1:4" x14ac:dyDescent="0.2">
      <c r="A213" s="48"/>
      <c r="B213" s="48"/>
      <c r="C213" s="131"/>
      <c r="D213" s="48"/>
    </row>
    <row r="214" spans="1:4" x14ac:dyDescent="0.2">
      <c r="A214" s="48"/>
      <c r="B214" s="48"/>
      <c r="C214" s="131"/>
      <c r="D214" s="48"/>
    </row>
    <row r="215" spans="1:4" x14ac:dyDescent="0.2">
      <c r="A215" s="48"/>
      <c r="B215" s="48"/>
      <c r="C215" s="131"/>
      <c r="D215" s="48"/>
    </row>
    <row r="216" spans="1:4" x14ac:dyDescent="0.2">
      <c r="A216" s="48"/>
      <c r="B216" s="48"/>
      <c r="C216" s="131"/>
      <c r="D216" s="48"/>
    </row>
    <row r="217" spans="1:4" x14ac:dyDescent="0.2">
      <c r="A217" s="48"/>
      <c r="B217" s="48"/>
      <c r="C217" s="131"/>
      <c r="D217" s="48"/>
    </row>
    <row r="218" spans="1:4" x14ac:dyDescent="0.2">
      <c r="A218" s="48"/>
      <c r="B218" s="48"/>
      <c r="C218" s="131"/>
      <c r="D218" s="48"/>
    </row>
    <row r="219" spans="1:4" x14ac:dyDescent="0.2">
      <c r="A219" s="48"/>
      <c r="B219" s="48"/>
      <c r="C219" s="131"/>
      <c r="D219" s="48"/>
    </row>
    <row r="220" spans="1:4" x14ac:dyDescent="0.2">
      <c r="A220" s="48"/>
      <c r="B220" s="48"/>
      <c r="C220" s="131"/>
      <c r="D220" s="48"/>
    </row>
    <row r="221" spans="1:4" x14ac:dyDescent="0.2">
      <c r="A221" s="48"/>
      <c r="B221" s="48"/>
      <c r="C221" s="131"/>
      <c r="D221" s="48"/>
    </row>
    <row r="222" spans="1:4" x14ac:dyDescent="0.2">
      <c r="A222" s="48"/>
      <c r="B222" s="48"/>
      <c r="C222" s="131"/>
      <c r="D222" s="48"/>
    </row>
    <row r="223" spans="1:4" x14ac:dyDescent="0.2">
      <c r="A223" s="48"/>
      <c r="B223" s="48"/>
      <c r="C223" s="131"/>
      <c r="D223" s="48"/>
    </row>
    <row r="224" spans="1:4" x14ac:dyDescent="0.2">
      <c r="A224" s="48"/>
      <c r="B224" s="48"/>
      <c r="C224" s="131"/>
      <c r="D224" s="48"/>
    </row>
    <row r="225" spans="1:4" x14ac:dyDescent="0.2">
      <c r="A225" s="48"/>
      <c r="B225" s="48"/>
      <c r="C225" s="131"/>
      <c r="D225" s="48"/>
    </row>
    <row r="226" spans="1:4" x14ac:dyDescent="0.2">
      <c r="A226" s="48"/>
      <c r="B226" s="48"/>
      <c r="C226" s="131"/>
      <c r="D226" s="48"/>
    </row>
    <row r="227" spans="1:4" x14ac:dyDescent="0.2">
      <c r="A227" s="48"/>
      <c r="B227" s="48"/>
      <c r="C227" s="131"/>
      <c r="D227" s="48"/>
    </row>
    <row r="228" spans="1:4" x14ac:dyDescent="0.2">
      <c r="A228" s="48"/>
      <c r="B228" s="48"/>
      <c r="C228" s="131"/>
      <c r="D228" s="48"/>
    </row>
    <row r="229" spans="1:4" x14ac:dyDescent="0.2">
      <c r="A229" s="48"/>
      <c r="B229" s="48"/>
      <c r="C229" s="131"/>
      <c r="D229" s="48"/>
    </row>
    <row r="230" spans="1:4" x14ac:dyDescent="0.2">
      <c r="A230" s="48"/>
      <c r="B230" s="48"/>
      <c r="C230" s="131"/>
      <c r="D230" s="48"/>
    </row>
    <row r="231" spans="1:4" x14ac:dyDescent="0.2">
      <c r="A231" s="48"/>
      <c r="B231" s="48"/>
      <c r="C231" s="131"/>
      <c r="D231" s="48"/>
    </row>
    <row r="232" spans="1:4" x14ac:dyDescent="0.2">
      <c r="A232" s="48"/>
      <c r="B232" s="48"/>
      <c r="C232" s="131"/>
      <c r="D232" s="48"/>
    </row>
    <row r="233" spans="1:4" x14ac:dyDescent="0.2">
      <c r="A233" s="48"/>
      <c r="B233" s="48"/>
      <c r="C233" s="131"/>
      <c r="D233" s="48"/>
    </row>
    <row r="234" spans="1:4" x14ac:dyDescent="0.2">
      <c r="A234" s="48"/>
      <c r="B234" s="48"/>
      <c r="C234" s="131"/>
      <c r="D234" s="48"/>
    </row>
    <row r="235" spans="1:4" x14ac:dyDescent="0.2">
      <c r="A235" s="48"/>
      <c r="B235" s="48"/>
      <c r="C235" s="131"/>
      <c r="D235" s="48"/>
    </row>
    <row r="236" spans="1:4" x14ac:dyDescent="0.2">
      <c r="A236" s="48"/>
      <c r="B236" s="48"/>
      <c r="C236" s="131"/>
      <c r="D236" s="48"/>
    </row>
    <row r="237" spans="1:4" x14ac:dyDescent="0.2">
      <c r="A237" s="48"/>
      <c r="B237" s="48"/>
      <c r="C237" s="131"/>
      <c r="D237" s="48"/>
    </row>
    <row r="238" spans="1:4" x14ac:dyDescent="0.2">
      <c r="A238" s="48"/>
      <c r="B238" s="48"/>
      <c r="C238" s="131"/>
      <c r="D238" s="48"/>
    </row>
    <row r="239" spans="1:4" x14ac:dyDescent="0.2">
      <c r="A239" s="48"/>
      <c r="B239" s="48"/>
      <c r="C239" s="131"/>
      <c r="D239" s="48"/>
    </row>
    <row r="240" spans="1:4" x14ac:dyDescent="0.2">
      <c r="A240" s="48"/>
      <c r="B240" s="48"/>
      <c r="C240" s="131"/>
      <c r="D240" s="48"/>
    </row>
    <row r="241" spans="1:4" x14ac:dyDescent="0.2">
      <c r="A241" s="48"/>
      <c r="B241" s="48"/>
      <c r="C241" s="131"/>
      <c r="D241" s="48"/>
    </row>
    <row r="242" spans="1:4" x14ac:dyDescent="0.2">
      <c r="A242" s="48"/>
      <c r="B242" s="48"/>
      <c r="C242" s="131"/>
      <c r="D242" s="48"/>
    </row>
    <row r="243" spans="1:4" x14ac:dyDescent="0.2">
      <c r="A243" s="48"/>
      <c r="B243" s="48"/>
      <c r="C243" s="131"/>
      <c r="D243" s="48"/>
    </row>
    <row r="244" spans="1:4" x14ac:dyDescent="0.2">
      <c r="A244" s="48"/>
      <c r="B244" s="48"/>
      <c r="C244" s="131"/>
      <c r="D244" s="48"/>
    </row>
    <row r="245" spans="1:4" x14ac:dyDescent="0.2">
      <c r="A245" s="48"/>
      <c r="B245" s="48"/>
      <c r="C245" s="131"/>
      <c r="D245" s="48"/>
    </row>
    <row r="246" spans="1:4" x14ac:dyDescent="0.2">
      <c r="A246" s="48"/>
      <c r="B246" s="48"/>
      <c r="C246" s="131"/>
      <c r="D246" s="48"/>
    </row>
    <row r="247" spans="1:4" x14ac:dyDescent="0.2">
      <c r="A247" s="48"/>
      <c r="B247" s="48"/>
      <c r="C247" s="131"/>
      <c r="D247" s="48"/>
    </row>
    <row r="248" spans="1:4" x14ac:dyDescent="0.2">
      <c r="A248" s="48"/>
      <c r="B248" s="48"/>
      <c r="C248" s="131"/>
      <c r="D248" s="48"/>
    </row>
    <row r="249" spans="1:4" x14ac:dyDescent="0.2">
      <c r="A249" s="48"/>
      <c r="B249" s="48"/>
      <c r="C249" s="131"/>
      <c r="D249" s="48"/>
    </row>
    <row r="250" spans="1:4" x14ac:dyDescent="0.2">
      <c r="A250" s="48"/>
      <c r="B250" s="48"/>
      <c r="C250" s="131"/>
      <c r="D250" s="48"/>
    </row>
    <row r="251" spans="1:4" x14ac:dyDescent="0.2">
      <c r="A251" s="48"/>
      <c r="B251" s="48"/>
      <c r="C251" s="131"/>
      <c r="D251" s="48"/>
    </row>
    <row r="252" spans="1:4" x14ac:dyDescent="0.2">
      <c r="A252" s="48"/>
      <c r="B252" s="48"/>
      <c r="C252" s="131"/>
      <c r="D252" s="48"/>
    </row>
    <row r="253" spans="1:4" x14ac:dyDescent="0.2">
      <c r="A253" s="48"/>
      <c r="B253" s="48"/>
      <c r="C253" s="131"/>
      <c r="D253" s="48"/>
    </row>
    <row r="254" spans="1:4" x14ac:dyDescent="0.2">
      <c r="A254" s="48"/>
      <c r="B254" s="48"/>
      <c r="C254" s="131"/>
      <c r="D254" s="48"/>
    </row>
    <row r="255" spans="1:4" x14ac:dyDescent="0.2">
      <c r="A255" s="48"/>
      <c r="B255" s="48"/>
      <c r="C255" s="131"/>
      <c r="D255" s="48"/>
    </row>
    <row r="256" spans="1:4" x14ac:dyDescent="0.2">
      <c r="A256" s="48"/>
      <c r="B256" s="48"/>
      <c r="C256" s="131"/>
      <c r="D256" s="48"/>
    </row>
    <row r="257" spans="1:4" x14ac:dyDescent="0.2">
      <c r="A257" s="48"/>
      <c r="B257" s="48"/>
      <c r="C257" s="131"/>
      <c r="D257" s="48"/>
    </row>
    <row r="258" spans="1:4" x14ac:dyDescent="0.2">
      <c r="A258" s="48"/>
      <c r="B258" s="48"/>
      <c r="C258" s="131"/>
      <c r="D258" s="48"/>
    </row>
    <row r="259" spans="1:4" x14ac:dyDescent="0.2">
      <c r="A259" s="48"/>
      <c r="B259" s="48"/>
      <c r="C259" s="131"/>
      <c r="D259" s="48"/>
    </row>
    <row r="260" spans="1:4" x14ac:dyDescent="0.2">
      <c r="A260" s="48"/>
      <c r="B260" s="48"/>
      <c r="C260" s="131"/>
      <c r="D260" s="48"/>
    </row>
    <row r="261" spans="1:4" x14ac:dyDescent="0.2">
      <c r="A261" s="48"/>
      <c r="B261" s="48"/>
      <c r="C261" s="131"/>
      <c r="D261" s="48"/>
    </row>
    <row r="262" spans="1:4" x14ac:dyDescent="0.2">
      <c r="A262" s="48"/>
      <c r="B262" s="48"/>
      <c r="C262" s="131"/>
      <c r="D262" s="48"/>
    </row>
    <row r="263" spans="1:4" x14ac:dyDescent="0.2">
      <c r="A263" s="48"/>
      <c r="B263" s="48"/>
      <c r="C263" s="131"/>
      <c r="D263" s="48"/>
    </row>
    <row r="264" spans="1:4" x14ac:dyDescent="0.2">
      <c r="A264" s="48"/>
      <c r="B264" s="48"/>
      <c r="C264" s="131"/>
      <c r="D264" s="48"/>
    </row>
    <row r="265" spans="1:4" x14ac:dyDescent="0.2">
      <c r="A265" s="48"/>
      <c r="B265" s="48"/>
      <c r="C265" s="131"/>
      <c r="D265" s="48"/>
    </row>
    <row r="266" spans="1:4" x14ac:dyDescent="0.2">
      <c r="A266" s="48"/>
      <c r="B266" s="48"/>
      <c r="C266" s="131"/>
      <c r="D266" s="48"/>
    </row>
  </sheetData>
  <mergeCells count="3">
    <mergeCell ref="B12:D12"/>
    <mergeCell ref="B45:D45"/>
    <mergeCell ref="B56:D56"/>
  </mergeCells>
  <phoneticPr fontId="0" type="noConversion"/>
  <printOptions horizontalCentered="1"/>
  <pageMargins left="1" right="0.34" top="0.55000000000000004" bottom="0.74" header="0.3" footer="0"/>
  <pageSetup paperSize="9" fitToHeight="5" orientation="portrait" horizontalDpi="180" verticalDpi="180" r:id="rId1"/>
  <headerFooter alignWithMargins="0">
    <oddHeader xml:space="preserve">&amp;C </oddHeader>
    <oddFooter>&amp;L&amp;F&amp;R&amp;D&amp;  [Time]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7"/>
  <sheetViews>
    <sheetView topLeftCell="A13" zoomScale="75" workbookViewId="0">
      <selection activeCell="E29" sqref="E29"/>
    </sheetView>
    <sheetView tabSelected="1" workbookViewId="1">
      <selection activeCell="A2" sqref="A2"/>
    </sheetView>
    <sheetView topLeftCell="A4" workbookViewId="2">
      <selection activeCell="C11" sqref="C11"/>
    </sheetView>
  </sheetViews>
  <sheetFormatPr defaultRowHeight="15" x14ac:dyDescent="0.2"/>
  <cols>
    <col min="1" max="1" width="4.44140625" customWidth="1"/>
    <col min="5" max="5" width="17.21875" customWidth="1"/>
    <col min="6" max="6" width="11.44140625" customWidth="1"/>
    <col min="7" max="7" width="12.5546875" style="4" customWidth="1"/>
  </cols>
  <sheetData>
    <row r="2" spans="1:7" s="11" customFormat="1" ht="36" x14ac:dyDescent="0.2">
      <c r="A2" s="60" t="s">
        <v>63</v>
      </c>
      <c r="B2" s="14"/>
      <c r="C2" s="14"/>
      <c r="D2" s="14"/>
      <c r="E2" s="15"/>
      <c r="F2" s="14"/>
      <c r="G2" s="15"/>
    </row>
    <row r="3" spans="1:7" s="11" customFormat="1" x14ac:dyDescent="0.2">
      <c r="A3" s="32"/>
      <c r="B3" s="14"/>
      <c r="C3" s="14"/>
      <c r="D3" s="14"/>
      <c r="E3" s="15"/>
      <c r="F3" s="14"/>
      <c r="G3" s="15"/>
    </row>
    <row r="4" spans="1:7" x14ac:dyDescent="0.2">
      <c r="A4" s="3"/>
      <c r="B4" s="3"/>
      <c r="C4" s="3"/>
      <c r="D4" s="3"/>
      <c r="E4" s="3"/>
      <c r="F4" s="3"/>
      <c r="G4" s="47"/>
    </row>
    <row r="5" spans="1:7" ht="15.75" x14ac:dyDescent="0.25">
      <c r="A5" s="17" t="s">
        <v>29</v>
      </c>
      <c r="B5" s="3"/>
      <c r="C5" s="3"/>
      <c r="D5" s="3"/>
      <c r="E5" s="3"/>
      <c r="F5" s="3"/>
      <c r="G5" s="47"/>
    </row>
    <row r="6" spans="1:7" x14ac:dyDescent="0.2">
      <c r="A6" s="3"/>
      <c r="B6" s="3"/>
      <c r="C6" s="3"/>
      <c r="D6" s="3"/>
      <c r="E6" s="3"/>
      <c r="F6" s="3"/>
      <c r="G6" s="47"/>
    </row>
    <row r="7" spans="1:7" s="11" customFormat="1" x14ac:dyDescent="0.2">
      <c r="B7" s="59" t="s">
        <v>33</v>
      </c>
      <c r="F7" s="50" t="s">
        <v>30</v>
      </c>
      <c r="G7" s="67">
        <f>GF1_ABS!G55</f>
        <v>1125396</v>
      </c>
    </row>
    <row r="8" spans="1:7" s="11" customFormat="1" x14ac:dyDescent="0.2">
      <c r="F8" s="13"/>
      <c r="G8" s="67"/>
    </row>
    <row r="9" spans="1:7" s="11" customFormat="1" x14ac:dyDescent="0.2">
      <c r="B9" s="54" t="s">
        <v>236</v>
      </c>
      <c r="C9" s="63"/>
      <c r="D9" s="63"/>
      <c r="E9" s="105"/>
      <c r="F9" s="112" t="s">
        <v>30</v>
      </c>
      <c r="G9" s="113">
        <f>'sanitary-abs'!G51</f>
        <v>127989</v>
      </c>
    </row>
    <row r="10" spans="1:7" s="11" customFormat="1" x14ac:dyDescent="0.2">
      <c r="B10" s="54"/>
      <c r="C10" s="63"/>
      <c r="D10" s="63"/>
      <c r="E10" s="105"/>
      <c r="F10" s="112"/>
      <c r="G10" s="113"/>
    </row>
    <row r="11" spans="1:7" x14ac:dyDescent="0.2">
      <c r="F11" s="134" t="s">
        <v>31</v>
      </c>
      <c r="G11" s="135">
        <f>SUM(G7:G9)</f>
        <v>1253385</v>
      </c>
    </row>
    <row r="13" spans="1:7" x14ac:dyDescent="0.2">
      <c r="B13" s="6" t="s">
        <v>27</v>
      </c>
      <c r="E13" s="9"/>
      <c r="G13"/>
    </row>
    <row r="14" spans="1:7" x14ac:dyDescent="0.2">
      <c r="C14" s="94" t="s">
        <v>32</v>
      </c>
      <c r="D14" s="47">
        <f>G7</f>
        <v>1125396</v>
      </c>
      <c r="E14" s="106"/>
      <c r="F14" s="97" t="s">
        <v>30</v>
      </c>
      <c r="G14" s="8">
        <f>ROUNDUP(D14*0.07,0)</f>
        <v>78778</v>
      </c>
    </row>
    <row r="15" spans="1:7" x14ac:dyDescent="0.2">
      <c r="C15" s="94"/>
      <c r="D15" s="47"/>
      <c r="E15" s="106"/>
      <c r="F15" s="134" t="s">
        <v>31</v>
      </c>
      <c r="G15" s="135">
        <f>SUM(G11:G14)</f>
        <v>1332163</v>
      </c>
    </row>
    <row r="17" spans="1:8" x14ac:dyDescent="0.2">
      <c r="B17" s="21" t="s">
        <v>26</v>
      </c>
      <c r="C17" s="9"/>
      <c r="D17" s="9"/>
      <c r="E17" s="7"/>
      <c r="F17" s="7"/>
      <c r="G17" s="8">
        <f>ROUNDUP(G15*0.13,0)</f>
        <v>173182</v>
      </c>
    </row>
    <row r="18" spans="1:8" x14ac:dyDescent="0.2">
      <c r="E18" s="134" t="s">
        <v>237</v>
      </c>
      <c r="F18" s="134"/>
      <c r="G18" s="135">
        <f>SUM(G15:G17)</f>
        <v>1505345</v>
      </c>
    </row>
    <row r="19" spans="1:8" x14ac:dyDescent="0.2">
      <c r="E19" s="6"/>
      <c r="F19" s="4"/>
    </row>
    <row r="20" spans="1:8" ht="15.75" x14ac:dyDescent="0.25">
      <c r="G20" s="164"/>
    </row>
    <row r="21" spans="1:8" x14ac:dyDescent="0.2">
      <c r="D21" s="6"/>
      <c r="E21" s="35"/>
      <c r="F21" s="79"/>
    </row>
    <row r="22" spans="1:8" ht="15.75" x14ac:dyDescent="0.25">
      <c r="G22" s="62"/>
    </row>
    <row r="23" spans="1:8" s="162" customFormat="1" ht="15.75" x14ac:dyDescent="0.25">
      <c r="A23" s="78"/>
      <c r="B23" s="210" t="s">
        <v>328</v>
      </c>
      <c r="C23" s="210"/>
      <c r="D23" s="210"/>
      <c r="E23" s="110"/>
      <c r="F23" s="108" t="s">
        <v>327</v>
      </c>
      <c r="H23" s="110"/>
    </row>
    <row r="24" spans="1:8" s="162" customFormat="1" ht="15.75" x14ac:dyDescent="0.25">
      <c r="A24" s="78"/>
      <c r="B24" s="210" t="s">
        <v>16</v>
      </c>
      <c r="C24" s="210"/>
      <c r="D24" s="210"/>
      <c r="E24" s="110"/>
      <c r="F24" s="78" t="s">
        <v>348</v>
      </c>
      <c r="H24" s="110"/>
    </row>
    <row r="26" spans="1:8" ht="15.75" x14ac:dyDescent="0.2">
      <c r="E26" s="80"/>
    </row>
    <row r="27" spans="1:8" ht="15.75" x14ac:dyDescent="0.2">
      <c r="E27" s="78"/>
    </row>
  </sheetData>
  <mergeCells count="2">
    <mergeCell ref="B23:D23"/>
    <mergeCell ref="B24:D24"/>
  </mergeCells>
  <phoneticPr fontId="0" type="noConversion"/>
  <printOptions horizontalCentered="1"/>
  <pageMargins left="0.75" right="0.75" top="1" bottom="1" header="0.5" footer="0.5"/>
  <pageSetup paperSize="9" orientation="portrait" horizontalDpi="180" verticalDpi="18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9"/>
  <sheetViews>
    <sheetView topLeftCell="A17" zoomScale="75" zoomScaleNormal="100" workbookViewId="0">
      <selection activeCell="C21" sqref="C21"/>
    </sheetView>
    <sheetView topLeftCell="A2" workbookViewId="1">
      <selection activeCell="G7" sqref="G7"/>
    </sheetView>
    <sheetView tabSelected="1" view="pageBreakPreview" topLeftCell="A52" zoomScale="75" zoomScaleNormal="50" workbookViewId="2">
      <selection activeCell="C54" sqref="C54"/>
    </sheetView>
  </sheetViews>
  <sheetFormatPr defaultRowHeight="15" x14ac:dyDescent="0.2"/>
  <cols>
    <col min="1" max="1" width="3.6640625" style="1" customWidth="1"/>
    <col min="2" max="2" width="35" style="18" customWidth="1"/>
    <col min="3" max="3" width="8" style="12" bestFit="1" customWidth="1"/>
    <col min="4" max="4" width="5.109375" style="11" customWidth="1"/>
    <col min="5" max="5" width="7.6640625" style="12" bestFit="1" customWidth="1"/>
    <col min="6" max="6" width="7.109375" style="11" bestFit="1" customWidth="1"/>
    <col min="7" max="7" width="12.21875" style="11" customWidth="1"/>
  </cols>
  <sheetData>
    <row r="1" spans="1:7" s="11" customFormat="1" ht="18" x14ac:dyDescent="0.2">
      <c r="A1" s="211" t="str">
        <f>'gen-abstract'!A2</f>
        <v xml:space="preserve">NAME OF WORK :- Construction of Additional Session Judge Bungalow at Nathdwara </v>
      </c>
      <c r="B1" s="211"/>
      <c r="C1" s="211"/>
      <c r="D1" s="211"/>
      <c r="E1" s="211"/>
      <c r="F1" s="211"/>
      <c r="G1" s="211"/>
    </row>
    <row r="2" spans="1:7" s="11" customFormat="1" ht="18" x14ac:dyDescent="0.25">
      <c r="A2" s="212" t="s">
        <v>34</v>
      </c>
      <c r="B2" s="212"/>
      <c r="C2" s="212"/>
      <c r="D2" s="212"/>
      <c r="E2" s="212"/>
      <c r="F2" s="212"/>
      <c r="G2" s="212"/>
    </row>
    <row r="3" spans="1:7" s="11" customFormat="1" ht="18" x14ac:dyDescent="0.25">
      <c r="A3" s="213" t="s">
        <v>35</v>
      </c>
      <c r="B3" s="213"/>
      <c r="C3" s="213"/>
      <c r="D3" s="213"/>
      <c r="E3" s="213"/>
      <c r="F3" s="213"/>
      <c r="G3" s="213"/>
    </row>
    <row r="4" spans="1:7" s="11" customFormat="1" x14ac:dyDescent="0.2">
      <c r="A4" s="104" t="s">
        <v>36</v>
      </c>
      <c r="B4" s="28" t="s">
        <v>37</v>
      </c>
      <c r="C4" s="30" t="s">
        <v>38</v>
      </c>
      <c r="D4" s="29"/>
      <c r="E4" s="30" t="s">
        <v>39</v>
      </c>
      <c r="F4" s="29" t="s">
        <v>40</v>
      </c>
      <c r="G4" s="31" t="s">
        <v>41</v>
      </c>
    </row>
    <row r="5" spans="1:7" ht="120" x14ac:dyDescent="0.2">
      <c r="A5" s="114">
        <v>1</v>
      </c>
      <c r="B5" s="147" t="s">
        <v>317</v>
      </c>
      <c r="C5" s="12">
        <f>GF1_MES!K67</f>
        <v>63.899099999999997</v>
      </c>
      <c r="D5" s="11" t="s">
        <v>42</v>
      </c>
      <c r="E5" s="12">
        <v>37.1</v>
      </c>
      <c r="F5" s="11" t="s">
        <v>43</v>
      </c>
      <c r="G5" s="67">
        <f>IF(C5,ROUNDUP(C5*E5,0),"")</f>
        <v>2371</v>
      </c>
    </row>
    <row r="6" spans="1:7" ht="135" x14ac:dyDescent="0.2">
      <c r="A6" s="114">
        <f>A5+1</f>
        <v>2</v>
      </c>
      <c r="B6" s="147" t="s">
        <v>367</v>
      </c>
    </row>
    <row r="7" spans="1:7" s="11" customFormat="1" x14ac:dyDescent="0.2">
      <c r="A7" s="54"/>
      <c r="B7" s="145" t="s">
        <v>368</v>
      </c>
      <c r="C7" s="12">
        <f>GF1_MES!K70</f>
        <v>25.559640000000002</v>
      </c>
      <c r="D7" s="11" t="s">
        <v>42</v>
      </c>
      <c r="E7" s="12">
        <v>44.5</v>
      </c>
      <c r="F7" s="11" t="s">
        <v>43</v>
      </c>
      <c r="G7" s="67">
        <f t="shared" ref="G7:G18" si="0">IF(C7,ROUNDUP(C7*E7,0),"")</f>
        <v>1138</v>
      </c>
    </row>
    <row r="8" spans="1:7" s="11" customFormat="1" x14ac:dyDescent="0.2">
      <c r="A8" s="54"/>
      <c r="B8" s="145" t="s">
        <v>369</v>
      </c>
      <c r="C8" s="12">
        <f>GF1_MES!K72</f>
        <v>25.559640000000002</v>
      </c>
      <c r="D8" s="11" t="s">
        <v>42</v>
      </c>
      <c r="E8" s="12">
        <v>58</v>
      </c>
      <c r="F8" s="11" t="s">
        <v>43</v>
      </c>
      <c r="G8" s="67">
        <f t="shared" si="0"/>
        <v>1483</v>
      </c>
    </row>
    <row r="9" spans="1:7" s="11" customFormat="1" x14ac:dyDescent="0.2">
      <c r="A9" s="54"/>
      <c r="B9" s="145" t="s">
        <v>386</v>
      </c>
      <c r="C9" s="12">
        <f>GF1_MES!K74</f>
        <v>12.779820000000001</v>
      </c>
      <c r="D9" s="11" t="s">
        <v>42</v>
      </c>
      <c r="E9" s="12">
        <v>85</v>
      </c>
      <c r="F9" s="11" t="s">
        <v>43</v>
      </c>
      <c r="G9" s="67">
        <f t="shared" si="0"/>
        <v>1087</v>
      </c>
    </row>
    <row r="10" spans="1:7" ht="90" x14ac:dyDescent="0.2">
      <c r="A10" s="156">
        <v>3</v>
      </c>
      <c r="B10" s="145" t="s">
        <v>316</v>
      </c>
      <c r="C10" s="12">
        <f>GF1_MES!K90</f>
        <v>71.695859999999996</v>
      </c>
      <c r="D10" s="12" t="s">
        <v>45</v>
      </c>
      <c r="E10" s="12">
        <v>9</v>
      </c>
      <c r="F10" s="11" t="s">
        <v>46</v>
      </c>
      <c r="G10" s="67">
        <f t="shared" si="0"/>
        <v>646</v>
      </c>
    </row>
    <row r="11" spans="1:7" ht="105" x14ac:dyDescent="0.2">
      <c r="A11" s="156">
        <f>A10+1</f>
        <v>4</v>
      </c>
      <c r="B11" s="145" t="s">
        <v>319</v>
      </c>
      <c r="C11" s="12">
        <f>GF1_MES!K95</f>
        <v>7.796759999999999</v>
      </c>
      <c r="D11" s="12" t="s">
        <v>45</v>
      </c>
      <c r="E11" s="12">
        <v>29.7</v>
      </c>
      <c r="F11" s="11" t="s">
        <v>46</v>
      </c>
      <c r="G11" s="67">
        <f t="shared" si="0"/>
        <v>232</v>
      </c>
    </row>
    <row r="12" spans="1:7" ht="30" x14ac:dyDescent="0.2">
      <c r="A12" s="156">
        <f>A11+1</f>
        <v>5</v>
      </c>
      <c r="B12" s="145" t="s">
        <v>5</v>
      </c>
      <c r="C12" s="12">
        <f>GF1_MES!K98</f>
        <v>7.796759999999999</v>
      </c>
      <c r="D12" s="12" t="s">
        <v>45</v>
      </c>
      <c r="E12" s="12">
        <v>30.5</v>
      </c>
      <c r="F12" s="11" t="s">
        <v>46</v>
      </c>
      <c r="G12" s="67">
        <f t="shared" si="0"/>
        <v>238</v>
      </c>
    </row>
    <row r="13" spans="1:7" ht="90" x14ac:dyDescent="0.2">
      <c r="A13" s="156">
        <v>6</v>
      </c>
      <c r="B13" s="149" t="s">
        <v>371</v>
      </c>
      <c r="C13" s="12">
        <f>GF1_MES!K102</f>
        <v>45.374399999999994</v>
      </c>
      <c r="D13" s="11" t="s">
        <v>42</v>
      </c>
      <c r="E13" s="12">
        <v>910</v>
      </c>
      <c r="F13" s="11" t="s">
        <v>43</v>
      </c>
      <c r="G13" s="67">
        <f t="shared" si="0"/>
        <v>41291</v>
      </c>
    </row>
    <row r="14" spans="1:7" ht="45" x14ac:dyDescent="0.2">
      <c r="A14" s="156">
        <f>A13+1</f>
        <v>7</v>
      </c>
      <c r="B14" s="149" t="s">
        <v>47</v>
      </c>
      <c r="C14" s="12">
        <f>GF1_MES!K118</f>
        <v>183.78131999999999</v>
      </c>
      <c r="D14" s="11" t="s">
        <v>42</v>
      </c>
      <c r="E14" s="12">
        <f>550+140</f>
        <v>690</v>
      </c>
      <c r="F14" s="11" t="s">
        <v>43</v>
      </c>
      <c r="G14" s="67">
        <f t="shared" si="0"/>
        <v>126810</v>
      </c>
    </row>
    <row r="15" spans="1:7" ht="60" x14ac:dyDescent="0.2">
      <c r="A15" s="156">
        <f>A14+1</f>
        <v>8</v>
      </c>
      <c r="B15" s="147" t="s">
        <v>118</v>
      </c>
      <c r="C15" s="12">
        <f>GF1_MES!K146</f>
        <v>106.90020000000001</v>
      </c>
      <c r="D15" s="11" t="s">
        <v>42</v>
      </c>
      <c r="E15" s="12">
        <v>785</v>
      </c>
      <c r="F15" s="11" t="s">
        <v>43</v>
      </c>
      <c r="G15" s="67">
        <f t="shared" si="0"/>
        <v>83917</v>
      </c>
    </row>
    <row r="16" spans="1:7" ht="60" x14ac:dyDescent="0.2">
      <c r="A16" s="156">
        <v>9</v>
      </c>
      <c r="B16" s="147" t="s">
        <v>387</v>
      </c>
      <c r="C16" s="12">
        <f>GF1_MES!K149</f>
        <v>6.2099999999999991</v>
      </c>
      <c r="D16" s="11" t="s">
        <v>42</v>
      </c>
      <c r="E16" s="12">
        <v>285</v>
      </c>
      <c r="F16" s="11" t="s">
        <v>43</v>
      </c>
      <c r="G16" s="67">
        <f t="shared" si="0"/>
        <v>1770</v>
      </c>
    </row>
    <row r="17" spans="1:7" s="9" customFormat="1" ht="45" x14ac:dyDescent="0.2">
      <c r="A17" s="156">
        <f>A16+1</f>
        <v>10</v>
      </c>
      <c r="B17" s="149" t="s">
        <v>48</v>
      </c>
      <c r="C17" s="12">
        <f>GF1_MES!K167</f>
        <v>266.36250000000001</v>
      </c>
      <c r="D17" s="11" t="s">
        <v>49</v>
      </c>
      <c r="E17" s="12">
        <f>140+4</f>
        <v>144</v>
      </c>
      <c r="F17" s="59" t="s">
        <v>50</v>
      </c>
      <c r="G17" s="67">
        <f t="shared" si="0"/>
        <v>38357</v>
      </c>
    </row>
    <row r="18" spans="1:7" ht="45" x14ac:dyDescent="0.2">
      <c r="A18" s="156">
        <f>A17+1</f>
        <v>11</v>
      </c>
      <c r="B18" s="149" t="s">
        <v>333</v>
      </c>
      <c r="C18" s="12">
        <f>GF1_MES!K172</f>
        <v>5.1898499999999999</v>
      </c>
      <c r="D18" s="11" t="s">
        <v>42</v>
      </c>
      <c r="E18" s="12">
        <f>1100+32</f>
        <v>1132</v>
      </c>
      <c r="F18" s="11" t="s">
        <v>43</v>
      </c>
      <c r="G18" s="67">
        <f t="shared" si="0"/>
        <v>5875</v>
      </c>
    </row>
    <row r="19" spans="1:7" ht="60" x14ac:dyDescent="0.2">
      <c r="A19" s="156">
        <v>12</v>
      </c>
      <c r="B19" s="147" t="s">
        <v>378</v>
      </c>
    </row>
    <row r="20" spans="1:7" ht="45" x14ac:dyDescent="0.2">
      <c r="A20" s="156"/>
      <c r="B20" s="147" t="s">
        <v>377</v>
      </c>
      <c r="C20" s="12">
        <f>GF1_MES!K178</f>
        <v>56.241</v>
      </c>
      <c r="D20" s="59" t="s">
        <v>49</v>
      </c>
      <c r="E20" s="12">
        <v>53</v>
      </c>
      <c r="F20" s="59" t="s">
        <v>50</v>
      </c>
      <c r="G20" s="67">
        <f t="shared" ref="G20:G34" si="1">IF(C20,ROUNDUP(C20*E20,0),"")</f>
        <v>2981</v>
      </c>
    </row>
    <row r="21" spans="1:7" ht="90" x14ac:dyDescent="0.2">
      <c r="B21" s="155" t="s">
        <v>385</v>
      </c>
      <c r="C21" s="12">
        <f>GF1_MES!K250</f>
        <v>449.96909999999991</v>
      </c>
      <c r="D21" s="59" t="s">
        <v>49</v>
      </c>
      <c r="E21" s="12">
        <v>70</v>
      </c>
      <c r="F21" s="59" t="s">
        <v>50</v>
      </c>
      <c r="G21" s="67">
        <f t="shared" si="1"/>
        <v>31498</v>
      </c>
    </row>
    <row r="22" spans="1:7" ht="210" x14ac:dyDescent="0.2">
      <c r="A22" s="156">
        <f>A19+1</f>
        <v>13</v>
      </c>
      <c r="B22" s="149" t="s">
        <v>383</v>
      </c>
      <c r="C22" s="12">
        <f>GF1_MES!K297</f>
        <v>58.160895999999994</v>
      </c>
      <c r="D22" s="11" t="s">
        <v>42</v>
      </c>
      <c r="E22" s="12">
        <f>1860+21</f>
        <v>1881</v>
      </c>
      <c r="F22" s="11" t="s">
        <v>43</v>
      </c>
      <c r="G22" s="67">
        <f t="shared" si="1"/>
        <v>109401</v>
      </c>
    </row>
    <row r="23" spans="1:7" ht="60" x14ac:dyDescent="0.2">
      <c r="B23" s="18" t="s">
        <v>51</v>
      </c>
      <c r="C23" s="12">
        <f>GF1_MES!K314</f>
        <v>15.440578</v>
      </c>
      <c r="D23" s="11" t="s">
        <v>42</v>
      </c>
      <c r="E23" s="12">
        <f>1860+60</f>
        <v>1920</v>
      </c>
      <c r="F23" s="11" t="s">
        <v>43</v>
      </c>
      <c r="G23" s="67">
        <f t="shared" si="1"/>
        <v>29646</v>
      </c>
    </row>
    <row r="24" spans="1:7" ht="30" x14ac:dyDescent="0.2">
      <c r="B24" s="18" t="s">
        <v>331</v>
      </c>
      <c r="C24" s="12">
        <f>GF1_MES!K319</f>
        <v>11.3436</v>
      </c>
      <c r="D24" s="11" t="s">
        <v>42</v>
      </c>
      <c r="E24" s="12">
        <v>1860</v>
      </c>
      <c r="F24" s="11" t="s">
        <v>43</v>
      </c>
      <c r="G24" s="67">
        <f t="shared" si="1"/>
        <v>21100</v>
      </c>
    </row>
    <row r="25" spans="1:7" ht="120" x14ac:dyDescent="0.2">
      <c r="A25" s="156">
        <f>A22+1</f>
        <v>14</v>
      </c>
      <c r="B25" s="147" t="s">
        <v>332</v>
      </c>
      <c r="C25" s="13">
        <f>GF1_MES!K324</f>
        <v>8267.6353999999992</v>
      </c>
      <c r="D25" s="11" t="s">
        <v>52</v>
      </c>
      <c r="E25" s="12">
        <v>18.649999999999999</v>
      </c>
      <c r="F25" s="59" t="s">
        <v>53</v>
      </c>
      <c r="G25" s="67">
        <f t="shared" si="1"/>
        <v>154192</v>
      </c>
    </row>
    <row r="26" spans="1:7" ht="45" x14ac:dyDescent="0.2">
      <c r="A26" s="156">
        <v>15</v>
      </c>
      <c r="B26" s="155" t="s">
        <v>306</v>
      </c>
      <c r="C26" s="12">
        <f>GF1_MES!K386</f>
        <v>1180.8320000000001</v>
      </c>
      <c r="D26" s="11" t="s">
        <v>49</v>
      </c>
      <c r="E26" s="12">
        <v>37</v>
      </c>
      <c r="F26" s="59" t="s">
        <v>50</v>
      </c>
      <c r="G26" s="67">
        <f t="shared" si="1"/>
        <v>43691</v>
      </c>
    </row>
    <row r="27" spans="1:7" ht="60" x14ac:dyDescent="0.2">
      <c r="A27" s="156">
        <v>16</v>
      </c>
      <c r="B27" s="155" t="s">
        <v>9</v>
      </c>
      <c r="C27" s="12">
        <f>GF1_MES!K390</f>
        <v>295.51859999999994</v>
      </c>
      <c r="D27" s="11" t="s">
        <v>49</v>
      </c>
      <c r="E27" s="12">
        <v>55</v>
      </c>
      <c r="F27" s="59" t="s">
        <v>50</v>
      </c>
      <c r="G27" s="67">
        <f t="shared" si="1"/>
        <v>16254</v>
      </c>
    </row>
    <row r="28" spans="1:7" ht="30" x14ac:dyDescent="0.2">
      <c r="A28" s="156">
        <v>17</v>
      </c>
      <c r="B28" s="18" t="s">
        <v>54</v>
      </c>
      <c r="C28" s="12">
        <f>GF1_MES!K392</f>
        <v>13.741706499999999</v>
      </c>
      <c r="D28" s="11" t="s">
        <v>42</v>
      </c>
      <c r="E28" s="12">
        <v>180</v>
      </c>
      <c r="F28" s="11" t="s">
        <v>43</v>
      </c>
      <c r="G28" s="67">
        <f t="shared" si="1"/>
        <v>2474</v>
      </c>
    </row>
    <row r="29" spans="1:7" ht="210" x14ac:dyDescent="0.2">
      <c r="A29" s="156">
        <f>A28+1</f>
        <v>18</v>
      </c>
      <c r="B29" s="145" t="str">
        <f>GF1_MES!B394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29" s="12">
        <f>GF1_MES!K401</f>
        <v>762.5385</v>
      </c>
      <c r="D29" s="11" t="s">
        <v>52</v>
      </c>
      <c r="E29" s="12">
        <v>26</v>
      </c>
      <c r="F29" s="59" t="s">
        <v>53</v>
      </c>
      <c r="G29" s="67">
        <f t="shared" si="1"/>
        <v>19827</v>
      </c>
    </row>
    <row r="30" spans="1:7" ht="300" x14ac:dyDescent="0.2">
      <c r="A30" s="156">
        <v>19</v>
      </c>
      <c r="B30" s="145" t="s">
        <v>388</v>
      </c>
      <c r="C30" s="12">
        <f>GF1_MES!K409</f>
        <v>68.602500000000006</v>
      </c>
      <c r="D30" s="11" t="s">
        <v>49</v>
      </c>
      <c r="E30" s="12">
        <v>700</v>
      </c>
      <c r="F30" s="59" t="s">
        <v>50</v>
      </c>
      <c r="G30" s="67">
        <f t="shared" si="1"/>
        <v>48022</v>
      </c>
    </row>
    <row r="31" spans="1:7" ht="30" x14ac:dyDescent="0.2">
      <c r="A31" s="156">
        <f>A30+1</f>
        <v>20</v>
      </c>
      <c r="B31" s="18" t="s">
        <v>55</v>
      </c>
      <c r="C31" s="12">
        <f>GF1_MES!K418</f>
        <v>690.03449999999987</v>
      </c>
      <c r="D31" s="11" t="s">
        <v>52</v>
      </c>
      <c r="E31" s="12">
        <v>19</v>
      </c>
      <c r="F31" s="59" t="s">
        <v>53</v>
      </c>
      <c r="G31" s="67">
        <f t="shared" si="1"/>
        <v>13111</v>
      </c>
    </row>
    <row r="32" spans="1:7" ht="75" x14ac:dyDescent="0.2">
      <c r="A32" s="156">
        <f>A31+1</f>
        <v>21</v>
      </c>
      <c r="B32" s="18" t="s">
        <v>56</v>
      </c>
      <c r="C32" s="12">
        <f>GF1_MES!K420</f>
        <v>54.882000000000005</v>
      </c>
      <c r="D32" s="11" t="s">
        <v>49</v>
      </c>
      <c r="E32" s="12">
        <v>185</v>
      </c>
      <c r="F32" s="59" t="s">
        <v>50</v>
      </c>
      <c r="G32" s="67">
        <f t="shared" si="1"/>
        <v>10154</v>
      </c>
    </row>
    <row r="33" spans="1:7" ht="90" x14ac:dyDescent="0.2">
      <c r="A33" s="156">
        <f>A32+1</f>
        <v>22</v>
      </c>
      <c r="B33" s="155" t="s">
        <v>57</v>
      </c>
      <c r="C33" s="12">
        <f>GF1_MES!K430</f>
        <v>511.23125000000005</v>
      </c>
      <c r="D33" s="11" t="s">
        <v>52</v>
      </c>
      <c r="E33" s="12">
        <v>30</v>
      </c>
      <c r="F33" s="59" t="s">
        <v>53</v>
      </c>
      <c r="G33" s="67">
        <f t="shared" si="1"/>
        <v>15337</v>
      </c>
    </row>
    <row r="34" spans="1:7" s="11" customFormat="1" ht="90" x14ac:dyDescent="0.2">
      <c r="A34" s="55">
        <v>23</v>
      </c>
      <c r="B34" s="148" t="s">
        <v>28</v>
      </c>
      <c r="C34" s="12">
        <f>GF1_MES!K432</f>
        <v>5.9746550000000003</v>
      </c>
      <c r="D34" s="11" t="s">
        <v>42</v>
      </c>
      <c r="E34" s="12">
        <v>850</v>
      </c>
      <c r="F34" s="11" t="s">
        <v>43</v>
      </c>
      <c r="G34" s="67">
        <f t="shared" si="1"/>
        <v>5079</v>
      </c>
    </row>
    <row r="35" spans="1:7" ht="75" x14ac:dyDescent="0.2">
      <c r="A35" s="156">
        <v>24</v>
      </c>
      <c r="B35" s="18" t="s">
        <v>17</v>
      </c>
      <c r="F35" s="59"/>
      <c r="G35" s="67"/>
    </row>
    <row r="36" spans="1:7" ht="30" x14ac:dyDescent="0.2">
      <c r="B36" s="18" t="s">
        <v>352</v>
      </c>
      <c r="C36" s="12">
        <f>GF1_MES!K437</f>
        <v>21.922000000000004</v>
      </c>
      <c r="D36" s="11" t="s">
        <v>49</v>
      </c>
      <c r="E36" s="12">
        <v>270</v>
      </c>
      <c r="F36" s="59" t="s">
        <v>50</v>
      </c>
      <c r="G36" s="67">
        <f t="shared" ref="G36:G54" si="2">IF(C36,ROUNDUP(C36*E36,0),"")</f>
        <v>5919</v>
      </c>
    </row>
    <row r="37" spans="1:7" ht="30" x14ac:dyDescent="0.2">
      <c r="B37" s="18" t="s">
        <v>353</v>
      </c>
      <c r="C37" s="12">
        <f>GF1_MES!K480</f>
        <v>301.62810000000013</v>
      </c>
      <c r="D37" s="11" t="s">
        <v>49</v>
      </c>
      <c r="E37" s="12">
        <v>300</v>
      </c>
      <c r="F37" s="59" t="s">
        <v>50</v>
      </c>
      <c r="G37" s="67">
        <f t="shared" si="2"/>
        <v>90489</v>
      </c>
    </row>
    <row r="38" spans="1:7" ht="60" x14ac:dyDescent="0.2">
      <c r="A38" s="156">
        <v>25</v>
      </c>
      <c r="B38" s="155" t="s">
        <v>61</v>
      </c>
      <c r="C38"/>
      <c r="D38"/>
      <c r="E38"/>
      <c r="F38"/>
      <c r="G38" s="67" t="str">
        <f t="shared" si="2"/>
        <v/>
      </c>
    </row>
    <row r="39" spans="1:7" x14ac:dyDescent="0.2">
      <c r="B39" s="18" t="s">
        <v>240</v>
      </c>
      <c r="C39" s="12">
        <f>GF1_MES!K505</f>
        <v>83.730000000000032</v>
      </c>
      <c r="D39" s="11" t="s">
        <v>49</v>
      </c>
      <c r="E39" s="12">
        <v>295</v>
      </c>
      <c r="F39" s="59" t="s">
        <v>50</v>
      </c>
      <c r="G39" s="67">
        <f t="shared" si="2"/>
        <v>24701</v>
      </c>
    </row>
    <row r="40" spans="1:7" ht="30" x14ac:dyDescent="0.2">
      <c r="B40" s="18" t="s">
        <v>241</v>
      </c>
      <c r="C40" s="12">
        <f>GF1_MES!K510</f>
        <v>18</v>
      </c>
      <c r="D40" s="11" t="s">
        <v>49</v>
      </c>
      <c r="E40" s="12">
        <v>255</v>
      </c>
      <c r="F40" s="59" t="s">
        <v>50</v>
      </c>
      <c r="G40" s="67">
        <f t="shared" si="2"/>
        <v>4590</v>
      </c>
    </row>
    <row r="41" spans="1:7" ht="180" x14ac:dyDescent="0.2">
      <c r="A41" s="156">
        <f>A38+1</f>
        <v>26</v>
      </c>
      <c r="B41" s="152" t="s">
        <v>24</v>
      </c>
      <c r="C41" s="12">
        <f>GF1_MES!K513</f>
        <v>5.6700000000000008</v>
      </c>
      <c r="D41" s="11" t="s">
        <v>49</v>
      </c>
      <c r="E41" s="12">
        <v>1240</v>
      </c>
      <c r="F41" s="59" t="s">
        <v>50</v>
      </c>
      <c r="G41" s="67">
        <f t="shared" si="2"/>
        <v>7031</v>
      </c>
    </row>
    <row r="42" spans="1:7" ht="180" x14ac:dyDescent="0.2">
      <c r="A42" s="156">
        <v>27</v>
      </c>
      <c r="B42" s="145" t="s">
        <v>25</v>
      </c>
      <c r="C42" s="12">
        <f>GF1_MES!K519</f>
        <v>38.619000000000007</v>
      </c>
      <c r="D42" s="11" t="s">
        <v>49</v>
      </c>
      <c r="E42" s="12">
        <f>0.8*1240</f>
        <v>992</v>
      </c>
      <c r="F42" s="59" t="s">
        <v>50</v>
      </c>
      <c r="G42" s="67">
        <f t="shared" si="2"/>
        <v>38311</v>
      </c>
    </row>
    <row r="43" spans="1:7" ht="90" x14ac:dyDescent="0.2">
      <c r="A43" s="156">
        <v>28</v>
      </c>
      <c r="B43" s="18" t="s">
        <v>13</v>
      </c>
      <c r="C43" s="12">
        <f>GF1_MES!K524</f>
        <v>920.78510000000006</v>
      </c>
      <c r="D43" s="11" t="s">
        <v>49</v>
      </c>
      <c r="E43" s="12">
        <v>17.600000000000001</v>
      </c>
      <c r="F43" s="59" t="s">
        <v>50</v>
      </c>
      <c r="G43" s="67">
        <f t="shared" si="2"/>
        <v>16206</v>
      </c>
    </row>
    <row r="44" spans="1:7" ht="75" x14ac:dyDescent="0.2">
      <c r="A44" s="156">
        <f>A43+1</f>
        <v>29</v>
      </c>
      <c r="B44" s="18" t="s">
        <v>14</v>
      </c>
      <c r="C44" s="12">
        <f>GF1_MES!K526</f>
        <v>596.49300000000005</v>
      </c>
      <c r="D44" s="11" t="s">
        <v>49</v>
      </c>
      <c r="E44" s="12">
        <v>15</v>
      </c>
      <c r="F44" s="59" t="s">
        <v>50</v>
      </c>
      <c r="G44" s="67">
        <f t="shared" si="2"/>
        <v>8948</v>
      </c>
    </row>
    <row r="45" spans="1:7" ht="60" x14ac:dyDescent="0.2">
      <c r="A45" s="156">
        <f>A44+1</f>
        <v>30</v>
      </c>
      <c r="B45" s="18" t="s">
        <v>267</v>
      </c>
      <c r="C45" s="12">
        <f>GF1_MES!K534</f>
        <v>360.75675000000001</v>
      </c>
      <c r="D45" s="11" t="s">
        <v>49</v>
      </c>
      <c r="E45" s="12">
        <v>9</v>
      </c>
      <c r="F45" s="59" t="s">
        <v>50</v>
      </c>
      <c r="G45" s="67">
        <f t="shared" si="2"/>
        <v>3247</v>
      </c>
    </row>
    <row r="46" spans="1:7" ht="45" x14ac:dyDescent="0.2">
      <c r="A46" s="156">
        <f>A45+1</f>
        <v>31</v>
      </c>
      <c r="B46" s="155" t="s">
        <v>62</v>
      </c>
      <c r="C46" s="12">
        <f>GF1_MES!K536</f>
        <v>360.75675000000001</v>
      </c>
      <c r="D46" s="11" t="s">
        <v>49</v>
      </c>
      <c r="E46" s="12">
        <v>24</v>
      </c>
      <c r="F46" s="59" t="s">
        <v>50</v>
      </c>
      <c r="G46" s="67">
        <f t="shared" si="2"/>
        <v>8659</v>
      </c>
    </row>
    <row r="47" spans="1:7" s="9" customFormat="1" ht="60" x14ac:dyDescent="0.2">
      <c r="A47" s="1">
        <v>32</v>
      </c>
      <c r="B47" s="19" t="s">
        <v>20</v>
      </c>
      <c r="C47" s="4">
        <f>GF1_MES!K547</f>
        <v>264.56799999999998</v>
      </c>
      <c r="D47" s="38" t="s">
        <v>49</v>
      </c>
      <c r="E47" s="4">
        <v>20</v>
      </c>
      <c r="F47" s="42" t="s">
        <v>50</v>
      </c>
      <c r="G47" s="67">
        <f t="shared" si="2"/>
        <v>5292</v>
      </c>
    </row>
    <row r="48" spans="1:7" s="9" customFormat="1" ht="45" x14ac:dyDescent="0.2">
      <c r="A48" s="1">
        <v>33</v>
      </c>
      <c r="B48" s="155" t="s">
        <v>127</v>
      </c>
      <c r="C48" s="4">
        <f>GF1_MES!K547</f>
        <v>264.56799999999998</v>
      </c>
      <c r="D48" s="38" t="s">
        <v>49</v>
      </c>
      <c r="E48" s="4">
        <v>91</v>
      </c>
      <c r="F48" s="42" t="s">
        <v>50</v>
      </c>
      <c r="G48" s="67">
        <f t="shared" si="2"/>
        <v>24076</v>
      </c>
    </row>
    <row r="49" spans="1:7" s="9" customFormat="1" ht="60" x14ac:dyDescent="0.2">
      <c r="A49" s="1">
        <v>34</v>
      </c>
      <c r="B49" s="155" t="s">
        <v>128</v>
      </c>
      <c r="C49" s="4">
        <f>GF1_MES!K550</f>
        <v>66.141999999999996</v>
      </c>
      <c r="D49" s="38" t="s">
        <v>59</v>
      </c>
      <c r="E49" s="4">
        <v>18</v>
      </c>
      <c r="F49" s="42" t="s">
        <v>60</v>
      </c>
      <c r="G49" s="67">
        <f t="shared" si="2"/>
        <v>1191</v>
      </c>
    </row>
    <row r="50" spans="1:7" s="9" customFormat="1" ht="75" x14ac:dyDescent="0.2">
      <c r="A50" s="1">
        <v>35</v>
      </c>
      <c r="B50" s="155" t="s">
        <v>243</v>
      </c>
      <c r="C50" s="4">
        <f>GF1_MES!K551</f>
        <v>264.56799999999998</v>
      </c>
      <c r="D50" s="38" t="s">
        <v>49</v>
      </c>
      <c r="E50" s="4">
        <v>60</v>
      </c>
      <c r="F50" s="42" t="s">
        <v>50</v>
      </c>
      <c r="G50" s="67">
        <f t="shared" si="2"/>
        <v>15875</v>
      </c>
    </row>
    <row r="51" spans="1:7" ht="105" x14ac:dyDescent="0.2">
      <c r="A51" s="156">
        <v>36</v>
      </c>
      <c r="B51" s="147" t="s">
        <v>11</v>
      </c>
      <c r="C51" s="4">
        <f>GF1_MES!K558</f>
        <v>75.690000000000012</v>
      </c>
      <c r="D51" s="38" t="s">
        <v>49</v>
      </c>
      <c r="E51" s="4">
        <v>425</v>
      </c>
      <c r="F51" s="42" t="s">
        <v>50</v>
      </c>
      <c r="G51" s="67">
        <f t="shared" si="2"/>
        <v>32169</v>
      </c>
    </row>
    <row r="52" spans="1:7" s="11" customFormat="1" ht="45" x14ac:dyDescent="0.2">
      <c r="A52" s="156">
        <v>37</v>
      </c>
      <c r="B52" s="145" t="str">
        <f>GF1_MES!B559</f>
        <v>Supplying and fixing ashlar rain water spouts fine ( 3 line) dressed as per approved design of size 60 x 30 x 25 cm.</v>
      </c>
      <c r="C52" s="4">
        <f>GF1_MES!K560</f>
        <v>10</v>
      </c>
      <c r="D52" s="38" t="s">
        <v>133</v>
      </c>
      <c r="E52" s="4">
        <v>240</v>
      </c>
      <c r="F52" s="39" t="s">
        <v>192</v>
      </c>
      <c r="G52" s="67">
        <f t="shared" si="2"/>
        <v>2400</v>
      </c>
    </row>
    <row r="53" spans="1:7" ht="45" x14ac:dyDescent="0.2">
      <c r="A53" s="156">
        <v>38</v>
      </c>
      <c r="B53" s="18" t="s">
        <v>343</v>
      </c>
      <c r="C53" s="4">
        <f>GF1_MES!K564</f>
        <v>53.162999999999997</v>
      </c>
      <c r="D53" s="38" t="s">
        <v>49</v>
      </c>
      <c r="E53" s="4">
        <v>85</v>
      </c>
      <c r="F53" s="42" t="s">
        <v>50</v>
      </c>
      <c r="G53" s="67">
        <f t="shared" si="2"/>
        <v>4519</v>
      </c>
    </row>
    <row r="54" spans="1:7" ht="210" x14ac:dyDescent="0.2">
      <c r="A54" s="156">
        <v>39</v>
      </c>
      <c r="B54" s="152" t="s">
        <v>117</v>
      </c>
      <c r="C54" s="12">
        <f>GF1_MES!K565</f>
        <v>6.48</v>
      </c>
      <c r="D54" s="11" t="s">
        <v>49</v>
      </c>
      <c r="E54" s="12">
        <v>585</v>
      </c>
      <c r="F54" s="59" t="s">
        <v>50</v>
      </c>
      <c r="G54" s="67">
        <f t="shared" si="2"/>
        <v>3791</v>
      </c>
    </row>
    <row r="55" spans="1:7" x14ac:dyDescent="0.2">
      <c r="C55" s="11"/>
      <c r="E55" s="136" t="s">
        <v>129</v>
      </c>
      <c r="F55" s="34" t="s">
        <v>30</v>
      </c>
      <c r="G55" s="34">
        <f>SUM(G5:G54)</f>
        <v>1125396</v>
      </c>
    </row>
    <row r="56" spans="1:7" x14ac:dyDescent="0.2">
      <c r="C56" s="11"/>
      <c r="F56" s="67"/>
      <c r="G56" s="67"/>
    </row>
    <row r="57" spans="1:7" x14ac:dyDescent="0.2">
      <c r="C57" s="11"/>
      <c r="F57" s="67"/>
      <c r="G57" s="67"/>
    </row>
    <row r="58" spans="1:7" s="68" customFormat="1" ht="15.75" x14ac:dyDescent="0.25">
      <c r="A58" s="78"/>
      <c r="B58" s="157" t="s">
        <v>328</v>
      </c>
      <c r="C58" s="11"/>
      <c r="D58" s="108" t="s">
        <v>327</v>
      </c>
      <c r="E58" s="11"/>
      <c r="F58" s="53"/>
    </row>
    <row r="59" spans="1:7" s="68" customFormat="1" ht="15.75" x14ac:dyDescent="0.25">
      <c r="A59" s="78"/>
      <c r="B59" s="157" t="s">
        <v>16</v>
      </c>
      <c r="C59" s="11"/>
      <c r="D59" s="78" t="s">
        <v>348</v>
      </c>
      <c r="E59" s="11"/>
      <c r="F59" s="53"/>
    </row>
  </sheetData>
  <mergeCells count="3">
    <mergeCell ref="A1:G1"/>
    <mergeCell ref="A2:G2"/>
    <mergeCell ref="A3:G3"/>
  </mergeCells>
  <phoneticPr fontId="0" type="noConversion"/>
  <printOptions horizontalCentered="1"/>
  <pageMargins left="0.62" right="0.18" top="0.73" bottom="0.79" header="0.5" footer="0.48"/>
  <pageSetup paperSize="9" fitToHeight="8" orientation="portrait" useFirstPageNumber="1" horizontalDpi="180" verticalDpi="180" r:id="rId1"/>
  <headerFooter alignWithMargins="0">
    <oddFooter>&amp;C&amp;F -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69"/>
  <sheetViews>
    <sheetView tabSelected="1" topLeftCell="A144" zoomScaleNormal="75" zoomScaleSheetLayoutView="75" workbookViewId="0">
      <selection activeCell="E146" sqref="E146"/>
    </sheetView>
    <sheetView topLeftCell="A165" workbookViewId="1">
      <selection activeCell="A173" sqref="A173"/>
    </sheetView>
    <sheetView topLeftCell="A560" zoomScale="75" workbookViewId="2">
      <selection activeCell="K565" sqref="K565"/>
    </sheetView>
  </sheetViews>
  <sheetFormatPr defaultRowHeight="15" x14ac:dyDescent="0.2"/>
  <cols>
    <col min="1" max="1" width="3.44140625" style="83" customWidth="1"/>
    <col min="2" max="2" width="33" style="150" customWidth="1"/>
    <col min="3" max="3" width="5.44140625" style="45" customWidth="1"/>
    <col min="4" max="4" width="2.5546875" style="48" customWidth="1"/>
    <col min="5" max="5" width="9" style="65" customWidth="1"/>
    <col min="6" max="6" width="2.21875" style="48" customWidth="1"/>
    <col min="7" max="7" width="6.5546875" style="46" customWidth="1"/>
    <col min="8" max="8" width="2" style="48" customWidth="1"/>
    <col min="9" max="9" width="6.33203125" style="65" customWidth="1"/>
    <col min="10" max="10" width="2" style="48" customWidth="1"/>
    <col min="11" max="11" width="10.33203125" style="65" customWidth="1"/>
    <col min="12" max="12" width="5.33203125" style="48" customWidth="1"/>
    <col min="13" max="16384" width="8.88671875" style="48"/>
  </cols>
  <sheetData>
    <row r="1" spans="1:12" s="11" customFormat="1" ht="18" x14ac:dyDescent="0.2">
      <c r="A1" s="211" t="str">
        <f>'gen-abstract'!A2</f>
        <v xml:space="preserve">NAME OF WORK :- Construction of Additional Session Judge Bungalow at Nathdwara </v>
      </c>
      <c r="B1" s="211"/>
      <c r="C1" s="211"/>
      <c r="D1" s="211"/>
      <c r="E1" s="211"/>
      <c r="F1" s="211"/>
      <c r="G1" s="211"/>
      <c r="H1" s="211"/>
      <c r="I1" s="211"/>
      <c r="J1" s="211"/>
      <c r="K1" s="211"/>
      <c r="L1" s="211"/>
    </row>
    <row r="2" spans="1:12" s="11" customFormat="1" x14ac:dyDescent="0.2">
      <c r="A2" s="215" t="s">
        <v>34</v>
      </c>
      <c r="B2" s="215"/>
      <c r="C2" s="215"/>
      <c r="D2" s="215"/>
      <c r="E2" s="215"/>
      <c r="F2" s="215"/>
      <c r="G2" s="215"/>
      <c r="H2" s="215"/>
      <c r="I2" s="215"/>
      <c r="J2" s="215"/>
      <c r="K2" s="215"/>
      <c r="L2" s="215"/>
    </row>
    <row r="3" spans="1:12" s="11" customFormat="1" x14ac:dyDescent="0.2">
      <c r="A3" s="215" t="s">
        <v>130</v>
      </c>
      <c r="B3" s="215"/>
      <c r="C3" s="215"/>
      <c r="D3" s="215"/>
      <c r="E3" s="215"/>
      <c r="F3" s="215"/>
      <c r="G3" s="215"/>
      <c r="H3" s="215"/>
      <c r="I3" s="215"/>
      <c r="J3" s="215"/>
      <c r="K3" s="215"/>
      <c r="L3" s="215"/>
    </row>
    <row r="4" spans="1:12" s="64" customFormat="1" x14ac:dyDescent="0.2">
      <c r="A4" s="27" t="s">
        <v>131</v>
      </c>
      <c r="B4" s="171" t="s">
        <v>132</v>
      </c>
      <c r="C4" s="49" t="s">
        <v>133</v>
      </c>
      <c r="D4" s="29"/>
      <c r="E4" s="30" t="s">
        <v>134</v>
      </c>
      <c r="F4" s="29"/>
      <c r="G4" s="30" t="s">
        <v>135</v>
      </c>
      <c r="H4" s="30"/>
      <c r="I4" s="30" t="s">
        <v>136</v>
      </c>
      <c r="J4" s="30"/>
      <c r="K4" s="30" t="s">
        <v>137</v>
      </c>
      <c r="L4" s="30" t="s">
        <v>138</v>
      </c>
    </row>
    <row r="5" spans="1:12" s="11" customFormat="1" x14ac:dyDescent="0.2">
      <c r="A5" s="55"/>
      <c r="B5" s="154" t="s">
        <v>268</v>
      </c>
      <c r="C5" s="12"/>
      <c r="D5" s="38"/>
      <c r="E5" s="12"/>
      <c r="F5" s="38"/>
      <c r="G5" s="67"/>
    </row>
    <row r="6" spans="1:12" s="11" customFormat="1" x14ac:dyDescent="0.2">
      <c r="A6" s="55"/>
      <c r="B6" s="154" t="s">
        <v>247</v>
      </c>
      <c r="C6" s="12"/>
      <c r="D6" s="38"/>
      <c r="E6" s="12"/>
      <c r="F6" s="38"/>
      <c r="G6" s="67"/>
    </row>
    <row r="7" spans="1:12" s="11" customFormat="1" x14ac:dyDescent="0.2">
      <c r="A7" s="55"/>
      <c r="B7" s="154" t="s">
        <v>64</v>
      </c>
      <c r="C7" s="12"/>
      <c r="D7" s="38"/>
      <c r="E7" s="12"/>
      <c r="F7" s="38"/>
      <c r="G7" s="67"/>
    </row>
    <row r="8" spans="1:12" s="11" customFormat="1" x14ac:dyDescent="0.2">
      <c r="A8" s="54"/>
      <c r="B8" s="145" t="s">
        <v>119</v>
      </c>
      <c r="C8" s="66">
        <v>2</v>
      </c>
      <c r="D8" s="11" t="s">
        <v>139</v>
      </c>
      <c r="E8" s="12">
        <v>9.23</v>
      </c>
      <c r="G8" s="67"/>
      <c r="I8" s="12"/>
      <c r="J8" s="69" t="s">
        <v>140</v>
      </c>
      <c r="K8" s="12">
        <f>IF(C8,C8*E8,"")</f>
        <v>18.46</v>
      </c>
      <c r="L8" s="66" t="s">
        <v>59</v>
      </c>
    </row>
    <row r="9" spans="1:12" s="11" customFormat="1" x14ac:dyDescent="0.2">
      <c r="A9" s="54"/>
      <c r="B9" s="145" t="s">
        <v>65</v>
      </c>
      <c r="C9" s="66">
        <v>1</v>
      </c>
      <c r="D9" s="11" t="s">
        <v>139</v>
      </c>
      <c r="E9" s="12">
        <v>3.51</v>
      </c>
      <c r="G9" s="67"/>
      <c r="I9" s="12"/>
      <c r="J9" s="69" t="s">
        <v>140</v>
      </c>
      <c r="K9" s="12">
        <f>IF(C9,C9*E9,"")</f>
        <v>3.51</v>
      </c>
      <c r="L9" s="66" t="s">
        <v>59</v>
      </c>
    </row>
    <row r="10" spans="1:12" s="11" customFormat="1" x14ac:dyDescent="0.2">
      <c r="A10" s="54"/>
      <c r="B10" s="145" t="s">
        <v>66</v>
      </c>
      <c r="C10" s="66">
        <v>1</v>
      </c>
      <c r="D10" s="11" t="s">
        <v>139</v>
      </c>
      <c r="E10" s="12">
        <v>3.97</v>
      </c>
      <c r="G10" s="67"/>
      <c r="I10" s="12"/>
      <c r="J10" s="69" t="s">
        <v>140</v>
      </c>
      <c r="K10" s="12">
        <f>IF(C10,C10*E10,"")</f>
        <v>3.97</v>
      </c>
      <c r="L10" s="66" t="s">
        <v>59</v>
      </c>
    </row>
    <row r="11" spans="1:12" s="11" customFormat="1" x14ac:dyDescent="0.2">
      <c r="A11" s="54"/>
      <c r="B11" s="145" t="s">
        <v>67</v>
      </c>
      <c r="C11" s="66">
        <v>1</v>
      </c>
      <c r="D11" s="11" t="s">
        <v>139</v>
      </c>
      <c r="E11" s="12">
        <v>6.86</v>
      </c>
      <c r="G11" s="67"/>
      <c r="I11" s="12"/>
      <c r="J11" s="69" t="s">
        <v>140</v>
      </c>
      <c r="K11" s="12">
        <f>IF(C11,C11*E11,"")</f>
        <v>6.86</v>
      </c>
      <c r="L11" s="66" t="s">
        <v>59</v>
      </c>
    </row>
    <row r="12" spans="1:12" s="11" customFormat="1" x14ac:dyDescent="0.2">
      <c r="A12" s="54"/>
      <c r="B12" s="145" t="s">
        <v>68</v>
      </c>
      <c r="C12" s="66">
        <v>1</v>
      </c>
      <c r="D12" s="11" t="s">
        <v>139</v>
      </c>
      <c r="E12" s="12">
        <v>4.58</v>
      </c>
      <c r="G12" s="67"/>
      <c r="I12" s="12"/>
      <c r="J12" s="69" t="s">
        <v>140</v>
      </c>
      <c r="K12" s="12">
        <f t="shared" ref="K12:K18" si="0">IF(C12,C12*E12,"")</f>
        <v>4.58</v>
      </c>
      <c r="L12" s="66" t="s">
        <v>59</v>
      </c>
    </row>
    <row r="13" spans="1:12" s="11" customFormat="1" x14ac:dyDescent="0.2">
      <c r="A13" s="54"/>
      <c r="B13" s="145" t="s">
        <v>69</v>
      </c>
      <c r="C13" s="66">
        <v>1</v>
      </c>
      <c r="D13" s="11" t="s">
        <v>139</v>
      </c>
      <c r="E13" s="12">
        <v>5.19</v>
      </c>
      <c r="G13" s="67"/>
      <c r="I13" s="12"/>
      <c r="J13" s="69" t="s">
        <v>140</v>
      </c>
      <c r="K13" s="12">
        <f t="shared" si="0"/>
        <v>5.19</v>
      </c>
      <c r="L13" s="66" t="s">
        <v>59</v>
      </c>
    </row>
    <row r="14" spans="1:12" s="11" customFormat="1" x14ac:dyDescent="0.2">
      <c r="A14" s="54"/>
      <c r="B14" s="145" t="s">
        <v>70</v>
      </c>
      <c r="C14" s="66">
        <v>1</v>
      </c>
      <c r="D14" s="11" t="s">
        <v>139</v>
      </c>
      <c r="E14" s="12">
        <v>4.88</v>
      </c>
      <c r="G14" s="67"/>
      <c r="I14" s="12"/>
      <c r="J14" s="69" t="s">
        <v>140</v>
      </c>
      <c r="K14" s="12">
        <f t="shared" si="0"/>
        <v>4.88</v>
      </c>
      <c r="L14" s="66" t="s">
        <v>59</v>
      </c>
    </row>
    <row r="15" spans="1:12" s="11" customFormat="1" x14ac:dyDescent="0.2">
      <c r="A15" s="54"/>
      <c r="B15" s="145" t="s">
        <v>71</v>
      </c>
      <c r="C15" s="66">
        <v>1</v>
      </c>
      <c r="D15" s="11" t="s">
        <v>139</v>
      </c>
      <c r="E15" s="12">
        <v>6.41</v>
      </c>
      <c r="G15" s="67"/>
      <c r="I15" s="12"/>
      <c r="J15" s="69" t="s">
        <v>140</v>
      </c>
      <c r="K15" s="12">
        <f t="shared" si="0"/>
        <v>6.41</v>
      </c>
      <c r="L15" s="66" t="s">
        <v>59</v>
      </c>
    </row>
    <row r="16" spans="1:12" s="11" customFormat="1" x14ac:dyDescent="0.2">
      <c r="A16" s="54"/>
      <c r="B16" s="145" t="s">
        <v>72</v>
      </c>
      <c r="C16" s="66">
        <v>1</v>
      </c>
      <c r="D16" s="11" t="s">
        <v>139</v>
      </c>
      <c r="E16" s="12">
        <v>14.94</v>
      </c>
      <c r="G16" s="67"/>
      <c r="I16" s="12"/>
      <c r="J16" s="69" t="s">
        <v>140</v>
      </c>
      <c r="K16" s="12">
        <f t="shared" si="0"/>
        <v>14.94</v>
      </c>
      <c r="L16" s="66" t="s">
        <v>59</v>
      </c>
    </row>
    <row r="17" spans="1:12" s="11" customFormat="1" x14ac:dyDescent="0.2">
      <c r="A17" s="54"/>
      <c r="B17" s="145" t="s">
        <v>120</v>
      </c>
      <c r="C17" s="66">
        <v>2</v>
      </c>
      <c r="D17" s="11" t="s">
        <v>139</v>
      </c>
      <c r="E17" s="12">
        <v>0.92</v>
      </c>
      <c r="G17" s="67"/>
      <c r="I17" s="12"/>
      <c r="J17" s="69" t="s">
        <v>140</v>
      </c>
      <c r="K17" s="12">
        <f t="shared" si="0"/>
        <v>1.84</v>
      </c>
      <c r="L17" s="66" t="s">
        <v>59</v>
      </c>
    </row>
    <row r="18" spans="1:12" s="11" customFormat="1" x14ac:dyDescent="0.2">
      <c r="A18" s="54"/>
      <c r="B18" s="145" t="s">
        <v>121</v>
      </c>
      <c r="C18" s="66">
        <v>2</v>
      </c>
      <c r="D18" s="11" t="s">
        <v>139</v>
      </c>
      <c r="E18" s="12">
        <v>0.61</v>
      </c>
      <c r="G18" s="67"/>
      <c r="I18" s="12"/>
      <c r="J18" s="69" t="s">
        <v>140</v>
      </c>
      <c r="K18" s="12">
        <f t="shared" si="0"/>
        <v>1.22</v>
      </c>
      <c r="L18" s="66" t="s">
        <v>59</v>
      </c>
    </row>
    <row r="19" spans="1:12" s="11" customFormat="1" x14ac:dyDescent="0.2">
      <c r="A19" s="55"/>
      <c r="B19" s="154" t="s">
        <v>73</v>
      </c>
      <c r="C19" s="12"/>
      <c r="D19" s="38"/>
      <c r="E19" s="12" t="s">
        <v>58</v>
      </c>
      <c r="F19" s="38"/>
      <c r="G19" s="67"/>
    </row>
    <row r="20" spans="1:12" s="11" customFormat="1" x14ac:dyDescent="0.2">
      <c r="A20" s="54"/>
      <c r="B20" s="145" t="s">
        <v>122</v>
      </c>
      <c r="C20" s="66">
        <v>2</v>
      </c>
      <c r="D20" s="11" t="s">
        <v>139</v>
      </c>
      <c r="E20" s="12">
        <v>3.05</v>
      </c>
      <c r="G20" s="67"/>
      <c r="I20" s="12"/>
      <c r="J20" s="69" t="s">
        <v>140</v>
      </c>
      <c r="K20" s="12">
        <f t="shared" ref="K20:K25" si="1">IF(C20,C20*E20,"")</f>
        <v>6.1</v>
      </c>
      <c r="L20" s="66" t="s">
        <v>59</v>
      </c>
    </row>
    <row r="21" spans="1:12" s="11" customFormat="1" x14ac:dyDescent="0.2">
      <c r="A21" s="54"/>
      <c r="B21" s="145" t="s">
        <v>15</v>
      </c>
      <c r="C21" s="66">
        <v>1</v>
      </c>
      <c r="D21" s="11" t="s">
        <v>139</v>
      </c>
      <c r="E21" s="12">
        <v>3.66</v>
      </c>
      <c r="G21" s="67"/>
      <c r="I21" s="12"/>
      <c r="J21" s="69" t="s">
        <v>140</v>
      </c>
      <c r="K21" s="12">
        <f t="shared" si="1"/>
        <v>3.66</v>
      </c>
      <c r="L21" s="66" t="s">
        <v>59</v>
      </c>
    </row>
    <row r="22" spans="1:12" s="11" customFormat="1" x14ac:dyDescent="0.2">
      <c r="A22" s="54"/>
      <c r="B22" s="145" t="s">
        <v>238</v>
      </c>
      <c r="C22" s="66">
        <v>1</v>
      </c>
      <c r="D22" s="11" t="s">
        <v>139</v>
      </c>
      <c r="E22" s="12">
        <v>2.75</v>
      </c>
      <c r="G22" s="67"/>
      <c r="I22" s="12"/>
      <c r="J22" s="69" t="s">
        <v>140</v>
      </c>
      <c r="K22" s="12">
        <f t="shared" si="1"/>
        <v>2.75</v>
      </c>
      <c r="L22" s="66" t="s">
        <v>59</v>
      </c>
    </row>
    <row r="23" spans="1:12" s="11" customFormat="1" x14ac:dyDescent="0.2">
      <c r="A23" s="54"/>
      <c r="B23" s="145" t="s">
        <v>74</v>
      </c>
      <c r="C23" s="66">
        <v>2</v>
      </c>
      <c r="D23" s="11" t="s">
        <v>139</v>
      </c>
      <c r="E23" s="12">
        <v>3.97</v>
      </c>
      <c r="G23" s="67"/>
      <c r="I23" s="12"/>
      <c r="J23" s="69" t="s">
        <v>140</v>
      </c>
      <c r="K23" s="12">
        <f t="shared" si="1"/>
        <v>7.94</v>
      </c>
      <c r="L23" s="66" t="s">
        <v>59</v>
      </c>
    </row>
    <row r="24" spans="1:12" s="11" customFormat="1" x14ac:dyDescent="0.2">
      <c r="A24" s="54"/>
      <c r="B24" s="145" t="s">
        <v>75</v>
      </c>
      <c r="C24" s="66">
        <v>3</v>
      </c>
      <c r="D24" s="11" t="s">
        <v>139</v>
      </c>
      <c r="E24" s="12">
        <v>4.2699999999999996</v>
      </c>
      <c r="G24" s="67"/>
      <c r="I24" s="12"/>
      <c r="J24" s="69" t="s">
        <v>140</v>
      </c>
      <c r="K24" s="12">
        <f t="shared" si="1"/>
        <v>12.809999999999999</v>
      </c>
      <c r="L24" s="66" t="s">
        <v>59</v>
      </c>
    </row>
    <row r="25" spans="1:12" s="11" customFormat="1" x14ac:dyDescent="0.2">
      <c r="A25" s="54"/>
      <c r="B25" s="145" t="s">
        <v>76</v>
      </c>
      <c r="C25" s="66">
        <v>4</v>
      </c>
      <c r="D25" s="11" t="s">
        <v>139</v>
      </c>
      <c r="E25" s="12">
        <v>4.2699999999999996</v>
      </c>
      <c r="G25" s="67"/>
      <c r="I25" s="12"/>
      <c r="J25" s="69" t="s">
        <v>140</v>
      </c>
      <c r="K25" s="12">
        <f t="shared" si="1"/>
        <v>17.079999999999998</v>
      </c>
      <c r="L25" s="66" t="s">
        <v>59</v>
      </c>
    </row>
    <row r="26" spans="1:12" s="11" customFormat="1" x14ac:dyDescent="0.2">
      <c r="A26" s="54"/>
      <c r="B26" s="145" t="s">
        <v>120</v>
      </c>
      <c r="C26" s="66">
        <v>1</v>
      </c>
      <c r="D26" s="11" t="s">
        <v>139</v>
      </c>
      <c r="E26" s="12">
        <v>2.75</v>
      </c>
      <c r="G26" s="67"/>
      <c r="I26" s="12"/>
      <c r="J26" s="69" t="s">
        <v>140</v>
      </c>
      <c r="K26" s="12">
        <f>IF(C26,C26*E26,"")</f>
        <v>2.75</v>
      </c>
      <c r="L26" s="66" t="s">
        <v>59</v>
      </c>
    </row>
    <row r="27" spans="1:12" s="11" customFormat="1" x14ac:dyDescent="0.2">
      <c r="A27" s="54"/>
      <c r="B27" s="145" t="s">
        <v>121</v>
      </c>
      <c r="C27" s="66">
        <v>1</v>
      </c>
      <c r="D27" s="11" t="s">
        <v>139</v>
      </c>
      <c r="E27" s="12">
        <v>4.2699999999999996</v>
      </c>
      <c r="G27" s="67"/>
      <c r="I27" s="12"/>
      <c r="J27" s="69" t="s">
        <v>140</v>
      </c>
      <c r="K27" s="12">
        <f>IF(C27,C27*E27,"")</f>
        <v>4.2699999999999996</v>
      </c>
      <c r="L27" s="66" t="s">
        <v>59</v>
      </c>
    </row>
    <row r="28" spans="1:12" s="11" customFormat="1" x14ac:dyDescent="0.2">
      <c r="A28" s="54"/>
      <c r="B28" s="145"/>
      <c r="C28" s="66"/>
      <c r="E28" s="12" t="s">
        <v>58</v>
      </c>
      <c r="G28" s="67"/>
      <c r="I28" s="136" t="s">
        <v>248</v>
      </c>
      <c r="J28" s="137" t="s">
        <v>140</v>
      </c>
      <c r="K28" s="136">
        <f>SUM(K8:K27)</f>
        <v>129.22</v>
      </c>
      <c r="L28" s="33" t="s">
        <v>59</v>
      </c>
    </row>
    <row r="29" spans="1:12" s="11" customFormat="1" x14ac:dyDescent="0.2">
      <c r="A29" s="55"/>
      <c r="B29" s="154" t="s">
        <v>77</v>
      </c>
      <c r="C29" s="12"/>
      <c r="D29" s="38"/>
      <c r="E29" s="12" t="s">
        <v>58</v>
      </c>
      <c r="F29" s="38"/>
      <c r="G29" s="67"/>
    </row>
    <row r="30" spans="1:12" s="11" customFormat="1" ht="30" x14ac:dyDescent="0.2">
      <c r="A30" s="55"/>
      <c r="B30" s="154" t="s">
        <v>79</v>
      </c>
      <c r="C30" s="12"/>
      <c r="D30" s="38"/>
      <c r="E30" s="12" t="s">
        <v>58</v>
      </c>
      <c r="F30" s="38"/>
      <c r="G30" s="67"/>
    </row>
    <row r="31" spans="1:12" s="11" customFormat="1" x14ac:dyDescent="0.2">
      <c r="A31" s="54"/>
      <c r="B31" s="145" t="s">
        <v>78</v>
      </c>
      <c r="C31" s="66">
        <v>2</v>
      </c>
      <c r="D31" s="11" t="s">
        <v>139</v>
      </c>
      <c r="E31" s="12">
        <v>6.41</v>
      </c>
      <c r="G31" s="67"/>
      <c r="I31" s="12"/>
      <c r="J31" s="69" t="s">
        <v>140</v>
      </c>
      <c r="K31" s="12">
        <f>IF(C31,C31*E31,"")</f>
        <v>12.82</v>
      </c>
      <c r="L31" s="66" t="s">
        <v>59</v>
      </c>
    </row>
    <row r="32" spans="1:12" s="11" customFormat="1" x14ac:dyDescent="0.2">
      <c r="A32" s="54"/>
      <c r="B32" s="145" t="s">
        <v>76</v>
      </c>
      <c r="C32" s="66">
        <v>1</v>
      </c>
      <c r="D32" s="11" t="s">
        <v>139</v>
      </c>
      <c r="E32" s="12">
        <v>4.58</v>
      </c>
      <c r="G32" s="67"/>
      <c r="I32" s="12"/>
      <c r="J32" s="69" t="s">
        <v>140</v>
      </c>
      <c r="K32" s="12">
        <f>IF(C32,C32*E32,"")</f>
        <v>4.58</v>
      </c>
      <c r="L32" s="66" t="s">
        <v>59</v>
      </c>
    </row>
    <row r="33" spans="1:12" s="11" customFormat="1" x14ac:dyDescent="0.2">
      <c r="A33" s="54"/>
      <c r="B33" s="145"/>
      <c r="C33" s="66"/>
      <c r="E33" s="12" t="s">
        <v>58</v>
      </c>
      <c r="G33" s="67"/>
      <c r="I33" s="136" t="s">
        <v>248</v>
      </c>
      <c r="J33" s="137" t="s">
        <v>140</v>
      </c>
      <c r="K33" s="136">
        <f>SUM(K31:K32)</f>
        <v>17.399999999999999</v>
      </c>
      <c r="L33" s="33" t="s">
        <v>59</v>
      </c>
    </row>
    <row r="34" spans="1:12" s="11" customFormat="1" x14ac:dyDescent="0.2">
      <c r="A34" s="55"/>
      <c r="B34" s="154" t="s">
        <v>82</v>
      </c>
      <c r="C34" s="12"/>
      <c r="D34" s="38"/>
      <c r="E34" s="12" t="s">
        <v>58</v>
      </c>
      <c r="F34" s="38"/>
      <c r="G34" s="67"/>
    </row>
    <row r="35" spans="1:12" s="11" customFormat="1" x14ac:dyDescent="0.2">
      <c r="A35" s="54"/>
      <c r="B35" s="145" t="s">
        <v>80</v>
      </c>
      <c r="C35" s="66">
        <v>2</v>
      </c>
      <c r="D35" s="11" t="s">
        <v>139</v>
      </c>
      <c r="E35" s="12">
        <v>12.35</v>
      </c>
      <c r="G35" s="67"/>
      <c r="I35" s="12"/>
      <c r="J35" s="69" t="s">
        <v>140</v>
      </c>
      <c r="K35" s="12">
        <f>IF(C35,C35*E35,"")</f>
        <v>24.7</v>
      </c>
      <c r="L35" s="66" t="s">
        <v>59</v>
      </c>
    </row>
    <row r="36" spans="1:12" s="11" customFormat="1" x14ac:dyDescent="0.2">
      <c r="A36" s="54"/>
      <c r="C36" s="66">
        <v>2</v>
      </c>
      <c r="D36" s="11" t="s">
        <v>139</v>
      </c>
      <c r="E36" s="12">
        <v>8.23</v>
      </c>
      <c r="G36" s="67"/>
      <c r="I36" s="12"/>
      <c r="J36" s="69" t="s">
        <v>140</v>
      </c>
      <c r="K36" s="12">
        <f>IF(C36,C36*E36,"")</f>
        <v>16.46</v>
      </c>
      <c r="L36" s="66" t="s">
        <v>59</v>
      </c>
    </row>
    <row r="37" spans="1:12" s="11" customFormat="1" x14ac:dyDescent="0.2">
      <c r="A37" s="54"/>
      <c r="B37" s="145" t="s">
        <v>81</v>
      </c>
      <c r="C37" s="66">
        <v>2</v>
      </c>
      <c r="D37" s="11" t="s">
        <v>139</v>
      </c>
      <c r="E37" s="12">
        <v>13.42</v>
      </c>
      <c r="G37" s="67"/>
      <c r="I37" s="12"/>
      <c r="J37" s="69" t="s">
        <v>140</v>
      </c>
      <c r="K37" s="12">
        <f>IF(C37,C37*E37,"")</f>
        <v>26.84</v>
      </c>
      <c r="L37" s="66" t="s">
        <v>59</v>
      </c>
    </row>
    <row r="38" spans="1:12" s="11" customFormat="1" x14ac:dyDescent="0.2">
      <c r="A38" s="54"/>
      <c r="B38" s="145"/>
      <c r="C38" s="66">
        <v>2</v>
      </c>
      <c r="D38" s="11" t="s">
        <v>139</v>
      </c>
      <c r="E38" s="12">
        <v>14.33</v>
      </c>
      <c r="G38" s="67"/>
      <c r="I38" s="12"/>
      <c r="J38" s="69" t="s">
        <v>140</v>
      </c>
      <c r="K38" s="12">
        <f>IF(C38,C38*E38,"")</f>
        <v>28.66</v>
      </c>
      <c r="L38" s="66" t="s">
        <v>59</v>
      </c>
    </row>
    <row r="39" spans="1:12" s="11" customFormat="1" x14ac:dyDescent="0.2">
      <c r="A39" s="54"/>
      <c r="B39" s="145"/>
      <c r="C39" s="66"/>
      <c r="E39" s="12" t="s">
        <v>58</v>
      </c>
      <c r="G39" s="67"/>
      <c r="I39" s="136" t="s">
        <v>248</v>
      </c>
      <c r="J39" s="137" t="s">
        <v>140</v>
      </c>
      <c r="K39" s="136">
        <f>SUM(K35:K38)</f>
        <v>96.66</v>
      </c>
      <c r="L39" s="33" t="s">
        <v>59</v>
      </c>
    </row>
    <row r="40" spans="1:12" s="11" customFormat="1" x14ac:dyDescent="0.2">
      <c r="A40" s="55"/>
      <c r="B40" s="154" t="s">
        <v>313</v>
      </c>
      <c r="C40" s="12"/>
      <c r="D40" s="38"/>
      <c r="E40" s="12" t="s">
        <v>58</v>
      </c>
      <c r="F40" s="38"/>
      <c r="G40" s="67"/>
    </row>
    <row r="41" spans="1:12" s="11" customFormat="1" x14ac:dyDescent="0.2">
      <c r="A41" s="54"/>
      <c r="B41" s="176" t="s">
        <v>83</v>
      </c>
      <c r="C41" s="66">
        <v>1</v>
      </c>
      <c r="D41" s="11" t="s">
        <v>139</v>
      </c>
      <c r="E41" s="12">
        <v>1.3</v>
      </c>
      <c r="G41" s="67"/>
      <c r="I41" s="12"/>
      <c r="J41" s="69" t="s">
        <v>140</v>
      </c>
      <c r="K41" s="12">
        <f>IF(C41,C41*E41,"")</f>
        <v>1.3</v>
      </c>
      <c r="L41" s="66" t="s">
        <v>59</v>
      </c>
    </row>
    <row r="42" spans="1:12" s="11" customFormat="1" x14ac:dyDescent="0.2">
      <c r="A42" s="54"/>
      <c r="B42" s="145" t="s">
        <v>141</v>
      </c>
      <c r="C42" s="66">
        <v>1</v>
      </c>
      <c r="D42" s="11" t="s">
        <v>139</v>
      </c>
      <c r="E42" s="12">
        <v>1.38</v>
      </c>
      <c r="G42" s="67"/>
      <c r="I42" s="12"/>
      <c r="J42" s="69" t="s">
        <v>140</v>
      </c>
      <c r="K42" s="12">
        <f>IF(C42,C42*E42,"")</f>
        <v>1.38</v>
      </c>
      <c r="L42" s="66" t="s">
        <v>59</v>
      </c>
    </row>
    <row r="43" spans="1:12" s="11" customFormat="1" x14ac:dyDescent="0.2">
      <c r="A43" s="54"/>
      <c r="B43" s="145" t="s">
        <v>84</v>
      </c>
      <c r="C43" s="66">
        <v>1</v>
      </c>
      <c r="D43" s="11" t="s">
        <v>139</v>
      </c>
      <c r="E43" s="12">
        <v>1.22</v>
      </c>
      <c r="G43" s="67"/>
      <c r="I43" s="12"/>
      <c r="J43" s="69" t="s">
        <v>140</v>
      </c>
      <c r="K43" s="12">
        <f>IF(C43,C43*E43,"")</f>
        <v>1.22</v>
      </c>
      <c r="L43" s="66" t="s">
        <v>59</v>
      </c>
    </row>
    <row r="44" spans="1:12" s="11" customFormat="1" x14ac:dyDescent="0.2">
      <c r="A44" s="54"/>
      <c r="B44" s="145" t="s">
        <v>85</v>
      </c>
      <c r="C44" s="66">
        <v>1</v>
      </c>
      <c r="D44" s="11" t="s">
        <v>139</v>
      </c>
      <c r="E44" s="12">
        <v>4.88</v>
      </c>
      <c r="G44" s="67"/>
      <c r="I44" s="12"/>
      <c r="J44" s="69" t="s">
        <v>140</v>
      </c>
      <c r="K44" s="12">
        <f>IF(C44,C44*E44,"")</f>
        <v>4.88</v>
      </c>
      <c r="L44" s="66" t="s">
        <v>59</v>
      </c>
    </row>
    <row r="45" spans="1:12" s="11" customFormat="1" x14ac:dyDescent="0.2">
      <c r="A45" s="54"/>
      <c r="B45" s="176" t="s">
        <v>76</v>
      </c>
      <c r="C45" s="66">
        <v>2</v>
      </c>
      <c r="D45" s="11" t="s">
        <v>139</v>
      </c>
      <c r="E45" s="12">
        <v>0.77</v>
      </c>
      <c r="G45" s="67"/>
      <c r="I45" s="12"/>
      <c r="J45" s="69" t="s">
        <v>140</v>
      </c>
      <c r="K45" s="12">
        <f>IF(C45,C45*E45,"")</f>
        <v>1.54</v>
      </c>
      <c r="L45" s="66" t="s">
        <v>59</v>
      </c>
    </row>
    <row r="46" spans="1:12" s="11" customFormat="1" x14ac:dyDescent="0.2">
      <c r="A46" s="55"/>
      <c r="B46" s="154" t="s">
        <v>315</v>
      </c>
      <c r="C46" s="12"/>
      <c r="D46" s="38"/>
      <c r="E46" s="12" t="s">
        <v>58</v>
      </c>
      <c r="F46" s="38"/>
      <c r="G46" s="67"/>
    </row>
    <row r="47" spans="1:12" s="11" customFormat="1" x14ac:dyDescent="0.2">
      <c r="A47" s="54"/>
      <c r="B47" s="145" t="s">
        <v>15</v>
      </c>
      <c r="C47" s="66">
        <v>1</v>
      </c>
      <c r="D47" s="11" t="s">
        <v>139</v>
      </c>
      <c r="E47" s="12">
        <v>3.66</v>
      </c>
      <c r="G47" s="67"/>
      <c r="I47" s="12"/>
      <c r="J47" s="69" t="s">
        <v>140</v>
      </c>
      <c r="K47" s="12">
        <f t="shared" ref="K47:K52" si="2">IF(C47,C47*E47,"")</f>
        <v>3.66</v>
      </c>
      <c r="L47" s="66" t="s">
        <v>59</v>
      </c>
    </row>
    <row r="48" spans="1:12" s="11" customFormat="1" x14ac:dyDescent="0.2">
      <c r="A48" s="54"/>
      <c r="B48" s="145" t="s">
        <v>84</v>
      </c>
      <c r="C48" s="66">
        <v>1</v>
      </c>
      <c r="D48" s="11" t="s">
        <v>139</v>
      </c>
      <c r="E48" s="12">
        <v>1.53</v>
      </c>
      <c r="G48" s="67"/>
      <c r="I48" s="12"/>
      <c r="J48" s="69" t="s">
        <v>140</v>
      </c>
      <c r="K48" s="12">
        <f t="shared" si="2"/>
        <v>1.53</v>
      </c>
      <c r="L48" s="66" t="s">
        <v>59</v>
      </c>
    </row>
    <row r="49" spans="1:12" s="11" customFormat="1" x14ac:dyDescent="0.2">
      <c r="A49" s="54"/>
      <c r="B49" s="145" t="s">
        <v>86</v>
      </c>
      <c r="C49" s="66">
        <v>4</v>
      </c>
      <c r="D49" s="11" t="s">
        <v>139</v>
      </c>
      <c r="E49" s="12">
        <v>3.05</v>
      </c>
      <c r="G49" s="67"/>
      <c r="I49" s="12"/>
      <c r="J49" s="69" t="s">
        <v>140</v>
      </c>
      <c r="K49" s="12">
        <f t="shared" si="2"/>
        <v>12.2</v>
      </c>
      <c r="L49" s="66" t="s">
        <v>59</v>
      </c>
    </row>
    <row r="50" spans="1:12" s="11" customFormat="1" x14ac:dyDescent="0.2">
      <c r="A50" s="54"/>
      <c r="B50" s="145" t="s">
        <v>85</v>
      </c>
      <c r="C50" s="66">
        <v>6</v>
      </c>
      <c r="D50" s="11" t="s">
        <v>139</v>
      </c>
      <c r="E50" s="12">
        <v>2.75</v>
      </c>
      <c r="G50" s="67"/>
      <c r="I50" s="12"/>
      <c r="J50" s="69" t="s">
        <v>140</v>
      </c>
      <c r="K50" s="12">
        <f t="shared" si="2"/>
        <v>16.5</v>
      </c>
      <c r="L50" s="66" t="s">
        <v>59</v>
      </c>
    </row>
    <row r="51" spans="1:12" s="11" customFormat="1" x14ac:dyDescent="0.2">
      <c r="A51" s="54"/>
      <c r="B51" s="145"/>
      <c r="C51" s="66">
        <v>12</v>
      </c>
      <c r="D51" s="11" t="s">
        <v>139</v>
      </c>
      <c r="E51" s="12">
        <v>0.61</v>
      </c>
      <c r="G51" s="67"/>
      <c r="I51" s="12"/>
      <c r="J51" s="69" t="s">
        <v>140</v>
      </c>
      <c r="K51" s="12">
        <f t="shared" si="2"/>
        <v>7.32</v>
      </c>
      <c r="L51" s="66" t="s">
        <v>59</v>
      </c>
    </row>
    <row r="52" spans="1:12" s="11" customFormat="1" x14ac:dyDescent="0.2">
      <c r="A52" s="55"/>
      <c r="B52" s="145" t="s">
        <v>88</v>
      </c>
      <c r="C52" s="66">
        <v>2</v>
      </c>
      <c r="D52" s="11" t="s">
        <v>139</v>
      </c>
      <c r="E52" s="12">
        <v>3.36</v>
      </c>
      <c r="G52" s="67"/>
      <c r="I52" s="12"/>
      <c r="J52" s="69" t="s">
        <v>140</v>
      </c>
      <c r="K52" s="12">
        <f t="shared" si="2"/>
        <v>6.72</v>
      </c>
      <c r="L52" s="66" t="s">
        <v>59</v>
      </c>
    </row>
    <row r="53" spans="1:12" s="11" customFormat="1" x14ac:dyDescent="0.2">
      <c r="A53" s="54"/>
      <c r="B53" s="145"/>
      <c r="C53" s="66"/>
      <c r="E53" s="12"/>
      <c r="G53" s="67"/>
      <c r="I53" s="136" t="s">
        <v>248</v>
      </c>
      <c r="J53" s="137" t="s">
        <v>140</v>
      </c>
      <c r="K53" s="136">
        <f>SUM(K41:K52)</f>
        <v>58.25</v>
      </c>
      <c r="L53" s="33" t="s">
        <v>59</v>
      </c>
    </row>
    <row r="54" spans="1:12" s="11" customFormat="1" x14ac:dyDescent="0.2">
      <c r="A54" s="55"/>
      <c r="B54" s="154" t="s">
        <v>87</v>
      </c>
      <c r="C54" s="12"/>
      <c r="D54" s="38"/>
      <c r="E54" s="12"/>
      <c r="F54" s="38"/>
      <c r="G54" s="67"/>
    </row>
    <row r="55" spans="1:12" s="11" customFormat="1" x14ac:dyDescent="0.2">
      <c r="A55" s="54"/>
      <c r="B55" s="145" t="s">
        <v>97</v>
      </c>
      <c r="C55" s="66">
        <v>3</v>
      </c>
      <c r="D55" s="11" t="s">
        <v>139</v>
      </c>
      <c r="E55" s="12">
        <v>3.66</v>
      </c>
      <c r="G55" s="67"/>
      <c r="I55" s="12"/>
      <c r="J55" s="69" t="s">
        <v>140</v>
      </c>
      <c r="K55" s="12">
        <f>IF(C55,C55*E55,"")</f>
        <v>10.98</v>
      </c>
      <c r="L55" s="66" t="s">
        <v>59</v>
      </c>
    </row>
    <row r="56" spans="1:12" s="11" customFormat="1" x14ac:dyDescent="0.2">
      <c r="A56" s="54"/>
      <c r="B56" s="145" t="s">
        <v>363</v>
      </c>
      <c r="C56" s="66">
        <v>2</v>
      </c>
      <c r="D56" s="11" t="s">
        <v>139</v>
      </c>
      <c r="E56" s="12">
        <v>5.19</v>
      </c>
      <c r="G56" s="67"/>
      <c r="I56" s="12"/>
      <c r="J56" s="69" t="s">
        <v>140</v>
      </c>
      <c r="K56" s="12">
        <f>IF(C56,C56*E56,"")</f>
        <v>10.38</v>
      </c>
      <c r="L56" s="66" t="s">
        <v>59</v>
      </c>
    </row>
    <row r="57" spans="1:12" s="11" customFormat="1" x14ac:dyDescent="0.2">
      <c r="A57" s="54"/>
      <c r="B57" s="145" t="s">
        <v>98</v>
      </c>
      <c r="C57" s="66">
        <v>1</v>
      </c>
      <c r="D57" s="11" t="s">
        <v>139</v>
      </c>
      <c r="E57" s="12">
        <v>0.6</v>
      </c>
      <c r="G57" s="67"/>
      <c r="I57" s="12"/>
      <c r="J57" s="69" t="s">
        <v>140</v>
      </c>
      <c r="K57" s="12">
        <f>IF(C57,C57*E57,"")</f>
        <v>0.6</v>
      </c>
      <c r="L57" s="66" t="s">
        <v>59</v>
      </c>
    </row>
    <row r="58" spans="1:12" s="11" customFormat="1" x14ac:dyDescent="0.2">
      <c r="A58" s="54"/>
      <c r="B58" s="145" t="s">
        <v>363</v>
      </c>
      <c r="C58" s="66">
        <v>3</v>
      </c>
      <c r="D58" s="11" t="s">
        <v>139</v>
      </c>
      <c r="E58" s="12">
        <v>1.95</v>
      </c>
      <c r="G58" s="67"/>
      <c r="I58" s="12"/>
      <c r="J58" s="69" t="s">
        <v>140</v>
      </c>
      <c r="K58" s="12">
        <f>IF(C58,C58*E58,"")</f>
        <v>5.85</v>
      </c>
      <c r="L58" s="66" t="s">
        <v>59</v>
      </c>
    </row>
    <row r="59" spans="1:12" s="11" customFormat="1" x14ac:dyDescent="0.2">
      <c r="A59" s="54"/>
      <c r="B59" s="145"/>
      <c r="C59" s="66"/>
      <c r="E59" s="12"/>
      <c r="G59" s="67"/>
      <c r="I59" s="136" t="s">
        <v>248</v>
      </c>
      <c r="J59" s="137" t="s">
        <v>140</v>
      </c>
      <c r="K59" s="136">
        <f>SUM(K55:K58)</f>
        <v>27.810000000000002</v>
      </c>
      <c r="L59" s="33" t="s">
        <v>59</v>
      </c>
    </row>
    <row r="60" spans="1:12" s="11" customFormat="1" ht="135" x14ac:dyDescent="0.2">
      <c r="A60" s="55">
        <v>1</v>
      </c>
      <c r="B60" s="145" t="s">
        <v>364</v>
      </c>
      <c r="C60" s="45"/>
      <c r="D60" s="38"/>
      <c r="E60" s="12"/>
      <c r="F60" s="38"/>
      <c r="G60" s="182"/>
    </row>
    <row r="61" spans="1:12" s="11" customFormat="1" x14ac:dyDescent="0.2">
      <c r="A61" s="54"/>
      <c r="B61" s="154" t="s">
        <v>92</v>
      </c>
      <c r="C61" s="66">
        <v>1</v>
      </c>
      <c r="D61" s="11" t="s">
        <v>139</v>
      </c>
      <c r="E61" s="12">
        <f>K28</f>
        <v>129.22</v>
      </c>
      <c r="F61" s="11" t="s">
        <v>139</v>
      </c>
      <c r="G61" s="67">
        <v>0.9</v>
      </c>
      <c r="H61" s="11" t="s">
        <v>139</v>
      </c>
      <c r="I61" s="12">
        <v>0.9</v>
      </c>
      <c r="J61" s="69" t="s">
        <v>140</v>
      </c>
      <c r="K61" s="12">
        <f>IF(C61,C61*E61*G61*I61,"")</f>
        <v>104.6682</v>
      </c>
      <c r="L61" s="59" t="s">
        <v>42</v>
      </c>
    </row>
    <row r="62" spans="1:12" s="11" customFormat="1" x14ac:dyDescent="0.2">
      <c r="A62" s="54"/>
      <c r="B62" s="154" t="s">
        <v>246</v>
      </c>
      <c r="C62" s="66">
        <v>1</v>
      </c>
      <c r="D62" s="11" t="s">
        <v>139</v>
      </c>
      <c r="E62" s="12">
        <f>K53</f>
        <v>58.25</v>
      </c>
      <c r="F62" s="11" t="s">
        <v>139</v>
      </c>
      <c r="G62" s="67">
        <v>0.6</v>
      </c>
      <c r="H62" s="11" t="s">
        <v>139</v>
      </c>
      <c r="I62" s="67">
        <v>0.6</v>
      </c>
      <c r="J62" s="69" t="s">
        <v>140</v>
      </c>
      <c r="K62" s="12">
        <f>IF(C62,C62*E62*G62*I62,"")</f>
        <v>20.969999999999995</v>
      </c>
      <c r="L62" s="59" t="s">
        <v>42</v>
      </c>
    </row>
    <row r="63" spans="1:12" s="11" customFormat="1" x14ac:dyDescent="0.2">
      <c r="A63" s="54"/>
      <c r="B63" s="145" t="s">
        <v>249</v>
      </c>
      <c r="C63" s="66">
        <v>2</v>
      </c>
      <c r="D63" s="11" t="s">
        <v>139</v>
      </c>
      <c r="E63" s="12">
        <v>1.5</v>
      </c>
      <c r="F63" s="11" t="s">
        <v>139</v>
      </c>
      <c r="G63" s="67">
        <v>1.2</v>
      </c>
      <c r="H63" s="11" t="s">
        <v>139</v>
      </c>
      <c r="I63" s="12">
        <v>0.6</v>
      </c>
      <c r="J63" s="69" t="s">
        <v>140</v>
      </c>
      <c r="K63" s="12">
        <f>IF(C63,C63*E63*G63*I63,"")</f>
        <v>2.1599999999999997</v>
      </c>
      <c r="L63" s="59" t="s">
        <v>42</v>
      </c>
    </row>
    <row r="64" spans="1:12" s="11" customFormat="1" x14ac:dyDescent="0.2">
      <c r="A64" s="54"/>
      <c r="B64" s="145" t="s">
        <v>143</v>
      </c>
      <c r="C64" s="66"/>
      <c r="E64" s="12"/>
      <c r="G64" s="34" t="s">
        <v>144</v>
      </c>
      <c r="H64" s="138"/>
      <c r="I64" s="136"/>
      <c r="J64" s="137" t="s">
        <v>140</v>
      </c>
      <c r="K64" s="136">
        <f>SUM(K61:K63)</f>
        <v>127.79819999999999</v>
      </c>
      <c r="L64" s="139" t="s">
        <v>42</v>
      </c>
    </row>
    <row r="65" spans="1:12" s="11" customFormat="1" x14ac:dyDescent="0.2">
      <c r="A65" s="54"/>
      <c r="B65" s="148" t="s">
        <v>145</v>
      </c>
      <c r="C65" s="66"/>
      <c r="E65" s="12"/>
      <c r="G65" s="46"/>
      <c r="H65" s="48"/>
      <c r="I65" s="65"/>
      <c r="J65" s="48"/>
      <c r="K65" s="65">
        <f>K61</f>
        <v>104.6682</v>
      </c>
      <c r="L65" s="74" t="s">
        <v>42</v>
      </c>
    </row>
    <row r="66" spans="1:12" s="11" customFormat="1" x14ac:dyDescent="0.2">
      <c r="A66" s="54"/>
      <c r="B66" s="148" t="s">
        <v>146</v>
      </c>
      <c r="C66" s="66"/>
      <c r="E66" s="12"/>
      <c r="G66" s="46"/>
      <c r="H66" s="48"/>
      <c r="I66" s="65"/>
      <c r="J66" s="48"/>
      <c r="K66" s="65">
        <f>K62</f>
        <v>20.969999999999995</v>
      </c>
      <c r="L66" s="74" t="s">
        <v>42</v>
      </c>
    </row>
    <row r="67" spans="1:12" s="11" customFormat="1" x14ac:dyDescent="0.2">
      <c r="A67" s="54"/>
      <c r="B67" s="148" t="s">
        <v>365</v>
      </c>
      <c r="C67" s="15">
        <f>$K64</f>
        <v>127.79819999999999</v>
      </c>
      <c r="D67" s="14"/>
      <c r="E67" s="14"/>
      <c r="F67" s="11" t="s">
        <v>139</v>
      </c>
      <c r="G67" s="12">
        <v>0.5</v>
      </c>
      <c r="H67" s="185"/>
      <c r="I67" s="12"/>
      <c r="K67" s="12">
        <f>C67*G67</f>
        <v>63.899099999999997</v>
      </c>
      <c r="L67" s="11" t="s">
        <v>42</v>
      </c>
    </row>
    <row r="68" spans="1:12" s="11" customFormat="1" ht="150" x14ac:dyDescent="0.2">
      <c r="A68" s="55">
        <f>A60+1</f>
        <v>2</v>
      </c>
      <c r="B68" s="145" t="s">
        <v>367</v>
      </c>
      <c r="C68" s="45"/>
      <c r="D68" s="38"/>
      <c r="E68" s="12"/>
      <c r="F68" s="38"/>
      <c r="G68" s="182"/>
    </row>
    <row r="69" spans="1:12" s="11" customFormat="1" x14ac:dyDescent="0.2">
      <c r="A69" s="54"/>
      <c r="B69" s="145" t="s">
        <v>368</v>
      </c>
      <c r="C69" s="15"/>
      <c r="D69" s="14"/>
      <c r="E69" s="14"/>
      <c r="G69" s="12"/>
      <c r="H69" s="185"/>
      <c r="I69" s="12"/>
      <c r="K69" s="12"/>
    </row>
    <row r="70" spans="1:12" s="11" customFormat="1" x14ac:dyDescent="0.2">
      <c r="A70" s="54"/>
      <c r="B70" s="148" t="s">
        <v>366</v>
      </c>
      <c r="C70" s="15">
        <f>$K64</f>
        <v>127.79819999999999</v>
      </c>
      <c r="D70" s="14"/>
      <c r="E70" s="14"/>
      <c r="F70" s="11" t="s">
        <v>139</v>
      </c>
      <c r="G70" s="12">
        <v>0.2</v>
      </c>
      <c r="H70" s="185"/>
      <c r="I70" s="12"/>
      <c r="K70" s="12">
        <f>C70*G70</f>
        <v>25.559640000000002</v>
      </c>
      <c r="L70" s="11" t="s">
        <v>42</v>
      </c>
    </row>
    <row r="71" spans="1:12" s="11" customFormat="1" x14ac:dyDescent="0.2">
      <c r="A71" s="54"/>
      <c r="B71" s="145" t="s">
        <v>369</v>
      </c>
      <c r="C71" s="15"/>
      <c r="D71" s="14"/>
      <c r="E71" s="14"/>
      <c r="G71" s="12"/>
      <c r="H71" s="185"/>
      <c r="I71" s="12"/>
      <c r="K71" s="12"/>
    </row>
    <row r="72" spans="1:12" s="11" customFormat="1" x14ac:dyDescent="0.2">
      <c r="A72" s="54"/>
      <c r="B72" s="148" t="s">
        <v>366</v>
      </c>
      <c r="C72" s="15">
        <f>C70</f>
        <v>127.79819999999999</v>
      </c>
      <c r="D72" s="14"/>
      <c r="E72" s="14"/>
      <c r="F72" s="11" t="s">
        <v>139</v>
      </c>
      <c r="G72" s="12">
        <v>0.2</v>
      </c>
      <c r="H72" s="185"/>
      <c r="I72" s="12"/>
      <c r="K72" s="12">
        <f>C72*G72</f>
        <v>25.559640000000002</v>
      </c>
      <c r="L72" s="11" t="s">
        <v>42</v>
      </c>
    </row>
    <row r="73" spans="1:12" s="11" customFormat="1" x14ac:dyDescent="0.2">
      <c r="A73" s="54"/>
      <c r="B73" s="145" t="s">
        <v>386</v>
      </c>
      <c r="C73" s="15"/>
      <c r="D73" s="14"/>
      <c r="E73" s="14"/>
      <c r="G73" s="12"/>
      <c r="H73" s="185"/>
      <c r="I73" s="12"/>
      <c r="K73" s="12"/>
    </row>
    <row r="74" spans="1:12" s="11" customFormat="1" x14ac:dyDescent="0.2">
      <c r="A74" s="54"/>
      <c r="B74" s="148" t="s">
        <v>370</v>
      </c>
      <c r="C74" s="15">
        <f>C72</f>
        <v>127.79819999999999</v>
      </c>
      <c r="D74" s="14"/>
      <c r="E74" s="14"/>
      <c r="F74" s="11" t="s">
        <v>139</v>
      </c>
      <c r="G74" s="12">
        <v>0.1</v>
      </c>
      <c r="H74" s="185"/>
      <c r="I74" s="12"/>
      <c r="K74" s="12">
        <f>C74*G74</f>
        <v>12.779820000000001</v>
      </c>
      <c r="L74" s="11" t="s">
        <v>42</v>
      </c>
    </row>
    <row r="75" spans="1:12" s="11" customFormat="1" ht="105" x14ac:dyDescent="0.2">
      <c r="A75" s="55">
        <v>3</v>
      </c>
      <c r="B75" s="145" t="s">
        <v>316</v>
      </c>
      <c r="C75" s="45"/>
      <c r="D75" s="52"/>
      <c r="E75" s="12"/>
      <c r="F75" s="38"/>
      <c r="G75" s="52"/>
    </row>
    <row r="76" spans="1:12" s="11" customFormat="1" x14ac:dyDescent="0.2">
      <c r="A76" s="54"/>
      <c r="B76" s="145" t="s">
        <v>89</v>
      </c>
      <c r="C76" s="66">
        <v>1</v>
      </c>
      <c r="D76" s="11" t="s">
        <v>139</v>
      </c>
      <c r="E76" s="12">
        <v>2.5499999999999998</v>
      </c>
      <c r="F76" s="11" t="s">
        <v>139</v>
      </c>
      <c r="G76" s="12">
        <v>1.94</v>
      </c>
      <c r="H76" s="11" t="s">
        <v>139</v>
      </c>
      <c r="I76" s="12">
        <v>0.6</v>
      </c>
      <c r="J76" s="69" t="s">
        <v>140</v>
      </c>
      <c r="K76" s="12">
        <f>IF(C76,C76*E76*G76*I76,"")</f>
        <v>2.9681999999999995</v>
      </c>
      <c r="L76" s="59" t="s">
        <v>42</v>
      </c>
    </row>
    <row r="77" spans="1:12" s="11" customFormat="1" x14ac:dyDescent="0.2">
      <c r="A77" s="54"/>
      <c r="B77" s="145" t="s">
        <v>83</v>
      </c>
      <c r="C77" s="66">
        <v>1</v>
      </c>
      <c r="D77" s="11" t="s">
        <v>139</v>
      </c>
      <c r="E77" s="12">
        <v>1.03</v>
      </c>
      <c r="F77" s="11" t="s">
        <v>139</v>
      </c>
      <c r="G77" s="12">
        <v>0.5</v>
      </c>
      <c r="H77" s="11" t="s">
        <v>139</v>
      </c>
      <c r="I77" s="12">
        <v>0.6</v>
      </c>
      <c r="J77" s="69" t="s">
        <v>140</v>
      </c>
      <c r="K77" s="12">
        <f t="shared" ref="K77:K89" si="3">IF(C77,C77*E77*G77*I77,"")</f>
        <v>0.309</v>
      </c>
      <c r="L77" s="59" t="s">
        <v>42</v>
      </c>
    </row>
    <row r="78" spans="1:12" s="11" customFormat="1" x14ac:dyDescent="0.2">
      <c r="A78" s="54"/>
      <c r="B78" s="145" t="s">
        <v>122</v>
      </c>
      <c r="C78" s="66">
        <v>1</v>
      </c>
      <c r="D78" s="11" t="s">
        <v>139</v>
      </c>
      <c r="E78" s="12">
        <v>2.5499999999999998</v>
      </c>
      <c r="F78" s="11" t="s">
        <v>139</v>
      </c>
      <c r="G78" s="12">
        <v>4.6900000000000004</v>
      </c>
      <c r="H78" s="11" t="s">
        <v>139</v>
      </c>
      <c r="I78" s="12">
        <v>0.6</v>
      </c>
      <c r="J78" s="69" t="s">
        <v>140</v>
      </c>
      <c r="K78" s="12">
        <f t="shared" si="3"/>
        <v>7.1757</v>
      </c>
      <c r="L78" s="59" t="s">
        <v>42</v>
      </c>
    </row>
    <row r="79" spans="1:12" s="11" customFormat="1" x14ac:dyDescent="0.2">
      <c r="A79" s="54"/>
      <c r="B79" s="145" t="s">
        <v>74</v>
      </c>
      <c r="C79" s="66">
        <v>1</v>
      </c>
      <c r="D79" s="11" t="s">
        <v>139</v>
      </c>
      <c r="E79" s="12">
        <v>3.47</v>
      </c>
      <c r="F79" s="11" t="s">
        <v>139</v>
      </c>
      <c r="G79" s="12">
        <v>3.47</v>
      </c>
      <c r="H79" s="11" t="s">
        <v>139</v>
      </c>
      <c r="I79" s="12">
        <v>0.6</v>
      </c>
      <c r="J79" s="69" t="s">
        <v>140</v>
      </c>
      <c r="K79" s="12">
        <f t="shared" si="3"/>
        <v>7.2245400000000002</v>
      </c>
      <c r="L79" s="59" t="s">
        <v>42</v>
      </c>
    </row>
    <row r="80" spans="1:12" s="11" customFormat="1" x14ac:dyDescent="0.2">
      <c r="A80" s="54"/>
      <c r="B80" s="145" t="s">
        <v>238</v>
      </c>
      <c r="C80" s="66">
        <v>1</v>
      </c>
      <c r="D80" s="11" t="s">
        <v>139</v>
      </c>
      <c r="E80" s="12">
        <v>2.4</v>
      </c>
      <c r="F80" s="11" t="s">
        <v>139</v>
      </c>
      <c r="G80" s="12">
        <v>1.49</v>
      </c>
      <c r="H80" s="11" t="s">
        <v>139</v>
      </c>
      <c r="I80" s="12">
        <v>0.6</v>
      </c>
      <c r="J80" s="69" t="s">
        <v>140</v>
      </c>
      <c r="K80" s="12">
        <f t="shared" si="3"/>
        <v>2.1456</v>
      </c>
      <c r="L80" s="59" t="s">
        <v>42</v>
      </c>
    </row>
    <row r="81" spans="1:12" s="11" customFormat="1" x14ac:dyDescent="0.2">
      <c r="A81" s="54"/>
      <c r="B81" s="145" t="s">
        <v>141</v>
      </c>
      <c r="C81" s="66">
        <v>1</v>
      </c>
      <c r="D81" s="11" t="s">
        <v>139</v>
      </c>
      <c r="E81" s="12">
        <v>1.33</v>
      </c>
      <c r="F81" s="11" t="s">
        <v>139</v>
      </c>
      <c r="G81" s="12">
        <v>0.88</v>
      </c>
      <c r="H81" s="11" t="s">
        <v>139</v>
      </c>
      <c r="I81" s="12">
        <v>0.6</v>
      </c>
      <c r="J81" s="69" t="s">
        <v>140</v>
      </c>
      <c r="K81" s="12">
        <f>IF(C81,C81*E81*G81*I81,"")</f>
        <v>0.70224000000000009</v>
      </c>
      <c r="L81" s="59" t="s">
        <v>42</v>
      </c>
    </row>
    <row r="82" spans="1:12" s="11" customFormat="1" x14ac:dyDescent="0.2">
      <c r="A82" s="54"/>
      <c r="B82" s="145" t="s">
        <v>15</v>
      </c>
      <c r="C82" s="66">
        <v>1</v>
      </c>
      <c r="D82" s="11" t="s">
        <v>139</v>
      </c>
      <c r="E82" s="12">
        <v>3.16</v>
      </c>
      <c r="F82" s="11" t="s">
        <v>139</v>
      </c>
      <c r="G82" s="12">
        <v>2.5499999999999998</v>
      </c>
      <c r="H82" s="11" t="s">
        <v>139</v>
      </c>
      <c r="I82" s="12">
        <v>0.6</v>
      </c>
      <c r="J82" s="69" t="s">
        <v>140</v>
      </c>
      <c r="K82" s="12">
        <f t="shared" si="3"/>
        <v>4.8347999999999995</v>
      </c>
      <c r="L82" s="59" t="s">
        <v>42</v>
      </c>
    </row>
    <row r="83" spans="1:12" s="11" customFormat="1" x14ac:dyDescent="0.2">
      <c r="A83" s="54"/>
      <c r="B83" s="145" t="s">
        <v>323</v>
      </c>
      <c r="C83" s="66">
        <v>1</v>
      </c>
      <c r="D83" s="11" t="s">
        <v>139</v>
      </c>
      <c r="E83" s="12">
        <v>3.77</v>
      </c>
      <c r="F83" s="11" t="s">
        <v>139</v>
      </c>
      <c r="G83" s="12">
        <v>1.33</v>
      </c>
      <c r="H83" s="11" t="s">
        <v>139</v>
      </c>
      <c r="I83" s="12">
        <v>0.6</v>
      </c>
      <c r="J83" s="69" t="s">
        <v>140</v>
      </c>
      <c r="K83" s="12">
        <f t="shared" si="3"/>
        <v>3.0084599999999999</v>
      </c>
      <c r="L83" s="59" t="s">
        <v>42</v>
      </c>
    </row>
    <row r="84" spans="1:12" s="11" customFormat="1" x14ac:dyDescent="0.2">
      <c r="A84" s="54"/>
      <c r="B84" s="145" t="s">
        <v>123</v>
      </c>
      <c r="C84" s="66">
        <v>1</v>
      </c>
      <c r="D84" s="11" t="s">
        <v>139</v>
      </c>
      <c r="E84" s="12">
        <v>3.77</v>
      </c>
      <c r="F84" s="11" t="s">
        <v>139</v>
      </c>
      <c r="G84" s="12">
        <v>1.18</v>
      </c>
      <c r="H84" s="11" t="s">
        <v>139</v>
      </c>
      <c r="I84" s="12">
        <v>0.6</v>
      </c>
      <c r="J84" s="69" t="s">
        <v>140</v>
      </c>
      <c r="K84" s="12">
        <f t="shared" si="3"/>
        <v>2.6691599999999998</v>
      </c>
      <c r="L84" s="59" t="s">
        <v>42</v>
      </c>
    </row>
    <row r="85" spans="1:12" s="11" customFormat="1" x14ac:dyDescent="0.2">
      <c r="A85" s="54"/>
      <c r="B85" s="145" t="s">
        <v>90</v>
      </c>
      <c r="C85" s="66">
        <v>1</v>
      </c>
      <c r="D85" s="11" t="s">
        <v>139</v>
      </c>
      <c r="E85" s="12">
        <v>3.77</v>
      </c>
      <c r="F85" s="11" t="s">
        <v>139</v>
      </c>
      <c r="G85" s="12">
        <v>6.36</v>
      </c>
      <c r="H85" s="11" t="s">
        <v>139</v>
      </c>
      <c r="I85" s="12">
        <v>0.6</v>
      </c>
      <c r="J85" s="69" t="s">
        <v>140</v>
      </c>
      <c r="K85" s="12">
        <f t="shared" si="3"/>
        <v>14.38632</v>
      </c>
      <c r="L85" s="59" t="s">
        <v>42</v>
      </c>
    </row>
    <row r="86" spans="1:12" s="11" customFormat="1" x14ac:dyDescent="0.2">
      <c r="A86" s="54"/>
      <c r="B86" s="145" t="s">
        <v>75</v>
      </c>
      <c r="C86" s="66">
        <v>1</v>
      </c>
      <c r="D86" s="11" t="s">
        <v>139</v>
      </c>
      <c r="E86" s="12">
        <v>3.77</v>
      </c>
      <c r="F86" s="11" t="s">
        <v>139</v>
      </c>
      <c r="G86" s="12">
        <v>4.08</v>
      </c>
      <c r="H86" s="11" t="s">
        <v>139</v>
      </c>
      <c r="I86" s="12">
        <v>0.6</v>
      </c>
      <c r="J86" s="69" t="s">
        <v>140</v>
      </c>
      <c r="K86" s="12">
        <f t="shared" si="3"/>
        <v>9.2289600000000007</v>
      </c>
      <c r="L86" s="59" t="s">
        <v>42</v>
      </c>
    </row>
    <row r="87" spans="1:12" s="11" customFormat="1" x14ac:dyDescent="0.2">
      <c r="A87" s="54"/>
      <c r="B87" s="145" t="s">
        <v>91</v>
      </c>
      <c r="C87" s="66">
        <v>1</v>
      </c>
      <c r="D87" s="11" t="s">
        <v>139</v>
      </c>
      <c r="E87" s="12">
        <v>3.77</v>
      </c>
      <c r="F87" s="11" t="s">
        <v>139</v>
      </c>
      <c r="G87" s="12">
        <v>3.16</v>
      </c>
      <c r="H87" s="11" t="s">
        <v>139</v>
      </c>
      <c r="I87" s="12">
        <v>0.6</v>
      </c>
      <c r="J87" s="69" t="s">
        <v>140</v>
      </c>
      <c r="K87" s="12">
        <f t="shared" si="3"/>
        <v>7.1479200000000001</v>
      </c>
      <c r="L87" s="59" t="s">
        <v>42</v>
      </c>
    </row>
    <row r="88" spans="1:12" s="11" customFormat="1" x14ac:dyDescent="0.2">
      <c r="A88" s="54"/>
      <c r="B88" s="145" t="s">
        <v>141</v>
      </c>
      <c r="C88" s="66">
        <v>2</v>
      </c>
      <c r="D88" s="11" t="s">
        <v>139</v>
      </c>
      <c r="E88" s="12">
        <v>1.94</v>
      </c>
      <c r="F88" s="11" t="s">
        <v>139</v>
      </c>
      <c r="G88" s="12">
        <v>1.18</v>
      </c>
      <c r="H88" s="11" t="s">
        <v>139</v>
      </c>
      <c r="I88" s="12">
        <v>0.6</v>
      </c>
      <c r="J88" s="69" t="s">
        <v>140</v>
      </c>
      <c r="K88" s="12">
        <f t="shared" si="3"/>
        <v>2.7470399999999997</v>
      </c>
      <c r="L88" s="59" t="s">
        <v>42</v>
      </c>
    </row>
    <row r="89" spans="1:12" s="11" customFormat="1" x14ac:dyDescent="0.2">
      <c r="A89" s="54"/>
      <c r="B89" s="150" t="s">
        <v>91</v>
      </c>
      <c r="C89" s="66">
        <v>1</v>
      </c>
      <c r="D89" s="11" t="s">
        <v>139</v>
      </c>
      <c r="E89" s="12">
        <v>3.77</v>
      </c>
      <c r="F89" s="11" t="s">
        <v>139</v>
      </c>
      <c r="G89" s="12">
        <v>3.16</v>
      </c>
      <c r="H89" s="11" t="s">
        <v>139</v>
      </c>
      <c r="I89" s="12">
        <v>0.6</v>
      </c>
      <c r="J89" s="69" t="s">
        <v>140</v>
      </c>
      <c r="K89" s="12">
        <f t="shared" si="3"/>
        <v>7.1479200000000001</v>
      </c>
      <c r="L89" s="59" t="s">
        <v>42</v>
      </c>
    </row>
    <row r="90" spans="1:12" x14ac:dyDescent="0.2">
      <c r="A90" s="140"/>
      <c r="G90" s="34" t="s">
        <v>144</v>
      </c>
      <c r="H90" s="138"/>
      <c r="I90" s="136"/>
      <c r="J90" s="137" t="s">
        <v>140</v>
      </c>
      <c r="K90" s="136">
        <f>SUM(K76:K89)</f>
        <v>71.695859999999996</v>
      </c>
      <c r="L90" s="139" t="s">
        <v>42</v>
      </c>
    </row>
    <row r="91" spans="1:12" s="11" customFormat="1" ht="105" x14ac:dyDescent="0.2">
      <c r="A91" s="55">
        <f>A75+1</f>
        <v>4</v>
      </c>
      <c r="B91" s="145" t="s">
        <v>319</v>
      </c>
      <c r="C91" s="45"/>
      <c r="D91" s="52"/>
      <c r="E91" s="12"/>
      <c r="F91" s="38"/>
      <c r="G91" s="52"/>
    </row>
    <row r="92" spans="1:12" s="11" customFormat="1" x14ac:dyDescent="0.2">
      <c r="A92" s="55"/>
      <c r="B92" s="145" t="s">
        <v>147</v>
      </c>
      <c r="C92" s="52"/>
      <c r="D92" s="52"/>
      <c r="E92" s="12"/>
      <c r="F92" s="38"/>
      <c r="G92" s="52"/>
      <c r="J92" s="69" t="s">
        <v>140</v>
      </c>
      <c r="K92" s="12">
        <f>K90</f>
        <v>71.695859999999996</v>
      </c>
      <c r="L92" s="59" t="s">
        <v>42</v>
      </c>
    </row>
    <row r="93" spans="1:12" s="11" customFormat="1" x14ac:dyDescent="0.2">
      <c r="A93" s="55"/>
      <c r="B93" s="145" t="s">
        <v>148</v>
      </c>
      <c r="E93" s="12"/>
      <c r="F93" s="38"/>
      <c r="G93" s="52"/>
    </row>
    <row r="94" spans="1:12" s="11" customFormat="1" x14ac:dyDescent="0.2">
      <c r="A94" s="55"/>
      <c r="B94" s="148" t="s">
        <v>44</v>
      </c>
      <c r="D94" s="69" t="s">
        <v>140</v>
      </c>
      <c r="E94" s="12">
        <f>K67</f>
        <v>63.899099999999997</v>
      </c>
      <c r="F94" s="59" t="s">
        <v>42</v>
      </c>
      <c r="G94" s="52"/>
    </row>
    <row r="95" spans="1:12" s="11" customFormat="1" ht="18" x14ac:dyDescent="0.25">
      <c r="A95" s="55"/>
      <c r="B95" s="145" t="s">
        <v>149</v>
      </c>
      <c r="C95" s="45"/>
      <c r="D95" s="100"/>
      <c r="E95" s="115">
        <f>K92</f>
        <v>71.695859999999996</v>
      </c>
      <c r="F95" s="142" t="s">
        <v>150</v>
      </c>
      <c r="G95" s="15">
        <f>E94</f>
        <v>63.899099999999997</v>
      </c>
      <c r="H95" s="12"/>
      <c r="I95" s="65"/>
      <c r="J95" s="69" t="s">
        <v>140</v>
      </c>
      <c r="K95" s="12">
        <f>E95-G95</f>
        <v>7.796759999999999</v>
      </c>
      <c r="L95" s="59" t="s">
        <v>42</v>
      </c>
    </row>
    <row r="96" spans="1:12" s="11" customFormat="1" ht="18" x14ac:dyDescent="0.25">
      <c r="A96" s="55"/>
      <c r="B96" s="145"/>
      <c r="C96" s="45"/>
      <c r="D96" s="100"/>
      <c r="E96" s="115"/>
      <c r="F96" s="142"/>
      <c r="G96" s="15"/>
      <c r="H96" s="12"/>
      <c r="I96" s="65"/>
      <c r="J96" s="69"/>
      <c r="K96" s="12"/>
      <c r="L96" s="59"/>
    </row>
    <row r="97" spans="1:12" s="11" customFormat="1" ht="30" x14ac:dyDescent="0.2">
      <c r="A97" s="55">
        <f>A91+1</f>
        <v>5</v>
      </c>
      <c r="B97" s="145" t="s">
        <v>5</v>
      </c>
      <c r="C97" s="45"/>
      <c r="D97" s="52"/>
      <c r="E97" s="12"/>
      <c r="F97" s="38"/>
      <c r="G97" s="52"/>
    </row>
    <row r="98" spans="1:12" s="11" customFormat="1" x14ac:dyDescent="0.2">
      <c r="A98" s="55"/>
      <c r="B98" s="145" t="s">
        <v>318</v>
      </c>
      <c r="C98" s="52"/>
      <c r="D98" s="52"/>
      <c r="E98" s="12"/>
      <c r="F98" s="38"/>
      <c r="G98" s="52"/>
      <c r="J98" s="69" t="s">
        <v>140</v>
      </c>
      <c r="K98" s="12">
        <f>K95</f>
        <v>7.796759999999999</v>
      </c>
      <c r="L98" s="59" t="s">
        <v>42</v>
      </c>
    </row>
    <row r="99" spans="1:12" s="11" customFormat="1" ht="90" x14ac:dyDescent="0.2">
      <c r="A99" s="55">
        <v>6</v>
      </c>
      <c r="B99" s="148" t="s">
        <v>371</v>
      </c>
      <c r="G99" s="67"/>
    </row>
    <row r="100" spans="1:12" s="11" customFormat="1" x14ac:dyDescent="0.2">
      <c r="A100" s="54"/>
      <c r="B100" s="148" t="s">
        <v>145</v>
      </c>
      <c r="C100" s="15">
        <f>K65</f>
        <v>104.6682</v>
      </c>
      <c r="D100" s="14"/>
      <c r="E100" s="14"/>
      <c r="F100" s="11" t="s">
        <v>139</v>
      </c>
      <c r="G100" s="65">
        <v>0.3</v>
      </c>
      <c r="H100" s="177" t="s">
        <v>151</v>
      </c>
      <c r="I100" s="65">
        <f>I61</f>
        <v>0.9</v>
      </c>
      <c r="J100" s="76" t="s">
        <v>140</v>
      </c>
      <c r="K100" s="65">
        <f>C100*G100/I100</f>
        <v>34.889399999999995</v>
      </c>
      <c r="L100" s="48" t="s">
        <v>42</v>
      </c>
    </row>
    <row r="101" spans="1:12" s="11" customFormat="1" x14ac:dyDescent="0.2">
      <c r="A101" s="54"/>
      <c r="B101" s="148" t="s">
        <v>146</v>
      </c>
      <c r="C101" s="15">
        <f>K66</f>
        <v>20.969999999999995</v>
      </c>
      <c r="D101" s="14"/>
      <c r="E101" s="14"/>
      <c r="F101" s="11" t="s">
        <v>139</v>
      </c>
      <c r="G101" s="71">
        <v>0.3</v>
      </c>
      <c r="H101" s="178" t="s">
        <v>151</v>
      </c>
      <c r="I101" s="71">
        <f>I62</f>
        <v>0.6</v>
      </c>
      <c r="J101" s="72" t="s">
        <v>140</v>
      </c>
      <c r="K101" s="71">
        <f>C101*G101/I101</f>
        <v>10.484999999999998</v>
      </c>
      <c r="L101" s="70" t="s">
        <v>42</v>
      </c>
    </row>
    <row r="102" spans="1:12" s="11" customFormat="1" x14ac:dyDescent="0.2">
      <c r="A102" s="54"/>
      <c r="B102" s="145"/>
      <c r="C102" s="66"/>
      <c r="E102" s="12"/>
      <c r="G102" s="46" t="s">
        <v>144</v>
      </c>
      <c r="H102" s="48"/>
      <c r="I102" s="65"/>
      <c r="J102" s="48"/>
      <c r="K102" s="65">
        <f>SUM(K100:K101)</f>
        <v>45.374399999999994</v>
      </c>
      <c r="L102" s="74" t="s">
        <v>42</v>
      </c>
    </row>
    <row r="103" spans="1:12" s="11" customFormat="1" ht="45" x14ac:dyDescent="0.2">
      <c r="A103" s="55">
        <f>A99+1</f>
        <v>7</v>
      </c>
      <c r="B103" s="148" t="s">
        <v>47</v>
      </c>
      <c r="C103" s="12"/>
      <c r="D103" s="38"/>
      <c r="E103" s="12"/>
      <c r="F103" s="38"/>
      <c r="G103" s="67"/>
    </row>
    <row r="104" spans="1:12" s="11" customFormat="1" x14ac:dyDescent="0.2">
      <c r="A104" s="55"/>
      <c r="B104" s="190" t="s">
        <v>250</v>
      </c>
      <c r="C104" s="12"/>
      <c r="D104" s="38"/>
      <c r="E104" s="12"/>
      <c r="F104" s="38"/>
      <c r="G104" s="67"/>
    </row>
    <row r="105" spans="1:12" s="11" customFormat="1" x14ac:dyDescent="0.2">
      <c r="A105" s="54"/>
      <c r="B105" s="145" t="s">
        <v>269</v>
      </c>
      <c r="C105" s="66">
        <v>1</v>
      </c>
      <c r="D105" s="11" t="s">
        <v>139</v>
      </c>
      <c r="E105" s="12">
        <f>E61</f>
        <v>129.22</v>
      </c>
      <c r="F105" s="11" t="s">
        <v>139</v>
      </c>
      <c r="G105" s="67">
        <v>0.68</v>
      </c>
      <c r="H105" s="11" t="s">
        <v>139</v>
      </c>
      <c r="I105" s="12">
        <v>0.45</v>
      </c>
      <c r="J105" s="69" t="s">
        <v>140</v>
      </c>
      <c r="K105" s="12">
        <f>IF(C105,C105*E105*G105*I105,"")</f>
        <v>39.541320000000006</v>
      </c>
      <c r="L105" s="59" t="s">
        <v>42</v>
      </c>
    </row>
    <row r="106" spans="1:12" s="11" customFormat="1" x14ac:dyDescent="0.2">
      <c r="A106" s="54"/>
      <c r="B106" s="145" t="s">
        <v>251</v>
      </c>
      <c r="C106" s="66">
        <v>1</v>
      </c>
      <c r="D106" s="11" t="s">
        <v>139</v>
      </c>
      <c r="E106" s="12">
        <f>E105</f>
        <v>129.22</v>
      </c>
      <c r="F106" s="11" t="s">
        <v>139</v>
      </c>
      <c r="G106" s="67">
        <v>0.54</v>
      </c>
      <c r="H106" s="11" t="s">
        <v>139</v>
      </c>
      <c r="I106" s="12">
        <v>0.45</v>
      </c>
      <c r="J106" s="69" t="s">
        <v>140</v>
      </c>
      <c r="K106" s="12">
        <f>IF(C106,C106*E106*G106*I106,"")</f>
        <v>31.400460000000002</v>
      </c>
      <c r="L106" s="59" t="s">
        <v>42</v>
      </c>
    </row>
    <row r="107" spans="1:12" s="11" customFormat="1" x14ac:dyDescent="0.2">
      <c r="A107" s="54"/>
      <c r="B107" s="145" t="s">
        <v>252</v>
      </c>
      <c r="C107" s="66">
        <v>1</v>
      </c>
      <c r="D107" s="11" t="s">
        <v>139</v>
      </c>
      <c r="E107" s="12">
        <f>E106</f>
        <v>129.22</v>
      </c>
      <c r="F107" s="11" t="s">
        <v>139</v>
      </c>
      <c r="G107" s="67">
        <v>0.45</v>
      </c>
      <c r="H107" s="11" t="s">
        <v>139</v>
      </c>
      <c r="I107" s="12">
        <v>0.45</v>
      </c>
      <c r="J107" s="69" t="s">
        <v>140</v>
      </c>
      <c r="K107" s="12">
        <f>IF(C107,C107*E107*G107*I107,"")</f>
        <v>26.16705</v>
      </c>
      <c r="L107" s="59" t="s">
        <v>42</v>
      </c>
    </row>
    <row r="108" spans="1:12" s="11" customFormat="1" x14ac:dyDescent="0.2">
      <c r="A108" s="54"/>
      <c r="B108" s="145" t="s">
        <v>372</v>
      </c>
      <c r="C108" s="66">
        <v>1</v>
      </c>
      <c r="D108" s="11" t="s">
        <v>139</v>
      </c>
      <c r="E108" s="12">
        <f>E107</f>
        <v>129.22</v>
      </c>
      <c r="F108" s="11" t="s">
        <v>139</v>
      </c>
      <c r="G108" s="67">
        <v>0.38</v>
      </c>
      <c r="H108" s="11" t="s">
        <v>139</v>
      </c>
      <c r="I108" s="12">
        <v>0.9</v>
      </c>
      <c r="J108" s="69" t="s">
        <v>140</v>
      </c>
      <c r="K108" s="12">
        <f>IF(C108,C108*E108*G108*I108,"")</f>
        <v>44.193240000000003</v>
      </c>
      <c r="L108" s="59" t="s">
        <v>42</v>
      </c>
    </row>
    <row r="109" spans="1:12" s="11" customFormat="1" x14ac:dyDescent="0.2">
      <c r="A109" s="55"/>
      <c r="B109" s="190" t="s">
        <v>373</v>
      </c>
      <c r="C109" s="12"/>
      <c r="D109" s="38"/>
      <c r="E109" s="12"/>
      <c r="F109" s="38"/>
      <c r="G109" s="67"/>
    </row>
    <row r="110" spans="1:12" s="11" customFormat="1" x14ac:dyDescent="0.2">
      <c r="A110" s="54"/>
      <c r="B110" s="145" t="s">
        <v>269</v>
      </c>
      <c r="C110" s="66">
        <v>1</v>
      </c>
      <c r="D110" s="11" t="s">
        <v>139</v>
      </c>
      <c r="E110" s="12">
        <f>E62</f>
        <v>58.25</v>
      </c>
      <c r="F110" s="11" t="s">
        <v>139</v>
      </c>
      <c r="G110" s="67">
        <v>0.45</v>
      </c>
      <c r="H110" s="11" t="s">
        <v>139</v>
      </c>
      <c r="I110" s="12">
        <v>0.6</v>
      </c>
      <c r="J110" s="69" t="s">
        <v>140</v>
      </c>
      <c r="K110" s="12">
        <f>IF(C110,C110*E110*G110*I110,"")</f>
        <v>15.727500000000001</v>
      </c>
      <c r="L110" s="59" t="s">
        <v>42</v>
      </c>
    </row>
    <row r="111" spans="1:12" s="11" customFormat="1" x14ac:dyDescent="0.2">
      <c r="A111" s="54"/>
      <c r="B111" s="145" t="s">
        <v>251</v>
      </c>
      <c r="C111" s="66">
        <v>1</v>
      </c>
      <c r="D111" s="11" t="s">
        <v>139</v>
      </c>
      <c r="E111" s="12">
        <f>E110</f>
        <v>58.25</v>
      </c>
      <c r="F111" s="11" t="s">
        <v>139</v>
      </c>
      <c r="G111" s="67">
        <v>0.38</v>
      </c>
      <c r="H111" s="11" t="s">
        <v>139</v>
      </c>
      <c r="I111" s="12">
        <v>1.05</v>
      </c>
      <c r="J111" s="69" t="s">
        <v>140</v>
      </c>
      <c r="K111" s="12">
        <f>IF(C111,C111*E111*G111*I111,"")</f>
        <v>23.241750000000003</v>
      </c>
      <c r="L111" s="59" t="s">
        <v>42</v>
      </c>
    </row>
    <row r="112" spans="1:12" s="11" customFormat="1" x14ac:dyDescent="0.2">
      <c r="A112" s="55"/>
      <c r="B112" s="190" t="s">
        <v>178</v>
      </c>
      <c r="C112" s="12"/>
      <c r="D112" s="38"/>
      <c r="E112" s="12"/>
      <c r="F112" s="38"/>
      <c r="G112" s="67"/>
      <c r="I112" s="12"/>
    </row>
    <row r="113" spans="1:12" s="11" customFormat="1" x14ac:dyDescent="0.2">
      <c r="A113" s="54"/>
      <c r="B113" s="145" t="s">
        <v>253</v>
      </c>
      <c r="C113" s="66">
        <v>2</v>
      </c>
      <c r="D113" s="11" t="s">
        <v>139</v>
      </c>
      <c r="E113" s="12">
        <v>1.5</v>
      </c>
      <c r="F113" s="11" t="s">
        <v>139</v>
      </c>
      <c r="G113" s="67">
        <v>1.2</v>
      </c>
      <c r="H113" s="11" t="s">
        <v>139</v>
      </c>
      <c r="I113" s="12">
        <v>0.75</v>
      </c>
      <c r="J113" s="69" t="s">
        <v>140</v>
      </c>
      <c r="K113" s="12">
        <f>IF(C113,C113*E113*G113*I113,"")</f>
        <v>2.6999999999999997</v>
      </c>
      <c r="L113" s="59" t="s">
        <v>42</v>
      </c>
    </row>
    <row r="114" spans="1:12" s="11" customFormat="1" x14ac:dyDescent="0.2">
      <c r="A114" s="54"/>
      <c r="B114" s="145"/>
      <c r="C114" s="66">
        <v>2</v>
      </c>
      <c r="D114" s="11" t="s">
        <v>139</v>
      </c>
      <c r="E114" s="12">
        <f>E113</f>
        <v>1.5</v>
      </c>
      <c r="F114" s="11" t="s">
        <v>139</v>
      </c>
      <c r="G114" s="67">
        <v>0.9</v>
      </c>
      <c r="H114" s="11" t="s">
        <v>139</v>
      </c>
      <c r="I114" s="12">
        <v>0.15</v>
      </c>
      <c r="J114" s="69" t="s">
        <v>140</v>
      </c>
      <c r="K114" s="12">
        <f>IF(C114,C114*E114*G114*I114,"")</f>
        <v>0.40500000000000003</v>
      </c>
      <c r="L114" s="59" t="s">
        <v>42</v>
      </c>
    </row>
    <row r="115" spans="1:12" s="11" customFormat="1" x14ac:dyDescent="0.2">
      <c r="A115" s="54"/>
      <c r="B115" s="145"/>
      <c r="C115" s="66">
        <f>C114</f>
        <v>2</v>
      </c>
      <c r="D115" s="11" t="s">
        <v>139</v>
      </c>
      <c r="E115" s="12">
        <f>E114</f>
        <v>1.5</v>
      </c>
      <c r="F115" s="11" t="s">
        <v>139</v>
      </c>
      <c r="G115" s="67">
        <v>0.6</v>
      </c>
      <c r="H115" s="11" t="s">
        <v>139</v>
      </c>
      <c r="I115" s="12">
        <v>0.15</v>
      </c>
      <c r="J115" s="69" t="s">
        <v>140</v>
      </c>
      <c r="K115" s="12">
        <f>IF(C115,C115*E115*G115*I115,"")</f>
        <v>0.26999999999999996</v>
      </c>
      <c r="L115" s="59" t="s">
        <v>42</v>
      </c>
    </row>
    <row r="116" spans="1:12" s="11" customFormat="1" x14ac:dyDescent="0.2">
      <c r="A116" s="54"/>
      <c r="B116" s="145"/>
      <c r="C116" s="66">
        <f>C115</f>
        <v>2</v>
      </c>
      <c r="D116" s="11" t="s">
        <v>139</v>
      </c>
      <c r="E116" s="12">
        <f>E115</f>
        <v>1.5</v>
      </c>
      <c r="F116" s="11" t="s">
        <v>139</v>
      </c>
      <c r="G116" s="67">
        <v>0.3</v>
      </c>
      <c r="H116" s="11" t="s">
        <v>139</v>
      </c>
      <c r="I116" s="12">
        <v>0.15</v>
      </c>
      <c r="J116" s="69" t="s">
        <v>140</v>
      </c>
      <c r="K116" s="12">
        <f>IF(C116,C116*E116*G116*I116,"")</f>
        <v>0.13499999999999998</v>
      </c>
      <c r="L116" s="59" t="s">
        <v>42</v>
      </c>
    </row>
    <row r="117" spans="1:12" s="11" customFormat="1" x14ac:dyDescent="0.2">
      <c r="A117" s="54"/>
      <c r="B117" s="145" t="s">
        <v>239</v>
      </c>
      <c r="C117" s="66"/>
      <c r="E117" s="12">
        <f>K111</f>
        <v>23.241750000000003</v>
      </c>
      <c r="F117" s="11" t="s">
        <v>42</v>
      </c>
      <c r="G117" s="46"/>
      <c r="H117" s="48"/>
      <c r="I117" s="65"/>
      <c r="J117" s="48"/>
      <c r="K117" s="65"/>
      <c r="L117" s="74"/>
    </row>
    <row r="118" spans="1:12" s="11" customFormat="1" x14ac:dyDescent="0.2">
      <c r="A118" s="54"/>
      <c r="B118" s="145"/>
      <c r="C118" s="66"/>
      <c r="E118" s="12"/>
      <c r="G118" s="34" t="s">
        <v>144</v>
      </c>
      <c r="H118" s="138"/>
      <c r="I118" s="136"/>
      <c r="J118" s="138"/>
      <c r="K118" s="136">
        <f>SUM(K105:K117)</f>
        <v>183.78131999999999</v>
      </c>
      <c r="L118" s="139" t="s">
        <v>42</v>
      </c>
    </row>
    <row r="119" spans="1:12" s="11" customFormat="1" ht="60" x14ac:dyDescent="0.2">
      <c r="A119" s="55">
        <f>A103+1</f>
        <v>8</v>
      </c>
      <c r="B119" s="148" t="s">
        <v>116</v>
      </c>
      <c r="C119" s="12"/>
      <c r="D119" s="38"/>
      <c r="E119" s="12"/>
      <c r="F119" s="38"/>
      <c r="G119" s="67"/>
    </row>
    <row r="120" spans="1:12" s="11" customFormat="1" x14ac:dyDescent="0.2">
      <c r="A120" s="54"/>
      <c r="B120" s="190" t="s">
        <v>320</v>
      </c>
      <c r="C120" s="66">
        <v>1</v>
      </c>
      <c r="D120" s="11" t="s">
        <v>139</v>
      </c>
      <c r="E120" s="12">
        <f>E61</f>
        <v>129.22</v>
      </c>
      <c r="F120" s="11" t="s">
        <v>139</v>
      </c>
      <c r="G120" s="67">
        <v>0.3</v>
      </c>
      <c r="H120" s="11" t="s">
        <v>139</v>
      </c>
      <c r="I120" s="65">
        <v>3</v>
      </c>
      <c r="J120" s="76" t="s">
        <v>140</v>
      </c>
      <c r="K120" s="65">
        <f>IF(C120,C120*E120*G120*I120,"")</f>
        <v>116.298</v>
      </c>
      <c r="L120" s="74" t="s">
        <v>42</v>
      </c>
    </row>
    <row r="121" spans="1:12" s="11" customFormat="1" x14ac:dyDescent="0.2">
      <c r="A121" s="54"/>
      <c r="B121" s="190" t="s">
        <v>93</v>
      </c>
      <c r="C121" s="66">
        <v>1</v>
      </c>
      <c r="D121" s="11" t="s">
        <v>139</v>
      </c>
      <c r="E121" s="12">
        <f>K33</f>
        <v>17.399999999999999</v>
      </c>
      <c r="F121" s="11" t="s">
        <v>139</v>
      </c>
      <c r="G121" s="67">
        <v>0.3</v>
      </c>
      <c r="H121" s="11" t="s">
        <v>139</v>
      </c>
      <c r="I121" s="65">
        <v>3</v>
      </c>
      <c r="J121" s="76" t="s">
        <v>140</v>
      </c>
      <c r="K121" s="65">
        <f>IF(C121,C121*E121*G121*I121,"")</f>
        <v>15.66</v>
      </c>
      <c r="L121" s="74" t="s">
        <v>42</v>
      </c>
    </row>
    <row r="122" spans="1:12" s="11" customFormat="1" x14ac:dyDescent="0.2">
      <c r="A122" s="54"/>
      <c r="B122" s="190" t="s">
        <v>254</v>
      </c>
      <c r="C122" s="66">
        <v>1</v>
      </c>
      <c r="D122" s="11" t="s">
        <v>139</v>
      </c>
      <c r="E122" s="12">
        <f>K39</f>
        <v>96.66</v>
      </c>
      <c r="F122" s="11" t="s">
        <v>139</v>
      </c>
      <c r="G122" s="67">
        <v>0.3</v>
      </c>
      <c r="H122" s="11" t="s">
        <v>139</v>
      </c>
      <c r="I122" s="65">
        <v>0.75</v>
      </c>
      <c r="J122" s="76" t="s">
        <v>140</v>
      </c>
      <c r="K122" s="65">
        <f>IF(C122,C122*E122*G122*I122,"")</f>
        <v>21.7485</v>
      </c>
      <c r="L122" s="74" t="s">
        <v>42</v>
      </c>
    </row>
    <row r="123" spans="1:12" s="11" customFormat="1" x14ac:dyDescent="0.2">
      <c r="A123" s="54"/>
      <c r="B123" s="145"/>
      <c r="C123" s="66"/>
      <c r="E123" s="136"/>
      <c r="F123" s="138"/>
      <c r="G123" s="34" t="s">
        <v>152</v>
      </c>
      <c r="H123" s="138"/>
      <c r="I123" s="136"/>
      <c r="J123" s="139" t="s">
        <v>153</v>
      </c>
      <c r="K123" s="136">
        <f>SUM(K120:K122)</f>
        <v>153.70650000000001</v>
      </c>
      <c r="L123" s="139" t="s">
        <v>42</v>
      </c>
    </row>
    <row r="124" spans="1:12" s="11" customFormat="1" x14ac:dyDescent="0.2">
      <c r="A124" s="54"/>
      <c r="B124" s="190" t="s">
        <v>154</v>
      </c>
      <c r="C124" s="66"/>
      <c r="E124" s="12"/>
      <c r="G124" s="46"/>
      <c r="H124" s="48"/>
      <c r="I124" s="65"/>
      <c r="J124" s="74"/>
      <c r="K124" s="65"/>
      <c r="L124" s="74"/>
    </row>
    <row r="125" spans="1:12" s="11" customFormat="1" x14ac:dyDescent="0.2">
      <c r="A125" s="54"/>
      <c r="B125" s="145" t="s">
        <v>374</v>
      </c>
      <c r="C125" s="66">
        <v>7</v>
      </c>
      <c r="D125" s="11" t="s">
        <v>139</v>
      </c>
      <c r="E125" s="12">
        <v>1.2</v>
      </c>
      <c r="F125" s="11" t="s">
        <v>139</v>
      </c>
      <c r="G125" s="67">
        <v>0.3</v>
      </c>
      <c r="H125" s="11" t="s">
        <v>139</v>
      </c>
      <c r="I125" s="12">
        <v>2.5499999999999998</v>
      </c>
      <c r="J125" s="69" t="s">
        <v>140</v>
      </c>
      <c r="K125" s="12">
        <f t="shared" ref="K125:K134" si="4">IF(C125,C125*E125*G125*I125,"")</f>
        <v>6.4259999999999993</v>
      </c>
      <c r="L125" s="59" t="s">
        <v>42</v>
      </c>
    </row>
    <row r="126" spans="1:12" s="11" customFormat="1" x14ac:dyDescent="0.2">
      <c r="A126" s="54"/>
      <c r="B126" s="145" t="s">
        <v>321</v>
      </c>
      <c r="C126" s="66">
        <v>3</v>
      </c>
      <c r="D126" s="11" t="s">
        <v>139</v>
      </c>
      <c r="E126" s="12">
        <v>1.05</v>
      </c>
      <c r="F126" s="11" t="s">
        <v>139</v>
      </c>
      <c r="G126" s="67">
        <v>0.3</v>
      </c>
      <c r="H126" s="11" t="s">
        <v>139</v>
      </c>
      <c r="I126" s="12">
        <v>2.1</v>
      </c>
      <c r="J126" s="69" t="s">
        <v>140</v>
      </c>
      <c r="K126" s="12">
        <f>IF(C126,C126*E126*G126*I126,"")</f>
        <v>1.9845000000000002</v>
      </c>
      <c r="L126" s="59" t="s">
        <v>42</v>
      </c>
    </row>
    <row r="127" spans="1:12" s="11" customFormat="1" x14ac:dyDescent="0.2">
      <c r="A127" s="54"/>
      <c r="B127" s="145" t="s">
        <v>155</v>
      </c>
      <c r="C127" s="66">
        <v>2</v>
      </c>
      <c r="D127" s="11" t="s">
        <v>139</v>
      </c>
      <c r="E127" s="12">
        <v>0.84</v>
      </c>
      <c r="F127" s="11" t="s">
        <v>139</v>
      </c>
      <c r="G127" s="67">
        <v>0.3</v>
      </c>
      <c r="H127" s="11" t="s">
        <v>139</v>
      </c>
      <c r="I127" s="12">
        <v>2.1</v>
      </c>
      <c r="J127" s="69" t="s">
        <v>140</v>
      </c>
      <c r="K127" s="12">
        <f>IF(C127,C127*E127*G127*I127,"")</f>
        <v>1.0584</v>
      </c>
      <c r="L127" s="59" t="s">
        <v>42</v>
      </c>
    </row>
    <row r="128" spans="1:12" s="11" customFormat="1" x14ac:dyDescent="0.2">
      <c r="A128" s="54"/>
      <c r="B128" s="145" t="s">
        <v>156</v>
      </c>
      <c r="C128" s="66">
        <v>1</v>
      </c>
      <c r="D128" s="11" t="s">
        <v>139</v>
      </c>
      <c r="E128" s="12">
        <v>0.9</v>
      </c>
      <c r="F128" s="11" t="s">
        <v>139</v>
      </c>
      <c r="G128" s="67">
        <v>0.3</v>
      </c>
      <c r="H128" s="11" t="s">
        <v>139</v>
      </c>
      <c r="I128" s="12">
        <v>2.1</v>
      </c>
      <c r="J128" s="69" t="s">
        <v>140</v>
      </c>
      <c r="K128" s="12">
        <f>IF(C128,C128*E128*G128*I128,"")</f>
        <v>0.56700000000000006</v>
      </c>
      <c r="L128" s="59" t="s">
        <v>42</v>
      </c>
    </row>
    <row r="129" spans="1:12" s="11" customFormat="1" x14ac:dyDescent="0.2">
      <c r="A129" s="54"/>
      <c r="B129" s="145" t="s">
        <v>94</v>
      </c>
      <c r="C129" s="66">
        <v>1</v>
      </c>
      <c r="D129" s="11" t="s">
        <v>139</v>
      </c>
      <c r="E129" s="12">
        <v>0.75</v>
      </c>
      <c r="F129" s="11" t="s">
        <v>139</v>
      </c>
      <c r="G129" s="67">
        <v>0.3</v>
      </c>
      <c r="H129" s="11" t="s">
        <v>139</v>
      </c>
      <c r="I129" s="12">
        <v>2.1</v>
      </c>
      <c r="J129" s="69" t="s">
        <v>140</v>
      </c>
      <c r="K129" s="12">
        <f t="shared" si="4"/>
        <v>0.47249999999999998</v>
      </c>
      <c r="L129" s="59" t="s">
        <v>42</v>
      </c>
    </row>
    <row r="130" spans="1:12" s="11" customFormat="1" x14ac:dyDescent="0.2">
      <c r="A130" s="54"/>
      <c r="B130" s="145" t="s">
        <v>375</v>
      </c>
      <c r="C130" s="66">
        <v>7</v>
      </c>
      <c r="D130" s="11" t="s">
        <v>139</v>
      </c>
      <c r="E130" s="12">
        <v>2.1</v>
      </c>
      <c r="F130" s="11" t="s">
        <v>139</v>
      </c>
      <c r="G130" s="67">
        <v>0.3</v>
      </c>
      <c r="H130" s="11" t="s">
        <v>139</v>
      </c>
      <c r="I130" s="12">
        <v>1.8</v>
      </c>
      <c r="J130" s="69" t="s">
        <v>140</v>
      </c>
      <c r="K130" s="12">
        <f t="shared" si="4"/>
        <v>7.9380000000000006</v>
      </c>
      <c r="L130" s="59" t="s">
        <v>42</v>
      </c>
    </row>
    <row r="131" spans="1:12" s="11" customFormat="1" x14ac:dyDescent="0.2">
      <c r="A131" s="54"/>
      <c r="B131" s="145" t="s">
        <v>322</v>
      </c>
      <c r="C131" s="66">
        <v>8</v>
      </c>
      <c r="D131" s="11" t="s">
        <v>139</v>
      </c>
      <c r="E131" s="12">
        <v>1.5</v>
      </c>
      <c r="F131" s="11" t="s">
        <v>139</v>
      </c>
      <c r="G131" s="67">
        <v>0.3</v>
      </c>
      <c r="H131" s="11" t="s">
        <v>139</v>
      </c>
      <c r="I131" s="12">
        <v>1.8</v>
      </c>
      <c r="J131" s="69" t="s">
        <v>140</v>
      </c>
      <c r="K131" s="12">
        <f t="shared" si="4"/>
        <v>6.4799999999999995</v>
      </c>
      <c r="L131" s="59" t="s">
        <v>42</v>
      </c>
    </row>
    <row r="132" spans="1:12" s="11" customFormat="1" x14ac:dyDescent="0.2">
      <c r="A132" s="54"/>
      <c r="B132" s="145" t="s">
        <v>95</v>
      </c>
      <c r="C132" s="66">
        <v>9</v>
      </c>
      <c r="D132" s="11" t="s">
        <v>139</v>
      </c>
      <c r="E132" s="12">
        <v>0.9</v>
      </c>
      <c r="F132" s="11" t="s">
        <v>139</v>
      </c>
      <c r="G132" s="67">
        <v>0.3</v>
      </c>
      <c r="H132" s="11" t="s">
        <v>139</v>
      </c>
      <c r="I132" s="12">
        <v>1.8</v>
      </c>
      <c r="J132" s="69" t="s">
        <v>140</v>
      </c>
      <c r="K132" s="12">
        <f>IF(C132,C132*E132*G132*I132,"")</f>
        <v>4.3739999999999997</v>
      </c>
      <c r="L132" s="59" t="s">
        <v>42</v>
      </c>
    </row>
    <row r="133" spans="1:12" s="11" customFormat="1" x14ac:dyDescent="0.2">
      <c r="A133" s="54"/>
      <c r="B133" s="145" t="s">
        <v>376</v>
      </c>
      <c r="C133" s="66">
        <v>1</v>
      </c>
      <c r="D133" s="11" t="s">
        <v>139</v>
      </c>
      <c r="E133" s="12">
        <v>1.05</v>
      </c>
      <c r="F133" s="11" t="s">
        <v>139</v>
      </c>
      <c r="G133" s="67">
        <v>0.3</v>
      </c>
      <c r="H133" s="11" t="s">
        <v>139</v>
      </c>
      <c r="I133" s="12">
        <v>0.75</v>
      </c>
      <c r="J133" s="69" t="s">
        <v>140</v>
      </c>
      <c r="K133" s="12">
        <f t="shared" si="4"/>
        <v>0.23625000000000002</v>
      </c>
      <c r="L133" s="59" t="s">
        <v>42</v>
      </c>
    </row>
    <row r="134" spans="1:12" s="11" customFormat="1" x14ac:dyDescent="0.2">
      <c r="A134" s="54"/>
      <c r="B134" s="145" t="s">
        <v>157</v>
      </c>
      <c r="C134" s="66">
        <v>3</v>
      </c>
      <c r="D134" s="11" t="s">
        <v>139</v>
      </c>
      <c r="E134" s="12">
        <v>0.75</v>
      </c>
      <c r="F134" s="11" t="s">
        <v>139</v>
      </c>
      <c r="G134" s="67">
        <v>0.3</v>
      </c>
      <c r="H134" s="11" t="s">
        <v>139</v>
      </c>
      <c r="I134" s="12">
        <v>0.75</v>
      </c>
      <c r="J134" s="69" t="s">
        <v>140</v>
      </c>
      <c r="K134" s="12">
        <f t="shared" si="4"/>
        <v>0.50624999999999998</v>
      </c>
      <c r="L134" s="59" t="s">
        <v>42</v>
      </c>
    </row>
    <row r="135" spans="1:12" s="11" customFormat="1" x14ac:dyDescent="0.2">
      <c r="A135" s="54"/>
      <c r="B135" s="145" t="s">
        <v>96</v>
      </c>
      <c r="C135" s="66">
        <v>3</v>
      </c>
      <c r="D135" s="11" t="s">
        <v>139</v>
      </c>
      <c r="E135" s="12">
        <v>0.6</v>
      </c>
      <c r="F135" s="11" t="s">
        <v>139</v>
      </c>
      <c r="G135" s="67">
        <v>0.3</v>
      </c>
      <c r="H135" s="11" t="s">
        <v>139</v>
      </c>
      <c r="I135" s="12">
        <v>0.6</v>
      </c>
      <c r="J135" s="69" t="s">
        <v>140</v>
      </c>
      <c r="K135" s="12">
        <f t="shared" ref="K135:K144" si="5">IF(C135,C135*E135*G135*I135,"")</f>
        <v>0.32399999999999995</v>
      </c>
      <c r="L135" s="59" t="s">
        <v>42</v>
      </c>
    </row>
    <row r="136" spans="1:12" s="11" customFormat="1" x14ac:dyDescent="0.2">
      <c r="A136" s="54"/>
      <c r="B136" s="145" t="s">
        <v>99</v>
      </c>
      <c r="C136" s="66">
        <v>1</v>
      </c>
      <c r="D136" s="11" t="s">
        <v>139</v>
      </c>
      <c r="E136" s="12">
        <v>2.7</v>
      </c>
      <c r="F136" s="11" t="s">
        <v>139</v>
      </c>
      <c r="G136" s="67">
        <v>0.3</v>
      </c>
      <c r="H136" s="11" t="s">
        <v>139</v>
      </c>
      <c r="I136" s="12">
        <v>2.4</v>
      </c>
      <c r="J136" s="69" t="s">
        <v>140</v>
      </c>
      <c r="K136" s="12">
        <f t="shared" si="5"/>
        <v>1.944</v>
      </c>
      <c r="L136" s="59" t="s">
        <v>42</v>
      </c>
    </row>
    <row r="137" spans="1:12" s="11" customFormat="1" x14ac:dyDescent="0.2">
      <c r="A137" s="54"/>
      <c r="B137" s="145" t="s">
        <v>323</v>
      </c>
      <c r="C137" s="66">
        <v>1</v>
      </c>
      <c r="D137" s="11" t="s">
        <v>139</v>
      </c>
      <c r="E137" s="12">
        <v>3.6</v>
      </c>
      <c r="F137" s="11" t="s">
        <v>139</v>
      </c>
      <c r="G137" s="67">
        <v>0.3</v>
      </c>
      <c r="H137" s="11" t="s">
        <v>139</v>
      </c>
      <c r="I137" s="12">
        <v>2.4</v>
      </c>
      <c r="J137" s="69" t="s">
        <v>140</v>
      </c>
      <c r="K137" s="12">
        <f t="shared" si="5"/>
        <v>2.5920000000000001</v>
      </c>
      <c r="L137" s="59" t="s">
        <v>42</v>
      </c>
    </row>
    <row r="138" spans="1:12" s="11" customFormat="1" x14ac:dyDescent="0.2">
      <c r="A138" s="54"/>
      <c r="B138" s="145" t="s">
        <v>323</v>
      </c>
      <c r="C138" s="66">
        <v>1</v>
      </c>
      <c r="D138" s="11" t="s">
        <v>139</v>
      </c>
      <c r="E138" s="12">
        <v>1.95</v>
      </c>
      <c r="F138" s="11" t="s">
        <v>139</v>
      </c>
      <c r="G138" s="67">
        <v>0.3</v>
      </c>
      <c r="H138" s="11" t="s">
        <v>139</v>
      </c>
      <c r="I138" s="12">
        <v>2.4</v>
      </c>
      <c r="J138" s="69" t="s">
        <v>140</v>
      </c>
      <c r="K138" s="12">
        <f t="shared" si="5"/>
        <v>1.4039999999999999</v>
      </c>
      <c r="L138" s="59" t="s">
        <v>42</v>
      </c>
    </row>
    <row r="139" spans="1:12" s="11" customFormat="1" x14ac:dyDescent="0.2">
      <c r="A139" s="54"/>
      <c r="B139" s="145" t="s">
        <v>323</v>
      </c>
      <c r="C139" s="66">
        <v>2</v>
      </c>
      <c r="D139" s="11" t="s">
        <v>139</v>
      </c>
      <c r="E139" s="12">
        <v>0.6</v>
      </c>
      <c r="F139" s="11" t="s">
        <v>139</v>
      </c>
      <c r="G139" s="67">
        <v>0.3</v>
      </c>
      <c r="H139" s="11" t="s">
        <v>139</v>
      </c>
      <c r="I139" s="12">
        <v>2.4</v>
      </c>
      <c r="J139" s="69" t="s">
        <v>140</v>
      </c>
      <c r="K139" s="12">
        <f t="shared" si="5"/>
        <v>0.86399999999999999</v>
      </c>
      <c r="L139" s="59" t="s">
        <v>42</v>
      </c>
    </row>
    <row r="140" spans="1:12" s="11" customFormat="1" x14ac:dyDescent="0.2">
      <c r="A140" s="54"/>
      <c r="B140" s="145" t="s">
        <v>103</v>
      </c>
      <c r="C140" s="66">
        <v>2</v>
      </c>
      <c r="D140" s="11" t="s">
        <v>139</v>
      </c>
      <c r="E140" s="12">
        <v>1.8</v>
      </c>
      <c r="F140" s="11" t="s">
        <v>139</v>
      </c>
      <c r="G140" s="67">
        <v>0.3</v>
      </c>
      <c r="H140" s="11" t="s">
        <v>139</v>
      </c>
      <c r="I140" s="12">
        <v>1.35</v>
      </c>
      <c r="J140" s="69" t="s">
        <v>140</v>
      </c>
      <c r="K140" s="12">
        <f t="shared" si="5"/>
        <v>1.4580000000000002</v>
      </c>
      <c r="L140" s="59" t="s">
        <v>42</v>
      </c>
    </row>
    <row r="141" spans="1:12" s="11" customFormat="1" x14ac:dyDescent="0.2">
      <c r="A141" s="54"/>
      <c r="B141" s="145" t="s">
        <v>103</v>
      </c>
      <c r="C141" s="66">
        <v>1</v>
      </c>
      <c r="D141" s="11" t="s">
        <v>139</v>
      </c>
      <c r="E141" s="12">
        <v>2.1</v>
      </c>
      <c r="F141" s="11" t="s">
        <v>139</v>
      </c>
      <c r="G141" s="67">
        <v>0.3</v>
      </c>
      <c r="H141" s="11" t="s">
        <v>139</v>
      </c>
      <c r="I141" s="12">
        <v>1.35</v>
      </c>
      <c r="J141" s="69" t="s">
        <v>140</v>
      </c>
      <c r="K141" s="12">
        <f t="shared" si="5"/>
        <v>0.85050000000000003</v>
      </c>
      <c r="L141" s="59" t="s">
        <v>42</v>
      </c>
    </row>
    <row r="142" spans="1:12" s="11" customFormat="1" x14ac:dyDescent="0.2">
      <c r="A142" s="54"/>
      <c r="B142" s="145" t="s">
        <v>103</v>
      </c>
      <c r="C142" s="66">
        <v>2</v>
      </c>
      <c r="D142" s="11" t="s">
        <v>139</v>
      </c>
      <c r="E142" s="12">
        <v>0.9</v>
      </c>
      <c r="F142" s="11" t="s">
        <v>139</v>
      </c>
      <c r="G142" s="67">
        <v>0.3</v>
      </c>
      <c r="H142" s="11" t="s">
        <v>139</v>
      </c>
      <c r="I142" s="12">
        <v>1.35</v>
      </c>
      <c r="J142" s="69" t="s">
        <v>140</v>
      </c>
      <c r="K142" s="12">
        <f t="shared" si="5"/>
        <v>0.72900000000000009</v>
      </c>
      <c r="L142" s="59" t="s">
        <v>42</v>
      </c>
    </row>
    <row r="143" spans="1:12" s="11" customFormat="1" x14ac:dyDescent="0.2">
      <c r="A143" s="54"/>
      <c r="B143" s="153" t="s">
        <v>158</v>
      </c>
      <c r="C143" s="66">
        <v>1</v>
      </c>
      <c r="D143" s="11" t="s">
        <v>139</v>
      </c>
      <c r="E143" s="12">
        <f>E120</f>
        <v>129.22</v>
      </c>
      <c r="F143" s="11" t="s">
        <v>139</v>
      </c>
      <c r="G143" s="67">
        <v>0.3</v>
      </c>
      <c r="H143" s="11" t="s">
        <v>139</v>
      </c>
      <c r="I143" s="12">
        <v>0.15</v>
      </c>
      <c r="J143" s="69" t="s">
        <v>140</v>
      </c>
      <c r="K143" s="12">
        <f t="shared" si="5"/>
        <v>5.8148999999999997</v>
      </c>
      <c r="L143" s="59" t="s">
        <v>42</v>
      </c>
    </row>
    <row r="144" spans="1:12" s="11" customFormat="1" x14ac:dyDescent="0.2">
      <c r="A144" s="54"/>
      <c r="B144" s="153" t="s">
        <v>100</v>
      </c>
      <c r="C144" s="66">
        <v>1</v>
      </c>
      <c r="D144" s="11" t="s">
        <v>139</v>
      </c>
      <c r="E144" s="12">
        <f>K33</f>
        <v>17.399999999999999</v>
      </c>
      <c r="F144" s="11" t="s">
        <v>139</v>
      </c>
      <c r="G144" s="67">
        <v>0.3</v>
      </c>
      <c r="H144" s="11" t="s">
        <v>139</v>
      </c>
      <c r="I144" s="12">
        <v>0.15</v>
      </c>
      <c r="J144" s="69" t="s">
        <v>140</v>
      </c>
      <c r="K144" s="12">
        <f t="shared" si="5"/>
        <v>0.78299999999999992</v>
      </c>
      <c r="L144" s="59" t="s">
        <v>42</v>
      </c>
    </row>
    <row r="145" spans="1:12" s="11" customFormat="1" x14ac:dyDescent="0.2">
      <c r="A145" s="54"/>
      <c r="B145" s="145"/>
      <c r="C145" s="66"/>
      <c r="E145" s="136"/>
      <c r="F145" s="138"/>
      <c r="G145" s="34" t="s">
        <v>159</v>
      </c>
      <c r="H145" s="138"/>
      <c r="I145" s="136"/>
      <c r="J145" s="139" t="s">
        <v>150</v>
      </c>
      <c r="K145" s="136">
        <f>SUM(K125:K144)</f>
        <v>46.806299999999993</v>
      </c>
      <c r="L145" s="139" t="s">
        <v>42</v>
      </c>
    </row>
    <row r="146" spans="1:12" s="11" customFormat="1" x14ac:dyDescent="0.2">
      <c r="A146" s="55"/>
      <c r="B146" s="145" t="s">
        <v>255</v>
      </c>
      <c r="C146" s="10"/>
      <c r="D146" s="100">
        <f>K123</f>
        <v>153.70650000000001</v>
      </c>
      <c r="E146" s="15"/>
      <c r="F146" s="42" t="s">
        <v>150</v>
      </c>
      <c r="G146" s="15">
        <f>K145</f>
        <v>46.806299999999993</v>
      </c>
      <c r="H146" s="14"/>
      <c r="J146" s="69" t="s">
        <v>140</v>
      </c>
      <c r="K146" s="12">
        <f>D146-G146</f>
        <v>106.90020000000001</v>
      </c>
      <c r="L146" s="59" t="s">
        <v>42</v>
      </c>
    </row>
    <row r="147" spans="1:12" s="11" customFormat="1" ht="60" x14ac:dyDescent="0.2">
      <c r="A147" s="109">
        <v>9</v>
      </c>
      <c r="B147" s="148" t="str">
        <f>GF1_ABS!B16</f>
        <v xml:space="preserve">Add extra for pillar  masonry including bed plates as per specification (Bed plates to be paid separately) in cement sand mortar 1:4 </v>
      </c>
      <c r="C147" s="12"/>
      <c r="D147" s="38"/>
      <c r="E147" s="12"/>
      <c r="F147" s="38"/>
      <c r="G147" s="67"/>
    </row>
    <row r="148" spans="1:12" s="11" customFormat="1" x14ac:dyDescent="0.2">
      <c r="A148" s="54"/>
      <c r="B148" s="145" t="s">
        <v>324</v>
      </c>
      <c r="C148" s="66">
        <v>23</v>
      </c>
      <c r="D148" s="11" t="s">
        <v>139</v>
      </c>
      <c r="E148" s="12">
        <v>0.3</v>
      </c>
      <c r="F148" s="11" t="s">
        <v>139</v>
      </c>
      <c r="G148" s="67">
        <v>0.3</v>
      </c>
      <c r="H148" s="11" t="s">
        <v>139</v>
      </c>
      <c r="I148" s="65">
        <v>3</v>
      </c>
      <c r="J148" s="76" t="s">
        <v>140</v>
      </c>
      <c r="K148" s="65">
        <f>IF(C148,C148*E148*G148*I148,"")</f>
        <v>6.2099999999999991</v>
      </c>
      <c r="L148" s="74" t="s">
        <v>42</v>
      </c>
    </row>
    <row r="149" spans="1:12" s="11" customFormat="1" x14ac:dyDescent="0.2">
      <c r="A149" s="109"/>
      <c r="B149" s="148"/>
      <c r="C149" s="12"/>
      <c r="D149" s="38"/>
      <c r="E149" s="12"/>
      <c r="F149" s="38"/>
      <c r="G149" s="12"/>
      <c r="I149" s="34" t="s">
        <v>129</v>
      </c>
      <c r="J149" s="137" t="s">
        <v>140</v>
      </c>
      <c r="K149" s="136">
        <f>SUM(K148:K148)</f>
        <v>6.2099999999999991</v>
      </c>
      <c r="L149" s="139" t="s">
        <v>42</v>
      </c>
    </row>
    <row r="150" spans="1:12" ht="60" x14ac:dyDescent="0.2">
      <c r="A150" s="37">
        <f>A147+1</f>
        <v>10</v>
      </c>
      <c r="B150" s="148" t="s">
        <v>48</v>
      </c>
      <c r="C150" s="12"/>
      <c r="D150" s="38"/>
      <c r="E150" s="12"/>
      <c r="F150" s="42"/>
      <c r="G150" s="67"/>
      <c r="I150" s="48"/>
      <c r="K150" s="48"/>
    </row>
    <row r="151" spans="1:12" s="11" customFormat="1" x14ac:dyDescent="0.2">
      <c r="A151" s="54"/>
      <c r="B151" s="145" t="s">
        <v>246</v>
      </c>
      <c r="C151" s="66">
        <v>1</v>
      </c>
      <c r="D151" s="11" t="s">
        <v>139</v>
      </c>
      <c r="E151" s="12">
        <f>K53</f>
        <v>58.25</v>
      </c>
      <c r="F151" s="11" t="s">
        <v>139</v>
      </c>
      <c r="G151" s="12">
        <v>3</v>
      </c>
      <c r="I151" s="12"/>
      <c r="J151" s="69" t="s">
        <v>140</v>
      </c>
      <c r="K151" s="12">
        <f t="shared" ref="K151:K156" si="6">IF(C151,C151*E151*G151,"")</f>
        <v>174.75</v>
      </c>
      <c r="L151" s="66" t="s">
        <v>49</v>
      </c>
    </row>
    <row r="152" spans="1:12" s="11" customFormat="1" x14ac:dyDescent="0.2">
      <c r="A152" s="54"/>
      <c r="B152" s="145" t="s">
        <v>101</v>
      </c>
      <c r="C152" s="66">
        <v>1</v>
      </c>
      <c r="D152" s="11" t="s">
        <v>139</v>
      </c>
      <c r="E152" s="12">
        <f>K59</f>
        <v>27.810000000000002</v>
      </c>
      <c r="F152" s="11" t="s">
        <v>139</v>
      </c>
      <c r="G152" s="12">
        <v>3</v>
      </c>
      <c r="I152" s="12"/>
      <c r="J152" s="69" t="s">
        <v>140</v>
      </c>
      <c r="K152" s="12">
        <f t="shared" si="6"/>
        <v>83.43</v>
      </c>
      <c r="L152" s="66" t="s">
        <v>49</v>
      </c>
    </row>
    <row r="153" spans="1:12" s="11" customFormat="1" x14ac:dyDescent="0.2">
      <c r="A153" s="54"/>
      <c r="B153" s="145" t="s">
        <v>103</v>
      </c>
      <c r="C153" s="66">
        <v>2</v>
      </c>
      <c r="D153" s="11" t="s">
        <v>139</v>
      </c>
      <c r="E153" s="12">
        <v>1.8</v>
      </c>
      <c r="F153" s="11" t="s">
        <v>139</v>
      </c>
      <c r="G153" s="12">
        <v>1.35</v>
      </c>
      <c r="I153" s="12"/>
      <c r="J153" s="69" t="s">
        <v>140</v>
      </c>
      <c r="K153" s="12">
        <f t="shared" si="6"/>
        <v>4.8600000000000003</v>
      </c>
      <c r="L153" s="66" t="s">
        <v>49</v>
      </c>
    </row>
    <row r="154" spans="1:12" s="11" customFormat="1" x14ac:dyDescent="0.2">
      <c r="A154" s="54"/>
      <c r="B154" s="145" t="s">
        <v>103</v>
      </c>
      <c r="C154" s="66">
        <v>1</v>
      </c>
      <c r="D154" s="11" t="s">
        <v>139</v>
      </c>
      <c r="E154" s="12">
        <v>2.1</v>
      </c>
      <c r="F154" s="11" t="s">
        <v>139</v>
      </c>
      <c r="G154" s="12">
        <v>1.35</v>
      </c>
      <c r="I154" s="12"/>
      <c r="J154" s="69" t="s">
        <v>140</v>
      </c>
      <c r="K154" s="12">
        <f t="shared" si="6"/>
        <v>2.8350000000000004</v>
      </c>
      <c r="L154" s="66" t="s">
        <v>49</v>
      </c>
    </row>
    <row r="155" spans="1:12" s="11" customFormat="1" x14ac:dyDescent="0.2">
      <c r="A155" s="54"/>
      <c r="B155" s="145" t="s">
        <v>103</v>
      </c>
      <c r="C155" s="66">
        <v>2</v>
      </c>
      <c r="D155" s="11" t="s">
        <v>139</v>
      </c>
      <c r="E155" s="12">
        <v>0.9</v>
      </c>
      <c r="F155" s="11" t="s">
        <v>139</v>
      </c>
      <c r="G155" s="12">
        <v>1.35</v>
      </c>
      <c r="I155" s="12"/>
      <c r="J155" s="69" t="s">
        <v>140</v>
      </c>
      <c r="K155" s="12">
        <f t="shared" si="6"/>
        <v>2.4300000000000002</v>
      </c>
      <c r="L155" s="66" t="s">
        <v>49</v>
      </c>
    </row>
    <row r="156" spans="1:12" s="11" customFormat="1" x14ac:dyDescent="0.2">
      <c r="A156" s="54"/>
      <c r="B156" s="145" t="s">
        <v>102</v>
      </c>
      <c r="C156" s="66">
        <v>1</v>
      </c>
      <c r="D156" s="11" t="s">
        <v>139</v>
      </c>
      <c r="E156" s="12">
        <f>K59</f>
        <v>27.810000000000002</v>
      </c>
      <c r="F156" s="11" t="s">
        <v>139</v>
      </c>
      <c r="G156" s="12">
        <v>0.75</v>
      </c>
      <c r="I156" s="12"/>
      <c r="J156" s="69" t="s">
        <v>140</v>
      </c>
      <c r="K156" s="12">
        <f t="shared" si="6"/>
        <v>20.857500000000002</v>
      </c>
      <c r="L156" s="66" t="s">
        <v>49</v>
      </c>
    </row>
    <row r="157" spans="1:12" s="11" customFormat="1" x14ac:dyDescent="0.2">
      <c r="A157" s="54"/>
      <c r="B157" s="145"/>
      <c r="C157" s="66"/>
      <c r="E157" s="136"/>
      <c r="F157" s="138"/>
      <c r="G157" s="34" t="s">
        <v>152</v>
      </c>
      <c r="H157" s="138"/>
      <c r="I157" s="136"/>
      <c r="J157" s="139" t="s">
        <v>153</v>
      </c>
      <c r="K157" s="136">
        <f>SUM(K151:K156)</f>
        <v>289.16250000000002</v>
      </c>
      <c r="L157" s="33" t="s">
        <v>49</v>
      </c>
    </row>
    <row r="158" spans="1:12" s="11" customFormat="1" x14ac:dyDescent="0.2">
      <c r="A158" s="54"/>
      <c r="B158" s="190" t="s">
        <v>154</v>
      </c>
      <c r="C158" s="66"/>
      <c r="E158" s="12"/>
      <c r="G158" s="46"/>
      <c r="H158" s="48"/>
      <c r="I158" s="65"/>
      <c r="J158" s="74"/>
      <c r="K158" s="65"/>
      <c r="L158" s="66"/>
    </row>
    <row r="159" spans="1:12" s="11" customFormat="1" x14ac:dyDescent="0.2">
      <c r="A159" s="54"/>
      <c r="B159" s="145" t="s">
        <v>321</v>
      </c>
      <c r="C159" s="66">
        <v>1</v>
      </c>
      <c r="D159" s="11" t="s">
        <v>139</v>
      </c>
      <c r="E159" s="12">
        <v>1.05</v>
      </c>
      <c r="F159" s="11" t="s">
        <v>139</v>
      </c>
      <c r="G159" s="12">
        <v>2.1</v>
      </c>
      <c r="I159" s="12"/>
      <c r="J159" s="69" t="s">
        <v>140</v>
      </c>
      <c r="K159" s="12">
        <f t="shared" ref="K159:K164" si="7">IF(C159,C159*E159*G159,"")</f>
        <v>2.2050000000000001</v>
      </c>
      <c r="L159" s="66" t="s">
        <v>49</v>
      </c>
    </row>
    <row r="160" spans="1:12" s="11" customFormat="1" x14ac:dyDescent="0.2">
      <c r="A160" s="54"/>
      <c r="B160" s="145" t="s">
        <v>155</v>
      </c>
      <c r="C160" s="66">
        <v>4</v>
      </c>
      <c r="D160" s="11" t="s">
        <v>139</v>
      </c>
      <c r="E160" s="12">
        <v>0.75</v>
      </c>
      <c r="F160" s="11" t="s">
        <v>139</v>
      </c>
      <c r="G160" s="12">
        <v>2.1</v>
      </c>
      <c r="I160" s="12"/>
      <c r="J160" s="69" t="s">
        <v>140</v>
      </c>
      <c r="K160" s="12">
        <f t="shared" si="7"/>
        <v>6.3000000000000007</v>
      </c>
      <c r="L160" s="66" t="s">
        <v>49</v>
      </c>
    </row>
    <row r="161" spans="1:12" s="11" customFormat="1" x14ac:dyDescent="0.2">
      <c r="A161" s="54"/>
      <c r="B161" s="145" t="s">
        <v>156</v>
      </c>
      <c r="C161" s="66">
        <v>2</v>
      </c>
      <c r="D161" s="11" t="s">
        <v>139</v>
      </c>
      <c r="E161" s="12">
        <v>0.75</v>
      </c>
      <c r="F161" s="11" t="s">
        <v>139</v>
      </c>
      <c r="G161" s="12">
        <v>2.1</v>
      </c>
      <c r="I161" s="12"/>
      <c r="J161" s="69" t="s">
        <v>140</v>
      </c>
      <c r="K161" s="12">
        <f t="shared" si="7"/>
        <v>3.1500000000000004</v>
      </c>
      <c r="L161" s="66" t="s">
        <v>49</v>
      </c>
    </row>
    <row r="162" spans="1:12" s="11" customFormat="1" x14ac:dyDescent="0.2">
      <c r="A162" s="54"/>
      <c r="B162" s="145" t="s">
        <v>95</v>
      </c>
      <c r="C162" s="66">
        <v>1</v>
      </c>
      <c r="D162" s="11" t="s">
        <v>139</v>
      </c>
      <c r="E162" s="12">
        <v>0.9</v>
      </c>
      <c r="F162" s="11" t="s">
        <v>139</v>
      </c>
      <c r="G162" s="12">
        <v>1.8</v>
      </c>
      <c r="I162" s="12"/>
      <c r="J162" s="69" t="s">
        <v>140</v>
      </c>
      <c r="K162" s="12">
        <f t="shared" si="7"/>
        <v>1.62</v>
      </c>
      <c r="L162" s="66" t="s">
        <v>49</v>
      </c>
    </row>
    <row r="163" spans="1:12" s="11" customFormat="1" x14ac:dyDescent="0.2">
      <c r="A163" s="54"/>
      <c r="B163" s="145" t="s">
        <v>376</v>
      </c>
      <c r="C163" s="66">
        <v>1</v>
      </c>
      <c r="D163" s="11" t="s">
        <v>139</v>
      </c>
      <c r="E163" s="12">
        <v>1.05</v>
      </c>
      <c r="F163" s="11" t="s">
        <v>139</v>
      </c>
      <c r="G163" s="12">
        <v>0.75</v>
      </c>
      <c r="I163" s="12"/>
      <c r="J163" s="69" t="s">
        <v>140</v>
      </c>
      <c r="K163" s="12">
        <f t="shared" si="7"/>
        <v>0.78750000000000009</v>
      </c>
      <c r="L163" s="66" t="s">
        <v>49</v>
      </c>
    </row>
    <row r="164" spans="1:12" s="11" customFormat="1" x14ac:dyDescent="0.2">
      <c r="A164" s="54"/>
      <c r="B164" s="148" t="s">
        <v>395</v>
      </c>
      <c r="C164" s="66">
        <v>1</v>
      </c>
      <c r="D164" s="11" t="s">
        <v>139</v>
      </c>
      <c r="E164" s="12">
        <f>E151</f>
        <v>58.25</v>
      </c>
      <c r="F164" s="11" t="s">
        <v>139</v>
      </c>
      <c r="G164" s="12">
        <v>0.15</v>
      </c>
      <c r="I164" s="12"/>
      <c r="J164" s="69" t="s">
        <v>140</v>
      </c>
      <c r="K164" s="12">
        <f t="shared" si="7"/>
        <v>8.7374999999999989</v>
      </c>
      <c r="L164" s="66" t="s">
        <v>49</v>
      </c>
    </row>
    <row r="165" spans="1:12" s="11" customFormat="1" x14ac:dyDescent="0.2">
      <c r="A165" s="54"/>
      <c r="B165" s="145"/>
      <c r="C165" s="66"/>
      <c r="E165" s="136"/>
      <c r="F165" s="138"/>
      <c r="G165" s="34" t="s">
        <v>159</v>
      </c>
      <c r="H165" s="138"/>
      <c r="I165" s="136"/>
      <c r="J165" s="139" t="s">
        <v>150</v>
      </c>
      <c r="K165" s="136">
        <f>SUM(K159:K164)</f>
        <v>22.8</v>
      </c>
      <c r="L165" s="33" t="s">
        <v>49</v>
      </c>
    </row>
    <row r="166" spans="1:12" s="11" customFormat="1" x14ac:dyDescent="0.2">
      <c r="A166" s="55"/>
      <c r="B166" s="145" t="s">
        <v>255</v>
      </c>
      <c r="C166" s="10"/>
      <c r="D166" s="100">
        <f>K157</f>
        <v>289.16250000000002</v>
      </c>
      <c r="E166" s="15"/>
      <c r="F166" s="42" t="s">
        <v>150</v>
      </c>
      <c r="G166" s="15">
        <f>K165</f>
        <v>22.8</v>
      </c>
      <c r="H166" s="14"/>
      <c r="J166" s="69" t="s">
        <v>140</v>
      </c>
      <c r="K166" s="12">
        <f>D166-G166</f>
        <v>266.36250000000001</v>
      </c>
      <c r="L166" s="66" t="s">
        <v>49</v>
      </c>
    </row>
    <row r="167" spans="1:12" s="11" customFormat="1" x14ac:dyDescent="0.2">
      <c r="A167" s="55"/>
      <c r="B167" s="145" t="s">
        <v>256</v>
      </c>
      <c r="C167" s="10"/>
      <c r="D167" s="100"/>
      <c r="E167" s="15"/>
      <c r="F167" s="42"/>
      <c r="G167" s="15"/>
      <c r="H167" s="14"/>
      <c r="J167" s="69"/>
      <c r="K167" s="12">
        <f>K166</f>
        <v>266.36250000000001</v>
      </c>
      <c r="L167" s="66" t="s">
        <v>49</v>
      </c>
    </row>
    <row r="168" spans="1:12" s="11" customFormat="1" ht="60" x14ac:dyDescent="0.2">
      <c r="A168" s="55">
        <f>A150+1</f>
        <v>11</v>
      </c>
      <c r="B168" s="148" t="s">
        <v>333</v>
      </c>
      <c r="C168" s="12"/>
      <c r="D168" s="38"/>
      <c r="E168" s="12"/>
      <c r="F168" s="38"/>
      <c r="G168" s="67"/>
    </row>
    <row r="169" spans="1:12" s="11" customFormat="1" x14ac:dyDescent="0.2">
      <c r="A169" s="54"/>
      <c r="B169" s="145" t="s">
        <v>257</v>
      </c>
      <c r="C169" s="59">
        <v>51</v>
      </c>
      <c r="D169" s="11" t="s">
        <v>139</v>
      </c>
      <c r="E169" s="12">
        <v>0.9</v>
      </c>
      <c r="F169" s="11" t="s">
        <v>139</v>
      </c>
      <c r="G169" s="67">
        <v>0.3</v>
      </c>
      <c r="H169" s="11" t="s">
        <v>139</v>
      </c>
      <c r="I169" s="12">
        <v>0.08</v>
      </c>
      <c r="J169" s="69" t="s">
        <v>140</v>
      </c>
      <c r="K169" s="12">
        <f>IF(C169,C169*E169*G169*I169,"")</f>
        <v>1.1015999999999999</v>
      </c>
      <c r="L169" s="59" t="s">
        <v>42</v>
      </c>
    </row>
    <row r="170" spans="1:12" s="11" customFormat="1" x14ac:dyDescent="0.2">
      <c r="A170" s="54"/>
      <c r="B170" s="145" t="s">
        <v>74</v>
      </c>
      <c r="C170" s="59">
        <v>6</v>
      </c>
      <c r="D170" s="11" t="s">
        <v>139</v>
      </c>
      <c r="E170" s="12">
        <v>0.75</v>
      </c>
      <c r="F170" s="11" t="s">
        <v>139</v>
      </c>
      <c r="G170" s="67">
        <v>0.23</v>
      </c>
      <c r="H170" s="11" t="s">
        <v>139</v>
      </c>
      <c r="I170" s="12">
        <v>0.75</v>
      </c>
      <c r="J170" s="69" t="s">
        <v>140</v>
      </c>
      <c r="K170" s="12">
        <f>IF(C170,C170*E170*G170*I170,"")</f>
        <v>0.77625000000000011</v>
      </c>
      <c r="L170" s="59" t="s">
        <v>42</v>
      </c>
    </row>
    <row r="171" spans="1:12" s="11" customFormat="1" x14ac:dyDescent="0.2">
      <c r="A171" s="54"/>
      <c r="B171" s="145" t="s">
        <v>347</v>
      </c>
      <c r="C171" s="59">
        <v>8</v>
      </c>
      <c r="D171" s="11" t="s">
        <v>139</v>
      </c>
      <c r="E171" s="12">
        <v>1.5</v>
      </c>
      <c r="F171" s="11" t="s">
        <v>139</v>
      </c>
      <c r="G171" s="67">
        <v>0.23</v>
      </c>
      <c r="H171" s="11" t="s">
        <v>139</v>
      </c>
      <c r="I171" s="12">
        <v>1.2</v>
      </c>
      <c r="J171" s="69" t="s">
        <v>140</v>
      </c>
      <c r="K171" s="12">
        <f>IF(C171,C171*E171*G171*I171,"")</f>
        <v>3.3120000000000003</v>
      </c>
      <c r="L171" s="59" t="s">
        <v>42</v>
      </c>
    </row>
    <row r="172" spans="1:12" s="11" customFormat="1" x14ac:dyDescent="0.2">
      <c r="A172" s="54"/>
      <c r="B172" s="145"/>
      <c r="C172" s="66"/>
      <c r="E172" s="12"/>
      <c r="G172" s="34" t="s">
        <v>144</v>
      </c>
      <c r="H172" s="138"/>
      <c r="I172" s="136"/>
      <c r="J172" s="138"/>
      <c r="K172" s="136">
        <f>SUM(K169:K171)</f>
        <v>5.1898499999999999</v>
      </c>
      <c r="L172" s="139" t="s">
        <v>42</v>
      </c>
    </row>
    <row r="173" spans="1:12" s="11" customFormat="1" ht="60" x14ac:dyDescent="0.2">
      <c r="A173" s="55">
        <v>12</v>
      </c>
      <c r="B173" s="145" t="s">
        <v>378</v>
      </c>
      <c r="C173" s="12"/>
      <c r="D173" s="42"/>
      <c r="E173" s="12"/>
      <c r="F173" s="42"/>
      <c r="G173" s="67"/>
    </row>
    <row r="174" spans="1:12" s="11" customFormat="1" ht="45" x14ac:dyDescent="0.2">
      <c r="A174" s="55"/>
      <c r="B174" s="145" t="s">
        <v>377</v>
      </c>
      <c r="C174" s="12"/>
      <c r="D174" s="42"/>
      <c r="E174" s="12"/>
      <c r="F174" s="42"/>
      <c r="G174" s="67"/>
    </row>
    <row r="175" spans="1:12" s="11" customFormat="1" x14ac:dyDescent="0.2">
      <c r="A175" s="55"/>
      <c r="B175" s="191" t="s">
        <v>379</v>
      </c>
      <c r="C175" s="65"/>
      <c r="D175" s="44"/>
      <c r="E175" s="65"/>
      <c r="F175" s="175"/>
      <c r="G175" s="46"/>
      <c r="H175" s="48"/>
      <c r="I175" s="48"/>
      <c r="J175" s="48"/>
      <c r="K175" s="48"/>
      <c r="L175" s="48"/>
    </row>
    <row r="176" spans="1:12" s="11" customFormat="1" x14ac:dyDescent="0.2">
      <c r="A176" s="54"/>
      <c r="B176" s="192" t="s">
        <v>380</v>
      </c>
      <c r="C176" s="66">
        <v>2</v>
      </c>
      <c r="D176" s="11" t="s">
        <v>139</v>
      </c>
      <c r="E176" s="12">
        <f>K28</f>
        <v>129.22</v>
      </c>
      <c r="F176" s="11" t="s">
        <v>139</v>
      </c>
      <c r="G176" s="12">
        <v>0.15</v>
      </c>
      <c r="I176" s="12"/>
      <c r="J176" s="69" t="s">
        <v>140</v>
      </c>
      <c r="K176" s="12">
        <f>IF(C176,C176*E176*G176,"")</f>
        <v>38.765999999999998</v>
      </c>
      <c r="L176" s="66" t="s">
        <v>49</v>
      </c>
    </row>
    <row r="177" spans="1:12" s="11" customFormat="1" x14ac:dyDescent="0.2">
      <c r="A177" s="54"/>
      <c r="B177" s="192" t="s">
        <v>381</v>
      </c>
      <c r="C177" s="66">
        <v>2</v>
      </c>
      <c r="D177" s="11" t="s">
        <v>139</v>
      </c>
      <c r="E177" s="12">
        <f>K53</f>
        <v>58.25</v>
      </c>
      <c r="F177" s="11" t="s">
        <v>139</v>
      </c>
      <c r="G177" s="71">
        <v>0.15</v>
      </c>
      <c r="H177" s="70"/>
      <c r="I177" s="71"/>
      <c r="J177" s="72" t="s">
        <v>140</v>
      </c>
      <c r="K177" s="71">
        <f>IF(C177,C177*E177*G177,"")</f>
        <v>17.474999999999998</v>
      </c>
      <c r="L177" s="82" t="s">
        <v>49</v>
      </c>
    </row>
    <row r="178" spans="1:12" s="11" customFormat="1" x14ac:dyDescent="0.2">
      <c r="A178" s="54"/>
      <c r="B178" s="176"/>
      <c r="C178" s="173"/>
      <c r="E178" s="12"/>
      <c r="G178" s="46" t="s">
        <v>144</v>
      </c>
      <c r="H178" s="48"/>
      <c r="I178" s="65"/>
      <c r="J178" s="48"/>
      <c r="K178" s="65">
        <f>SUM(K175:K177)</f>
        <v>56.241</v>
      </c>
      <c r="L178" s="66" t="s">
        <v>49</v>
      </c>
    </row>
    <row r="179" spans="1:12" s="11" customFormat="1" ht="90" x14ac:dyDescent="0.2">
      <c r="A179" s="55"/>
      <c r="B179" s="145" t="s">
        <v>385</v>
      </c>
      <c r="C179" s="12"/>
      <c r="D179" s="42"/>
      <c r="E179" s="12"/>
      <c r="F179" s="42"/>
      <c r="G179" s="67"/>
    </row>
    <row r="180" spans="1:12" s="11" customFormat="1" x14ac:dyDescent="0.2">
      <c r="A180" s="55"/>
      <c r="B180" s="153" t="s">
        <v>158</v>
      </c>
      <c r="C180" s="12"/>
      <c r="D180" s="38"/>
      <c r="E180" s="12"/>
      <c r="F180" s="38"/>
      <c r="G180" s="67"/>
    </row>
    <row r="181" spans="1:12" s="11" customFormat="1" x14ac:dyDescent="0.2">
      <c r="A181" s="54"/>
      <c r="B181" s="145" t="s">
        <v>326</v>
      </c>
      <c r="C181" s="66">
        <v>2</v>
      </c>
      <c r="D181" s="11" t="s">
        <v>139</v>
      </c>
      <c r="E181" s="12">
        <f>E120</f>
        <v>129.22</v>
      </c>
      <c r="F181" s="11" t="s">
        <v>139</v>
      </c>
      <c r="G181" s="12">
        <v>0.15</v>
      </c>
      <c r="I181" s="12"/>
      <c r="J181" s="69" t="s">
        <v>140</v>
      </c>
      <c r="K181" s="12">
        <f>IF(C181,C181*E181*G181,"")</f>
        <v>38.765999999999998</v>
      </c>
      <c r="L181" s="66" t="s">
        <v>49</v>
      </c>
    </row>
    <row r="182" spans="1:12" s="11" customFormat="1" x14ac:dyDescent="0.2">
      <c r="A182" s="55"/>
      <c r="B182" s="154" t="s">
        <v>381</v>
      </c>
      <c r="C182" s="66">
        <v>2</v>
      </c>
      <c r="D182" s="11" t="s">
        <v>139</v>
      </c>
      <c r="E182" s="12">
        <f>E151</f>
        <v>58.25</v>
      </c>
      <c r="F182" s="11" t="s">
        <v>139</v>
      </c>
      <c r="G182" s="12">
        <v>0.15</v>
      </c>
      <c r="J182" s="69" t="s">
        <v>140</v>
      </c>
      <c r="K182" s="12">
        <f>IF(C182,C182*E182*G182,"")</f>
        <v>17.474999999999998</v>
      </c>
      <c r="L182" s="66" t="s">
        <v>49</v>
      </c>
    </row>
    <row r="183" spans="1:12" s="11" customFormat="1" x14ac:dyDescent="0.2">
      <c r="A183" s="55"/>
      <c r="B183" s="154" t="s">
        <v>381</v>
      </c>
      <c r="C183" s="66">
        <v>2</v>
      </c>
      <c r="D183" s="11" t="s">
        <v>139</v>
      </c>
      <c r="E183" s="12">
        <f>E152</f>
        <v>27.810000000000002</v>
      </c>
      <c r="F183" s="11" t="s">
        <v>139</v>
      </c>
      <c r="G183" s="12">
        <v>0.15</v>
      </c>
      <c r="J183" s="69" t="s">
        <v>140</v>
      </c>
      <c r="K183" s="12">
        <f>IF(C183,C183*E183*G183,"")</f>
        <v>8.343</v>
      </c>
      <c r="L183" s="66" t="s">
        <v>49</v>
      </c>
    </row>
    <row r="184" spans="1:12" s="11" customFormat="1" x14ac:dyDescent="0.2">
      <c r="A184" s="54"/>
      <c r="B184" s="154" t="s">
        <v>104</v>
      </c>
      <c r="C184" s="66"/>
      <c r="E184" s="12"/>
      <c r="G184" s="12"/>
      <c r="I184" s="12"/>
      <c r="J184" s="69"/>
      <c r="K184" s="12"/>
      <c r="L184" s="66"/>
    </row>
    <row r="185" spans="1:12" s="11" customFormat="1" x14ac:dyDescent="0.2">
      <c r="A185" s="54"/>
      <c r="B185" s="145" t="s">
        <v>374</v>
      </c>
      <c r="C185" s="66">
        <v>7</v>
      </c>
      <c r="D185" s="11" t="s">
        <v>139</v>
      </c>
      <c r="E185" s="12">
        <v>1.2</v>
      </c>
      <c r="F185" s="11" t="s">
        <v>139</v>
      </c>
      <c r="G185" s="67">
        <v>0.3</v>
      </c>
      <c r="J185" s="69" t="s">
        <v>140</v>
      </c>
      <c r="K185" s="12">
        <f t="shared" ref="K185:K192" si="8">IF(C185,C185*E185*G185,"")</f>
        <v>2.52</v>
      </c>
      <c r="L185" s="66" t="s">
        <v>49</v>
      </c>
    </row>
    <row r="186" spans="1:12" s="11" customFormat="1" x14ac:dyDescent="0.2">
      <c r="A186" s="54"/>
      <c r="B186" s="145" t="s">
        <v>321</v>
      </c>
      <c r="C186" s="66">
        <v>3</v>
      </c>
      <c r="D186" s="11" t="s">
        <v>139</v>
      </c>
      <c r="E186" s="12">
        <v>1.05</v>
      </c>
      <c r="F186" s="11" t="s">
        <v>139</v>
      </c>
      <c r="G186" s="67">
        <v>0.3</v>
      </c>
      <c r="J186" s="69" t="s">
        <v>140</v>
      </c>
      <c r="K186" s="12">
        <f t="shared" si="8"/>
        <v>0.94500000000000006</v>
      </c>
      <c r="L186" s="66" t="s">
        <v>49</v>
      </c>
    </row>
    <row r="187" spans="1:12" s="11" customFormat="1" x14ac:dyDescent="0.2">
      <c r="A187" s="54"/>
      <c r="B187" s="145" t="s">
        <v>155</v>
      </c>
      <c r="C187" s="66">
        <v>2</v>
      </c>
      <c r="D187" s="11" t="s">
        <v>139</v>
      </c>
      <c r="E187" s="12">
        <v>0.84</v>
      </c>
      <c r="F187" s="11" t="s">
        <v>139</v>
      </c>
      <c r="G187" s="67">
        <v>0.3</v>
      </c>
      <c r="J187" s="69" t="s">
        <v>140</v>
      </c>
      <c r="K187" s="12">
        <f t="shared" si="8"/>
        <v>0.504</v>
      </c>
      <c r="L187" s="66" t="s">
        <v>49</v>
      </c>
    </row>
    <row r="188" spans="1:12" s="11" customFormat="1" x14ac:dyDescent="0.2">
      <c r="A188" s="54"/>
      <c r="B188" s="145" t="s">
        <v>156</v>
      </c>
      <c r="C188" s="66">
        <v>1</v>
      </c>
      <c r="D188" s="11" t="s">
        <v>139</v>
      </c>
      <c r="E188" s="12">
        <v>0.9</v>
      </c>
      <c r="F188" s="11" t="s">
        <v>139</v>
      </c>
      <c r="G188" s="67">
        <v>0.3</v>
      </c>
      <c r="J188" s="69" t="s">
        <v>140</v>
      </c>
      <c r="K188" s="12">
        <f t="shared" si="8"/>
        <v>0.27</v>
      </c>
      <c r="L188" s="66" t="s">
        <v>49</v>
      </c>
    </row>
    <row r="189" spans="1:12" s="11" customFormat="1" x14ac:dyDescent="0.2">
      <c r="A189" s="54"/>
      <c r="B189" s="145" t="s">
        <v>94</v>
      </c>
      <c r="C189" s="66">
        <v>1</v>
      </c>
      <c r="D189" s="11" t="s">
        <v>139</v>
      </c>
      <c r="E189" s="12">
        <v>0.75</v>
      </c>
      <c r="F189" s="11" t="s">
        <v>139</v>
      </c>
      <c r="G189" s="67">
        <v>0.3</v>
      </c>
      <c r="J189" s="69" t="s">
        <v>140</v>
      </c>
      <c r="K189" s="12">
        <f t="shared" si="8"/>
        <v>0.22499999999999998</v>
      </c>
      <c r="L189" s="66" t="s">
        <v>49</v>
      </c>
    </row>
    <row r="190" spans="1:12" s="11" customFormat="1" x14ac:dyDescent="0.2">
      <c r="A190" s="54"/>
      <c r="B190" s="145" t="s">
        <v>103</v>
      </c>
      <c r="C190" s="66">
        <v>2</v>
      </c>
      <c r="D190" s="11" t="s">
        <v>139</v>
      </c>
      <c r="E190" s="12">
        <v>1.8</v>
      </c>
      <c r="F190" s="11" t="s">
        <v>139</v>
      </c>
      <c r="G190" s="67">
        <v>0.3</v>
      </c>
      <c r="J190" s="69" t="s">
        <v>140</v>
      </c>
      <c r="K190" s="12">
        <f t="shared" si="8"/>
        <v>1.08</v>
      </c>
      <c r="L190" s="66" t="s">
        <v>49</v>
      </c>
    </row>
    <row r="191" spans="1:12" s="11" customFormat="1" x14ac:dyDescent="0.2">
      <c r="A191" s="54"/>
      <c r="B191" s="145" t="s">
        <v>103</v>
      </c>
      <c r="C191" s="66">
        <v>1</v>
      </c>
      <c r="D191" s="11" t="s">
        <v>139</v>
      </c>
      <c r="E191" s="12">
        <v>2.1</v>
      </c>
      <c r="F191" s="11" t="s">
        <v>139</v>
      </c>
      <c r="G191" s="67">
        <v>0.3</v>
      </c>
      <c r="J191" s="69" t="s">
        <v>140</v>
      </c>
      <c r="K191" s="12">
        <f t="shared" si="8"/>
        <v>0.63</v>
      </c>
      <c r="L191" s="66" t="s">
        <v>49</v>
      </c>
    </row>
    <row r="192" spans="1:12" s="11" customFormat="1" x14ac:dyDescent="0.2">
      <c r="A192" s="54"/>
      <c r="B192" s="145" t="s">
        <v>103</v>
      </c>
      <c r="C192" s="66">
        <v>2</v>
      </c>
      <c r="D192" s="11" t="s">
        <v>139</v>
      </c>
      <c r="E192" s="12">
        <v>0.9</v>
      </c>
      <c r="F192" s="11" t="s">
        <v>139</v>
      </c>
      <c r="G192" s="67">
        <v>0.3</v>
      </c>
      <c r="J192" s="69" t="s">
        <v>140</v>
      </c>
      <c r="K192" s="12">
        <f t="shared" si="8"/>
        <v>0.54</v>
      </c>
      <c r="L192" s="66" t="s">
        <v>49</v>
      </c>
    </row>
    <row r="193" spans="1:12" s="11" customFormat="1" x14ac:dyDescent="0.2">
      <c r="A193" s="54"/>
      <c r="B193" s="145" t="s">
        <v>321</v>
      </c>
      <c r="C193" s="66">
        <v>1</v>
      </c>
      <c r="D193" s="11" t="s">
        <v>139</v>
      </c>
      <c r="E193" s="12">
        <v>1.05</v>
      </c>
      <c r="F193" s="11" t="s">
        <v>139</v>
      </c>
      <c r="G193" s="12">
        <v>0.15</v>
      </c>
      <c r="I193" s="12"/>
      <c r="J193" s="69" t="s">
        <v>140</v>
      </c>
      <c r="K193" s="12">
        <f>IF(C193,C193*E193*G193,"")</f>
        <v>0.1575</v>
      </c>
      <c r="L193" s="66" t="s">
        <v>49</v>
      </c>
    </row>
    <row r="194" spans="1:12" s="11" customFormat="1" x14ac:dyDescent="0.2">
      <c r="A194" s="54"/>
      <c r="B194" s="145" t="s">
        <v>155</v>
      </c>
      <c r="C194" s="66">
        <v>4</v>
      </c>
      <c r="D194" s="11" t="s">
        <v>139</v>
      </c>
      <c r="E194" s="12">
        <v>0.75</v>
      </c>
      <c r="F194" s="11" t="s">
        <v>139</v>
      </c>
      <c r="G194" s="12">
        <v>0.15</v>
      </c>
      <c r="I194" s="12"/>
      <c r="J194" s="69" t="s">
        <v>140</v>
      </c>
      <c r="K194" s="12">
        <f>IF(C194,C194*E194*G194,"")</f>
        <v>0.44999999999999996</v>
      </c>
      <c r="L194" s="66" t="s">
        <v>49</v>
      </c>
    </row>
    <row r="195" spans="1:12" s="11" customFormat="1" x14ac:dyDescent="0.2">
      <c r="A195" s="55"/>
      <c r="B195" s="153" t="s">
        <v>163</v>
      </c>
      <c r="C195" s="12"/>
      <c r="D195" s="38"/>
      <c r="E195" s="12"/>
      <c r="F195" s="38"/>
      <c r="G195" s="67"/>
    </row>
    <row r="196" spans="1:12" s="11" customFormat="1" x14ac:dyDescent="0.2">
      <c r="A196" s="54"/>
      <c r="B196" s="145" t="s">
        <v>375</v>
      </c>
      <c r="C196" s="66">
        <v>7</v>
      </c>
      <c r="D196" s="11" t="s">
        <v>139</v>
      </c>
      <c r="E196" s="12">
        <v>2.1</v>
      </c>
      <c r="F196" s="11" t="s">
        <v>139</v>
      </c>
      <c r="G196" s="67">
        <v>0.9</v>
      </c>
      <c r="J196" s="69" t="s">
        <v>140</v>
      </c>
      <c r="K196" s="12">
        <f t="shared" ref="K196:K205" si="9">IF(C196,C196*E196*G196,"")</f>
        <v>13.23</v>
      </c>
      <c r="L196" s="66" t="s">
        <v>49</v>
      </c>
    </row>
    <row r="197" spans="1:12" s="11" customFormat="1" x14ac:dyDescent="0.2">
      <c r="A197" s="54"/>
      <c r="B197" s="145" t="s">
        <v>322</v>
      </c>
      <c r="C197" s="66">
        <v>8</v>
      </c>
      <c r="D197" s="11" t="s">
        <v>139</v>
      </c>
      <c r="E197" s="12">
        <v>1.5</v>
      </c>
      <c r="F197" s="11" t="s">
        <v>139</v>
      </c>
      <c r="G197" s="67">
        <v>0.9</v>
      </c>
      <c r="J197" s="69" t="s">
        <v>140</v>
      </c>
      <c r="K197" s="12">
        <f t="shared" si="9"/>
        <v>10.8</v>
      </c>
      <c r="L197" s="66" t="s">
        <v>49</v>
      </c>
    </row>
    <row r="198" spans="1:12" s="11" customFormat="1" x14ac:dyDescent="0.2">
      <c r="A198" s="54"/>
      <c r="B198" s="145" t="s">
        <v>95</v>
      </c>
      <c r="C198" s="66">
        <v>9</v>
      </c>
      <c r="D198" s="11" t="s">
        <v>139</v>
      </c>
      <c r="E198" s="12">
        <v>0.9</v>
      </c>
      <c r="F198" s="11" t="s">
        <v>139</v>
      </c>
      <c r="G198" s="67">
        <v>0.9</v>
      </c>
      <c r="J198" s="69" t="s">
        <v>140</v>
      </c>
      <c r="K198" s="12">
        <f t="shared" si="9"/>
        <v>7.29</v>
      </c>
      <c r="L198" s="66" t="s">
        <v>49</v>
      </c>
    </row>
    <row r="199" spans="1:12" s="11" customFormat="1" x14ac:dyDescent="0.2">
      <c r="A199" s="54"/>
      <c r="B199" s="145" t="s">
        <v>376</v>
      </c>
      <c r="C199" s="66">
        <v>1</v>
      </c>
      <c r="D199" s="11" t="s">
        <v>139</v>
      </c>
      <c r="E199" s="12">
        <v>1.05</v>
      </c>
      <c r="F199" s="11" t="s">
        <v>139</v>
      </c>
      <c r="G199" s="67">
        <v>0.9</v>
      </c>
      <c r="J199" s="69" t="s">
        <v>140</v>
      </c>
      <c r="K199" s="12">
        <f t="shared" si="9"/>
        <v>0.94500000000000006</v>
      </c>
      <c r="L199" s="66" t="s">
        <v>49</v>
      </c>
    </row>
    <row r="200" spans="1:12" s="11" customFormat="1" x14ac:dyDescent="0.2">
      <c r="A200" s="54"/>
      <c r="B200" s="145" t="s">
        <v>157</v>
      </c>
      <c r="C200" s="66">
        <v>3</v>
      </c>
      <c r="D200" s="11" t="s">
        <v>139</v>
      </c>
      <c r="E200" s="12">
        <v>0.75</v>
      </c>
      <c r="F200" s="11" t="s">
        <v>139</v>
      </c>
      <c r="G200" s="67">
        <v>0.9</v>
      </c>
      <c r="J200" s="69" t="s">
        <v>140</v>
      </c>
      <c r="K200" s="12">
        <f t="shared" si="9"/>
        <v>2.0249999999999999</v>
      </c>
      <c r="L200" s="66" t="s">
        <v>49</v>
      </c>
    </row>
    <row r="201" spans="1:12" s="11" customFormat="1" x14ac:dyDescent="0.2">
      <c r="A201" s="54"/>
      <c r="B201" s="145" t="s">
        <v>96</v>
      </c>
      <c r="C201" s="66">
        <v>3</v>
      </c>
      <c r="D201" s="11" t="s">
        <v>139</v>
      </c>
      <c r="E201" s="12">
        <v>0.6</v>
      </c>
      <c r="F201" s="11" t="s">
        <v>139</v>
      </c>
      <c r="G201" s="67">
        <v>0.9</v>
      </c>
      <c r="J201" s="69" t="s">
        <v>140</v>
      </c>
      <c r="K201" s="12">
        <f t="shared" si="9"/>
        <v>1.6199999999999999</v>
      </c>
      <c r="L201" s="66" t="s">
        <v>49</v>
      </c>
    </row>
    <row r="202" spans="1:12" s="11" customFormat="1" x14ac:dyDescent="0.2">
      <c r="A202" s="54"/>
      <c r="B202" s="145" t="s">
        <v>99</v>
      </c>
      <c r="C202" s="66">
        <v>1</v>
      </c>
      <c r="D202" s="11" t="s">
        <v>139</v>
      </c>
      <c r="E202" s="12">
        <v>2.7</v>
      </c>
      <c r="F202" s="11" t="s">
        <v>139</v>
      </c>
      <c r="G202" s="67">
        <v>0.9</v>
      </c>
      <c r="J202" s="69" t="s">
        <v>140</v>
      </c>
      <c r="K202" s="12">
        <f t="shared" si="9"/>
        <v>2.4300000000000002</v>
      </c>
      <c r="L202" s="66" t="s">
        <v>49</v>
      </c>
    </row>
    <row r="203" spans="1:12" s="11" customFormat="1" x14ac:dyDescent="0.2">
      <c r="A203" s="54"/>
      <c r="B203" s="145" t="s">
        <v>156</v>
      </c>
      <c r="C203" s="66">
        <v>2</v>
      </c>
      <c r="D203" s="11" t="s">
        <v>139</v>
      </c>
      <c r="E203" s="12">
        <v>0.75</v>
      </c>
      <c r="F203" s="11" t="s">
        <v>139</v>
      </c>
      <c r="G203" s="12">
        <v>0.75</v>
      </c>
      <c r="I203" s="12"/>
      <c r="J203" s="69" t="s">
        <v>140</v>
      </c>
      <c r="K203" s="12">
        <f t="shared" si="9"/>
        <v>1.125</v>
      </c>
      <c r="L203" s="66" t="s">
        <v>49</v>
      </c>
    </row>
    <row r="204" spans="1:12" s="11" customFormat="1" x14ac:dyDescent="0.2">
      <c r="A204" s="54"/>
      <c r="B204" s="145" t="s">
        <v>95</v>
      </c>
      <c r="C204" s="66">
        <v>1</v>
      </c>
      <c r="D204" s="11" t="s">
        <v>139</v>
      </c>
      <c r="E204" s="12">
        <v>0.9</v>
      </c>
      <c r="F204" s="11" t="s">
        <v>139</v>
      </c>
      <c r="G204" s="12">
        <v>0.75</v>
      </c>
      <c r="I204" s="12"/>
      <c r="J204" s="69" t="s">
        <v>140</v>
      </c>
      <c r="K204" s="12">
        <f t="shared" si="9"/>
        <v>0.67500000000000004</v>
      </c>
      <c r="L204" s="66" t="s">
        <v>49</v>
      </c>
    </row>
    <row r="205" spans="1:12" s="11" customFormat="1" x14ac:dyDescent="0.2">
      <c r="A205" s="54"/>
      <c r="B205" s="145" t="s">
        <v>376</v>
      </c>
      <c r="C205" s="66">
        <v>1</v>
      </c>
      <c r="D205" s="11" t="s">
        <v>139</v>
      </c>
      <c r="E205" s="12">
        <v>1.05</v>
      </c>
      <c r="F205" s="11" t="s">
        <v>139</v>
      </c>
      <c r="G205" s="12">
        <v>0.75</v>
      </c>
      <c r="I205" s="12"/>
      <c r="J205" s="69" t="s">
        <v>140</v>
      </c>
      <c r="K205" s="12">
        <f t="shared" si="9"/>
        <v>0.78750000000000009</v>
      </c>
      <c r="L205" s="66" t="s">
        <v>49</v>
      </c>
    </row>
    <row r="206" spans="1:12" s="11" customFormat="1" x14ac:dyDescent="0.2">
      <c r="A206" s="54"/>
      <c r="B206" s="145" t="s">
        <v>264</v>
      </c>
      <c r="C206" s="15">
        <f>SUM(K196:K205)</f>
        <v>40.927499999999995</v>
      </c>
      <c r="D206" s="14"/>
      <c r="E206" s="15"/>
      <c r="G206" s="66" t="s">
        <v>49</v>
      </c>
      <c r="I206" s="12"/>
      <c r="J206" s="69"/>
      <c r="K206" s="12"/>
      <c r="L206" s="66"/>
    </row>
    <row r="207" spans="1:12" s="11" customFormat="1" x14ac:dyDescent="0.2">
      <c r="A207" s="54"/>
      <c r="B207" s="154" t="s">
        <v>164</v>
      </c>
      <c r="C207" s="59"/>
      <c r="E207" s="12"/>
      <c r="F207" s="48"/>
      <c r="G207" s="12"/>
      <c r="I207" s="12"/>
      <c r="J207" s="69"/>
      <c r="K207" s="12"/>
      <c r="L207" s="66"/>
    </row>
    <row r="208" spans="1:12" s="11" customFormat="1" x14ac:dyDescent="0.2">
      <c r="A208" s="54"/>
      <c r="B208" s="145" t="s">
        <v>124</v>
      </c>
      <c r="C208" s="59">
        <v>4</v>
      </c>
      <c r="D208" s="11" t="s">
        <v>139</v>
      </c>
      <c r="E208" s="12">
        <v>5.5</v>
      </c>
      <c r="F208" s="48" t="s">
        <v>139</v>
      </c>
      <c r="G208" s="12">
        <v>0.45</v>
      </c>
      <c r="I208" s="12"/>
      <c r="J208" s="69" t="s">
        <v>140</v>
      </c>
      <c r="K208" s="12">
        <f>IF(C208,C208*E208*G208,"")</f>
        <v>9.9</v>
      </c>
      <c r="L208" s="66" t="s">
        <v>49</v>
      </c>
    </row>
    <row r="209" spans="1:12" s="11" customFormat="1" x14ac:dyDescent="0.2">
      <c r="A209" s="54"/>
      <c r="B209" s="145"/>
      <c r="C209" s="59">
        <v>2</v>
      </c>
      <c r="D209" s="11" t="s">
        <v>139</v>
      </c>
      <c r="E209" s="12">
        <v>3.6</v>
      </c>
      <c r="F209" s="48" t="s">
        <v>139</v>
      </c>
      <c r="G209" s="12">
        <v>0.45</v>
      </c>
      <c r="I209" s="12"/>
      <c r="J209" s="69" t="s">
        <v>140</v>
      </c>
      <c r="K209" s="12">
        <f t="shared" ref="K209:K219" si="10">IF(C209,C209*E209*G209,"")</f>
        <v>3.24</v>
      </c>
      <c r="L209" s="66" t="s">
        <v>49</v>
      </c>
    </row>
    <row r="210" spans="1:12" s="11" customFormat="1" x14ac:dyDescent="0.2">
      <c r="A210" s="54"/>
      <c r="B210" s="145" t="s">
        <v>238</v>
      </c>
      <c r="C210" s="66">
        <v>8</v>
      </c>
      <c r="D210" s="11" t="s">
        <v>139</v>
      </c>
      <c r="E210" s="12">
        <v>2.5499999999999998</v>
      </c>
      <c r="F210" s="11" t="s">
        <v>139</v>
      </c>
      <c r="G210" s="67">
        <v>0.3</v>
      </c>
      <c r="I210" s="12"/>
      <c r="J210" s="69" t="s">
        <v>140</v>
      </c>
      <c r="K210" s="12">
        <f t="shared" si="10"/>
        <v>6.1199999999999992</v>
      </c>
      <c r="L210" s="66" t="s">
        <v>49</v>
      </c>
    </row>
    <row r="211" spans="1:12" s="11" customFormat="1" x14ac:dyDescent="0.2">
      <c r="A211" s="54"/>
      <c r="B211" s="145" t="s">
        <v>15</v>
      </c>
      <c r="C211" s="66">
        <v>4</v>
      </c>
      <c r="D211" s="11" t="s">
        <v>139</v>
      </c>
      <c r="E211" s="12">
        <v>6</v>
      </c>
      <c r="F211" s="11" t="s">
        <v>139</v>
      </c>
      <c r="G211" s="67">
        <v>0.45</v>
      </c>
      <c r="I211" s="12"/>
      <c r="J211" s="69" t="s">
        <v>140</v>
      </c>
      <c r="K211" s="12">
        <f t="shared" si="10"/>
        <v>10.8</v>
      </c>
      <c r="L211" s="66" t="s">
        <v>49</v>
      </c>
    </row>
    <row r="212" spans="1:12" s="11" customFormat="1" x14ac:dyDescent="0.2">
      <c r="A212" s="54"/>
      <c r="B212" s="145" t="s">
        <v>323</v>
      </c>
      <c r="C212" s="66">
        <v>2</v>
      </c>
      <c r="D212" s="11" t="s">
        <v>139</v>
      </c>
      <c r="E212" s="12">
        <v>4.8</v>
      </c>
      <c r="F212" s="48" t="s">
        <v>139</v>
      </c>
      <c r="G212" s="12">
        <v>0.75</v>
      </c>
      <c r="I212" s="12"/>
      <c r="J212" s="69" t="s">
        <v>140</v>
      </c>
      <c r="K212" s="12">
        <f t="shared" si="10"/>
        <v>7.1999999999999993</v>
      </c>
      <c r="L212" s="66" t="s">
        <v>49</v>
      </c>
    </row>
    <row r="213" spans="1:12" s="11" customFormat="1" x14ac:dyDescent="0.2">
      <c r="A213" s="54"/>
      <c r="B213" s="145" t="s">
        <v>323</v>
      </c>
      <c r="C213" s="66">
        <v>2</v>
      </c>
      <c r="D213" s="11" t="s">
        <v>139</v>
      </c>
      <c r="E213" s="12">
        <v>2.15</v>
      </c>
      <c r="F213" s="48" t="s">
        <v>139</v>
      </c>
      <c r="G213" s="12">
        <v>0.75</v>
      </c>
      <c r="I213" s="12"/>
      <c r="J213" s="69" t="s">
        <v>140</v>
      </c>
      <c r="K213" s="12">
        <f t="shared" si="10"/>
        <v>3.2249999999999996</v>
      </c>
      <c r="L213" s="66" t="s">
        <v>49</v>
      </c>
    </row>
    <row r="214" spans="1:12" s="11" customFormat="1" x14ac:dyDescent="0.2">
      <c r="A214" s="54"/>
      <c r="B214" s="145" t="s">
        <v>90</v>
      </c>
      <c r="C214" s="66">
        <v>4</v>
      </c>
      <c r="D214" s="11" t="s">
        <v>139</v>
      </c>
      <c r="E214" s="12">
        <v>4.8</v>
      </c>
      <c r="F214" s="48" t="s">
        <v>139</v>
      </c>
      <c r="G214" s="12">
        <v>0.3</v>
      </c>
      <c r="I214" s="12"/>
      <c r="J214" s="69" t="s">
        <v>140</v>
      </c>
      <c r="K214" s="12">
        <f t="shared" si="10"/>
        <v>5.76</v>
      </c>
      <c r="L214" s="66" t="s">
        <v>49</v>
      </c>
    </row>
    <row r="215" spans="1:12" s="11" customFormat="1" x14ac:dyDescent="0.2">
      <c r="A215" s="54"/>
      <c r="B215" s="145" t="s">
        <v>125</v>
      </c>
      <c r="C215" s="66">
        <v>2</v>
      </c>
      <c r="D215" s="11" t="s">
        <v>139</v>
      </c>
      <c r="E215" s="12">
        <v>4.8</v>
      </c>
      <c r="F215" s="48" t="s">
        <v>139</v>
      </c>
      <c r="G215" s="12">
        <v>0.75</v>
      </c>
      <c r="I215" s="12"/>
      <c r="J215" s="69" t="s">
        <v>140</v>
      </c>
      <c r="K215" s="12">
        <f t="shared" si="10"/>
        <v>7.1999999999999993</v>
      </c>
      <c r="L215" s="66" t="s">
        <v>49</v>
      </c>
    </row>
    <row r="216" spans="1:12" s="11" customFormat="1" x14ac:dyDescent="0.2">
      <c r="A216" s="54"/>
      <c r="B216" s="145"/>
      <c r="C216" s="66">
        <v>4</v>
      </c>
      <c r="D216" s="11" t="s">
        <v>139</v>
      </c>
      <c r="E216" s="12">
        <v>0.6</v>
      </c>
      <c r="F216" s="48" t="s">
        <v>139</v>
      </c>
      <c r="G216" s="12">
        <v>0.75</v>
      </c>
      <c r="I216" s="12"/>
      <c r="J216" s="69" t="s">
        <v>140</v>
      </c>
      <c r="K216" s="12">
        <f t="shared" si="10"/>
        <v>1.7999999999999998</v>
      </c>
      <c r="L216" s="66" t="s">
        <v>49</v>
      </c>
    </row>
    <row r="217" spans="1:12" s="11" customFormat="1" x14ac:dyDescent="0.2">
      <c r="A217" s="54"/>
      <c r="B217" s="145" t="s">
        <v>105</v>
      </c>
      <c r="C217" s="66">
        <v>2</v>
      </c>
      <c r="D217" s="11" t="s">
        <v>139</v>
      </c>
      <c r="E217" s="12">
        <v>4.8</v>
      </c>
      <c r="F217" s="48" t="s">
        <v>139</v>
      </c>
      <c r="G217" s="12">
        <v>0.3</v>
      </c>
      <c r="I217" s="12"/>
      <c r="J217" s="69" t="s">
        <v>140</v>
      </c>
      <c r="K217" s="12">
        <f t="shared" si="10"/>
        <v>2.88</v>
      </c>
      <c r="L217" s="66" t="s">
        <v>49</v>
      </c>
    </row>
    <row r="218" spans="1:12" s="11" customFormat="1" x14ac:dyDescent="0.2">
      <c r="A218" s="54"/>
      <c r="B218" s="145" t="s">
        <v>262</v>
      </c>
      <c r="C218" s="66">
        <v>2</v>
      </c>
      <c r="D218" s="11" t="s">
        <v>139</v>
      </c>
      <c r="E218" s="12">
        <v>0.9</v>
      </c>
      <c r="F218" s="48" t="s">
        <v>139</v>
      </c>
      <c r="G218" s="12">
        <v>0.3</v>
      </c>
      <c r="I218" s="12"/>
      <c r="J218" s="69" t="s">
        <v>140</v>
      </c>
      <c r="K218" s="12">
        <f t="shared" si="10"/>
        <v>0.54</v>
      </c>
      <c r="L218" s="66" t="s">
        <v>49</v>
      </c>
    </row>
    <row r="219" spans="1:12" s="11" customFormat="1" x14ac:dyDescent="0.2">
      <c r="A219" s="54"/>
      <c r="B219" s="145"/>
      <c r="C219" s="66">
        <v>2</v>
      </c>
      <c r="D219" s="11" t="s">
        <v>139</v>
      </c>
      <c r="E219" s="12">
        <v>0.3</v>
      </c>
      <c r="F219" s="11" t="s">
        <v>139</v>
      </c>
      <c r="G219" s="12">
        <v>0.3</v>
      </c>
      <c r="I219" s="12"/>
      <c r="J219" s="69" t="s">
        <v>140</v>
      </c>
      <c r="K219" s="12">
        <f t="shared" si="10"/>
        <v>0.18</v>
      </c>
      <c r="L219" s="66" t="s">
        <v>49</v>
      </c>
    </row>
    <row r="220" spans="1:12" s="11" customFormat="1" x14ac:dyDescent="0.2">
      <c r="A220" s="54"/>
      <c r="B220" s="145" t="s">
        <v>93</v>
      </c>
      <c r="C220" s="59">
        <v>2</v>
      </c>
      <c r="D220" s="11" t="s">
        <v>139</v>
      </c>
      <c r="E220" s="12">
        <v>3.6</v>
      </c>
      <c r="F220" s="48" t="s">
        <v>139</v>
      </c>
      <c r="G220" s="12">
        <v>0.3</v>
      </c>
      <c r="I220" s="12"/>
      <c r="J220" s="69" t="s">
        <v>140</v>
      </c>
      <c r="K220" s="12">
        <f>IF(C220,C220*E220*G220,"")</f>
        <v>2.16</v>
      </c>
      <c r="L220" s="66" t="s">
        <v>49</v>
      </c>
    </row>
    <row r="221" spans="1:12" s="11" customFormat="1" x14ac:dyDescent="0.2">
      <c r="A221" s="54"/>
      <c r="B221" s="145"/>
      <c r="C221" s="59">
        <v>2</v>
      </c>
      <c r="D221" s="11" t="s">
        <v>139</v>
      </c>
      <c r="E221" s="12">
        <v>3.6</v>
      </c>
      <c r="F221" s="48" t="s">
        <v>139</v>
      </c>
      <c r="G221" s="12">
        <v>0.75</v>
      </c>
      <c r="I221" s="12"/>
      <c r="J221" s="69" t="s">
        <v>140</v>
      </c>
      <c r="K221" s="12">
        <f>IF(C221,C221*E221*G221,"")</f>
        <v>5.4</v>
      </c>
      <c r="L221" s="66" t="s">
        <v>49</v>
      </c>
    </row>
    <row r="222" spans="1:12" s="11" customFormat="1" x14ac:dyDescent="0.2">
      <c r="A222" s="54"/>
      <c r="B222" s="145"/>
      <c r="C222" s="59">
        <v>2</v>
      </c>
      <c r="D222" s="11" t="s">
        <v>139</v>
      </c>
      <c r="E222" s="12">
        <v>1.8</v>
      </c>
      <c r="F222" s="48" t="s">
        <v>139</v>
      </c>
      <c r="G222" s="12">
        <v>0.75</v>
      </c>
      <c r="I222" s="12"/>
      <c r="J222" s="69" t="s">
        <v>140</v>
      </c>
      <c r="K222" s="12">
        <f>IF(C222,C222*E222*G222,"")</f>
        <v>2.7</v>
      </c>
      <c r="L222" s="66" t="s">
        <v>49</v>
      </c>
    </row>
    <row r="223" spans="1:12" s="11" customFormat="1" x14ac:dyDescent="0.2">
      <c r="A223" s="54"/>
      <c r="B223" s="154" t="s">
        <v>126</v>
      </c>
      <c r="C223" s="59">
        <v>1</v>
      </c>
      <c r="D223" s="11" t="s">
        <v>139</v>
      </c>
      <c r="E223" s="12">
        <v>7</v>
      </c>
      <c r="F223" s="48" t="s">
        <v>139</v>
      </c>
      <c r="G223" s="12">
        <v>0.75</v>
      </c>
      <c r="I223" s="12"/>
      <c r="J223" s="69" t="s">
        <v>140</v>
      </c>
      <c r="K223" s="12">
        <f>IF(C223,C223*E223*G223,"")</f>
        <v>5.25</v>
      </c>
      <c r="L223" s="66" t="s">
        <v>49</v>
      </c>
    </row>
    <row r="224" spans="1:12" s="11" customFormat="1" x14ac:dyDescent="0.2">
      <c r="A224" s="54"/>
      <c r="B224" s="154" t="s">
        <v>106</v>
      </c>
      <c r="C224" s="59"/>
      <c r="E224" s="12"/>
      <c r="F224" s="48"/>
      <c r="G224" s="12"/>
      <c r="I224" s="12"/>
      <c r="J224" s="69"/>
      <c r="K224" s="12"/>
      <c r="L224" s="66"/>
    </row>
    <row r="225" spans="1:12" s="11" customFormat="1" x14ac:dyDescent="0.2">
      <c r="A225" s="54"/>
      <c r="B225" s="145"/>
      <c r="C225" s="59">
        <v>1</v>
      </c>
      <c r="D225" s="11" t="s">
        <v>139</v>
      </c>
      <c r="E225" s="12">
        <v>2.1</v>
      </c>
      <c r="F225" s="48" t="s">
        <v>139</v>
      </c>
      <c r="G225" s="12">
        <v>0.6</v>
      </c>
      <c r="I225" s="12"/>
      <c r="J225" s="69" t="s">
        <v>140</v>
      </c>
      <c r="K225" s="12">
        <f>IF(C225,C225*E225*G225,"")</f>
        <v>1.26</v>
      </c>
      <c r="L225" s="66" t="s">
        <v>49</v>
      </c>
    </row>
    <row r="226" spans="1:12" s="11" customFormat="1" x14ac:dyDescent="0.2">
      <c r="A226" s="54"/>
      <c r="B226" s="145"/>
      <c r="C226" s="59">
        <v>2</v>
      </c>
      <c r="D226" s="11" t="s">
        <v>139</v>
      </c>
      <c r="E226" s="12">
        <v>1.8</v>
      </c>
      <c r="F226" s="48" t="s">
        <v>139</v>
      </c>
      <c r="G226" s="12">
        <v>0.6</v>
      </c>
      <c r="I226" s="12"/>
      <c r="J226" s="69" t="s">
        <v>140</v>
      </c>
      <c r="K226" s="12">
        <f>IF(C226,C226*E226*G226,"")</f>
        <v>2.16</v>
      </c>
      <c r="L226" s="66" t="s">
        <v>49</v>
      </c>
    </row>
    <row r="227" spans="1:12" s="11" customFormat="1" x14ac:dyDescent="0.2">
      <c r="A227" s="54"/>
      <c r="B227" s="145"/>
      <c r="C227" s="59">
        <v>2</v>
      </c>
      <c r="D227" s="11" t="s">
        <v>139</v>
      </c>
      <c r="E227" s="12">
        <v>1.5</v>
      </c>
      <c r="F227" s="48" t="s">
        <v>139</v>
      </c>
      <c r="G227" s="12">
        <v>0.6</v>
      </c>
      <c r="I227" s="12"/>
      <c r="J227" s="69" t="s">
        <v>140</v>
      </c>
      <c r="K227" s="12">
        <f>IF(C227,C227*E227*G227,"")</f>
        <v>1.7999999999999998</v>
      </c>
      <c r="L227" s="66" t="s">
        <v>49</v>
      </c>
    </row>
    <row r="228" spans="1:12" s="11" customFormat="1" x14ac:dyDescent="0.2">
      <c r="A228" s="54"/>
      <c r="B228" s="145"/>
      <c r="C228" s="59">
        <v>2</v>
      </c>
      <c r="D228" s="11" t="s">
        <v>139</v>
      </c>
      <c r="E228" s="12">
        <v>1.35</v>
      </c>
      <c r="F228" s="48" t="s">
        <v>139</v>
      </c>
      <c r="G228" s="12">
        <v>0.6</v>
      </c>
      <c r="I228" s="12"/>
      <c r="J228" s="69" t="s">
        <v>140</v>
      </c>
      <c r="K228" s="12">
        <f>IF(C228,C228*E228*G228,"")</f>
        <v>1.62</v>
      </c>
      <c r="L228" s="66" t="s">
        <v>49</v>
      </c>
    </row>
    <row r="229" spans="1:12" s="11" customFormat="1" x14ac:dyDescent="0.2">
      <c r="A229" s="54"/>
      <c r="B229" s="145"/>
      <c r="C229" s="59">
        <v>3</v>
      </c>
      <c r="D229" s="11" t="s">
        <v>139</v>
      </c>
      <c r="E229" s="12">
        <v>0.75</v>
      </c>
      <c r="F229" s="48" t="s">
        <v>139</v>
      </c>
      <c r="G229" s="12">
        <v>0.6</v>
      </c>
      <c r="I229" s="12"/>
      <c r="J229" s="69" t="s">
        <v>140</v>
      </c>
      <c r="K229" s="12">
        <f>IF(C229,C229*E229*G229,"")</f>
        <v>1.3499999999999999</v>
      </c>
      <c r="L229" s="66" t="s">
        <v>49</v>
      </c>
    </row>
    <row r="230" spans="1:12" s="11" customFormat="1" x14ac:dyDescent="0.2">
      <c r="A230" s="55"/>
      <c r="B230" s="153" t="s">
        <v>165</v>
      </c>
      <c r="C230" s="12"/>
      <c r="E230" s="12"/>
      <c r="G230" s="67"/>
    </row>
    <row r="231" spans="1:12" s="11" customFormat="1" x14ac:dyDescent="0.2">
      <c r="A231" s="54"/>
      <c r="B231" s="145" t="s">
        <v>89</v>
      </c>
      <c r="C231" s="66">
        <v>1</v>
      </c>
      <c r="D231" s="11" t="s">
        <v>139</v>
      </c>
      <c r="E231" s="12">
        <v>3.05</v>
      </c>
      <c r="F231" s="11" t="s">
        <v>139</v>
      </c>
      <c r="G231" s="12">
        <v>2.44</v>
      </c>
      <c r="I231" s="12"/>
      <c r="J231" s="69" t="s">
        <v>140</v>
      </c>
      <c r="K231" s="12">
        <f t="shared" ref="K231:K245" si="11">IF(C231,C231*E231*G231,"")</f>
        <v>7.4419999999999993</v>
      </c>
      <c r="L231" s="66" t="s">
        <v>49</v>
      </c>
    </row>
    <row r="232" spans="1:12" s="11" customFormat="1" x14ac:dyDescent="0.2">
      <c r="A232" s="54"/>
      <c r="B232" s="145" t="s">
        <v>83</v>
      </c>
      <c r="C232" s="66">
        <v>1</v>
      </c>
      <c r="D232" s="11" t="s">
        <v>139</v>
      </c>
      <c r="E232" s="12">
        <v>1.53</v>
      </c>
      <c r="F232" s="11" t="s">
        <v>139</v>
      </c>
      <c r="G232" s="12">
        <v>1</v>
      </c>
      <c r="I232" s="12"/>
      <c r="J232" s="69" t="s">
        <v>140</v>
      </c>
      <c r="K232" s="12">
        <f t="shared" si="11"/>
        <v>1.53</v>
      </c>
      <c r="L232" s="66" t="s">
        <v>49</v>
      </c>
    </row>
    <row r="233" spans="1:12" s="11" customFormat="1" x14ac:dyDescent="0.2">
      <c r="A233" s="54"/>
      <c r="B233" s="145" t="s">
        <v>122</v>
      </c>
      <c r="C233" s="66">
        <v>1</v>
      </c>
      <c r="D233" s="11" t="s">
        <v>139</v>
      </c>
      <c r="E233" s="12">
        <v>3.05</v>
      </c>
      <c r="F233" s="11" t="s">
        <v>139</v>
      </c>
      <c r="G233" s="12">
        <v>5.19</v>
      </c>
      <c r="I233" s="12"/>
      <c r="J233" s="69" t="s">
        <v>140</v>
      </c>
      <c r="K233" s="12">
        <f t="shared" si="11"/>
        <v>15.829499999999999</v>
      </c>
      <c r="L233" s="66" t="s">
        <v>49</v>
      </c>
    </row>
    <row r="234" spans="1:12" s="11" customFormat="1" x14ac:dyDescent="0.2">
      <c r="A234" s="54"/>
      <c r="B234" s="145" t="s">
        <v>74</v>
      </c>
      <c r="C234" s="66">
        <v>1</v>
      </c>
      <c r="D234" s="11" t="s">
        <v>139</v>
      </c>
      <c r="E234" s="12">
        <v>3.97</v>
      </c>
      <c r="F234" s="11" t="s">
        <v>139</v>
      </c>
      <c r="G234" s="12">
        <v>3.97</v>
      </c>
      <c r="I234" s="12"/>
      <c r="J234" s="69" t="s">
        <v>140</v>
      </c>
      <c r="K234" s="12">
        <f t="shared" si="11"/>
        <v>15.760900000000001</v>
      </c>
      <c r="L234" s="66" t="s">
        <v>49</v>
      </c>
    </row>
    <row r="235" spans="1:12" s="11" customFormat="1" x14ac:dyDescent="0.2">
      <c r="A235" s="54"/>
      <c r="B235" s="145" t="s">
        <v>238</v>
      </c>
      <c r="C235" s="66">
        <v>1</v>
      </c>
      <c r="D235" s="11" t="s">
        <v>139</v>
      </c>
      <c r="E235" s="12">
        <v>2.9</v>
      </c>
      <c r="F235" s="11" t="s">
        <v>139</v>
      </c>
      <c r="G235" s="12">
        <v>1.99</v>
      </c>
      <c r="I235" s="12"/>
      <c r="J235" s="69" t="s">
        <v>140</v>
      </c>
      <c r="K235" s="12">
        <f t="shared" si="11"/>
        <v>5.7709999999999999</v>
      </c>
      <c r="L235" s="66" t="s">
        <v>49</v>
      </c>
    </row>
    <row r="236" spans="1:12" s="11" customFormat="1" x14ac:dyDescent="0.2">
      <c r="A236" s="54"/>
      <c r="B236" s="145" t="s">
        <v>141</v>
      </c>
      <c r="C236" s="66">
        <v>1</v>
      </c>
      <c r="D236" s="11" t="s">
        <v>139</v>
      </c>
      <c r="E236" s="12">
        <v>1.83</v>
      </c>
      <c r="F236" s="11" t="s">
        <v>139</v>
      </c>
      <c r="G236" s="12">
        <v>1.38</v>
      </c>
      <c r="I236" s="12"/>
      <c r="J236" s="69" t="s">
        <v>140</v>
      </c>
      <c r="K236" s="12">
        <f t="shared" si="11"/>
        <v>2.5253999999999999</v>
      </c>
      <c r="L236" s="66" t="s">
        <v>49</v>
      </c>
    </row>
    <row r="237" spans="1:12" s="11" customFormat="1" x14ac:dyDescent="0.2">
      <c r="A237" s="54"/>
      <c r="B237" s="145" t="s">
        <v>15</v>
      </c>
      <c r="C237" s="66">
        <v>1</v>
      </c>
      <c r="D237" s="11" t="s">
        <v>139</v>
      </c>
      <c r="E237" s="12">
        <v>3.66</v>
      </c>
      <c r="F237" s="11" t="s">
        <v>139</v>
      </c>
      <c r="G237" s="12">
        <v>3.05</v>
      </c>
      <c r="I237" s="12"/>
      <c r="J237" s="69" t="s">
        <v>140</v>
      </c>
      <c r="K237" s="12">
        <f t="shared" si="11"/>
        <v>11.163</v>
      </c>
      <c r="L237" s="66" t="s">
        <v>49</v>
      </c>
    </row>
    <row r="238" spans="1:12" s="11" customFormat="1" x14ac:dyDescent="0.2">
      <c r="A238" s="54"/>
      <c r="B238" s="145" t="s">
        <v>323</v>
      </c>
      <c r="C238" s="66">
        <v>1</v>
      </c>
      <c r="D238" s="11" t="s">
        <v>139</v>
      </c>
      <c r="E238" s="12">
        <v>4.2699999999999996</v>
      </c>
      <c r="F238" s="11" t="s">
        <v>139</v>
      </c>
      <c r="G238" s="12">
        <v>1.83</v>
      </c>
      <c r="I238" s="12"/>
      <c r="J238" s="69" t="s">
        <v>140</v>
      </c>
      <c r="K238" s="12">
        <f t="shared" si="11"/>
        <v>7.8140999999999998</v>
      </c>
      <c r="L238" s="66" t="s">
        <v>49</v>
      </c>
    </row>
    <row r="239" spans="1:12" s="11" customFormat="1" x14ac:dyDescent="0.2">
      <c r="A239" s="54"/>
      <c r="B239" s="145" t="s">
        <v>107</v>
      </c>
      <c r="C239" s="66">
        <v>1</v>
      </c>
      <c r="D239" s="11" t="s">
        <v>139</v>
      </c>
      <c r="E239" s="12">
        <v>6</v>
      </c>
      <c r="F239" s="11" t="s">
        <v>139</v>
      </c>
      <c r="G239" s="12">
        <v>2.4</v>
      </c>
      <c r="I239" s="12"/>
      <c r="J239" s="69" t="s">
        <v>140</v>
      </c>
      <c r="K239" s="12">
        <f>IF(C239,C239*E239*G239,"")</f>
        <v>14.399999999999999</v>
      </c>
      <c r="L239" s="66" t="s">
        <v>49</v>
      </c>
    </row>
    <row r="240" spans="1:12" s="11" customFormat="1" x14ac:dyDescent="0.2">
      <c r="A240" s="54"/>
      <c r="B240" s="145" t="s">
        <v>123</v>
      </c>
      <c r="C240" s="66">
        <v>1</v>
      </c>
      <c r="D240" s="11" t="s">
        <v>139</v>
      </c>
      <c r="E240" s="12">
        <v>4.2699999999999996</v>
      </c>
      <c r="F240" s="11" t="s">
        <v>139</v>
      </c>
      <c r="G240" s="12">
        <v>1.68</v>
      </c>
      <c r="I240" s="12"/>
      <c r="J240" s="69" t="s">
        <v>140</v>
      </c>
      <c r="K240" s="12">
        <f t="shared" si="11"/>
        <v>7.1735999999999986</v>
      </c>
      <c r="L240" s="66" t="s">
        <v>49</v>
      </c>
    </row>
    <row r="241" spans="1:12" s="11" customFormat="1" x14ac:dyDescent="0.2">
      <c r="A241" s="54"/>
      <c r="B241" s="145" t="s">
        <v>90</v>
      </c>
      <c r="C241" s="66">
        <v>1</v>
      </c>
      <c r="D241" s="11" t="s">
        <v>139</v>
      </c>
      <c r="E241" s="12">
        <v>4.2699999999999996</v>
      </c>
      <c r="F241" s="11" t="s">
        <v>139</v>
      </c>
      <c r="G241" s="12">
        <v>6.86</v>
      </c>
      <c r="I241" s="12"/>
      <c r="J241" s="69" t="s">
        <v>140</v>
      </c>
      <c r="K241" s="12">
        <f t="shared" si="11"/>
        <v>29.292199999999998</v>
      </c>
      <c r="L241" s="66" t="s">
        <v>49</v>
      </c>
    </row>
    <row r="242" spans="1:12" s="11" customFormat="1" x14ac:dyDescent="0.2">
      <c r="A242" s="54"/>
      <c r="B242" s="145" t="s">
        <v>75</v>
      </c>
      <c r="C242" s="66">
        <v>1</v>
      </c>
      <c r="D242" s="11" t="s">
        <v>139</v>
      </c>
      <c r="E242" s="12">
        <v>4.2699999999999996</v>
      </c>
      <c r="F242" s="11" t="s">
        <v>139</v>
      </c>
      <c r="G242" s="12">
        <v>4.58</v>
      </c>
      <c r="I242" s="12"/>
      <c r="J242" s="69" t="s">
        <v>140</v>
      </c>
      <c r="K242" s="12">
        <f t="shared" si="11"/>
        <v>19.5566</v>
      </c>
      <c r="L242" s="66" t="s">
        <v>49</v>
      </c>
    </row>
    <row r="243" spans="1:12" s="11" customFormat="1" x14ac:dyDescent="0.2">
      <c r="A243" s="54"/>
      <c r="B243" s="145" t="s">
        <v>91</v>
      </c>
      <c r="C243" s="66">
        <v>1</v>
      </c>
      <c r="D243" s="11" t="s">
        <v>139</v>
      </c>
      <c r="E243" s="12">
        <v>4.2699999999999996</v>
      </c>
      <c r="F243" s="11" t="s">
        <v>139</v>
      </c>
      <c r="G243" s="12">
        <v>3.66</v>
      </c>
      <c r="I243" s="12"/>
      <c r="J243" s="69" t="s">
        <v>140</v>
      </c>
      <c r="K243" s="12">
        <f t="shared" si="11"/>
        <v>15.6282</v>
      </c>
      <c r="L243" s="66" t="s">
        <v>49</v>
      </c>
    </row>
    <row r="244" spans="1:12" s="11" customFormat="1" x14ac:dyDescent="0.2">
      <c r="A244" s="54"/>
      <c r="B244" s="145" t="s">
        <v>141</v>
      </c>
      <c r="C244" s="66">
        <v>2</v>
      </c>
      <c r="D244" s="11" t="s">
        <v>139</v>
      </c>
      <c r="E244" s="12">
        <v>2.44</v>
      </c>
      <c r="F244" s="11" t="s">
        <v>139</v>
      </c>
      <c r="G244" s="12">
        <v>1.68</v>
      </c>
      <c r="I244" s="12"/>
      <c r="J244" s="69" t="s">
        <v>140</v>
      </c>
      <c r="K244" s="12">
        <f t="shared" si="11"/>
        <v>8.1983999999999995</v>
      </c>
      <c r="L244" s="66" t="s">
        <v>49</v>
      </c>
    </row>
    <row r="245" spans="1:12" s="11" customFormat="1" x14ac:dyDescent="0.2">
      <c r="A245" s="54"/>
      <c r="B245" s="150" t="s">
        <v>91</v>
      </c>
      <c r="C245" s="66">
        <v>1</v>
      </c>
      <c r="D245" s="11" t="s">
        <v>139</v>
      </c>
      <c r="E245" s="12">
        <v>4.2699999999999996</v>
      </c>
      <c r="F245" s="11" t="s">
        <v>139</v>
      </c>
      <c r="G245" s="12">
        <v>3.66</v>
      </c>
      <c r="I245" s="12"/>
      <c r="J245" s="69" t="s">
        <v>140</v>
      </c>
      <c r="K245" s="12">
        <f t="shared" si="11"/>
        <v>15.6282</v>
      </c>
      <c r="L245" s="66" t="s">
        <v>49</v>
      </c>
    </row>
    <row r="246" spans="1:12" s="11" customFormat="1" x14ac:dyDescent="0.2">
      <c r="A246" s="54"/>
      <c r="B246" s="145" t="s">
        <v>93</v>
      </c>
      <c r="C246" s="66">
        <v>1</v>
      </c>
      <c r="D246" s="11" t="s">
        <v>139</v>
      </c>
      <c r="E246" s="12">
        <v>12</v>
      </c>
      <c r="F246" s="11" t="s">
        <v>139</v>
      </c>
      <c r="G246" s="12">
        <v>3.6</v>
      </c>
      <c r="I246" s="12"/>
      <c r="J246" s="69" t="s">
        <v>140</v>
      </c>
      <c r="K246" s="12">
        <f>IF(C246,C246*E246*G246,"")</f>
        <v>43.2</v>
      </c>
      <c r="L246" s="66" t="s">
        <v>49</v>
      </c>
    </row>
    <row r="247" spans="1:12" s="11" customFormat="1" x14ac:dyDescent="0.2">
      <c r="A247" s="54"/>
      <c r="B247" s="145"/>
      <c r="C247" s="66">
        <v>1</v>
      </c>
      <c r="D247" s="11" t="s">
        <v>139</v>
      </c>
      <c r="E247" s="12">
        <v>4.2</v>
      </c>
      <c r="F247" s="11" t="s">
        <v>139</v>
      </c>
      <c r="G247" s="12">
        <v>3.3</v>
      </c>
      <c r="I247" s="12"/>
      <c r="J247" s="69" t="s">
        <v>140</v>
      </c>
      <c r="K247" s="12">
        <f>IF(C247,C247*E247*G247,"")</f>
        <v>13.86</v>
      </c>
      <c r="L247" s="66" t="s">
        <v>49</v>
      </c>
    </row>
    <row r="248" spans="1:12" s="11" customFormat="1" x14ac:dyDescent="0.2">
      <c r="A248" s="54"/>
      <c r="B248" s="145" t="s">
        <v>238</v>
      </c>
      <c r="C248" s="66">
        <v>4</v>
      </c>
      <c r="D248" s="11" t="s">
        <v>139</v>
      </c>
      <c r="E248" s="12">
        <v>4.53</v>
      </c>
      <c r="F248" s="11" t="s">
        <v>139</v>
      </c>
      <c r="G248" s="12">
        <v>0.9</v>
      </c>
      <c r="I248" s="12"/>
      <c r="J248" s="69" t="s">
        <v>140</v>
      </c>
      <c r="K248" s="12">
        <f>IF(C248,C248*E248*G248,"")</f>
        <v>16.308</v>
      </c>
      <c r="L248" s="66" t="s">
        <v>49</v>
      </c>
    </row>
    <row r="249" spans="1:12" s="11" customFormat="1" x14ac:dyDescent="0.2">
      <c r="A249" s="54"/>
      <c r="B249" s="145" t="s">
        <v>382</v>
      </c>
      <c r="C249" s="66">
        <v>2</v>
      </c>
      <c r="D249" s="11" t="s">
        <v>139</v>
      </c>
      <c r="E249" s="12">
        <v>1.95</v>
      </c>
      <c r="F249" s="11" t="s">
        <v>139</v>
      </c>
      <c r="G249" s="12">
        <v>0.9</v>
      </c>
      <c r="I249" s="12"/>
      <c r="J249" s="69" t="s">
        <v>140</v>
      </c>
      <c r="K249" s="12">
        <f>IF(C249,C249*E249*G249,"")</f>
        <v>3.51</v>
      </c>
      <c r="L249" s="66" t="s">
        <v>49</v>
      </c>
    </row>
    <row r="250" spans="1:12" s="11" customFormat="1" x14ac:dyDescent="0.2">
      <c r="A250" s="54"/>
      <c r="B250" s="145"/>
      <c r="C250" s="66"/>
      <c r="E250" s="12"/>
      <c r="F250" s="138"/>
      <c r="G250" s="34" t="s">
        <v>261</v>
      </c>
      <c r="H250" s="138"/>
      <c r="I250" s="136"/>
      <c r="J250" s="138"/>
      <c r="K250" s="136">
        <f>SUM(K181:K249)</f>
        <v>449.96909999999991</v>
      </c>
      <c r="L250" s="33" t="s">
        <v>49</v>
      </c>
    </row>
    <row r="251" spans="1:12" s="11" customFormat="1" x14ac:dyDescent="0.2">
      <c r="A251" s="54"/>
      <c r="B251" s="145" t="s">
        <v>265</v>
      </c>
      <c r="C251" s="15">
        <f>SUM(K231:K249)</f>
        <v>254.59109999999993</v>
      </c>
      <c r="D251" s="14"/>
      <c r="E251" s="15"/>
      <c r="F251" s="66" t="s">
        <v>49</v>
      </c>
      <c r="G251" s="12"/>
      <c r="I251" s="12"/>
      <c r="J251" s="69"/>
      <c r="K251" s="12"/>
      <c r="L251" s="66"/>
    </row>
    <row r="252" spans="1:12" s="11" customFormat="1" ht="225" x14ac:dyDescent="0.2">
      <c r="A252" s="55">
        <v>13</v>
      </c>
      <c r="B252" s="148" t="str">
        <f>GF1_ABS!B22</f>
        <v>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upto 4.5 m height above plinth level.</v>
      </c>
      <c r="C252" s="55"/>
      <c r="D252" s="20"/>
      <c r="E252" s="12"/>
      <c r="F252" s="38"/>
      <c r="G252" s="67"/>
    </row>
    <row r="253" spans="1:12" s="11" customFormat="1" x14ac:dyDescent="0.2">
      <c r="A253" s="54"/>
      <c r="B253" s="154" t="s">
        <v>164</v>
      </c>
      <c r="C253" s="59"/>
      <c r="E253" s="12"/>
      <c r="F253" s="48"/>
      <c r="G253" s="12"/>
      <c r="H253" s="48"/>
      <c r="I253" s="65"/>
      <c r="J253" s="76"/>
      <c r="K253" s="65"/>
      <c r="L253" s="74"/>
    </row>
    <row r="254" spans="1:12" s="11" customFormat="1" x14ac:dyDescent="0.2">
      <c r="A254" s="54"/>
      <c r="B254" s="145" t="s">
        <v>124</v>
      </c>
      <c r="C254" s="59">
        <v>2</v>
      </c>
      <c r="D254" s="11" t="s">
        <v>139</v>
      </c>
      <c r="E254" s="12">
        <v>5.5</v>
      </c>
      <c r="F254" s="48" t="s">
        <v>139</v>
      </c>
      <c r="G254" s="12">
        <v>0.3</v>
      </c>
      <c r="H254" s="48" t="s">
        <v>139</v>
      </c>
      <c r="I254" s="12">
        <v>0.45</v>
      </c>
      <c r="J254" s="69" t="s">
        <v>140</v>
      </c>
      <c r="K254" s="65">
        <f t="shared" ref="K254:K269" si="12">IF(C254,C254*E254*G254*I254,"")</f>
        <v>1.4849999999999999</v>
      </c>
      <c r="L254" s="74" t="s">
        <v>42</v>
      </c>
    </row>
    <row r="255" spans="1:12" s="11" customFormat="1" x14ac:dyDescent="0.2">
      <c r="A255" s="54"/>
      <c r="B255" s="145"/>
      <c r="C255" s="59">
        <v>1</v>
      </c>
      <c r="D255" s="11" t="s">
        <v>139</v>
      </c>
      <c r="E255" s="12">
        <v>3.6</v>
      </c>
      <c r="F255" s="48" t="s">
        <v>139</v>
      </c>
      <c r="G255" s="12">
        <v>0.3</v>
      </c>
      <c r="H255" s="48" t="s">
        <v>139</v>
      </c>
      <c r="I255" s="12">
        <v>0.45</v>
      </c>
      <c r="J255" s="69" t="s">
        <v>140</v>
      </c>
      <c r="K255" s="65">
        <f t="shared" si="12"/>
        <v>0.48600000000000004</v>
      </c>
      <c r="L255" s="74" t="s">
        <v>42</v>
      </c>
    </row>
    <row r="256" spans="1:12" s="11" customFormat="1" x14ac:dyDescent="0.2">
      <c r="A256" s="54"/>
      <c r="B256" s="145" t="s">
        <v>238</v>
      </c>
      <c r="C256" s="66">
        <v>4</v>
      </c>
      <c r="D256" s="11" t="s">
        <v>139</v>
      </c>
      <c r="E256" s="12">
        <v>2.5499999999999998</v>
      </c>
      <c r="F256" s="11" t="s">
        <v>139</v>
      </c>
      <c r="G256" s="12">
        <v>0.3</v>
      </c>
      <c r="H256" s="48" t="s">
        <v>139</v>
      </c>
      <c r="I256" s="67">
        <v>0.3</v>
      </c>
      <c r="J256" s="69" t="s">
        <v>140</v>
      </c>
      <c r="K256" s="65">
        <f t="shared" si="12"/>
        <v>0.91799999999999982</v>
      </c>
      <c r="L256" s="74" t="s">
        <v>42</v>
      </c>
    </row>
    <row r="257" spans="1:12" s="11" customFormat="1" x14ac:dyDescent="0.2">
      <c r="A257" s="54"/>
      <c r="B257" s="145" t="s">
        <v>15</v>
      </c>
      <c r="C257" s="66">
        <v>2</v>
      </c>
      <c r="D257" s="11" t="s">
        <v>139</v>
      </c>
      <c r="E257" s="12">
        <v>6</v>
      </c>
      <c r="F257" s="11" t="s">
        <v>139</v>
      </c>
      <c r="G257" s="12">
        <v>0.3</v>
      </c>
      <c r="H257" s="48" t="s">
        <v>139</v>
      </c>
      <c r="I257" s="67">
        <v>0.45</v>
      </c>
      <c r="J257" s="69" t="s">
        <v>140</v>
      </c>
      <c r="K257" s="65">
        <f t="shared" si="12"/>
        <v>1.6199999999999999</v>
      </c>
      <c r="L257" s="74" t="s">
        <v>42</v>
      </c>
    </row>
    <row r="258" spans="1:12" s="11" customFormat="1" x14ac:dyDescent="0.2">
      <c r="A258" s="54"/>
      <c r="B258" s="145" t="s">
        <v>323</v>
      </c>
      <c r="C258" s="66">
        <v>1</v>
      </c>
      <c r="D258" s="11" t="s">
        <v>139</v>
      </c>
      <c r="E258" s="12">
        <v>4.8</v>
      </c>
      <c r="F258" s="48" t="s">
        <v>139</v>
      </c>
      <c r="G258" s="12">
        <v>0.15</v>
      </c>
      <c r="H258" s="48" t="s">
        <v>139</v>
      </c>
      <c r="I258" s="12">
        <v>0.75</v>
      </c>
      <c r="J258" s="69" t="s">
        <v>140</v>
      </c>
      <c r="K258" s="65">
        <f t="shared" si="12"/>
        <v>0.54</v>
      </c>
      <c r="L258" s="74" t="s">
        <v>42</v>
      </c>
    </row>
    <row r="259" spans="1:12" s="11" customFormat="1" x14ac:dyDescent="0.2">
      <c r="A259" s="54"/>
      <c r="B259" s="145" t="s">
        <v>323</v>
      </c>
      <c r="C259" s="66">
        <v>1</v>
      </c>
      <c r="D259" s="11" t="s">
        <v>139</v>
      </c>
      <c r="E259" s="12">
        <v>2.15</v>
      </c>
      <c r="F259" s="48" t="s">
        <v>139</v>
      </c>
      <c r="G259" s="12">
        <v>0.15</v>
      </c>
      <c r="H259" s="48" t="s">
        <v>139</v>
      </c>
      <c r="I259" s="12">
        <v>0.75</v>
      </c>
      <c r="J259" s="69" t="s">
        <v>140</v>
      </c>
      <c r="K259" s="65">
        <f t="shared" si="12"/>
        <v>0.24187499999999995</v>
      </c>
      <c r="L259" s="74" t="s">
        <v>42</v>
      </c>
    </row>
    <row r="260" spans="1:12" s="11" customFormat="1" x14ac:dyDescent="0.2">
      <c r="A260" s="54"/>
      <c r="B260" s="145" t="s">
        <v>90</v>
      </c>
      <c r="C260" s="66">
        <v>2</v>
      </c>
      <c r="D260" s="11" t="s">
        <v>139</v>
      </c>
      <c r="E260" s="12">
        <v>4.8</v>
      </c>
      <c r="F260" s="48" t="s">
        <v>139</v>
      </c>
      <c r="G260" s="12">
        <v>0.3</v>
      </c>
      <c r="H260" s="48" t="s">
        <v>139</v>
      </c>
      <c r="I260" s="12">
        <v>0.3</v>
      </c>
      <c r="J260" s="69" t="s">
        <v>140</v>
      </c>
      <c r="K260" s="65">
        <f t="shared" si="12"/>
        <v>0.86399999999999999</v>
      </c>
      <c r="L260" s="74" t="s">
        <v>42</v>
      </c>
    </row>
    <row r="261" spans="1:12" s="11" customFormat="1" x14ac:dyDescent="0.2">
      <c r="A261" s="54"/>
      <c r="B261" s="145" t="s">
        <v>125</v>
      </c>
      <c r="C261" s="66">
        <v>1</v>
      </c>
      <c r="D261" s="11" t="s">
        <v>139</v>
      </c>
      <c r="E261" s="12">
        <v>4.8</v>
      </c>
      <c r="F261" s="48" t="s">
        <v>139</v>
      </c>
      <c r="G261" s="12">
        <v>0.3</v>
      </c>
      <c r="H261" s="48" t="s">
        <v>139</v>
      </c>
      <c r="I261" s="12">
        <v>0.75</v>
      </c>
      <c r="J261" s="69" t="s">
        <v>140</v>
      </c>
      <c r="K261" s="65">
        <f t="shared" si="12"/>
        <v>1.08</v>
      </c>
      <c r="L261" s="74" t="s">
        <v>42</v>
      </c>
    </row>
    <row r="262" spans="1:12" s="11" customFormat="1" x14ac:dyDescent="0.2">
      <c r="A262" s="54"/>
      <c r="B262" s="145"/>
      <c r="C262" s="66">
        <v>2</v>
      </c>
      <c r="D262" s="11" t="s">
        <v>139</v>
      </c>
      <c r="E262" s="12">
        <v>0.6</v>
      </c>
      <c r="F262" s="48" t="s">
        <v>139</v>
      </c>
      <c r="G262" s="12">
        <v>0.3</v>
      </c>
      <c r="H262" s="48" t="s">
        <v>139</v>
      </c>
      <c r="I262" s="12">
        <v>0.75</v>
      </c>
      <c r="J262" s="69" t="s">
        <v>140</v>
      </c>
      <c r="K262" s="65">
        <f t="shared" si="12"/>
        <v>0.27</v>
      </c>
      <c r="L262" s="74" t="s">
        <v>42</v>
      </c>
    </row>
    <row r="263" spans="1:12" s="11" customFormat="1" x14ac:dyDescent="0.2">
      <c r="A263" s="54"/>
      <c r="B263" s="145" t="s">
        <v>105</v>
      </c>
      <c r="C263" s="66">
        <v>1</v>
      </c>
      <c r="D263" s="11" t="s">
        <v>139</v>
      </c>
      <c r="E263" s="12">
        <v>4.8</v>
      </c>
      <c r="F263" s="48" t="s">
        <v>139</v>
      </c>
      <c r="G263" s="12">
        <v>0.3</v>
      </c>
      <c r="H263" s="48" t="s">
        <v>139</v>
      </c>
      <c r="I263" s="12">
        <v>0.3</v>
      </c>
      <c r="J263" s="69" t="s">
        <v>140</v>
      </c>
      <c r="K263" s="65">
        <f t="shared" si="12"/>
        <v>0.432</v>
      </c>
      <c r="L263" s="74" t="s">
        <v>42</v>
      </c>
    </row>
    <row r="264" spans="1:12" s="11" customFormat="1" x14ac:dyDescent="0.2">
      <c r="A264" s="54"/>
      <c r="B264" s="145" t="s">
        <v>262</v>
      </c>
      <c r="C264" s="66">
        <v>1</v>
      </c>
      <c r="D264" s="11" t="s">
        <v>139</v>
      </c>
      <c r="E264" s="12">
        <v>0.9</v>
      </c>
      <c r="F264" s="48" t="s">
        <v>139</v>
      </c>
      <c r="G264" s="12">
        <v>0.3</v>
      </c>
      <c r="H264" s="48" t="s">
        <v>139</v>
      </c>
      <c r="I264" s="12">
        <v>0.3</v>
      </c>
      <c r="J264" s="69" t="s">
        <v>140</v>
      </c>
      <c r="K264" s="65">
        <f t="shared" si="12"/>
        <v>8.1000000000000003E-2</v>
      </c>
      <c r="L264" s="74" t="s">
        <v>42</v>
      </c>
    </row>
    <row r="265" spans="1:12" s="11" customFormat="1" x14ac:dyDescent="0.2">
      <c r="A265" s="54"/>
      <c r="B265" s="145"/>
      <c r="C265" s="66">
        <v>1</v>
      </c>
      <c r="D265" s="11" t="s">
        <v>139</v>
      </c>
      <c r="E265" s="12">
        <v>0.3</v>
      </c>
      <c r="F265" s="11" t="s">
        <v>139</v>
      </c>
      <c r="G265" s="12">
        <v>0.3</v>
      </c>
      <c r="H265" s="48" t="s">
        <v>139</v>
      </c>
      <c r="I265" s="12">
        <v>0.3</v>
      </c>
      <c r="J265" s="69" t="s">
        <v>140</v>
      </c>
      <c r="K265" s="65">
        <f t="shared" si="12"/>
        <v>2.7E-2</v>
      </c>
      <c r="L265" s="74" t="s">
        <v>42</v>
      </c>
    </row>
    <row r="266" spans="1:12" s="11" customFormat="1" x14ac:dyDescent="0.2">
      <c r="A266" s="54"/>
      <c r="B266" s="145" t="s">
        <v>93</v>
      </c>
      <c r="C266" s="59">
        <v>1</v>
      </c>
      <c r="D266" s="11" t="s">
        <v>139</v>
      </c>
      <c r="E266" s="12">
        <v>3.6</v>
      </c>
      <c r="F266" s="48" t="s">
        <v>139</v>
      </c>
      <c r="G266" s="12">
        <v>0.3</v>
      </c>
      <c r="H266" s="48" t="s">
        <v>139</v>
      </c>
      <c r="I266" s="12">
        <v>0.3</v>
      </c>
      <c r="J266" s="69" t="s">
        <v>140</v>
      </c>
      <c r="K266" s="65">
        <f t="shared" si="12"/>
        <v>0.32400000000000001</v>
      </c>
      <c r="L266" s="74" t="s">
        <v>42</v>
      </c>
    </row>
    <row r="267" spans="1:12" s="11" customFormat="1" x14ac:dyDescent="0.2">
      <c r="A267" s="54"/>
      <c r="B267" s="145"/>
      <c r="C267" s="59">
        <v>1</v>
      </c>
      <c r="D267" s="11" t="s">
        <v>139</v>
      </c>
      <c r="E267" s="12">
        <v>3.6</v>
      </c>
      <c r="F267" s="48" t="s">
        <v>139</v>
      </c>
      <c r="G267" s="12">
        <v>0.15</v>
      </c>
      <c r="H267" s="48" t="s">
        <v>139</v>
      </c>
      <c r="I267" s="12">
        <v>0.75</v>
      </c>
      <c r="J267" s="69" t="s">
        <v>140</v>
      </c>
      <c r="K267" s="65">
        <f t="shared" si="12"/>
        <v>0.40500000000000003</v>
      </c>
      <c r="L267" s="74" t="s">
        <v>42</v>
      </c>
    </row>
    <row r="268" spans="1:12" s="11" customFormat="1" x14ac:dyDescent="0.2">
      <c r="A268" s="54"/>
      <c r="B268" s="145"/>
      <c r="C268" s="59">
        <v>1</v>
      </c>
      <c r="D268" s="11" t="s">
        <v>139</v>
      </c>
      <c r="E268" s="12">
        <v>1.8</v>
      </c>
      <c r="F268" s="48" t="s">
        <v>139</v>
      </c>
      <c r="G268" s="12">
        <v>0.15</v>
      </c>
      <c r="H268" s="48" t="s">
        <v>139</v>
      </c>
      <c r="I268" s="12">
        <v>0.75</v>
      </c>
      <c r="J268" s="69" t="s">
        <v>140</v>
      </c>
      <c r="K268" s="65">
        <f t="shared" si="12"/>
        <v>0.20250000000000001</v>
      </c>
      <c r="L268" s="74" t="s">
        <v>42</v>
      </c>
    </row>
    <row r="269" spans="1:12" s="11" customFormat="1" x14ac:dyDescent="0.2">
      <c r="A269" s="54"/>
      <c r="B269" s="154" t="s">
        <v>126</v>
      </c>
      <c r="C269" s="59">
        <v>1</v>
      </c>
      <c r="D269" s="11" t="s">
        <v>139</v>
      </c>
      <c r="E269" s="12">
        <v>7</v>
      </c>
      <c r="F269" s="48" t="s">
        <v>139</v>
      </c>
      <c r="G269" s="12">
        <v>0.75</v>
      </c>
      <c r="H269" s="48" t="s">
        <v>139</v>
      </c>
      <c r="I269" s="65">
        <v>0.15</v>
      </c>
      <c r="J269" s="76" t="s">
        <v>140</v>
      </c>
      <c r="K269" s="65">
        <f t="shared" si="12"/>
        <v>0.78749999999999998</v>
      </c>
      <c r="L269" s="74" t="s">
        <v>42</v>
      </c>
    </row>
    <row r="270" spans="1:12" s="11" customFormat="1" x14ac:dyDescent="0.2">
      <c r="A270" s="54"/>
      <c r="B270" s="154" t="s">
        <v>106</v>
      </c>
      <c r="C270" s="59"/>
      <c r="E270" s="12"/>
      <c r="F270" s="48"/>
      <c r="G270" s="12"/>
      <c r="I270" s="12"/>
      <c r="J270" s="69"/>
      <c r="K270" s="12"/>
      <c r="L270" s="66"/>
    </row>
    <row r="271" spans="1:12" s="11" customFormat="1" x14ac:dyDescent="0.2">
      <c r="A271" s="54"/>
      <c r="B271" s="145"/>
      <c r="C271" s="59">
        <v>1</v>
      </c>
      <c r="D271" s="11" t="s">
        <v>139</v>
      </c>
      <c r="E271" s="12">
        <v>2.1</v>
      </c>
      <c r="F271" s="48" t="s">
        <v>139</v>
      </c>
      <c r="G271" s="12">
        <v>0.6</v>
      </c>
      <c r="H271" s="48" t="s">
        <v>139</v>
      </c>
      <c r="I271" s="65">
        <v>0.15</v>
      </c>
      <c r="J271" s="76" t="s">
        <v>140</v>
      </c>
      <c r="K271" s="65">
        <f t="shared" ref="K271:K295" si="13">IF(C271,C271*E271*G271*I271,"")</f>
        <v>0.189</v>
      </c>
      <c r="L271" s="74" t="s">
        <v>42</v>
      </c>
    </row>
    <row r="272" spans="1:12" s="11" customFormat="1" x14ac:dyDescent="0.2">
      <c r="A272" s="54"/>
      <c r="B272" s="145"/>
      <c r="C272" s="59">
        <v>2</v>
      </c>
      <c r="D272" s="11" t="s">
        <v>139</v>
      </c>
      <c r="E272" s="12">
        <v>1.8</v>
      </c>
      <c r="F272" s="48" t="s">
        <v>139</v>
      </c>
      <c r="G272" s="12">
        <v>0.6</v>
      </c>
      <c r="H272" s="48" t="s">
        <v>139</v>
      </c>
      <c r="I272" s="65">
        <v>0.15</v>
      </c>
      <c r="J272" s="76" t="s">
        <v>140</v>
      </c>
      <c r="K272" s="65">
        <f t="shared" si="13"/>
        <v>0.32400000000000001</v>
      </c>
      <c r="L272" s="74" t="s">
        <v>42</v>
      </c>
    </row>
    <row r="273" spans="1:12" s="11" customFormat="1" x14ac:dyDescent="0.2">
      <c r="A273" s="54"/>
      <c r="B273" s="145"/>
      <c r="C273" s="59">
        <v>2</v>
      </c>
      <c r="D273" s="11" t="s">
        <v>139</v>
      </c>
      <c r="E273" s="12">
        <v>1.5</v>
      </c>
      <c r="F273" s="48" t="s">
        <v>139</v>
      </c>
      <c r="G273" s="12">
        <v>0.6</v>
      </c>
      <c r="H273" s="48" t="s">
        <v>139</v>
      </c>
      <c r="I273" s="65">
        <v>0.15</v>
      </c>
      <c r="J273" s="76" t="s">
        <v>140</v>
      </c>
      <c r="K273" s="65">
        <f t="shared" si="13"/>
        <v>0.26999999999999996</v>
      </c>
      <c r="L273" s="74" t="s">
        <v>42</v>
      </c>
    </row>
    <row r="274" spans="1:12" s="11" customFormat="1" x14ac:dyDescent="0.2">
      <c r="A274" s="54"/>
      <c r="B274" s="145"/>
      <c r="C274" s="59">
        <v>2</v>
      </c>
      <c r="D274" s="11" t="s">
        <v>139</v>
      </c>
      <c r="E274" s="12">
        <v>1.35</v>
      </c>
      <c r="F274" s="48" t="s">
        <v>139</v>
      </c>
      <c r="G274" s="12">
        <v>0.6</v>
      </c>
      <c r="H274" s="48" t="s">
        <v>139</v>
      </c>
      <c r="I274" s="65">
        <v>0.15</v>
      </c>
      <c r="J274" s="76" t="s">
        <v>140</v>
      </c>
      <c r="K274" s="65">
        <f t="shared" si="13"/>
        <v>0.24299999999999999</v>
      </c>
      <c r="L274" s="74" t="s">
        <v>42</v>
      </c>
    </row>
    <row r="275" spans="1:12" s="11" customFormat="1" x14ac:dyDescent="0.2">
      <c r="A275" s="54"/>
      <c r="B275" s="145"/>
      <c r="C275" s="59">
        <v>3</v>
      </c>
      <c r="D275" s="11" t="s">
        <v>139</v>
      </c>
      <c r="E275" s="12">
        <v>0.75</v>
      </c>
      <c r="F275" s="48" t="s">
        <v>139</v>
      </c>
      <c r="G275" s="12">
        <v>0.6</v>
      </c>
      <c r="H275" s="48" t="s">
        <v>139</v>
      </c>
      <c r="I275" s="65">
        <v>0.15</v>
      </c>
      <c r="J275" s="76" t="s">
        <v>140</v>
      </c>
      <c r="K275" s="65">
        <f t="shared" si="13"/>
        <v>0.20249999999999999</v>
      </c>
      <c r="L275" s="74" t="s">
        <v>42</v>
      </c>
    </row>
    <row r="276" spans="1:12" s="11" customFormat="1" x14ac:dyDescent="0.2">
      <c r="A276" s="55"/>
      <c r="B276" s="153" t="s">
        <v>165</v>
      </c>
      <c r="C276" s="12"/>
      <c r="E276" s="12"/>
      <c r="G276" s="67"/>
      <c r="H276" s="48"/>
      <c r="I276" s="65"/>
      <c r="J276" s="76"/>
      <c r="K276" s="65"/>
      <c r="L276" s="74"/>
    </row>
    <row r="277" spans="1:12" s="11" customFormat="1" x14ac:dyDescent="0.2">
      <c r="A277" s="54"/>
      <c r="B277" s="145" t="s">
        <v>89</v>
      </c>
      <c r="C277" s="66">
        <v>1</v>
      </c>
      <c r="D277" s="11" t="s">
        <v>139</v>
      </c>
      <c r="E277" s="12">
        <v>3.35</v>
      </c>
      <c r="F277" s="11" t="s">
        <v>139</v>
      </c>
      <c r="G277" s="12">
        <v>2.74</v>
      </c>
      <c r="H277" s="48" t="s">
        <v>139</v>
      </c>
      <c r="I277" s="65">
        <v>0.13</v>
      </c>
      <c r="J277" s="76" t="s">
        <v>140</v>
      </c>
      <c r="K277" s="65">
        <f t="shared" si="13"/>
        <v>1.1932700000000001</v>
      </c>
      <c r="L277" s="74" t="s">
        <v>42</v>
      </c>
    </row>
    <row r="278" spans="1:12" s="11" customFormat="1" x14ac:dyDescent="0.2">
      <c r="A278" s="54"/>
      <c r="B278" s="145" t="s">
        <v>83</v>
      </c>
      <c r="C278" s="66">
        <v>1</v>
      </c>
      <c r="D278" s="11" t="s">
        <v>139</v>
      </c>
      <c r="E278" s="12">
        <v>1.83</v>
      </c>
      <c r="F278" s="11" t="s">
        <v>139</v>
      </c>
      <c r="G278" s="12">
        <v>1.3</v>
      </c>
      <c r="H278" s="48" t="s">
        <v>139</v>
      </c>
      <c r="I278" s="65">
        <v>0.13</v>
      </c>
      <c r="J278" s="76" t="s">
        <v>140</v>
      </c>
      <c r="K278" s="65">
        <f t="shared" si="13"/>
        <v>0.30926999999999999</v>
      </c>
      <c r="L278" s="74" t="s">
        <v>42</v>
      </c>
    </row>
    <row r="279" spans="1:12" s="11" customFormat="1" x14ac:dyDescent="0.2">
      <c r="A279" s="54"/>
      <c r="B279" s="145" t="s">
        <v>122</v>
      </c>
      <c r="C279" s="66">
        <v>1</v>
      </c>
      <c r="D279" s="11" t="s">
        <v>139</v>
      </c>
      <c r="E279" s="12">
        <v>3.35</v>
      </c>
      <c r="F279" s="11" t="s">
        <v>139</v>
      </c>
      <c r="G279" s="12">
        <v>5.49</v>
      </c>
      <c r="H279" s="48" t="s">
        <v>139</v>
      </c>
      <c r="I279" s="65">
        <v>0.13</v>
      </c>
      <c r="J279" s="76" t="s">
        <v>140</v>
      </c>
      <c r="K279" s="65">
        <f t="shared" si="13"/>
        <v>2.390895</v>
      </c>
      <c r="L279" s="74" t="s">
        <v>42</v>
      </c>
    </row>
    <row r="280" spans="1:12" s="11" customFormat="1" x14ac:dyDescent="0.2">
      <c r="A280" s="54"/>
      <c r="B280" s="145" t="s">
        <v>74</v>
      </c>
      <c r="C280" s="66">
        <v>1</v>
      </c>
      <c r="D280" s="11" t="s">
        <v>139</v>
      </c>
      <c r="E280" s="12">
        <v>4.2699999999999996</v>
      </c>
      <c r="F280" s="11" t="s">
        <v>139</v>
      </c>
      <c r="G280" s="12">
        <v>4.2699999999999996</v>
      </c>
      <c r="H280" s="48" t="s">
        <v>139</v>
      </c>
      <c r="I280" s="65">
        <v>0.15</v>
      </c>
      <c r="J280" s="76" t="s">
        <v>140</v>
      </c>
      <c r="K280" s="65">
        <f t="shared" si="13"/>
        <v>2.7349349999999997</v>
      </c>
      <c r="L280" s="74" t="s">
        <v>42</v>
      </c>
    </row>
    <row r="281" spans="1:12" s="11" customFormat="1" x14ac:dyDescent="0.2">
      <c r="A281" s="54"/>
      <c r="B281" s="145" t="s">
        <v>238</v>
      </c>
      <c r="C281" s="66">
        <v>1</v>
      </c>
      <c r="D281" s="11" t="s">
        <v>139</v>
      </c>
      <c r="E281" s="12">
        <v>3.2</v>
      </c>
      <c r="F281" s="11" t="s">
        <v>139</v>
      </c>
      <c r="G281" s="12">
        <v>2.29</v>
      </c>
      <c r="H281" s="48" t="s">
        <v>139</v>
      </c>
      <c r="I281" s="65">
        <v>0.13</v>
      </c>
      <c r="J281" s="76" t="s">
        <v>140</v>
      </c>
      <c r="K281" s="65">
        <f t="shared" si="13"/>
        <v>0.95264000000000004</v>
      </c>
      <c r="L281" s="74" t="s">
        <v>42</v>
      </c>
    </row>
    <row r="282" spans="1:12" s="11" customFormat="1" x14ac:dyDescent="0.2">
      <c r="A282" s="54"/>
      <c r="B282" s="145" t="s">
        <v>141</v>
      </c>
      <c r="C282" s="66">
        <v>1</v>
      </c>
      <c r="D282" s="11" t="s">
        <v>139</v>
      </c>
      <c r="E282" s="12">
        <v>2.13</v>
      </c>
      <c r="F282" s="11" t="s">
        <v>139</v>
      </c>
      <c r="G282" s="12">
        <v>1.68</v>
      </c>
      <c r="H282" s="48" t="s">
        <v>139</v>
      </c>
      <c r="I282" s="65">
        <v>0.13</v>
      </c>
      <c r="J282" s="76" t="s">
        <v>140</v>
      </c>
      <c r="K282" s="65">
        <f t="shared" si="13"/>
        <v>0.46519199999999999</v>
      </c>
      <c r="L282" s="74" t="s">
        <v>42</v>
      </c>
    </row>
    <row r="283" spans="1:12" s="11" customFormat="1" x14ac:dyDescent="0.2">
      <c r="A283" s="54"/>
      <c r="B283" s="145" t="s">
        <v>15</v>
      </c>
      <c r="C283" s="66">
        <v>1</v>
      </c>
      <c r="D283" s="11" t="s">
        <v>139</v>
      </c>
      <c r="E283" s="12">
        <v>3.96</v>
      </c>
      <c r="F283" s="11" t="s">
        <v>139</v>
      </c>
      <c r="G283" s="12">
        <v>3.35</v>
      </c>
      <c r="H283" s="48" t="s">
        <v>139</v>
      </c>
      <c r="I283" s="65">
        <v>0.13</v>
      </c>
      <c r="J283" s="76" t="s">
        <v>140</v>
      </c>
      <c r="K283" s="65">
        <f t="shared" si="13"/>
        <v>1.72458</v>
      </c>
      <c r="L283" s="74" t="s">
        <v>42</v>
      </c>
    </row>
    <row r="284" spans="1:12" s="11" customFormat="1" x14ac:dyDescent="0.2">
      <c r="A284" s="54"/>
      <c r="B284" s="145" t="s">
        <v>323</v>
      </c>
      <c r="C284" s="66">
        <v>1</v>
      </c>
      <c r="D284" s="11" t="s">
        <v>139</v>
      </c>
      <c r="E284" s="12">
        <v>4.57</v>
      </c>
      <c r="F284" s="11" t="s">
        <v>139</v>
      </c>
      <c r="G284" s="12">
        <v>2.13</v>
      </c>
      <c r="H284" s="48" t="s">
        <v>139</v>
      </c>
      <c r="I284" s="65">
        <v>0.13</v>
      </c>
      <c r="J284" s="76" t="s">
        <v>140</v>
      </c>
      <c r="K284" s="65">
        <f t="shared" si="13"/>
        <v>1.265433</v>
      </c>
      <c r="L284" s="74" t="s">
        <v>42</v>
      </c>
    </row>
    <row r="285" spans="1:12" s="11" customFormat="1" x14ac:dyDescent="0.2">
      <c r="A285" s="54"/>
      <c r="B285" s="145" t="s">
        <v>107</v>
      </c>
      <c r="C285" s="66">
        <v>1</v>
      </c>
      <c r="D285" s="11" t="s">
        <v>139</v>
      </c>
      <c r="E285" s="12">
        <v>6.3</v>
      </c>
      <c r="F285" s="11" t="s">
        <v>139</v>
      </c>
      <c r="G285" s="12">
        <v>2.7</v>
      </c>
      <c r="H285" s="48" t="s">
        <v>139</v>
      </c>
      <c r="I285" s="65">
        <v>0.13</v>
      </c>
      <c r="J285" s="76" t="s">
        <v>140</v>
      </c>
      <c r="K285" s="65">
        <f t="shared" si="13"/>
        <v>2.2113000000000005</v>
      </c>
      <c r="L285" s="74" t="s">
        <v>42</v>
      </c>
    </row>
    <row r="286" spans="1:12" s="11" customFormat="1" x14ac:dyDescent="0.2">
      <c r="A286" s="54"/>
      <c r="B286" s="145" t="s">
        <v>123</v>
      </c>
      <c r="C286" s="66">
        <v>1</v>
      </c>
      <c r="D286" s="11" t="s">
        <v>139</v>
      </c>
      <c r="E286" s="12">
        <v>4.57</v>
      </c>
      <c r="F286" s="11" t="s">
        <v>139</v>
      </c>
      <c r="G286" s="12">
        <v>1.98</v>
      </c>
      <c r="H286" s="48" t="s">
        <v>139</v>
      </c>
      <c r="I286" s="65">
        <v>0.13</v>
      </c>
      <c r="J286" s="76" t="s">
        <v>140</v>
      </c>
      <c r="K286" s="65">
        <f t="shared" si="13"/>
        <v>1.1763180000000002</v>
      </c>
      <c r="L286" s="74" t="s">
        <v>42</v>
      </c>
    </row>
    <row r="287" spans="1:12" s="11" customFormat="1" x14ac:dyDescent="0.2">
      <c r="A287" s="54"/>
      <c r="B287" s="145" t="s">
        <v>90</v>
      </c>
      <c r="C287" s="66">
        <v>1</v>
      </c>
      <c r="D287" s="11" t="s">
        <v>139</v>
      </c>
      <c r="E287" s="12">
        <v>4.57</v>
      </c>
      <c r="F287" s="11" t="s">
        <v>139</v>
      </c>
      <c r="G287" s="12">
        <v>7.16</v>
      </c>
      <c r="H287" s="48" t="s">
        <v>139</v>
      </c>
      <c r="I287" s="65">
        <v>0.15</v>
      </c>
      <c r="J287" s="76" t="s">
        <v>140</v>
      </c>
      <c r="K287" s="65">
        <f t="shared" si="13"/>
        <v>4.9081800000000007</v>
      </c>
      <c r="L287" s="74" t="s">
        <v>42</v>
      </c>
    </row>
    <row r="288" spans="1:12" s="11" customFormat="1" x14ac:dyDescent="0.2">
      <c r="A288" s="54"/>
      <c r="B288" s="145" t="s">
        <v>75</v>
      </c>
      <c r="C288" s="66">
        <v>1</v>
      </c>
      <c r="D288" s="11" t="s">
        <v>139</v>
      </c>
      <c r="E288" s="12">
        <v>4.57</v>
      </c>
      <c r="F288" s="11" t="s">
        <v>139</v>
      </c>
      <c r="G288" s="12">
        <v>4.88</v>
      </c>
      <c r="H288" s="48" t="s">
        <v>139</v>
      </c>
      <c r="I288" s="65">
        <v>0.15</v>
      </c>
      <c r="J288" s="76" t="s">
        <v>140</v>
      </c>
      <c r="K288" s="65">
        <f t="shared" si="13"/>
        <v>3.34524</v>
      </c>
      <c r="L288" s="74" t="s">
        <v>42</v>
      </c>
    </row>
    <row r="289" spans="1:12" s="11" customFormat="1" x14ac:dyDescent="0.2">
      <c r="A289" s="54"/>
      <c r="B289" s="145" t="s">
        <v>91</v>
      </c>
      <c r="C289" s="66">
        <v>1</v>
      </c>
      <c r="D289" s="11" t="s">
        <v>139</v>
      </c>
      <c r="E289" s="12">
        <v>4.57</v>
      </c>
      <c r="F289" s="11" t="s">
        <v>139</v>
      </c>
      <c r="G289" s="12">
        <v>3.96</v>
      </c>
      <c r="H289" s="48" t="s">
        <v>139</v>
      </c>
      <c r="I289" s="65">
        <v>0.15</v>
      </c>
      <c r="J289" s="76" t="s">
        <v>140</v>
      </c>
      <c r="K289" s="65">
        <f t="shared" si="13"/>
        <v>2.7145800000000002</v>
      </c>
      <c r="L289" s="74" t="s">
        <v>42</v>
      </c>
    </row>
    <row r="290" spans="1:12" s="11" customFormat="1" x14ac:dyDescent="0.2">
      <c r="A290" s="54"/>
      <c r="B290" s="145" t="s">
        <v>141</v>
      </c>
      <c r="C290" s="66">
        <v>2</v>
      </c>
      <c r="D290" s="11" t="s">
        <v>139</v>
      </c>
      <c r="E290" s="12">
        <v>2.74</v>
      </c>
      <c r="F290" s="11" t="s">
        <v>139</v>
      </c>
      <c r="G290" s="12">
        <v>1.98</v>
      </c>
      <c r="H290" s="48" t="s">
        <v>139</v>
      </c>
      <c r="I290" s="65">
        <v>0.13</v>
      </c>
      <c r="J290" s="76" t="s">
        <v>140</v>
      </c>
      <c r="K290" s="65">
        <f t="shared" si="13"/>
        <v>1.410552</v>
      </c>
      <c r="L290" s="74" t="s">
        <v>42</v>
      </c>
    </row>
    <row r="291" spans="1:12" s="11" customFormat="1" x14ac:dyDescent="0.2">
      <c r="A291" s="54"/>
      <c r="B291" s="150" t="s">
        <v>91</v>
      </c>
      <c r="C291" s="66">
        <v>1</v>
      </c>
      <c r="D291" s="11" t="s">
        <v>139</v>
      </c>
      <c r="E291" s="12">
        <v>4.57</v>
      </c>
      <c r="F291" s="11" t="s">
        <v>139</v>
      </c>
      <c r="G291" s="12">
        <v>3.96</v>
      </c>
      <c r="H291" s="48" t="s">
        <v>139</v>
      </c>
      <c r="I291" s="65">
        <v>0.13</v>
      </c>
      <c r="J291" s="76" t="s">
        <v>140</v>
      </c>
      <c r="K291" s="65">
        <f t="shared" si="13"/>
        <v>2.3526360000000004</v>
      </c>
      <c r="L291" s="74" t="s">
        <v>42</v>
      </c>
    </row>
    <row r="292" spans="1:12" s="11" customFormat="1" x14ac:dyDescent="0.2">
      <c r="A292" s="54"/>
      <c r="B292" s="145" t="s">
        <v>93</v>
      </c>
      <c r="C292" s="66">
        <v>1</v>
      </c>
      <c r="D292" s="11" t="s">
        <v>139</v>
      </c>
      <c r="E292" s="12">
        <v>12.3</v>
      </c>
      <c r="F292" s="11" t="s">
        <v>139</v>
      </c>
      <c r="G292" s="12">
        <v>3.9</v>
      </c>
      <c r="H292" s="48" t="s">
        <v>139</v>
      </c>
      <c r="I292" s="65">
        <v>0.15</v>
      </c>
      <c r="J292" s="76" t="s">
        <v>140</v>
      </c>
      <c r="K292" s="65">
        <f t="shared" si="13"/>
        <v>7.1954999999999991</v>
      </c>
      <c r="L292" s="74" t="s">
        <v>42</v>
      </c>
    </row>
    <row r="293" spans="1:12" s="11" customFormat="1" x14ac:dyDescent="0.2">
      <c r="A293" s="54"/>
      <c r="B293" s="145"/>
      <c r="C293" s="66">
        <v>1</v>
      </c>
      <c r="D293" s="11" t="s">
        <v>139</v>
      </c>
      <c r="E293" s="12">
        <v>4.5</v>
      </c>
      <c r="F293" s="11" t="s">
        <v>139</v>
      </c>
      <c r="G293" s="12">
        <v>3.6</v>
      </c>
      <c r="H293" s="48" t="s">
        <v>139</v>
      </c>
      <c r="I293" s="65">
        <v>0.15</v>
      </c>
      <c r="J293" s="76" t="s">
        <v>140</v>
      </c>
      <c r="K293" s="65">
        <f t="shared" si="13"/>
        <v>2.4299999999999997</v>
      </c>
      <c r="L293" s="74" t="s">
        <v>42</v>
      </c>
    </row>
    <row r="294" spans="1:12" s="11" customFormat="1" x14ac:dyDescent="0.2">
      <c r="A294" s="54"/>
      <c r="B294" s="145" t="s">
        <v>238</v>
      </c>
      <c r="C294" s="66">
        <v>4</v>
      </c>
      <c r="D294" s="11" t="s">
        <v>139</v>
      </c>
      <c r="E294" s="12">
        <v>4.83</v>
      </c>
      <c r="F294" s="11" t="s">
        <v>139</v>
      </c>
      <c r="G294" s="12">
        <v>1.2</v>
      </c>
      <c r="H294" s="48" t="s">
        <v>139</v>
      </c>
      <c r="I294" s="65">
        <v>0.25</v>
      </c>
      <c r="J294" s="76" t="s">
        <v>140</v>
      </c>
      <c r="K294" s="65">
        <f t="shared" si="13"/>
        <v>5.7960000000000003</v>
      </c>
      <c r="L294" s="74" t="s">
        <v>42</v>
      </c>
    </row>
    <row r="295" spans="1:12" s="11" customFormat="1" x14ac:dyDescent="0.2">
      <c r="A295" s="54"/>
      <c r="B295" s="145" t="s">
        <v>382</v>
      </c>
      <c r="C295" s="66">
        <v>2</v>
      </c>
      <c r="D295" s="11" t="s">
        <v>139</v>
      </c>
      <c r="E295" s="12">
        <v>2.25</v>
      </c>
      <c r="F295" s="11" t="s">
        <v>139</v>
      </c>
      <c r="G295" s="12">
        <v>1.2</v>
      </c>
      <c r="H295" s="48" t="s">
        <v>139</v>
      </c>
      <c r="I295" s="65">
        <v>0.25</v>
      </c>
      <c r="J295" s="76" t="s">
        <v>140</v>
      </c>
      <c r="K295" s="65">
        <f t="shared" si="13"/>
        <v>1.3499999999999999</v>
      </c>
      <c r="L295" s="74" t="s">
        <v>42</v>
      </c>
    </row>
    <row r="296" spans="1:12" s="11" customFormat="1" x14ac:dyDescent="0.2">
      <c r="A296" s="54"/>
      <c r="B296" s="145" t="s">
        <v>1</v>
      </c>
      <c r="C296" s="66">
        <v>92</v>
      </c>
      <c r="D296" s="11" t="s">
        <v>139</v>
      </c>
      <c r="E296" s="12">
        <v>0.3</v>
      </c>
      <c r="F296" s="11" t="s">
        <v>139</v>
      </c>
      <c r="G296" s="67">
        <v>0.3</v>
      </c>
      <c r="H296" s="11" t="s">
        <v>139</v>
      </c>
      <c r="I296" s="65">
        <v>0.15</v>
      </c>
      <c r="J296" s="76" t="s">
        <v>140</v>
      </c>
      <c r="K296" s="65">
        <f>IF(C296,C296*E296*G296*I296,"")</f>
        <v>1.2419999999999998</v>
      </c>
      <c r="L296" s="74" t="s">
        <v>42</v>
      </c>
    </row>
    <row r="297" spans="1:12" s="11" customFormat="1" x14ac:dyDescent="0.2">
      <c r="A297" s="54"/>
      <c r="B297" s="145"/>
      <c r="C297" s="66"/>
      <c r="E297" s="136"/>
      <c r="F297" s="138"/>
      <c r="G297" s="34" t="s">
        <v>263</v>
      </c>
      <c r="H297" s="138"/>
      <c r="I297" s="136"/>
      <c r="J297" s="138"/>
      <c r="K297" s="136">
        <f>SUM(K253:K296)</f>
        <v>58.160895999999994</v>
      </c>
      <c r="L297" s="139" t="s">
        <v>42</v>
      </c>
    </row>
    <row r="298" spans="1:12" s="11" customFormat="1" ht="60" x14ac:dyDescent="0.2">
      <c r="A298" s="55"/>
      <c r="B298" s="145" t="s">
        <v>51</v>
      </c>
      <c r="C298" s="55"/>
      <c r="D298" s="20"/>
      <c r="E298" s="12"/>
      <c r="F298" s="38"/>
      <c r="G298" s="67"/>
    </row>
    <row r="299" spans="1:12" s="11" customFormat="1" x14ac:dyDescent="0.2">
      <c r="A299" s="55"/>
      <c r="B299" s="153" t="s">
        <v>158</v>
      </c>
      <c r="C299" s="12"/>
      <c r="D299" s="38"/>
      <c r="E299" s="12"/>
      <c r="F299" s="38"/>
      <c r="G299" s="67"/>
    </row>
    <row r="300" spans="1:12" s="11" customFormat="1" x14ac:dyDescent="0.2">
      <c r="A300" s="54"/>
      <c r="B300" s="145" t="s">
        <v>326</v>
      </c>
      <c r="C300" s="66">
        <v>1</v>
      </c>
      <c r="D300" s="11" t="s">
        <v>139</v>
      </c>
      <c r="E300" s="12">
        <f>E181</f>
        <v>129.22</v>
      </c>
      <c r="F300" s="11" t="s">
        <v>139</v>
      </c>
      <c r="G300" s="12">
        <v>0.38</v>
      </c>
      <c r="H300" s="48" t="s">
        <v>139</v>
      </c>
      <c r="I300" s="65">
        <v>0.23</v>
      </c>
      <c r="J300" s="76" t="s">
        <v>140</v>
      </c>
      <c r="K300" s="65">
        <f>IF(C300,C300*E300*G300*I300,"")</f>
        <v>11.293828000000001</v>
      </c>
      <c r="L300" s="74" t="s">
        <v>42</v>
      </c>
    </row>
    <row r="301" spans="1:12" s="11" customFormat="1" x14ac:dyDescent="0.2">
      <c r="A301" s="55"/>
      <c r="B301" s="154" t="s">
        <v>381</v>
      </c>
      <c r="C301" s="66">
        <v>1</v>
      </c>
      <c r="D301" s="11" t="s">
        <v>139</v>
      </c>
      <c r="E301" s="12">
        <f>E182</f>
        <v>58.25</v>
      </c>
      <c r="F301" s="11" t="s">
        <v>139</v>
      </c>
      <c r="G301" s="12">
        <v>0.15</v>
      </c>
      <c r="H301" s="48" t="s">
        <v>139</v>
      </c>
      <c r="I301" s="65">
        <v>0.15</v>
      </c>
      <c r="J301" s="76" t="s">
        <v>140</v>
      </c>
      <c r="K301" s="65">
        <f>IF(C301,C301*E301*G301*I301,"")</f>
        <v>1.3106249999999997</v>
      </c>
      <c r="L301" s="74" t="s">
        <v>42</v>
      </c>
    </row>
    <row r="302" spans="1:12" s="11" customFormat="1" x14ac:dyDescent="0.2">
      <c r="A302" s="55"/>
      <c r="B302" s="154" t="s">
        <v>108</v>
      </c>
      <c r="C302" s="66">
        <v>1</v>
      </c>
      <c r="D302" s="11" t="s">
        <v>139</v>
      </c>
      <c r="E302" s="12">
        <f>E183</f>
        <v>27.810000000000002</v>
      </c>
      <c r="F302" s="11" t="s">
        <v>139</v>
      </c>
      <c r="G302" s="12">
        <v>0.15</v>
      </c>
      <c r="H302" s="48" t="s">
        <v>139</v>
      </c>
      <c r="I302" s="65">
        <v>0.15</v>
      </c>
      <c r="J302" s="76" t="s">
        <v>140</v>
      </c>
      <c r="K302" s="65">
        <f>IF(C302,C302*E302*G302*I302,"")</f>
        <v>0.62572499999999998</v>
      </c>
      <c r="L302" s="74" t="s">
        <v>42</v>
      </c>
    </row>
    <row r="303" spans="1:12" s="11" customFormat="1" x14ac:dyDescent="0.2">
      <c r="A303" s="55"/>
      <c r="B303" s="153" t="s">
        <v>163</v>
      </c>
      <c r="C303" s="12"/>
      <c r="D303" s="38"/>
      <c r="E303" s="12"/>
      <c r="F303" s="38"/>
      <c r="G303" s="67"/>
    </row>
    <row r="304" spans="1:12" s="11" customFormat="1" x14ac:dyDescent="0.2">
      <c r="A304" s="54"/>
      <c r="B304" s="145" t="s">
        <v>375</v>
      </c>
      <c r="C304" s="66">
        <v>7</v>
      </c>
      <c r="D304" s="11" t="s">
        <v>139</v>
      </c>
      <c r="E304" s="12">
        <v>2.1</v>
      </c>
      <c r="F304" s="11" t="s">
        <v>139</v>
      </c>
      <c r="G304" s="67">
        <v>0.6</v>
      </c>
      <c r="H304" s="48" t="s">
        <v>139</v>
      </c>
      <c r="I304" s="65">
        <v>0.08</v>
      </c>
      <c r="J304" s="76" t="s">
        <v>140</v>
      </c>
      <c r="K304" s="65">
        <f>IF(C304,C304*E304*G304*I304,"")</f>
        <v>0.7056</v>
      </c>
      <c r="L304" s="74" t="s">
        <v>42</v>
      </c>
    </row>
    <row r="305" spans="1:12" s="11" customFormat="1" x14ac:dyDescent="0.2">
      <c r="A305" s="54"/>
      <c r="B305" s="145" t="s">
        <v>322</v>
      </c>
      <c r="C305" s="66">
        <v>8</v>
      </c>
      <c r="D305" s="11" t="s">
        <v>139</v>
      </c>
      <c r="E305" s="12">
        <v>1.5</v>
      </c>
      <c r="F305" s="11" t="s">
        <v>139</v>
      </c>
      <c r="G305" s="67">
        <v>0.6</v>
      </c>
      <c r="H305" s="48" t="s">
        <v>139</v>
      </c>
      <c r="I305" s="65">
        <v>0.08</v>
      </c>
      <c r="J305" s="76" t="s">
        <v>140</v>
      </c>
      <c r="K305" s="65">
        <f t="shared" ref="K305:K313" si="14">IF(C305,C305*E305*G305*I305,"")</f>
        <v>0.57599999999999996</v>
      </c>
      <c r="L305" s="74" t="s">
        <v>42</v>
      </c>
    </row>
    <row r="306" spans="1:12" s="11" customFormat="1" x14ac:dyDescent="0.2">
      <c r="A306" s="54"/>
      <c r="B306" s="145" t="s">
        <v>95</v>
      </c>
      <c r="C306" s="66">
        <v>9</v>
      </c>
      <c r="D306" s="11" t="s">
        <v>139</v>
      </c>
      <c r="E306" s="12">
        <v>0.9</v>
      </c>
      <c r="F306" s="11" t="s">
        <v>139</v>
      </c>
      <c r="G306" s="67">
        <v>0.6</v>
      </c>
      <c r="H306" s="48" t="s">
        <v>139</v>
      </c>
      <c r="I306" s="65">
        <v>0.08</v>
      </c>
      <c r="J306" s="76" t="s">
        <v>140</v>
      </c>
      <c r="K306" s="65">
        <f t="shared" si="14"/>
        <v>0.38879999999999998</v>
      </c>
      <c r="L306" s="74" t="s">
        <v>42</v>
      </c>
    </row>
    <row r="307" spans="1:12" s="11" customFormat="1" x14ac:dyDescent="0.2">
      <c r="A307" s="54"/>
      <c r="B307" s="145" t="s">
        <v>376</v>
      </c>
      <c r="C307" s="66">
        <v>1</v>
      </c>
      <c r="D307" s="11" t="s">
        <v>139</v>
      </c>
      <c r="E307" s="12">
        <v>1.05</v>
      </c>
      <c r="F307" s="11" t="s">
        <v>139</v>
      </c>
      <c r="G307" s="67">
        <v>0.6</v>
      </c>
      <c r="H307" s="48" t="s">
        <v>139</v>
      </c>
      <c r="I307" s="65">
        <v>0.08</v>
      </c>
      <c r="J307" s="76" t="s">
        <v>140</v>
      </c>
      <c r="K307" s="65">
        <f t="shared" si="14"/>
        <v>5.04E-2</v>
      </c>
      <c r="L307" s="74" t="s">
        <v>42</v>
      </c>
    </row>
    <row r="308" spans="1:12" s="11" customFormat="1" x14ac:dyDescent="0.2">
      <c r="A308" s="54"/>
      <c r="B308" s="145" t="s">
        <v>157</v>
      </c>
      <c r="C308" s="66">
        <v>3</v>
      </c>
      <c r="D308" s="11" t="s">
        <v>139</v>
      </c>
      <c r="E308" s="12">
        <v>0.75</v>
      </c>
      <c r="F308" s="11" t="s">
        <v>139</v>
      </c>
      <c r="G308" s="67">
        <v>0.6</v>
      </c>
      <c r="H308" s="48" t="s">
        <v>139</v>
      </c>
      <c r="I308" s="65">
        <v>0.08</v>
      </c>
      <c r="J308" s="76" t="s">
        <v>140</v>
      </c>
      <c r="K308" s="65">
        <f t="shared" si="14"/>
        <v>0.10799999999999998</v>
      </c>
      <c r="L308" s="74" t="s">
        <v>42</v>
      </c>
    </row>
    <row r="309" spans="1:12" s="11" customFormat="1" x14ac:dyDescent="0.2">
      <c r="A309" s="54"/>
      <c r="B309" s="145" t="s">
        <v>96</v>
      </c>
      <c r="C309" s="66">
        <v>3</v>
      </c>
      <c r="D309" s="11" t="s">
        <v>139</v>
      </c>
      <c r="E309" s="12">
        <v>0.6</v>
      </c>
      <c r="F309" s="11" t="s">
        <v>139</v>
      </c>
      <c r="G309" s="67">
        <v>0.6</v>
      </c>
      <c r="H309" s="48" t="s">
        <v>139</v>
      </c>
      <c r="I309" s="65">
        <v>0.08</v>
      </c>
      <c r="J309" s="76" t="s">
        <v>140</v>
      </c>
      <c r="K309" s="65">
        <f t="shared" si="14"/>
        <v>8.6399999999999991E-2</v>
      </c>
      <c r="L309" s="74" t="s">
        <v>42</v>
      </c>
    </row>
    <row r="310" spans="1:12" s="11" customFormat="1" x14ac:dyDescent="0.2">
      <c r="A310" s="54"/>
      <c r="B310" s="145" t="s">
        <v>99</v>
      </c>
      <c r="C310" s="66">
        <v>1</v>
      </c>
      <c r="D310" s="11" t="s">
        <v>139</v>
      </c>
      <c r="E310" s="12">
        <v>2.7</v>
      </c>
      <c r="F310" s="11" t="s">
        <v>139</v>
      </c>
      <c r="G310" s="67">
        <v>0.6</v>
      </c>
      <c r="H310" s="48" t="s">
        <v>139</v>
      </c>
      <c r="I310" s="65">
        <v>0.08</v>
      </c>
      <c r="J310" s="76" t="s">
        <v>140</v>
      </c>
      <c r="K310" s="65">
        <f t="shared" si="14"/>
        <v>0.12960000000000002</v>
      </c>
      <c r="L310" s="74" t="s">
        <v>42</v>
      </c>
    </row>
    <row r="311" spans="1:12" s="11" customFormat="1" x14ac:dyDescent="0.2">
      <c r="A311" s="54"/>
      <c r="B311" s="145" t="s">
        <v>156</v>
      </c>
      <c r="C311" s="66">
        <v>2</v>
      </c>
      <c r="D311" s="11" t="s">
        <v>139</v>
      </c>
      <c r="E311" s="12">
        <v>0.75</v>
      </c>
      <c r="F311" s="11" t="s">
        <v>139</v>
      </c>
      <c r="G311" s="67">
        <v>0.6</v>
      </c>
      <c r="H311" s="48" t="s">
        <v>139</v>
      </c>
      <c r="I311" s="65">
        <v>0.08</v>
      </c>
      <c r="J311" s="76" t="s">
        <v>140</v>
      </c>
      <c r="K311" s="65">
        <f t="shared" si="14"/>
        <v>7.1999999999999995E-2</v>
      </c>
      <c r="L311" s="74" t="s">
        <v>42</v>
      </c>
    </row>
    <row r="312" spans="1:12" s="11" customFormat="1" x14ac:dyDescent="0.2">
      <c r="A312" s="54"/>
      <c r="B312" s="145" t="s">
        <v>95</v>
      </c>
      <c r="C312" s="66">
        <v>1</v>
      </c>
      <c r="D312" s="11" t="s">
        <v>139</v>
      </c>
      <c r="E312" s="12">
        <v>0.9</v>
      </c>
      <c r="F312" s="11" t="s">
        <v>139</v>
      </c>
      <c r="G312" s="67">
        <v>0.6</v>
      </c>
      <c r="H312" s="48" t="s">
        <v>139</v>
      </c>
      <c r="I312" s="65">
        <v>0.08</v>
      </c>
      <c r="J312" s="76" t="s">
        <v>140</v>
      </c>
      <c r="K312" s="65">
        <f t="shared" si="14"/>
        <v>4.3200000000000002E-2</v>
      </c>
      <c r="L312" s="74" t="s">
        <v>42</v>
      </c>
    </row>
    <row r="313" spans="1:12" s="11" customFormat="1" x14ac:dyDescent="0.2">
      <c r="A313" s="54"/>
      <c r="B313" s="145" t="s">
        <v>376</v>
      </c>
      <c r="C313" s="66">
        <v>1</v>
      </c>
      <c r="D313" s="11" t="s">
        <v>139</v>
      </c>
      <c r="E313" s="12">
        <v>1.05</v>
      </c>
      <c r="F313" s="11" t="s">
        <v>139</v>
      </c>
      <c r="G313" s="67">
        <v>0.6</v>
      </c>
      <c r="H313" s="48" t="s">
        <v>139</v>
      </c>
      <c r="I313" s="65">
        <v>0.08</v>
      </c>
      <c r="J313" s="76" t="s">
        <v>140</v>
      </c>
      <c r="K313" s="65">
        <f t="shared" si="14"/>
        <v>5.04E-2</v>
      </c>
      <c r="L313" s="74" t="s">
        <v>42</v>
      </c>
    </row>
    <row r="314" spans="1:12" s="11" customFormat="1" x14ac:dyDescent="0.2">
      <c r="A314" s="54"/>
      <c r="B314" s="145"/>
      <c r="C314" s="66"/>
      <c r="E314" s="136"/>
      <c r="F314" s="138"/>
      <c r="G314" s="34" t="s">
        <v>263</v>
      </c>
      <c r="H314" s="138"/>
      <c r="I314" s="136"/>
      <c r="J314" s="138"/>
      <c r="K314" s="136">
        <f>SUM(K300:K313)</f>
        <v>15.440578</v>
      </c>
      <c r="L314" s="139" t="s">
        <v>42</v>
      </c>
    </row>
    <row r="315" spans="1:12" s="11" customFormat="1" ht="30" x14ac:dyDescent="0.2">
      <c r="A315" s="55"/>
      <c r="B315" s="170" t="s">
        <v>384</v>
      </c>
      <c r="C315" s="12"/>
      <c r="E315" s="12"/>
      <c r="G315" s="67"/>
    </row>
    <row r="316" spans="1:12" s="11" customFormat="1" x14ac:dyDescent="0.2">
      <c r="A316" s="55"/>
      <c r="B316" s="191" t="s">
        <v>379</v>
      </c>
      <c r="C316" s="65"/>
      <c r="D316" s="44"/>
      <c r="E316" s="65"/>
      <c r="F316" s="175"/>
      <c r="G316" s="46"/>
      <c r="H316" s="48"/>
      <c r="I316" s="48"/>
      <c r="J316" s="48"/>
      <c r="K316" s="65" t="str">
        <f>IF(C316,C316*E316*G316*I316,"")</f>
        <v/>
      </c>
      <c r="L316" s="48"/>
    </row>
    <row r="317" spans="1:12" s="11" customFormat="1" x14ac:dyDescent="0.2">
      <c r="A317" s="54"/>
      <c r="B317" s="192" t="s">
        <v>380</v>
      </c>
      <c r="C317" s="66">
        <v>1</v>
      </c>
      <c r="D317" s="11" t="s">
        <v>139</v>
      </c>
      <c r="E317" s="12">
        <f>E176</f>
        <v>129.22</v>
      </c>
      <c r="F317" s="11" t="s">
        <v>139</v>
      </c>
      <c r="G317" s="12">
        <v>0.45</v>
      </c>
      <c r="H317" s="48" t="s">
        <v>139</v>
      </c>
      <c r="I317" s="65">
        <v>0.15</v>
      </c>
      <c r="J317" s="76" t="s">
        <v>140</v>
      </c>
      <c r="K317" s="65">
        <f>IF(C317,C317*E317*G317*I317,"")</f>
        <v>8.7223500000000005</v>
      </c>
      <c r="L317" s="74" t="s">
        <v>42</v>
      </c>
    </row>
    <row r="318" spans="1:12" s="11" customFormat="1" x14ac:dyDescent="0.2">
      <c r="A318" s="54"/>
      <c r="B318" s="192" t="s">
        <v>381</v>
      </c>
      <c r="C318" s="66">
        <v>1</v>
      </c>
      <c r="D318" s="11" t="s">
        <v>139</v>
      </c>
      <c r="E318" s="12">
        <f>E177</f>
        <v>58.25</v>
      </c>
      <c r="F318" s="48" t="s">
        <v>139</v>
      </c>
      <c r="G318" s="65">
        <v>0.3</v>
      </c>
      <c r="H318" s="48" t="s">
        <v>139</v>
      </c>
      <c r="I318" s="65">
        <v>0.15</v>
      </c>
      <c r="J318" s="76" t="s">
        <v>140</v>
      </c>
      <c r="K318" s="65">
        <f>IF(C318,C318*E318*G318*I318,"")</f>
        <v>2.6212499999999994</v>
      </c>
      <c r="L318" s="74" t="s">
        <v>42</v>
      </c>
    </row>
    <row r="319" spans="1:12" s="11" customFormat="1" x14ac:dyDescent="0.2">
      <c r="A319" s="54"/>
      <c r="B319" s="145"/>
      <c r="C319" s="66"/>
      <c r="E319" s="136"/>
      <c r="F319" s="138"/>
      <c r="G319" s="34" t="s">
        <v>263</v>
      </c>
      <c r="H319" s="138"/>
      <c r="I319" s="136"/>
      <c r="J319" s="138"/>
      <c r="K319" s="136">
        <f>SUM(K316:K318)</f>
        <v>11.3436</v>
      </c>
      <c r="L319" s="139" t="s">
        <v>42</v>
      </c>
    </row>
    <row r="320" spans="1:12" s="11" customFormat="1" ht="120" x14ac:dyDescent="0.2">
      <c r="A320" s="55">
        <f>A252+1</f>
        <v>14</v>
      </c>
      <c r="B320" s="145" t="s">
        <v>332</v>
      </c>
      <c r="C320" s="13"/>
      <c r="D320" s="38"/>
      <c r="E320" s="12"/>
      <c r="F320" s="42"/>
      <c r="G320" s="67"/>
    </row>
    <row r="321" spans="1:12" s="11" customFormat="1" x14ac:dyDescent="0.2">
      <c r="A321" s="55"/>
      <c r="B321" s="145" t="s">
        <v>3</v>
      </c>
      <c r="C321" s="15">
        <f>K297</f>
        <v>58.160895999999994</v>
      </c>
      <c r="D321" s="51"/>
      <c r="E321" s="12" t="s">
        <v>166</v>
      </c>
      <c r="F321" s="42"/>
      <c r="G321" s="50">
        <v>100</v>
      </c>
      <c r="H321" s="59" t="s">
        <v>167</v>
      </c>
      <c r="J321" s="69" t="s">
        <v>140</v>
      </c>
      <c r="K321" s="13">
        <f>C321*G321</f>
        <v>5816.0895999999993</v>
      </c>
      <c r="L321" s="11" t="s">
        <v>52</v>
      </c>
    </row>
    <row r="322" spans="1:12" s="11" customFormat="1" x14ac:dyDescent="0.2">
      <c r="A322" s="55"/>
      <c r="B322" s="145" t="s">
        <v>168</v>
      </c>
      <c r="C322" s="15">
        <f>K314</f>
        <v>15.440578</v>
      </c>
      <c r="D322" s="51"/>
      <c r="E322" s="12" t="s">
        <v>166</v>
      </c>
      <c r="F322" s="42"/>
      <c r="G322" s="50">
        <v>100</v>
      </c>
      <c r="H322" s="59" t="s">
        <v>167</v>
      </c>
      <c r="J322" s="69" t="s">
        <v>140</v>
      </c>
      <c r="K322" s="13">
        <f>C322*G322</f>
        <v>1544.0578</v>
      </c>
      <c r="L322" s="11" t="s">
        <v>52</v>
      </c>
    </row>
    <row r="323" spans="1:12" s="11" customFormat="1" x14ac:dyDescent="0.2">
      <c r="A323" s="55"/>
      <c r="B323" s="145" t="s">
        <v>2</v>
      </c>
      <c r="C323" s="214">
        <f>K319</f>
        <v>11.3436</v>
      </c>
      <c r="D323" s="214"/>
      <c r="E323" s="12" t="s">
        <v>166</v>
      </c>
      <c r="F323" s="42"/>
      <c r="G323" s="112">
        <v>80</v>
      </c>
      <c r="H323" s="74" t="s">
        <v>167</v>
      </c>
      <c r="I323" s="48"/>
      <c r="J323" s="76" t="s">
        <v>140</v>
      </c>
      <c r="K323" s="193">
        <f>C323*G323</f>
        <v>907.48800000000006</v>
      </c>
      <c r="L323" s="48" t="s">
        <v>52</v>
      </c>
    </row>
    <row r="324" spans="1:12" s="11" customFormat="1" x14ac:dyDescent="0.2">
      <c r="A324" s="54"/>
      <c r="B324" s="145"/>
      <c r="C324" s="66"/>
      <c r="E324" s="12"/>
      <c r="G324" s="34" t="s">
        <v>144</v>
      </c>
      <c r="H324" s="138"/>
      <c r="I324" s="136"/>
      <c r="J324" s="138"/>
      <c r="K324" s="144">
        <f>SUM(K321:K323)</f>
        <v>8267.6353999999992</v>
      </c>
      <c r="L324" s="11" t="s">
        <v>52</v>
      </c>
    </row>
    <row r="325" spans="1:12" s="11" customFormat="1" ht="60" x14ac:dyDescent="0.2">
      <c r="A325" s="54">
        <v>15</v>
      </c>
      <c r="B325" s="148" t="s">
        <v>306</v>
      </c>
      <c r="C325" s="12"/>
      <c r="D325" s="38"/>
      <c r="E325" s="12"/>
      <c r="F325" s="42"/>
      <c r="G325" s="67"/>
    </row>
    <row r="326" spans="1:12" s="11" customFormat="1" x14ac:dyDescent="0.2">
      <c r="A326" s="54"/>
      <c r="B326" s="190" t="s">
        <v>325</v>
      </c>
      <c r="C326" s="12"/>
      <c r="D326" s="38"/>
      <c r="E326" s="12"/>
      <c r="F326" s="42"/>
      <c r="G326" s="67"/>
    </row>
    <row r="327" spans="1:12" s="11" customFormat="1" x14ac:dyDescent="0.2">
      <c r="A327" s="54"/>
      <c r="B327" s="145" t="s">
        <v>89</v>
      </c>
      <c r="C327" s="66">
        <v>2</v>
      </c>
      <c r="D327" s="11" t="s">
        <v>139</v>
      </c>
      <c r="E327" s="12">
        <v>3.05</v>
      </c>
      <c r="F327" s="11" t="s">
        <v>139</v>
      </c>
      <c r="G327" s="12">
        <v>2.9</v>
      </c>
      <c r="I327" s="12"/>
      <c r="J327" s="69" t="s">
        <v>140</v>
      </c>
      <c r="K327" s="12">
        <f t="shared" ref="K327:K351" si="15">IF(C327,C327*E327*G327,"")</f>
        <v>17.689999999999998</v>
      </c>
      <c r="L327" s="66" t="s">
        <v>49</v>
      </c>
    </row>
    <row r="328" spans="1:12" s="11" customFormat="1" x14ac:dyDescent="0.2">
      <c r="A328" s="54"/>
      <c r="B328" s="145"/>
      <c r="C328" s="66">
        <v>2</v>
      </c>
      <c r="D328" s="11" t="s">
        <v>139</v>
      </c>
      <c r="E328" s="12">
        <v>2.44</v>
      </c>
      <c r="F328" s="11" t="s">
        <v>139</v>
      </c>
      <c r="G328" s="12">
        <v>2.9</v>
      </c>
      <c r="I328" s="12"/>
      <c r="J328" s="69" t="s">
        <v>140</v>
      </c>
      <c r="K328" s="12">
        <f>IF(C328,C328*E328*G328,"")</f>
        <v>14.151999999999999</v>
      </c>
      <c r="L328" s="66" t="s">
        <v>49</v>
      </c>
    </row>
    <row r="329" spans="1:12" s="11" customFormat="1" x14ac:dyDescent="0.2">
      <c r="A329" s="54"/>
      <c r="B329" s="145" t="s">
        <v>83</v>
      </c>
      <c r="C329" s="66">
        <v>2</v>
      </c>
      <c r="D329" s="11" t="s">
        <v>139</v>
      </c>
      <c r="E329" s="12">
        <v>1.53</v>
      </c>
      <c r="F329" s="11" t="s">
        <v>139</v>
      </c>
      <c r="G329" s="12">
        <v>2.9</v>
      </c>
      <c r="I329" s="12"/>
      <c r="J329" s="69" t="s">
        <v>140</v>
      </c>
      <c r="K329" s="12">
        <f t="shared" si="15"/>
        <v>8.8740000000000006</v>
      </c>
      <c r="L329" s="66" t="s">
        <v>49</v>
      </c>
    </row>
    <row r="330" spans="1:12" s="11" customFormat="1" x14ac:dyDescent="0.2">
      <c r="A330" s="54"/>
      <c r="B330" s="145"/>
      <c r="C330" s="66">
        <v>2</v>
      </c>
      <c r="D330" s="11" t="s">
        <v>139</v>
      </c>
      <c r="E330" s="12">
        <v>1</v>
      </c>
      <c r="F330" s="11" t="s">
        <v>139</v>
      </c>
      <c r="G330" s="12">
        <v>2.9</v>
      </c>
      <c r="I330" s="12"/>
      <c r="J330" s="69" t="s">
        <v>140</v>
      </c>
      <c r="K330" s="12">
        <f>IF(C330,C330*E330*G330,"")</f>
        <v>5.8</v>
      </c>
      <c r="L330" s="66" t="s">
        <v>49</v>
      </c>
    </row>
    <row r="331" spans="1:12" s="11" customFormat="1" x14ac:dyDescent="0.2">
      <c r="A331" s="54"/>
      <c r="B331" s="145" t="s">
        <v>122</v>
      </c>
      <c r="C331" s="66">
        <v>2</v>
      </c>
      <c r="D331" s="11" t="s">
        <v>139</v>
      </c>
      <c r="E331" s="12">
        <v>3.05</v>
      </c>
      <c r="F331" s="11" t="s">
        <v>139</v>
      </c>
      <c r="G331" s="12">
        <v>2.9</v>
      </c>
      <c r="I331" s="12"/>
      <c r="J331" s="69" t="s">
        <v>140</v>
      </c>
      <c r="K331" s="12">
        <f t="shared" si="15"/>
        <v>17.689999999999998</v>
      </c>
      <c r="L331" s="66" t="s">
        <v>49</v>
      </c>
    </row>
    <row r="332" spans="1:12" s="11" customFormat="1" x14ac:dyDescent="0.2">
      <c r="A332" s="54"/>
      <c r="B332" s="145"/>
      <c r="C332" s="66">
        <v>2</v>
      </c>
      <c r="D332" s="11" t="s">
        <v>139</v>
      </c>
      <c r="E332" s="12">
        <v>5.19</v>
      </c>
      <c r="F332" s="11" t="s">
        <v>139</v>
      </c>
      <c r="G332" s="12">
        <v>2.9</v>
      </c>
      <c r="I332" s="12"/>
      <c r="J332" s="69" t="s">
        <v>140</v>
      </c>
      <c r="K332" s="12">
        <f>IF(C332,C332*E332*G332,"")</f>
        <v>30.102</v>
      </c>
      <c r="L332" s="66" t="s">
        <v>49</v>
      </c>
    </row>
    <row r="333" spans="1:12" s="11" customFormat="1" x14ac:dyDescent="0.2">
      <c r="A333" s="54"/>
      <c r="B333" s="145" t="s">
        <v>74</v>
      </c>
      <c r="C333" s="66">
        <v>2</v>
      </c>
      <c r="D333" s="11" t="s">
        <v>139</v>
      </c>
      <c r="E333" s="12">
        <v>3.97</v>
      </c>
      <c r="F333" s="11" t="s">
        <v>139</v>
      </c>
      <c r="G333" s="12">
        <v>2.9</v>
      </c>
      <c r="I333" s="12"/>
      <c r="J333" s="69" t="s">
        <v>140</v>
      </c>
      <c r="K333" s="12">
        <f t="shared" si="15"/>
        <v>23.026</v>
      </c>
      <c r="L333" s="66" t="s">
        <v>49</v>
      </c>
    </row>
    <row r="334" spans="1:12" s="11" customFormat="1" x14ac:dyDescent="0.2">
      <c r="A334" s="54"/>
      <c r="B334" s="145"/>
      <c r="C334" s="66">
        <v>2</v>
      </c>
      <c r="D334" s="11" t="s">
        <v>139</v>
      </c>
      <c r="E334" s="12">
        <v>2.97</v>
      </c>
      <c r="F334" s="11" t="s">
        <v>139</v>
      </c>
      <c r="G334" s="12">
        <v>2.9</v>
      </c>
      <c r="I334" s="12"/>
      <c r="J334" s="69" t="s">
        <v>140</v>
      </c>
      <c r="K334" s="12">
        <f>IF(C334,C334*E334*G334,"")</f>
        <v>17.225999999999999</v>
      </c>
      <c r="L334" s="66" t="s">
        <v>49</v>
      </c>
    </row>
    <row r="335" spans="1:12" s="11" customFormat="1" x14ac:dyDescent="0.2">
      <c r="A335" s="54"/>
      <c r="B335" s="145" t="s">
        <v>238</v>
      </c>
      <c r="C335" s="66">
        <v>2</v>
      </c>
      <c r="D335" s="11" t="s">
        <v>139</v>
      </c>
      <c r="E335" s="12">
        <v>2.9</v>
      </c>
      <c r="F335" s="11" t="s">
        <v>139</v>
      </c>
      <c r="G335" s="12">
        <v>2.9</v>
      </c>
      <c r="I335" s="12"/>
      <c r="J335" s="69" t="s">
        <v>140</v>
      </c>
      <c r="K335" s="12">
        <f t="shared" si="15"/>
        <v>16.82</v>
      </c>
      <c r="L335" s="66" t="s">
        <v>49</v>
      </c>
    </row>
    <row r="336" spans="1:12" s="11" customFormat="1" x14ac:dyDescent="0.2">
      <c r="A336" s="54"/>
      <c r="B336" s="145"/>
      <c r="C336" s="66">
        <v>2</v>
      </c>
      <c r="D336" s="11" t="s">
        <v>139</v>
      </c>
      <c r="E336" s="12">
        <v>1.99</v>
      </c>
      <c r="F336" s="11" t="s">
        <v>139</v>
      </c>
      <c r="G336" s="12">
        <v>2.9</v>
      </c>
      <c r="I336" s="12"/>
      <c r="J336" s="69" t="s">
        <v>140</v>
      </c>
      <c r="K336" s="12">
        <f>IF(C336,C336*E336*G336,"")</f>
        <v>11.542</v>
      </c>
      <c r="L336" s="66" t="s">
        <v>49</v>
      </c>
    </row>
    <row r="337" spans="1:12" s="11" customFormat="1" x14ac:dyDescent="0.2">
      <c r="A337" s="54"/>
      <c r="B337" s="145" t="s">
        <v>141</v>
      </c>
      <c r="C337" s="66">
        <v>2</v>
      </c>
      <c r="D337" s="11" t="s">
        <v>139</v>
      </c>
      <c r="E337" s="12">
        <v>1.83</v>
      </c>
      <c r="F337" s="11" t="s">
        <v>139</v>
      </c>
      <c r="G337" s="12">
        <v>2.9</v>
      </c>
      <c r="I337" s="12"/>
      <c r="J337" s="69" t="s">
        <v>140</v>
      </c>
      <c r="K337" s="12">
        <f t="shared" si="15"/>
        <v>10.614000000000001</v>
      </c>
      <c r="L337" s="66" t="s">
        <v>49</v>
      </c>
    </row>
    <row r="338" spans="1:12" s="11" customFormat="1" x14ac:dyDescent="0.2">
      <c r="A338" s="54"/>
      <c r="B338" s="145"/>
      <c r="C338" s="66">
        <v>2</v>
      </c>
      <c r="D338" s="11" t="s">
        <v>139</v>
      </c>
      <c r="E338" s="12">
        <v>1.38</v>
      </c>
      <c r="F338" s="11" t="s">
        <v>139</v>
      </c>
      <c r="G338" s="12">
        <v>2.9</v>
      </c>
      <c r="I338" s="12"/>
      <c r="J338" s="69" t="s">
        <v>140</v>
      </c>
      <c r="K338" s="12">
        <f>IF(C338,C338*E338*G338,"")</f>
        <v>8.0039999999999996</v>
      </c>
      <c r="L338" s="66" t="s">
        <v>49</v>
      </c>
    </row>
    <row r="339" spans="1:12" s="11" customFormat="1" x14ac:dyDescent="0.2">
      <c r="A339" s="54"/>
      <c r="B339" s="145" t="s">
        <v>15</v>
      </c>
      <c r="C339" s="66">
        <v>2</v>
      </c>
      <c r="D339" s="11" t="s">
        <v>139</v>
      </c>
      <c r="E339" s="12">
        <v>3.66</v>
      </c>
      <c r="F339" s="11" t="s">
        <v>139</v>
      </c>
      <c r="G339" s="12">
        <v>2.9</v>
      </c>
      <c r="I339" s="12"/>
      <c r="J339" s="69" t="s">
        <v>140</v>
      </c>
      <c r="K339" s="12">
        <f t="shared" si="15"/>
        <v>21.228000000000002</v>
      </c>
      <c r="L339" s="66" t="s">
        <v>49</v>
      </c>
    </row>
    <row r="340" spans="1:12" s="11" customFormat="1" x14ac:dyDescent="0.2">
      <c r="A340" s="54"/>
      <c r="B340" s="145"/>
      <c r="C340" s="66">
        <v>2</v>
      </c>
      <c r="D340" s="11" t="s">
        <v>139</v>
      </c>
      <c r="E340" s="12">
        <v>3.05</v>
      </c>
      <c r="F340" s="11" t="s">
        <v>139</v>
      </c>
      <c r="G340" s="12">
        <v>2.9</v>
      </c>
      <c r="I340" s="12"/>
      <c r="J340" s="69" t="s">
        <v>140</v>
      </c>
      <c r="K340" s="12">
        <f>IF(C340,C340*E340*G340,"")</f>
        <v>17.689999999999998</v>
      </c>
      <c r="L340" s="66" t="s">
        <v>49</v>
      </c>
    </row>
    <row r="341" spans="1:12" s="11" customFormat="1" x14ac:dyDescent="0.2">
      <c r="A341" s="54"/>
      <c r="B341" s="145" t="s">
        <v>323</v>
      </c>
      <c r="C341" s="66">
        <v>2</v>
      </c>
      <c r="D341" s="11" t="s">
        <v>139</v>
      </c>
      <c r="E341" s="12">
        <v>4.2699999999999996</v>
      </c>
      <c r="F341" s="11" t="s">
        <v>139</v>
      </c>
      <c r="G341" s="12">
        <v>2.9</v>
      </c>
      <c r="I341" s="12"/>
      <c r="J341" s="69" t="s">
        <v>140</v>
      </c>
      <c r="K341" s="12">
        <f t="shared" si="15"/>
        <v>24.765999999999998</v>
      </c>
      <c r="L341" s="66" t="s">
        <v>49</v>
      </c>
    </row>
    <row r="342" spans="1:12" s="11" customFormat="1" x14ac:dyDescent="0.2">
      <c r="A342" s="54"/>
      <c r="B342" s="145"/>
      <c r="C342" s="66">
        <v>2</v>
      </c>
      <c r="D342" s="11" t="s">
        <v>139</v>
      </c>
      <c r="E342" s="12">
        <v>1.83</v>
      </c>
      <c r="F342" s="11" t="s">
        <v>139</v>
      </c>
      <c r="G342" s="12">
        <v>2.9</v>
      </c>
      <c r="I342" s="12"/>
      <c r="J342" s="69" t="s">
        <v>140</v>
      </c>
      <c r="K342" s="12">
        <f>IF(C342,C342*E342*G342,"")</f>
        <v>10.614000000000001</v>
      </c>
      <c r="L342" s="66" t="s">
        <v>49</v>
      </c>
    </row>
    <row r="343" spans="1:12" s="11" customFormat="1" x14ac:dyDescent="0.2">
      <c r="A343" s="54"/>
      <c r="B343" s="145" t="s">
        <v>90</v>
      </c>
      <c r="C343" s="66">
        <v>2</v>
      </c>
      <c r="D343" s="11" t="s">
        <v>139</v>
      </c>
      <c r="E343" s="12">
        <v>4.2699999999999996</v>
      </c>
      <c r="F343" s="11" t="s">
        <v>139</v>
      </c>
      <c r="G343" s="12">
        <v>2.9</v>
      </c>
      <c r="I343" s="12"/>
      <c r="J343" s="69" t="s">
        <v>140</v>
      </c>
      <c r="K343" s="12">
        <f t="shared" si="15"/>
        <v>24.765999999999998</v>
      </c>
      <c r="L343" s="66" t="s">
        <v>49</v>
      </c>
    </row>
    <row r="344" spans="1:12" s="11" customFormat="1" x14ac:dyDescent="0.2">
      <c r="A344" s="54"/>
      <c r="B344" s="145"/>
      <c r="C344" s="66">
        <v>2</v>
      </c>
      <c r="D344" s="11" t="s">
        <v>139</v>
      </c>
      <c r="E344" s="12">
        <v>6.86</v>
      </c>
      <c r="F344" s="11" t="s">
        <v>139</v>
      </c>
      <c r="G344" s="12">
        <v>2.9</v>
      </c>
      <c r="I344" s="12"/>
      <c r="J344" s="69" t="s">
        <v>140</v>
      </c>
      <c r="K344" s="12">
        <f>IF(C344,C344*E344*G344,"")</f>
        <v>39.788000000000004</v>
      </c>
      <c r="L344" s="66" t="s">
        <v>49</v>
      </c>
    </row>
    <row r="345" spans="1:12" s="11" customFormat="1" x14ac:dyDescent="0.2">
      <c r="A345" s="54"/>
      <c r="B345" s="145" t="s">
        <v>75</v>
      </c>
      <c r="C345" s="66">
        <v>2</v>
      </c>
      <c r="D345" s="11" t="s">
        <v>139</v>
      </c>
      <c r="E345" s="12">
        <v>4.2699999999999996</v>
      </c>
      <c r="F345" s="11" t="s">
        <v>139</v>
      </c>
      <c r="G345" s="12">
        <v>2.9</v>
      </c>
      <c r="I345" s="12"/>
      <c r="J345" s="69" t="s">
        <v>140</v>
      </c>
      <c r="K345" s="12">
        <f t="shared" si="15"/>
        <v>24.765999999999998</v>
      </c>
      <c r="L345" s="66" t="s">
        <v>49</v>
      </c>
    </row>
    <row r="346" spans="1:12" s="11" customFormat="1" x14ac:dyDescent="0.2">
      <c r="A346" s="54"/>
      <c r="B346" s="145"/>
      <c r="C346" s="66">
        <v>2</v>
      </c>
      <c r="D346" s="11" t="s">
        <v>139</v>
      </c>
      <c r="E346" s="12">
        <v>4.58</v>
      </c>
      <c r="F346" s="11" t="s">
        <v>139</v>
      </c>
      <c r="G346" s="12">
        <v>2.9</v>
      </c>
      <c r="I346" s="12"/>
      <c r="J346" s="69" t="s">
        <v>140</v>
      </c>
      <c r="K346" s="12">
        <f>IF(C346,C346*E346*G346,"")</f>
        <v>26.564</v>
      </c>
      <c r="L346" s="66" t="s">
        <v>49</v>
      </c>
    </row>
    <row r="347" spans="1:12" s="11" customFormat="1" x14ac:dyDescent="0.2">
      <c r="A347" s="54"/>
      <c r="B347" s="145" t="s">
        <v>91</v>
      </c>
      <c r="C347" s="66">
        <v>2</v>
      </c>
      <c r="D347" s="11" t="s">
        <v>139</v>
      </c>
      <c r="E347" s="12">
        <v>4.2699999999999996</v>
      </c>
      <c r="F347" s="11" t="s">
        <v>139</v>
      </c>
      <c r="G347" s="12">
        <v>2.9</v>
      </c>
      <c r="I347" s="12"/>
      <c r="J347" s="69" t="s">
        <v>140</v>
      </c>
      <c r="K347" s="12">
        <f t="shared" si="15"/>
        <v>24.765999999999998</v>
      </c>
      <c r="L347" s="66" t="s">
        <v>49</v>
      </c>
    </row>
    <row r="348" spans="1:12" s="11" customFormat="1" x14ac:dyDescent="0.2">
      <c r="A348" s="54"/>
      <c r="B348" s="145"/>
      <c r="C348" s="66">
        <v>2</v>
      </c>
      <c r="D348" s="11" t="s">
        <v>139</v>
      </c>
      <c r="E348" s="12">
        <v>3.66</v>
      </c>
      <c r="F348" s="11" t="s">
        <v>139</v>
      </c>
      <c r="G348" s="12">
        <v>2.9</v>
      </c>
      <c r="I348" s="12"/>
      <c r="J348" s="69" t="s">
        <v>140</v>
      </c>
      <c r="K348" s="12">
        <f>IF(C348,C348*E348*G348,"")</f>
        <v>21.228000000000002</v>
      </c>
      <c r="L348" s="66" t="s">
        <v>49</v>
      </c>
    </row>
    <row r="349" spans="1:12" s="11" customFormat="1" x14ac:dyDescent="0.2">
      <c r="A349" s="54"/>
      <c r="B349" s="145" t="s">
        <v>141</v>
      </c>
      <c r="C349" s="66">
        <v>4</v>
      </c>
      <c r="D349" s="11" t="s">
        <v>139</v>
      </c>
      <c r="E349" s="12">
        <v>2.44</v>
      </c>
      <c r="F349" s="11" t="s">
        <v>139</v>
      </c>
      <c r="G349" s="12">
        <v>2.9</v>
      </c>
      <c r="I349" s="12"/>
      <c r="J349" s="69" t="s">
        <v>140</v>
      </c>
      <c r="K349" s="12">
        <f t="shared" si="15"/>
        <v>28.303999999999998</v>
      </c>
      <c r="L349" s="66" t="s">
        <v>49</v>
      </c>
    </row>
    <row r="350" spans="1:12" s="11" customFormat="1" x14ac:dyDescent="0.2">
      <c r="A350" s="54"/>
      <c r="B350" s="145"/>
      <c r="C350" s="66">
        <v>2</v>
      </c>
      <c r="D350" s="11" t="s">
        <v>139</v>
      </c>
      <c r="E350" s="12">
        <v>1.68</v>
      </c>
      <c r="F350" s="11" t="s">
        <v>139</v>
      </c>
      <c r="G350" s="12">
        <v>2.9</v>
      </c>
      <c r="I350" s="12"/>
      <c r="J350" s="69" t="s">
        <v>140</v>
      </c>
      <c r="K350" s="12">
        <f>IF(C350,C350*E350*G350,"")</f>
        <v>9.7439999999999998</v>
      </c>
      <c r="L350" s="66" t="s">
        <v>49</v>
      </c>
    </row>
    <row r="351" spans="1:12" s="11" customFormat="1" x14ac:dyDescent="0.2">
      <c r="A351" s="54"/>
      <c r="B351" s="150" t="s">
        <v>91</v>
      </c>
      <c r="C351" s="66">
        <v>2</v>
      </c>
      <c r="D351" s="11" t="s">
        <v>139</v>
      </c>
      <c r="E351" s="12">
        <v>4.2699999999999996</v>
      </c>
      <c r="F351" s="11" t="s">
        <v>139</v>
      </c>
      <c r="G351" s="12">
        <v>2.9</v>
      </c>
      <c r="I351" s="12"/>
      <c r="J351" s="69" t="s">
        <v>140</v>
      </c>
      <c r="K351" s="12">
        <f t="shared" si="15"/>
        <v>24.765999999999998</v>
      </c>
      <c r="L351" s="66" t="s">
        <v>49</v>
      </c>
    </row>
    <row r="352" spans="1:12" s="11" customFormat="1" x14ac:dyDescent="0.2">
      <c r="A352" s="54"/>
      <c r="B352" s="150"/>
      <c r="C352" s="66">
        <v>2</v>
      </c>
      <c r="D352" s="11" t="s">
        <v>139</v>
      </c>
      <c r="E352" s="12">
        <v>3.66</v>
      </c>
      <c r="F352" s="11" t="s">
        <v>139</v>
      </c>
      <c r="G352" s="12">
        <v>2.9</v>
      </c>
      <c r="I352" s="12"/>
      <c r="J352" s="69" t="s">
        <v>140</v>
      </c>
      <c r="K352" s="12">
        <f>IF(C352,C352*E352*G352,"")</f>
        <v>21.228000000000002</v>
      </c>
      <c r="L352" s="66" t="s">
        <v>49</v>
      </c>
    </row>
    <row r="353" spans="1:12" s="11" customFormat="1" x14ac:dyDescent="0.2">
      <c r="A353" s="54"/>
      <c r="B353" s="145" t="s">
        <v>93</v>
      </c>
      <c r="C353" s="66">
        <v>2</v>
      </c>
      <c r="D353" s="11" t="s">
        <v>139</v>
      </c>
      <c r="E353" s="12">
        <v>12</v>
      </c>
      <c r="F353" s="11" t="s">
        <v>139</v>
      </c>
      <c r="G353" s="12">
        <v>2.9</v>
      </c>
      <c r="I353" s="12"/>
      <c r="J353" s="69" t="s">
        <v>140</v>
      </c>
      <c r="K353" s="12">
        <f>IF(C353,C353*E353*G353,"")</f>
        <v>69.599999999999994</v>
      </c>
      <c r="L353" s="66" t="s">
        <v>49</v>
      </c>
    </row>
    <row r="354" spans="1:12" s="11" customFormat="1" x14ac:dyDescent="0.2">
      <c r="A354" s="54"/>
      <c r="B354" s="145"/>
      <c r="C354" s="66">
        <v>2</v>
      </c>
      <c r="D354" s="11" t="s">
        <v>139</v>
      </c>
      <c r="E354" s="12">
        <v>3.6</v>
      </c>
      <c r="F354" s="11" t="s">
        <v>139</v>
      </c>
      <c r="G354" s="12">
        <v>2.9</v>
      </c>
      <c r="I354" s="12"/>
      <c r="J354" s="69" t="s">
        <v>140</v>
      </c>
      <c r="K354" s="12">
        <f>IF(C354,C354*E354*G354,"")</f>
        <v>20.88</v>
      </c>
      <c r="L354" s="66" t="s">
        <v>49</v>
      </c>
    </row>
    <row r="355" spans="1:12" s="11" customFormat="1" x14ac:dyDescent="0.2">
      <c r="A355" s="54"/>
      <c r="B355" s="145"/>
      <c r="C355" s="66">
        <v>2</v>
      </c>
      <c r="D355" s="11" t="s">
        <v>139</v>
      </c>
      <c r="E355" s="12">
        <v>4.2</v>
      </c>
      <c r="F355" s="11" t="s">
        <v>139</v>
      </c>
      <c r="G355" s="12">
        <v>2.9</v>
      </c>
      <c r="I355" s="12"/>
      <c r="J355" s="69" t="s">
        <v>140</v>
      </c>
      <c r="K355" s="12">
        <f>IF(C355,C355*E355*G355,"")</f>
        <v>24.36</v>
      </c>
      <c r="L355" s="66" t="s">
        <v>49</v>
      </c>
    </row>
    <row r="356" spans="1:12" s="11" customFormat="1" x14ac:dyDescent="0.2">
      <c r="A356" s="54"/>
      <c r="B356" s="145"/>
      <c r="C356" s="66">
        <v>2</v>
      </c>
      <c r="D356" s="11" t="s">
        <v>139</v>
      </c>
      <c r="E356" s="12">
        <v>3.3</v>
      </c>
      <c r="F356" s="11" t="s">
        <v>139</v>
      </c>
      <c r="G356" s="12">
        <v>2.9</v>
      </c>
      <c r="I356" s="12"/>
      <c r="J356" s="69" t="s">
        <v>140</v>
      </c>
      <c r="K356" s="12">
        <f>IF(C356,C356*E356*G356,"")</f>
        <v>19.139999999999997</v>
      </c>
      <c r="L356" s="66" t="s">
        <v>49</v>
      </c>
    </row>
    <row r="357" spans="1:12" s="11" customFormat="1" ht="30" x14ac:dyDescent="0.2">
      <c r="A357" s="54"/>
      <c r="B357" s="190" t="s">
        <v>111</v>
      </c>
      <c r="C357" s="214">
        <f>SUM(K327:K356)</f>
        <v>635.73800000000006</v>
      </c>
      <c r="D357" s="214"/>
      <c r="E357" s="214"/>
      <c r="F357" s="11" t="s">
        <v>49</v>
      </c>
      <c r="G357" s="12"/>
      <c r="I357" s="12"/>
      <c r="J357" s="69"/>
      <c r="K357" s="12"/>
      <c r="L357" s="66"/>
    </row>
    <row r="358" spans="1:12" s="11" customFormat="1" x14ac:dyDescent="0.2">
      <c r="A358" s="54"/>
      <c r="B358" s="145" t="s">
        <v>259</v>
      </c>
      <c r="C358" s="66">
        <v>1</v>
      </c>
      <c r="D358" s="11" t="s">
        <v>139</v>
      </c>
      <c r="E358" s="65">
        <f>K39</f>
        <v>96.66</v>
      </c>
      <c r="F358" s="48" t="s">
        <v>139</v>
      </c>
      <c r="G358" s="12">
        <v>0.75</v>
      </c>
      <c r="H358" s="48"/>
      <c r="I358" s="65"/>
      <c r="J358" s="76" t="s">
        <v>140</v>
      </c>
      <c r="K358" s="65">
        <f>IF(C358,C358*E358*G358,"")</f>
        <v>72.495000000000005</v>
      </c>
      <c r="L358" s="45" t="s">
        <v>49</v>
      </c>
    </row>
    <row r="359" spans="1:12" s="11" customFormat="1" x14ac:dyDescent="0.2">
      <c r="A359" s="54"/>
      <c r="B359" s="145" t="s">
        <v>259</v>
      </c>
      <c r="C359" s="66">
        <v>1</v>
      </c>
      <c r="D359" s="11" t="s">
        <v>139</v>
      </c>
      <c r="E359" s="65">
        <f>K59</f>
        <v>27.810000000000002</v>
      </c>
      <c r="F359" s="48" t="s">
        <v>139</v>
      </c>
      <c r="G359" s="12">
        <v>0.75</v>
      </c>
      <c r="H359" s="48"/>
      <c r="I359" s="65"/>
      <c r="J359" s="76" t="s">
        <v>140</v>
      </c>
      <c r="K359" s="65">
        <f>IF(C359,C359*E359*G359,"")</f>
        <v>20.857500000000002</v>
      </c>
      <c r="L359" s="45" t="s">
        <v>49</v>
      </c>
    </row>
    <row r="360" spans="1:12" s="11" customFormat="1" x14ac:dyDescent="0.2">
      <c r="A360" s="54"/>
      <c r="B360" s="145"/>
      <c r="C360" s="66"/>
      <c r="E360" s="136"/>
      <c r="F360" s="138"/>
      <c r="G360" s="34" t="s">
        <v>152</v>
      </c>
      <c r="H360" s="138"/>
      <c r="I360" s="136"/>
      <c r="J360" s="139" t="s">
        <v>153</v>
      </c>
      <c r="K360" s="136">
        <f>SUM(K327:K359)</f>
        <v>729.09050000000002</v>
      </c>
      <c r="L360" s="33" t="s">
        <v>49</v>
      </c>
    </row>
    <row r="361" spans="1:12" s="11" customFormat="1" x14ac:dyDescent="0.2">
      <c r="A361" s="54"/>
      <c r="B361" s="190" t="s">
        <v>154</v>
      </c>
      <c r="C361" s="66"/>
      <c r="E361" s="12"/>
      <c r="G361" s="46"/>
      <c r="H361" s="48"/>
      <c r="I361" s="65"/>
      <c r="J361" s="74"/>
      <c r="K361" s="65"/>
      <c r="L361" s="66"/>
    </row>
    <row r="362" spans="1:12" s="11" customFormat="1" x14ac:dyDescent="0.2">
      <c r="A362" s="54"/>
      <c r="B362" s="145" t="s">
        <v>374</v>
      </c>
      <c r="C362" s="66">
        <v>7</v>
      </c>
      <c r="D362" s="11" t="s">
        <v>139</v>
      </c>
      <c r="E362" s="12">
        <v>1.2</v>
      </c>
      <c r="F362" s="11" t="s">
        <v>139</v>
      </c>
      <c r="G362" s="12">
        <v>2.5499999999999998</v>
      </c>
      <c r="I362" s="12"/>
      <c r="J362" s="69" t="s">
        <v>140</v>
      </c>
      <c r="K362" s="12">
        <f t="shared" ref="K362:K376" si="16">IF(C362,C362*E362*G362,"")</f>
        <v>21.419999999999998</v>
      </c>
      <c r="L362" s="66" t="s">
        <v>49</v>
      </c>
    </row>
    <row r="363" spans="1:12" s="11" customFormat="1" x14ac:dyDescent="0.2">
      <c r="A363" s="54"/>
      <c r="B363" s="145" t="s">
        <v>321</v>
      </c>
      <c r="C363" s="66">
        <v>4</v>
      </c>
      <c r="D363" s="11" t="s">
        <v>139</v>
      </c>
      <c r="E363" s="12">
        <v>1.05</v>
      </c>
      <c r="F363" s="11" t="s">
        <v>139</v>
      </c>
      <c r="G363" s="12">
        <v>2.1</v>
      </c>
      <c r="I363" s="12"/>
      <c r="J363" s="69" t="s">
        <v>140</v>
      </c>
      <c r="K363" s="12">
        <f t="shared" si="16"/>
        <v>8.82</v>
      </c>
      <c r="L363" s="66" t="s">
        <v>49</v>
      </c>
    </row>
    <row r="364" spans="1:12" s="11" customFormat="1" x14ac:dyDescent="0.2">
      <c r="A364" s="54"/>
      <c r="B364" s="145" t="s">
        <v>155</v>
      </c>
      <c r="C364" s="66">
        <v>6</v>
      </c>
      <c r="D364" s="11" t="s">
        <v>139</v>
      </c>
      <c r="E364" s="12">
        <v>0.84</v>
      </c>
      <c r="F364" s="11" t="s">
        <v>139</v>
      </c>
      <c r="G364" s="12">
        <v>2.1</v>
      </c>
      <c r="I364" s="12"/>
      <c r="J364" s="69" t="s">
        <v>140</v>
      </c>
      <c r="K364" s="12">
        <f t="shared" si="16"/>
        <v>10.584000000000001</v>
      </c>
      <c r="L364" s="66" t="s">
        <v>49</v>
      </c>
    </row>
    <row r="365" spans="1:12" s="11" customFormat="1" x14ac:dyDescent="0.2">
      <c r="A365" s="54"/>
      <c r="B365" s="145" t="s">
        <v>156</v>
      </c>
      <c r="C365" s="66">
        <v>3</v>
      </c>
      <c r="D365" s="11" t="s">
        <v>139</v>
      </c>
      <c r="E365" s="12">
        <v>0.9</v>
      </c>
      <c r="F365" s="11" t="s">
        <v>139</v>
      </c>
      <c r="G365" s="12">
        <v>2.1</v>
      </c>
      <c r="I365" s="12"/>
      <c r="J365" s="69" t="s">
        <v>140</v>
      </c>
      <c r="K365" s="12">
        <f t="shared" si="16"/>
        <v>5.6700000000000008</v>
      </c>
      <c r="L365" s="66" t="s">
        <v>49</v>
      </c>
    </row>
    <row r="366" spans="1:12" s="11" customFormat="1" x14ac:dyDescent="0.2">
      <c r="A366" s="54"/>
      <c r="B366" s="145" t="s">
        <v>94</v>
      </c>
      <c r="C366" s="66">
        <v>1</v>
      </c>
      <c r="D366" s="11" t="s">
        <v>139</v>
      </c>
      <c r="E366" s="12">
        <v>0.75</v>
      </c>
      <c r="F366" s="11" t="s">
        <v>139</v>
      </c>
      <c r="G366" s="12">
        <v>2.1</v>
      </c>
      <c r="I366" s="12"/>
      <c r="J366" s="69" t="s">
        <v>140</v>
      </c>
      <c r="K366" s="12">
        <f t="shared" si="16"/>
        <v>1.5750000000000002</v>
      </c>
      <c r="L366" s="66" t="s">
        <v>49</v>
      </c>
    </row>
    <row r="367" spans="1:12" s="11" customFormat="1" x14ac:dyDescent="0.2">
      <c r="A367" s="54"/>
      <c r="B367" s="145" t="s">
        <v>375</v>
      </c>
      <c r="C367" s="66">
        <v>7</v>
      </c>
      <c r="D367" s="11" t="s">
        <v>139</v>
      </c>
      <c r="E367" s="12">
        <v>2.1</v>
      </c>
      <c r="F367" s="11" t="s">
        <v>139</v>
      </c>
      <c r="G367" s="12">
        <v>1.8</v>
      </c>
      <c r="I367" s="12"/>
      <c r="J367" s="69" t="s">
        <v>140</v>
      </c>
      <c r="K367" s="12">
        <f t="shared" si="16"/>
        <v>26.46</v>
      </c>
      <c r="L367" s="66" t="s">
        <v>49</v>
      </c>
    </row>
    <row r="368" spans="1:12" s="11" customFormat="1" x14ac:dyDescent="0.2">
      <c r="A368" s="54"/>
      <c r="B368" s="145" t="s">
        <v>322</v>
      </c>
      <c r="C368" s="66">
        <v>8</v>
      </c>
      <c r="D368" s="11" t="s">
        <v>139</v>
      </c>
      <c r="E368" s="12">
        <v>1.5</v>
      </c>
      <c r="F368" s="11" t="s">
        <v>139</v>
      </c>
      <c r="G368" s="12">
        <v>1.8</v>
      </c>
      <c r="I368" s="12"/>
      <c r="J368" s="69" t="s">
        <v>140</v>
      </c>
      <c r="K368" s="12">
        <f t="shared" si="16"/>
        <v>21.6</v>
      </c>
      <c r="L368" s="66" t="s">
        <v>49</v>
      </c>
    </row>
    <row r="369" spans="1:12" s="11" customFormat="1" x14ac:dyDescent="0.2">
      <c r="A369" s="54"/>
      <c r="B369" s="145" t="s">
        <v>95</v>
      </c>
      <c r="C369" s="66">
        <v>10</v>
      </c>
      <c r="D369" s="11" t="s">
        <v>139</v>
      </c>
      <c r="E369" s="12">
        <v>0.9</v>
      </c>
      <c r="F369" s="11" t="s">
        <v>139</v>
      </c>
      <c r="G369" s="12">
        <v>1.8</v>
      </c>
      <c r="I369" s="12"/>
      <c r="J369" s="69" t="s">
        <v>140</v>
      </c>
      <c r="K369" s="12">
        <f t="shared" si="16"/>
        <v>16.2</v>
      </c>
      <c r="L369" s="66" t="s">
        <v>49</v>
      </c>
    </row>
    <row r="370" spans="1:12" s="11" customFormat="1" x14ac:dyDescent="0.2">
      <c r="A370" s="54"/>
      <c r="B370" s="145" t="s">
        <v>376</v>
      </c>
      <c r="C370" s="66">
        <v>2</v>
      </c>
      <c r="D370" s="11" t="s">
        <v>139</v>
      </c>
      <c r="E370" s="12">
        <v>1.05</v>
      </c>
      <c r="F370" s="11" t="s">
        <v>139</v>
      </c>
      <c r="G370" s="12">
        <v>0.75</v>
      </c>
      <c r="I370" s="12"/>
      <c r="J370" s="69" t="s">
        <v>140</v>
      </c>
      <c r="K370" s="12">
        <f t="shared" si="16"/>
        <v>1.5750000000000002</v>
      </c>
      <c r="L370" s="66" t="s">
        <v>49</v>
      </c>
    </row>
    <row r="371" spans="1:12" s="11" customFormat="1" x14ac:dyDescent="0.2">
      <c r="A371" s="54"/>
      <c r="B371" s="145" t="s">
        <v>157</v>
      </c>
      <c r="C371" s="66">
        <v>3</v>
      </c>
      <c r="D371" s="11" t="s">
        <v>139</v>
      </c>
      <c r="E371" s="12">
        <v>0.75</v>
      </c>
      <c r="F371" s="11" t="s">
        <v>139</v>
      </c>
      <c r="G371" s="12">
        <v>0.75</v>
      </c>
      <c r="I371" s="12"/>
      <c r="J371" s="69" t="s">
        <v>140</v>
      </c>
      <c r="K371" s="12">
        <f t="shared" si="16"/>
        <v>1.6875</v>
      </c>
      <c r="L371" s="66" t="s">
        <v>49</v>
      </c>
    </row>
    <row r="372" spans="1:12" s="11" customFormat="1" x14ac:dyDescent="0.2">
      <c r="A372" s="54"/>
      <c r="B372" s="145" t="s">
        <v>96</v>
      </c>
      <c r="C372" s="66">
        <v>3</v>
      </c>
      <c r="D372" s="11" t="s">
        <v>139</v>
      </c>
      <c r="E372" s="12">
        <v>0.6</v>
      </c>
      <c r="F372" s="11" t="s">
        <v>139</v>
      </c>
      <c r="G372" s="12">
        <v>0.6</v>
      </c>
      <c r="I372" s="12"/>
      <c r="J372" s="69" t="s">
        <v>140</v>
      </c>
      <c r="K372" s="12">
        <f t="shared" si="16"/>
        <v>1.0799999999999998</v>
      </c>
      <c r="L372" s="66" t="s">
        <v>49</v>
      </c>
    </row>
    <row r="373" spans="1:12" s="11" customFormat="1" x14ac:dyDescent="0.2">
      <c r="A373" s="54"/>
      <c r="B373" s="145" t="s">
        <v>99</v>
      </c>
      <c r="C373" s="66">
        <v>1</v>
      </c>
      <c r="D373" s="11" t="s">
        <v>139</v>
      </c>
      <c r="E373" s="12">
        <v>2.7</v>
      </c>
      <c r="F373" s="11" t="s">
        <v>139</v>
      </c>
      <c r="G373" s="12">
        <v>2.4</v>
      </c>
      <c r="I373" s="12"/>
      <c r="J373" s="69" t="s">
        <v>140</v>
      </c>
      <c r="K373" s="12">
        <f t="shared" si="16"/>
        <v>6.48</v>
      </c>
      <c r="L373" s="66" t="s">
        <v>49</v>
      </c>
    </row>
    <row r="374" spans="1:12" s="11" customFormat="1" x14ac:dyDescent="0.2">
      <c r="A374" s="54"/>
      <c r="B374" s="145" t="s">
        <v>323</v>
      </c>
      <c r="C374" s="66">
        <v>1</v>
      </c>
      <c r="D374" s="11" t="s">
        <v>139</v>
      </c>
      <c r="E374" s="12">
        <v>3.6</v>
      </c>
      <c r="F374" s="11" t="s">
        <v>139</v>
      </c>
      <c r="G374" s="67">
        <v>2.4</v>
      </c>
      <c r="I374" s="12"/>
      <c r="J374" s="69" t="s">
        <v>140</v>
      </c>
      <c r="K374" s="12">
        <f t="shared" si="16"/>
        <v>8.64</v>
      </c>
      <c r="L374" s="66" t="s">
        <v>49</v>
      </c>
    </row>
    <row r="375" spans="1:12" s="11" customFormat="1" x14ac:dyDescent="0.2">
      <c r="A375" s="54"/>
      <c r="B375" s="145" t="s">
        <v>323</v>
      </c>
      <c r="C375" s="66">
        <v>1</v>
      </c>
      <c r="D375" s="11" t="s">
        <v>139</v>
      </c>
      <c r="E375" s="12">
        <v>4.2</v>
      </c>
      <c r="F375" s="11" t="s">
        <v>139</v>
      </c>
      <c r="G375" s="67">
        <v>2.4</v>
      </c>
      <c r="I375" s="12"/>
      <c r="J375" s="69" t="s">
        <v>140</v>
      </c>
      <c r="K375" s="12">
        <f t="shared" si="16"/>
        <v>10.08</v>
      </c>
      <c r="L375" s="66" t="s">
        <v>49</v>
      </c>
    </row>
    <row r="376" spans="1:12" s="11" customFormat="1" x14ac:dyDescent="0.2">
      <c r="A376" s="54"/>
      <c r="B376" s="145" t="s">
        <v>123</v>
      </c>
      <c r="C376" s="66">
        <v>2</v>
      </c>
      <c r="D376" s="11" t="s">
        <v>139</v>
      </c>
      <c r="E376" s="12">
        <v>0.6</v>
      </c>
      <c r="F376" s="11" t="s">
        <v>139</v>
      </c>
      <c r="G376" s="12">
        <v>2.4</v>
      </c>
      <c r="I376" s="12"/>
      <c r="J376" s="69" t="s">
        <v>140</v>
      </c>
      <c r="K376" s="12">
        <f t="shared" si="16"/>
        <v>2.88</v>
      </c>
      <c r="L376" s="66" t="s">
        <v>49</v>
      </c>
    </row>
    <row r="377" spans="1:12" s="11" customFormat="1" x14ac:dyDescent="0.2">
      <c r="A377" s="54"/>
      <c r="B377" s="145"/>
      <c r="C377" s="66"/>
      <c r="E377" s="136"/>
      <c r="F377" s="138"/>
      <c r="G377" s="34" t="s">
        <v>159</v>
      </c>
      <c r="H377" s="138"/>
      <c r="I377" s="136"/>
      <c r="J377" s="139" t="s">
        <v>150</v>
      </c>
      <c r="K377" s="136">
        <f>SUM(K362:K376)</f>
        <v>144.75149999999999</v>
      </c>
      <c r="L377" s="33" t="s">
        <v>49</v>
      </c>
    </row>
    <row r="378" spans="1:12" s="11" customFormat="1" x14ac:dyDescent="0.2">
      <c r="A378" s="55"/>
      <c r="B378" s="148" t="s">
        <v>258</v>
      </c>
      <c r="C378" s="10"/>
      <c r="D378" s="100">
        <f>K360</f>
        <v>729.09050000000002</v>
      </c>
      <c r="E378" s="15"/>
      <c r="F378" s="42" t="s">
        <v>150</v>
      </c>
      <c r="G378" s="51">
        <f>K377</f>
        <v>144.75149999999999</v>
      </c>
      <c r="H378" s="14"/>
      <c r="J378" s="69" t="s">
        <v>140</v>
      </c>
      <c r="K378" s="12">
        <f>D378-G378</f>
        <v>584.33900000000006</v>
      </c>
      <c r="L378" s="66" t="s">
        <v>49</v>
      </c>
    </row>
    <row r="379" spans="1:12" s="11" customFormat="1" x14ac:dyDescent="0.2">
      <c r="A379" s="55"/>
      <c r="B379" s="148"/>
      <c r="C379" s="10"/>
      <c r="D379" s="100"/>
      <c r="E379" s="15"/>
      <c r="F379" s="42"/>
      <c r="G379" s="15"/>
      <c r="H379" s="14"/>
      <c r="J379" s="69"/>
      <c r="K379" s="12"/>
      <c r="L379" s="66"/>
    </row>
    <row r="380" spans="1:12" s="11" customFormat="1" x14ac:dyDescent="0.2">
      <c r="A380" s="54"/>
      <c r="B380" s="153" t="s">
        <v>160</v>
      </c>
      <c r="C380" s="12"/>
      <c r="D380" s="38"/>
      <c r="E380" s="12"/>
      <c r="F380" s="42"/>
      <c r="G380" s="67"/>
    </row>
    <row r="381" spans="1:12" s="11" customFormat="1" x14ac:dyDescent="0.2">
      <c r="A381" s="54"/>
      <c r="B381" s="145" t="s">
        <v>260</v>
      </c>
      <c r="C381" s="66">
        <v>1</v>
      </c>
      <c r="D381" s="11" t="s">
        <v>139</v>
      </c>
      <c r="E381" s="12">
        <f>E122</f>
        <v>96.66</v>
      </c>
      <c r="F381" s="11" t="s">
        <v>139</v>
      </c>
      <c r="G381" s="12">
        <f>5.5-0.6</f>
        <v>4.9000000000000004</v>
      </c>
      <c r="I381" s="12"/>
      <c r="J381" s="69" t="s">
        <v>140</v>
      </c>
      <c r="K381" s="12">
        <f>IF(C381,C381*E381*G381,"")</f>
        <v>473.63400000000001</v>
      </c>
      <c r="L381" s="66" t="s">
        <v>49</v>
      </c>
    </row>
    <row r="382" spans="1:12" s="11" customFormat="1" x14ac:dyDescent="0.2">
      <c r="A382" s="54"/>
      <c r="B382" s="145" t="s">
        <v>93</v>
      </c>
      <c r="C382" s="66">
        <v>1</v>
      </c>
      <c r="D382" s="11" t="s">
        <v>139</v>
      </c>
      <c r="E382" s="12">
        <f>E359</f>
        <v>27.810000000000002</v>
      </c>
      <c r="F382" s="11" t="s">
        <v>139</v>
      </c>
      <c r="G382" s="12">
        <v>3.9</v>
      </c>
      <c r="I382" s="12"/>
      <c r="J382" s="69" t="s">
        <v>140</v>
      </c>
      <c r="K382" s="12">
        <f>IF(C382,C382*E382*G382,"")</f>
        <v>108.459</v>
      </c>
      <c r="L382" s="66" t="s">
        <v>49</v>
      </c>
    </row>
    <row r="383" spans="1:12" s="11" customFormat="1" x14ac:dyDescent="0.2">
      <c r="A383" s="54"/>
      <c r="B383" s="145" t="s">
        <v>347</v>
      </c>
      <c r="C383" s="66">
        <v>8</v>
      </c>
      <c r="D383" s="11" t="s">
        <v>139</v>
      </c>
      <c r="E383" s="12">
        <v>1.5</v>
      </c>
      <c r="F383" s="11" t="s">
        <v>139</v>
      </c>
      <c r="G383" s="12">
        <v>1.2</v>
      </c>
      <c r="I383" s="12"/>
      <c r="J383" s="69" t="s">
        <v>140</v>
      </c>
      <c r="K383" s="12">
        <f>IF(C383,C383*E383*G383,"")</f>
        <v>14.399999999999999</v>
      </c>
      <c r="L383" s="66" t="s">
        <v>49</v>
      </c>
    </row>
    <row r="384" spans="1:12" s="11" customFormat="1" x14ac:dyDescent="0.2">
      <c r="A384" s="54"/>
      <c r="B384" s="145"/>
      <c r="C384" s="33"/>
      <c r="D384" s="138"/>
      <c r="E384" s="136"/>
      <c r="F384" s="194" t="s">
        <v>161</v>
      </c>
      <c r="G384" s="34"/>
      <c r="H384" s="138"/>
      <c r="I384" s="136"/>
      <c r="J384" s="139" t="s">
        <v>140</v>
      </c>
      <c r="K384" s="136">
        <f>SUM(K381:K383)</f>
        <v>596.49300000000005</v>
      </c>
      <c r="L384" s="33" t="s">
        <v>49</v>
      </c>
    </row>
    <row r="385" spans="1:12" s="11" customFormat="1" x14ac:dyDescent="0.2">
      <c r="A385" s="54"/>
      <c r="B385" s="145"/>
      <c r="C385" s="66"/>
      <c r="E385" s="12"/>
      <c r="F385" s="187"/>
      <c r="G385" s="46"/>
      <c r="H385" s="48"/>
      <c r="I385" s="65"/>
      <c r="J385" s="74"/>
      <c r="K385" s="65"/>
      <c r="L385" s="66"/>
    </row>
    <row r="386" spans="1:12" s="11" customFormat="1" x14ac:dyDescent="0.2">
      <c r="A386" s="55"/>
      <c r="B386" s="148" t="s">
        <v>162</v>
      </c>
      <c r="C386" s="10"/>
      <c r="D386" s="116">
        <f>K378</f>
        <v>584.33900000000006</v>
      </c>
      <c r="E386" s="15"/>
      <c r="F386" s="42" t="s">
        <v>153</v>
      </c>
      <c r="G386" s="51">
        <f>K384</f>
        <v>596.49300000000005</v>
      </c>
      <c r="H386" s="14"/>
      <c r="J386" s="69" t="s">
        <v>140</v>
      </c>
      <c r="K386" s="12">
        <f>D386+G386</f>
        <v>1180.8320000000001</v>
      </c>
      <c r="L386" s="66" t="s">
        <v>49</v>
      </c>
    </row>
    <row r="387" spans="1:12" s="11" customFormat="1" ht="60" x14ac:dyDescent="0.2">
      <c r="A387" s="186">
        <v>16</v>
      </c>
      <c r="B387" s="169" t="s">
        <v>9</v>
      </c>
      <c r="C387" s="12"/>
      <c r="E387" s="12"/>
      <c r="F387" s="59"/>
      <c r="G387" s="67"/>
    </row>
    <row r="388" spans="1:12" s="11" customFormat="1" x14ac:dyDescent="0.2">
      <c r="A388" s="55"/>
      <c r="B388" s="148" t="s">
        <v>182</v>
      </c>
      <c r="C388" s="13"/>
      <c r="D388" s="42"/>
      <c r="E388" s="12"/>
      <c r="F388" s="42"/>
      <c r="G388" s="46"/>
      <c r="H388" s="48"/>
      <c r="I388" s="48"/>
      <c r="J388" s="74" t="s">
        <v>140</v>
      </c>
      <c r="K388" s="65">
        <f>C206</f>
        <v>40.927499999999995</v>
      </c>
      <c r="L388" s="48" t="s">
        <v>49</v>
      </c>
    </row>
    <row r="389" spans="1:12" s="11" customFormat="1" x14ac:dyDescent="0.2">
      <c r="A389" s="55"/>
      <c r="B389" s="148" t="s">
        <v>180</v>
      </c>
      <c r="C389" s="12"/>
      <c r="D389" s="38"/>
      <c r="E389" s="12"/>
      <c r="F389" s="42"/>
      <c r="G389" s="46"/>
      <c r="H389" s="48"/>
      <c r="I389" s="48"/>
      <c r="J389" s="74" t="s">
        <v>140</v>
      </c>
      <c r="K389" s="65">
        <f>C251</f>
        <v>254.59109999999993</v>
      </c>
      <c r="L389" s="48" t="s">
        <v>49</v>
      </c>
    </row>
    <row r="390" spans="1:12" s="11" customFormat="1" x14ac:dyDescent="0.2">
      <c r="A390" s="54"/>
      <c r="B390" s="145"/>
      <c r="C390" s="66"/>
      <c r="E390" s="136"/>
      <c r="F390" s="138"/>
      <c r="G390" s="34" t="s">
        <v>144</v>
      </c>
      <c r="H390" s="138"/>
      <c r="I390" s="136"/>
      <c r="J390" s="139" t="s">
        <v>140</v>
      </c>
      <c r="K390" s="136">
        <f>SUM(K388:K389)</f>
        <v>295.51859999999994</v>
      </c>
      <c r="L390" s="33" t="s">
        <v>49</v>
      </c>
    </row>
    <row r="391" spans="1:12" s="11" customFormat="1" ht="30" x14ac:dyDescent="0.2">
      <c r="A391" s="55">
        <v>17</v>
      </c>
      <c r="B391" s="145" t="s">
        <v>54</v>
      </c>
      <c r="C391" s="12"/>
      <c r="D391" s="38"/>
      <c r="E391" s="12"/>
      <c r="F391" s="38"/>
      <c r="G391" s="67"/>
    </row>
    <row r="392" spans="1:12" s="11" customFormat="1" x14ac:dyDescent="0.2">
      <c r="A392" s="54"/>
      <c r="B392" s="145" t="s">
        <v>169</v>
      </c>
      <c r="C392" s="15">
        <f>K90</f>
        <v>71.695859999999996</v>
      </c>
      <c r="D392" s="14"/>
      <c r="E392" s="14"/>
      <c r="F392" s="11" t="s">
        <v>139</v>
      </c>
      <c r="G392" s="12">
        <v>0.23</v>
      </c>
      <c r="H392" s="141" t="s">
        <v>151</v>
      </c>
      <c r="I392" s="12">
        <v>1.2</v>
      </c>
      <c r="J392" s="69" t="s">
        <v>140</v>
      </c>
      <c r="K392" s="12">
        <f>C392*G392/I392</f>
        <v>13.741706499999999</v>
      </c>
      <c r="L392" s="11" t="s">
        <v>42</v>
      </c>
    </row>
    <row r="393" spans="1:12" s="11" customFormat="1" x14ac:dyDescent="0.2">
      <c r="A393" s="54"/>
      <c r="B393" s="145"/>
      <c r="C393" s="15"/>
      <c r="D393" s="14"/>
      <c r="E393" s="14"/>
      <c r="G393" s="12"/>
      <c r="H393" s="141"/>
      <c r="I393" s="12"/>
      <c r="J393" s="69"/>
      <c r="K393" s="12"/>
    </row>
    <row r="394" spans="1:12" s="11" customFormat="1" ht="210" x14ac:dyDescent="0.2">
      <c r="A394" s="55">
        <v>18</v>
      </c>
      <c r="B394" s="170" t="s">
        <v>389</v>
      </c>
      <c r="C394" s="12"/>
      <c r="E394" s="12"/>
      <c r="F394" s="59"/>
      <c r="G394" s="67"/>
    </row>
    <row r="395" spans="1:12" s="11" customFormat="1" ht="15.75" x14ac:dyDescent="0.25">
      <c r="A395" s="54"/>
      <c r="B395" s="151" t="s">
        <v>374</v>
      </c>
      <c r="C395" s="201">
        <v>7</v>
      </c>
      <c r="D395" s="59" t="s">
        <v>170</v>
      </c>
      <c r="E395" s="12">
        <v>1.5</v>
      </c>
      <c r="F395" s="59" t="s">
        <v>153</v>
      </c>
      <c r="G395" s="67">
        <v>2.6</v>
      </c>
      <c r="H395" s="59" t="s">
        <v>153</v>
      </c>
      <c r="I395" s="12">
        <v>2.6</v>
      </c>
      <c r="J395" s="59" t="s">
        <v>171</v>
      </c>
      <c r="K395" s="12">
        <f>C395*(E395+G395+I395)</f>
        <v>46.899999999999991</v>
      </c>
      <c r="L395" s="66" t="s">
        <v>59</v>
      </c>
    </row>
    <row r="396" spans="1:12" s="11" customFormat="1" ht="15.75" x14ac:dyDescent="0.25">
      <c r="A396" s="54"/>
      <c r="B396" s="151" t="s">
        <v>321</v>
      </c>
      <c r="C396" s="201">
        <v>4</v>
      </c>
      <c r="D396" s="59" t="s">
        <v>170</v>
      </c>
      <c r="E396" s="12">
        <v>1.35</v>
      </c>
      <c r="F396" s="59" t="s">
        <v>153</v>
      </c>
      <c r="G396" s="46">
        <v>2.15</v>
      </c>
      <c r="H396" s="74" t="s">
        <v>153</v>
      </c>
      <c r="I396" s="65">
        <v>2.15</v>
      </c>
      <c r="J396" s="74" t="s">
        <v>171</v>
      </c>
      <c r="K396" s="12">
        <f>C396*(E396+G396+I396)</f>
        <v>22.6</v>
      </c>
      <c r="L396" s="45" t="s">
        <v>59</v>
      </c>
    </row>
    <row r="397" spans="1:12" s="11" customFormat="1" ht="15.75" x14ac:dyDescent="0.25">
      <c r="A397" s="54"/>
      <c r="B397" s="151" t="s">
        <v>155</v>
      </c>
      <c r="C397" s="201">
        <v>6</v>
      </c>
      <c r="D397" s="59" t="s">
        <v>170</v>
      </c>
      <c r="E397" s="12">
        <v>1.1399999999999999</v>
      </c>
      <c r="F397" s="59" t="s">
        <v>153</v>
      </c>
      <c r="G397" s="46">
        <v>2.15</v>
      </c>
      <c r="H397" s="74" t="s">
        <v>153</v>
      </c>
      <c r="I397" s="65">
        <v>2.15</v>
      </c>
      <c r="J397" s="74" t="s">
        <v>171</v>
      </c>
      <c r="K397" s="12">
        <f>C397*(E397+G397+I397)</f>
        <v>32.64</v>
      </c>
      <c r="L397" s="45" t="s">
        <v>59</v>
      </c>
    </row>
    <row r="398" spans="1:12" s="11" customFormat="1" ht="15.75" customHeight="1" x14ac:dyDescent="0.25">
      <c r="A398" s="54"/>
      <c r="B398" s="151" t="s">
        <v>156</v>
      </c>
      <c r="C398" s="201">
        <v>3</v>
      </c>
      <c r="D398" s="59" t="s">
        <v>170</v>
      </c>
      <c r="E398" s="12">
        <v>1.2</v>
      </c>
      <c r="F398" s="59" t="s">
        <v>153</v>
      </c>
      <c r="G398" s="46">
        <v>2.15</v>
      </c>
      <c r="H398" s="74" t="s">
        <v>153</v>
      </c>
      <c r="I398" s="65">
        <v>2.15</v>
      </c>
      <c r="J398" s="74" t="s">
        <v>171</v>
      </c>
      <c r="K398" s="12">
        <f>C398*(E398+G398+I398)</f>
        <v>16.5</v>
      </c>
      <c r="L398" s="45" t="s">
        <v>59</v>
      </c>
    </row>
    <row r="399" spans="1:12" s="11" customFormat="1" ht="15.75" x14ac:dyDescent="0.25">
      <c r="A399" s="54"/>
      <c r="B399" s="151" t="s">
        <v>94</v>
      </c>
      <c r="C399" s="201">
        <v>1</v>
      </c>
      <c r="D399" s="59" t="s">
        <v>170</v>
      </c>
      <c r="E399" s="12">
        <v>1.05</v>
      </c>
      <c r="F399" s="59" t="s">
        <v>153</v>
      </c>
      <c r="G399" s="46">
        <v>2.15</v>
      </c>
      <c r="H399" s="74" t="s">
        <v>153</v>
      </c>
      <c r="I399" s="65">
        <v>2.15</v>
      </c>
      <c r="J399" s="59" t="s">
        <v>171</v>
      </c>
      <c r="K399" s="12">
        <f>C399*(E399+G399+I399)</f>
        <v>5.35</v>
      </c>
      <c r="L399" s="66" t="s">
        <v>59</v>
      </c>
    </row>
    <row r="400" spans="1:12" s="11" customFormat="1" x14ac:dyDescent="0.2">
      <c r="A400" s="54"/>
      <c r="B400" s="145"/>
      <c r="C400" s="66"/>
      <c r="E400" s="12"/>
      <c r="G400" s="34" t="s">
        <v>144</v>
      </c>
      <c r="H400" s="138"/>
      <c r="I400" s="136"/>
      <c r="J400" s="138"/>
      <c r="K400" s="136">
        <f>SUM(K395:K399)</f>
        <v>123.99</v>
      </c>
      <c r="L400" s="33" t="s">
        <v>59</v>
      </c>
    </row>
    <row r="401" spans="1:12" s="11" customFormat="1" x14ac:dyDescent="0.2">
      <c r="A401" s="54"/>
      <c r="B401" s="145"/>
      <c r="C401" s="66"/>
      <c r="E401" s="12">
        <f>K400</f>
        <v>123.99</v>
      </c>
      <c r="F401" s="11" t="s">
        <v>59</v>
      </c>
      <c r="G401" s="46"/>
      <c r="H401" s="205" t="s">
        <v>4</v>
      </c>
      <c r="I401" s="65"/>
      <c r="J401" s="48"/>
      <c r="K401" s="65">
        <f>E401*6.15</f>
        <v>762.5385</v>
      </c>
      <c r="L401" s="66" t="s">
        <v>52</v>
      </c>
    </row>
    <row r="402" spans="1:12" s="11" customFormat="1" ht="300" x14ac:dyDescent="0.2">
      <c r="A402" s="55">
        <v>19</v>
      </c>
      <c r="B402" s="145" t="s">
        <v>390</v>
      </c>
      <c r="C402" s="12"/>
      <c r="D402" s="38"/>
      <c r="E402" s="12"/>
      <c r="F402" s="42"/>
      <c r="G402" s="67"/>
    </row>
    <row r="403" spans="1:12" s="68" customFormat="1" ht="15.75" x14ac:dyDescent="0.25">
      <c r="A403" s="80"/>
      <c r="B403" s="151" t="s">
        <v>375</v>
      </c>
      <c r="C403" s="201">
        <v>7</v>
      </c>
      <c r="D403" s="68" t="s">
        <v>139</v>
      </c>
      <c r="E403" s="75">
        <v>2.1</v>
      </c>
      <c r="F403" s="68" t="s">
        <v>139</v>
      </c>
      <c r="G403" s="75">
        <v>1.8</v>
      </c>
      <c r="I403" s="75"/>
      <c r="J403" s="202" t="s">
        <v>140</v>
      </c>
      <c r="K403" s="75">
        <f t="shared" ref="K403:K408" si="17">IF(C403,C403*E403*G403,"")</f>
        <v>26.46</v>
      </c>
      <c r="L403" s="201" t="s">
        <v>49</v>
      </c>
    </row>
    <row r="404" spans="1:12" s="68" customFormat="1" ht="15.75" x14ac:dyDescent="0.25">
      <c r="A404" s="80"/>
      <c r="B404" s="151" t="s">
        <v>322</v>
      </c>
      <c r="C404" s="201">
        <v>8</v>
      </c>
      <c r="D404" s="68" t="s">
        <v>139</v>
      </c>
      <c r="E404" s="75">
        <v>1.5</v>
      </c>
      <c r="F404" s="68" t="s">
        <v>139</v>
      </c>
      <c r="G404" s="75">
        <v>1.8</v>
      </c>
      <c r="I404" s="75"/>
      <c r="J404" s="202" t="s">
        <v>140</v>
      </c>
      <c r="K404" s="75">
        <f t="shared" si="17"/>
        <v>21.6</v>
      </c>
      <c r="L404" s="201" t="s">
        <v>49</v>
      </c>
    </row>
    <row r="405" spans="1:12" s="68" customFormat="1" ht="15.75" x14ac:dyDescent="0.25">
      <c r="A405" s="80"/>
      <c r="B405" s="151" t="s">
        <v>95</v>
      </c>
      <c r="C405" s="201">
        <v>10</v>
      </c>
      <c r="D405" s="68" t="s">
        <v>139</v>
      </c>
      <c r="E405" s="75">
        <v>0.9</v>
      </c>
      <c r="F405" s="68" t="s">
        <v>139</v>
      </c>
      <c r="G405" s="75">
        <v>1.8</v>
      </c>
      <c r="I405" s="75"/>
      <c r="J405" s="202" t="s">
        <v>140</v>
      </c>
      <c r="K405" s="75">
        <f t="shared" si="17"/>
        <v>16.2</v>
      </c>
      <c r="L405" s="201" t="s">
        <v>49</v>
      </c>
    </row>
    <row r="406" spans="1:12" s="68" customFormat="1" ht="15.75" x14ac:dyDescent="0.25">
      <c r="A406" s="80"/>
      <c r="B406" s="151" t="s">
        <v>376</v>
      </c>
      <c r="C406" s="201">
        <v>2</v>
      </c>
      <c r="D406" s="68" t="s">
        <v>139</v>
      </c>
      <c r="E406" s="75">
        <v>1.05</v>
      </c>
      <c r="F406" s="68" t="s">
        <v>139</v>
      </c>
      <c r="G406" s="75">
        <v>0.75</v>
      </c>
      <c r="I406" s="75"/>
      <c r="J406" s="202" t="s">
        <v>140</v>
      </c>
      <c r="K406" s="75">
        <f t="shared" si="17"/>
        <v>1.5750000000000002</v>
      </c>
      <c r="L406" s="201" t="s">
        <v>49</v>
      </c>
    </row>
    <row r="407" spans="1:12" s="68" customFormat="1" ht="15.75" x14ac:dyDescent="0.25">
      <c r="A407" s="80"/>
      <c r="B407" s="151" t="s">
        <v>157</v>
      </c>
      <c r="C407" s="201">
        <v>3</v>
      </c>
      <c r="D407" s="68" t="s">
        <v>139</v>
      </c>
      <c r="E407" s="75">
        <v>0.75</v>
      </c>
      <c r="F407" s="68" t="s">
        <v>139</v>
      </c>
      <c r="G407" s="75">
        <v>0.75</v>
      </c>
      <c r="I407" s="75"/>
      <c r="J407" s="202" t="s">
        <v>140</v>
      </c>
      <c r="K407" s="75">
        <f t="shared" si="17"/>
        <v>1.6875</v>
      </c>
      <c r="L407" s="201" t="s">
        <v>49</v>
      </c>
    </row>
    <row r="408" spans="1:12" s="68" customFormat="1" ht="15.75" x14ac:dyDescent="0.25">
      <c r="A408" s="80"/>
      <c r="B408" s="151" t="s">
        <v>96</v>
      </c>
      <c r="C408" s="201">
        <v>3</v>
      </c>
      <c r="D408" s="68" t="s">
        <v>139</v>
      </c>
      <c r="E408" s="75">
        <v>0.6</v>
      </c>
      <c r="F408" s="68" t="s">
        <v>139</v>
      </c>
      <c r="G408" s="75">
        <v>0.6</v>
      </c>
      <c r="I408" s="75"/>
      <c r="J408" s="202" t="s">
        <v>140</v>
      </c>
      <c r="K408" s="75">
        <f t="shared" si="17"/>
        <v>1.0799999999999998</v>
      </c>
      <c r="L408" s="201" t="s">
        <v>49</v>
      </c>
    </row>
    <row r="409" spans="1:12" s="11" customFormat="1" x14ac:dyDescent="0.2">
      <c r="A409" s="54"/>
      <c r="B409" s="145"/>
      <c r="C409" s="66"/>
      <c r="E409" s="12"/>
      <c r="G409" s="34" t="s">
        <v>144</v>
      </c>
      <c r="H409" s="138"/>
      <c r="I409" s="136"/>
      <c r="J409" s="138"/>
      <c r="K409" s="136">
        <f>SUM(K403:K408)</f>
        <v>68.602500000000006</v>
      </c>
      <c r="L409" s="33" t="s">
        <v>49</v>
      </c>
    </row>
    <row r="410" spans="1:12" s="11" customFormat="1" x14ac:dyDescent="0.2">
      <c r="A410" s="55"/>
      <c r="B410" s="148"/>
      <c r="C410" s="12"/>
      <c r="E410" s="12"/>
      <c r="F410" s="59"/>
      <c r="G410" s="67"/>
    </row>
    <row r="411" spans="1:12" s="11" customFormat="1" ht="30" x14ac:dyDescent="0.2">
      <c r="A411" s="55">
        <f>A402+1</f>
        <v>20</v>
      </c>
      <c r="B411" s="145" t="s">
        <v>55</v>
      </c>
      <c r="C411" s="12"/>
      <c r="D411" s="38"/>
      <c r="E411" s="12"/>
      <c r="F411" s="42"/>
      <c r="G411" s="67"/>
    </row>
    <row r="412" spans="1:12" s="11" customFormat="1" ht="15.75" x14ac:dyDescent="0.25">
      <c r="A412" s="54"/>
      <c r="B412" s="151" t="s">
        <v>375</v>
      </c>
      <c r="C412" s="201">
        <v>7</v>
      </c>
      <c r="D412" s="68" t="s">
        <v>139</v>
      </c>
      <c r="E412" s="75">
        <v>2.1</v>
      </c>
      <c r="F412" s="11" t="s">
        <v>139</v>
      </c>
      <c r="G412" s="50">
        <v>16</v>
      </c>
      <c r="H412" s="88" t="s">
        <v>172</v>
      </c>
      <c r="I412" s="12">
        <v>1.1299999999999999</v>
      </c>
      <c r="J412" s="69" t="s">
        <v>140</v>
      </c>
      <c r="K412" s="12">
        <f t="shared" ref="K412:K417" si="18">C412*E412*G412*I412</f>
        <v>265.77600000000001</v>
      </c>
      <c r="L412" s="66" t="s">
        <v>52</v>
      </c>
    </row>
    <row r="413" spans="1:12" s="11" customFormat="1" ht="15.75" x14ac:dyDescent="0.25">
      <c r="A413" s="54"/>
      <c r="B413" s="151" t="s">
        <v>322</v>
      </c>
      <c r="C413" s="201">
        <v>8</v>
      </c>
      <c r="D413" s="68" t="s">
        <v>139</v>
      </c>
      <c r="E413" s="75">
        <v>1.5</v>
      </c>
      <c r="F413" s="11" t="s">
        <v>139</v>
      </c>
      <c r="G413" s="50">
        <v>16</v>
      </c>
      <c r="H413" s="88" t="s">
        <v>172</v>
      </c>
      <c r="I413" s="12">
        <v>1.1299999999999999</v>
      </c>
      <c r="J413" s="69" t="s">
        <v>140</v>
      </c>
      <c r="K413" s="12">
        <f t="shared" si="18"/>
        <v>216.95999999999998</v>
      </c>
      <c r="L413" s="66" t="s">
        <v>52</v>
      </c>
    </row>
    <row r="414" spans="1:12" s="11" customFormat="1" ht="15.75" x14ac:dyDescent="0.25">
      <c r="A414" s="54"/>
      <c r="B414" s="151" t="s">
        <v>95</v>
      </c>
      <c r="C414" s="201">
        <v>10</v>
      </c>
      <c r="D414" s="68" t="s">
        <v>139</v>
      </c>
      <c r="E414" s="75">
        <v>0.9</v>
      </c>
      <c r="F414" s="11" t="s">
        <v>139</v>
      </c>
      <c r="G414" s="50">
        <v>16</v>
      </c>
      <c r="H414" s="88" t="s">
        <v>172</v>
      </c>
      <c r="I414" s="12">
        <v>1.1299999999999999</v>
      </c>
      <c r="J414" s="69" t="s">
        <v>140</v>
      </c>
      <c r="K414" s="12">
        <f t="shared" si="18"/>
        <v>162.71999999999997</v>
      </c>
      <c r="L414" s="66" t="s">
        <v>52</v>
      </c>
    </row>
    <row r="415" spans="1:12" s="11" customFormat="1" ht="15.75" x14ac:dyDescent="0.25">
      <c r="A415" s="54"/>
      <c r="B415" s="151" t="s">
        <v>376</v>
      </c>
      <c r="C415" s="201">
        <v>2</v>
      </c>
      <c r="D415" s="68" t="s">
        <v>139</v>
      </c>
      <c r="E415" s="75">
        <v>1.05</v>
      </c>
      <c r="F415" s="11" t="s">
        <v>139</v>
      </c>
      <c r="G415" s="50">
        <v>7</v>
      </c>
      <c r="H415" s="88" t="s">
        <v>172</v>
      </c>
      <c r="I415" s="12">
        <v>1.1299999999999999</v>
      </c>
      <c r="J415" s="69" t="s">
        <v>140</v>
      </c>
      <c r="K415" s="12">
        <f t="shared" si="18"/>
        <v>16.611000000000001</v>
      </c>
      <c r="L415" s="66" t="s">
        <v>52</v>
      </c>
    </row>
    <row r="416" spans="1:12" s="11" customFormat="1" ht="15.75" x14ac:dyDescent="0.25">
      <c r="A416" s="54"/>
      <c r="B416" s="151" t="s">
        <v>157</v>
      </c>
      <c r="C416" s="201">
        <v>3</v>
      </c>
      <c r="D416" s="68" t="s">
        <v>139</v>
      </c>
      <c r="E416" s="75">
        <v>0.75</v>
      </c>
      <c r="F416" s="11" t="s">
        <v>139</v>
      </c>
      <c r="G416" s="50">
        <v>7</v>
      </c>
      <c r="H416" s="88" t="s">
        <v>172</v>
      </c>
      <c r="I416" s="12">
        <v>1.1299999999999999</v>
      </c>
      <c r="J416" s="69" t="s">
        <v>140</v>
      </c>
      <c r="K416" s="12">
        <f t="shared" si="18"/>
        <v>17.797499999999999</v>
      </c>
      <c r="L416" s="66" t="s">
        <v>52</v>
      </c>
    </row>
    <row r="417" spans="1:12" s="11" customFormat="1" ht="15.75" x14ac:dyDescent="0.25">
      <c r="A417" s="54"/>
      <c r="B417" s="151" t="s">
        <v>96</v>
      </c>
      <c r="C417" s="201">
        <v>3</v>
      </c>
      <c r="D417" s="68" t="s">
        <v>139</v>
      </c>
      <c r="E417" s="75">
        <v>0.6</v>
      </c>
      <c r="F417" s="11" t="s">
        <v>139</v>
      </c>
      <c r="G417" s="50">
        <v>5</v>
      </c>
      <c r="H417" s="88" t="s">
        <v>172</v>
      </c>
      <c r="I417" s="12">
        <v>1.1299999999999999</v>
      </c>
      <c r="J417" s="69" t="s">
        <v>140</v>
      </c>
      <c r="K417" s="12">
        <f t="shared" si="18"/>
        <v>10.169999999999998</v>
      </c>
      <c r="L417" s="66" t="s">
        <v>52</v>
      </c>
    </row>
    <row r="418" spans="1:12" s="11" customFormat="1" x14ac:dyDescent="0.2">
      <c r="A418" s="54"/>
      <c r="B418" s="145"/>
      <c r="C418" s="66"/>
      <c r="E418" s="12"/>
      <c r="G418" s="34" t="s">
        <v>144</v>
      </c>
      <c r="H418" s="138"/>
      <c r="I418" s="136"/>
      <c r="J418" s="138"/>
      <c r="K418" s="136">
        <f>SUM(K412:K417)</f>
        <v>690.03449999999987</v>
      </c>
      <c r="L418" s="33" t="s">
        <v>52</v>
      </c>
    </row>
    <row r="419" spans="1:12" s="11" customFormat="1" ht="75" x14ac:dyDescent="0.2">
      <c r="A419" s="55">
        <f>A411+1</f>
        <v>21</v>
      </c>
      <c r="B419" s="145" t="s">
        <v>56</v>
      </c>
      <c r="C419" s="12"/>
      <c r="D419" s="38"/>
      <c r="E419" s="12"/>
      <c r="F419" s="42"/>
      <c r="G419" s="67"/>
    </row>
    <row r="420" spans="1:12" s="11" customFormat="1" x14ac:dyDescent="0.2">
      <c r="A420" s="54"/>
      <c r="B420" s="148" t="s">
        <v>173</v>
      </c>
      <c r="C420" s="15">
        <f>K409</f>
        <v>68.602500000000006</v>
      </c>
      <c r="D420" s="14"/>
      <c r="E420" s="14"/>
      <c r="F420" s="11" t="s">
        <v>139</v>
      </c>
      <c r="G420" s="214">
        <v>0.8</v>
      </c>
      <c r="H420" s="214"/>
      <c r="I420" s="12"/>
      <c r="K420" s="12">
        <f>C420*G420</f>
        <v>54.882000000000005</v>
      </c>
      <c r="L420" s="66" t="s">
        <v>49</v>
      </c>
    </row>
    <row r="421" spans="1:12" s="11" customFormat="1" ht="105" x14ac:dyDescent="0.2">
      <c r="A421" s="55">
        <f>A419+1</f>
        <v>22</v>
      </c>
      <c r="B421" s="148" t="s">
        <v>57</v>
      </c>
      <c r="C421" s="12"/>
      <c r="D421" s="38"/>
      <c r="E421" s="12"/>
      <c r="F421" s="42"/>
      <c r="G421" s="67"/>
    </row>
    <row r="422" spans="1:12" s="11" customFormat="1" x14ac:dyDescent="0.2">
      <c r="A422" s="55"/>
      <c r="B422" s="145" t="s">
        <v>238</v>
      </c>
      <c r="C422" s="12"/>
      <c r="D422" s="38"/>
      <c r="E422" s="65"/>
      <c r="F422" s="175"/>
      <c r="G422" s="46"/>
      <c r="H422" s="48"/>
      <c r="I422" s="48"/>
      <c r="J422" s="48"/>
      <c r="K422" s="48"/>
      <c r="L422" s="48"/>
    </row>
    <row r="423" spans="1:12" s="11" customFormat="1" x14ac:dyDescent="0.2">
      <c r="A423" s="54"/>
      <c r="B423" s="145" t="s">
        <v>174</v>
      </c>
      <c r="C423" s="66">
        <v>51</v>
      </c>
      <c r="D423" s="11" t="s">
        <v>139</v>
      </c>
      <c r="E423" s="65">
        <v>1.2</v>
      </c>
      <c r="F423" s="206" t="s">
        <v>175</v>
      </c>
      <c r="G423" s="65">
        <f>0.2*0.002*7850</f>
        <v>3.14</v>
      </c>
      <c r="H423" s="48"/>
      <c r="I423" s="48"/>
      <c r="J423" s="76" t="s">
        <v>140</v>
      </c>
      <c r="K423" s="65">
        <f>C423*E423*G423</f>
        <v>192.16800000000001</v>
      </c>
      <c r="L423" s="45" t="s">
        <v>52</v>
      </c>
    </row>
    <row r="424" spans="1:12" s="11" customFormat="1" x14ac:dyDescent="0.2">
      <c r="A424" s="54"/>
      <c r="B424" s="145"/>
      <c r="C424" s="66">
        <v>51</v>
      </c>
      <c r="D424" s="11" t="s">
        <v>139</v>
      </c>
      <c r="E424" s="65">
        <v>0.05</v>
      </c>
      <c r="F424" s="206" t="s">
        <v>175</v>
      </c>
      <c r="G424" s="65">
        <f>0.2*0.002*7850</f>
        <v>3.14</v>
      </c>
      <c r="H424" s="48"/>
      <c r="I424" s="48"/>
      <c r="J424" s="76" t="s">
        <v>140</v>
      </c>
      <c r="K424" s="65">
        <f>C424*E424*G424</f>
        <v>8.0070000000000014</v>
      </c>
      <c r="L424" s="45" t="s">
        <v>52</v>
      </c>
    </row>
    <row r="425" spans="1:12" s="11" customFormat="1" x14ac:dyDescent="0.2">
      <c r="A425" s="54"/>
      <c r="B425" s="145" t="s">
        <v>176</v>
      </c>
      <c r="C425" s="66">
        <v>2</v>
      </c>
      <c r="D425" s="11" t="s">
        <v>139</v>
      </c>
      <c r="E425" s="65">
        <v>9.4499999999999993</v>
      </c>
      <c r="F425" s="206" t="s">
        <v>175</v>
      </c>
      <c r="G425" s="65">
        <f>0.05*0.005*7850</f>
        <v>1.9625000000000001</v>
      </c>
      <c r="H425" s="206"/>
      <c r="I425" s="65"/>
      <c r="J425" s="76" t="s">
        <v>140</v>
      </c>
      <c r="K425" s="65">
        <f>C425*E425*G425</f>
        <v>37.091250000000002</v>
      </c>
      <c r="L425" s="45" t="s">
        <v>52</v>
      </c>
    </row>
    <row r="426" spans="1:12" s="11" customFormat="1" x14ac:dyDescent="0.2">
      <c r="A426" s="55"/>
      <c r="B426" s="145" t="s">
        <v>109</v>
      </c>
      <c r="C426" s="12"/>
      <c r="D426" s="38"/>
      <c r="E426" s="65"/>
      <c r="F426" s="175"/>
      <c r="G426" s="46"/>
      <c r="H426" s="48"/>
      <c r="I426" s="48"/>
      <c r="J426" s="48"/>
      <c r="K426" s="48"/>
      <c r="L426" s="48"/>
    </row>
    <row r="427" spans="1:12" s="11" customFormat="1" x14ac:dyDescent="0.2">
      <c r="A427" s="54"/>
      <c r="B427" s="145" t="s">
        <v>174</v>
      </c>
      <c r="C427" s="66">
        <v>80</v>
      </c>
      <c r="D427" s="11" t="s">
        <v>139</v>
      </c>
      <c r="E427" s="65">
        <v>0.9</v>
      </c>
      <c r="F427" s="206" t="s">
        <v>175</v>
      </c>
      <c r="G427" s="65">
        <f>0.2*0.002*7850</f>
        <v>3.14</v>
      </c>
      <c r="H427" s="48"/>
      <c r="I427" s="48"/>
      <c r="J427" s="76" t="s">
        <v>140</v>
      </c>
      <c r="K427" s="65">
        <f>C427*E427*G427</f>
        <v>226.08</v>
      </c>
      <c r="L427" s="45" t="s">
        <v>52</v>
      </c>
    </row>
    <row r="428" spans="1:12" s="11" customFormat="1" x14ac:dyDescent="0.2">
      <c r="A428" s="54"/>
      <c r="B428" s="145"/>
      <c r="C428" s="66">
        <v>80</v>
      </c>
      <c r="D428" s="11" t="s">
        <v>139</v>
      </c>
      <c r="E428" s="12">
        <v>0.05</v>
      </c>
      <c r="F428" s="88" t="s">
        <v>175</v>
      </c>
      <c r="G428" s="12">
        <f>0.2*0.002*7850</f>
        <v>3.14</v>
      </c>
      <c r="J428" s="69" t="s">
        <v>140</v>
      </c>
      <c r="K428" s="12">
        <f>C428*E428*G428</f>
        <v>12.56</v>
      </c>
      <c r="L428" s="66" t="s">
        <v>52</v>
      </c>
    </row>
    <row r="429" spans="1:12" s="11" customFormat="1" x14ac:dyDescent="0.2">
      <c r="A429" s="54"/>
      <c r="B429" s="145" t="s">
        <v>176</v>
      </c>
      <c r="C429" s="66">
        <v>3</v>
      </c>
      <c r="D429" s="11" t="s">
        <v>139</v>
      </c>
      <c r="E429" s="12">
        <v>6</v>
      </c>
      <c r="F429" s="88" t="s">
        <v>175</v>
      </c>
      <c r="G429" s="71">
        <f>0.05*0.005*7850</f>
        <v>1.9625000000000001</v>
      </c>
      <c r="H429" s="98"/>
      <c r="I429" s="71"/>
      <c r="J429" s="72" t="s">
        <v>140</v>
      </c>
      <c r="K429" s="71">
        <f>C429*E429*G429</f>
        <v>35.325000000000003</v>
      </c>
      <c r="L429" s="82" t="s">
        <v>52</v>
      </c>
    </row>
    <row r="430" spans="1:12" s="11" customFormat="1" x14ac:dyDescent="0.2">
      <c r="A430" s="54"/>
      <c r="B430" s="145"/>
      <c r="C430" s="66"/>
      <c r="E430" s="12"/>
      <c r="G430" s="34" t="s">
        <v>144</v>
      </c>
      <c r="H430" s="138"/>
      <c r="I430" s="136"/>
      <c r="J430" s="138"/>
      <c r="K430" s="136">
        <f>SUM(K423:K429)</f>
        <v>511.23125000000005</v>
      </c>
      <c r="L430" s="33" t="s">
        <v>52</v>
      </c>
    </row>
    <row r="431" spans="1:12" s="11" customFormat="1" ht="90" x14ac:dyDescent="0.2">
      <c r="A431" s="55">
        <f>A421+1</f>
        <v>23</v>
      </c>
      <c r="B431" s="148" t="s">
        <v>28</v>
      </c>
      <c r="C431" s="12"/>
      <c r="D431" s="38"/>
      <c r="E431" s="12"/>
      <c r="F431" s="38"/>
      <c r="G431" s="67"/>
    </row>
    <row r="432" spans="1:12" s="11" customFormat="1" x14ac:dyDescent="0.2">
      <c r="A432" s="54"/>
      <c r="B432" s="145" t="s">
        <v>169</v>
      </c>
      <c r="C432" s="15">
        <f>C392</f>
        <v>71.695859999999996</v>
      </c>
      <c r="D432" s="14"/>
      <c r="E432" s="14"/>
      <c r="F432" s="11" t="s">
        <v>139</v>
      </c>
      <c r="G432" s="12">
        <v>0.1</v>
      </c>
      <c r="H432" s="141" t="s">
        <v>151</v>
      </c>
      <c r="I432" s="12">
        <v>1.2</v>
      </c>
      <c r="J432" s="69" t="s">
        <v>140</v>
      </c>
      <c r="K432" s="12">
        <f>C432*G432/I432</f>
        <v>5.9746550000000003</v>
      </c>
      <c r="L432" s="11" t="s">
        <v>42</v>
      </c>
    </row>
    <row r="433" spans="1:12" s="11" customFormat="1" ht="75" x14ac:dyDescent="0.2">
      <c r="A433" s="55">
        <f>A431+1</f>
        <v>24</v>
      </c>
      <c r="B433" s="170" t="str">
        <f>GF1_ABS!B35</f>
        <v xml:space="preserve">Polished Blue Kota stone flooring skirting laid over 20 mm thick base CM 1:4 and jointed with Grey cement slurry to match the shade of the slab including rubbing and polishing complete </v>
      </c>
      <c r="C433" s="12"/>
      <c r="D433" s="38"/>
      <c r="E433" s="12"/>
      <c r="F433" s="42"/>
      <c r="G433" s="67"/>
    </row>
    <row r="434" spans="1:12" s="11" customFormat="1" ht="30" x14ac:dyDescent="0.2">
      <c r="A434" s="55"/>
      <c r="B434" s="170" t="s">
        <v>18</v>
      </c>
      <c r="C434" s="12"/>
      <c r="E434" s="12"/>
      <c r="F434" s="59"/>
      <c r="G434" s="67" t="str">
        <f>IF(C434,C434*E434,"")</f>
        <v/>
      </c>
    </row>
    <row r="435" spans="1:12" s="11" customFormat="1" x14ac:dyDescent="0.2">
      <c r="A435" s="54"/>
      <c r="B435" s="195" t="s">
        <v>177</v>
      </c>
      <c r="C435" s="66"/>
      <c r="E435" s="12"/>
      <c r="G435" s="12"/>
      <c r="I435" s="12"/>
      <c r="J435" s="69"/>
      <c r="K435" s="12"/>
      <c r="L435" s="66"/>
    </row>
    <row r="436" spans="1:12" s="11" customFormat="1" x14ac:dyDescent="0.2">
      <c r="A436" s="54"/>
      <c r="B436" s="145" t="s">
        <v>110</v>
      </c>
      <c r="C436" s="15">
        <f>C357</f>
        <v>635.73800000000006</v>
      </c>
      <c r="D436" s="14"/>
      <c r="E436" s="14"/>
      <c r="F436" s="11" t="s">
        <v>139</v>
      </c>
      <c r="G436" s="12">
        <v>0.1</v>
      </c>
      <c r="H436" s="141" t="s">
        <v>151</v>
      </c>
      <c r="I436" s="12">
        <v>2.9</v>
      </c>
      <c r="J436" s="69" t="s">
        <v>140</v>
      </c>
      <c r="K436" s="12">
        <f>C436*G436/I436</f>
        <v>21.922000000000004</v>
      </c>
      <c r="L436" s="66" t="s">
        <v>49</v>
      </c>
    </row>
    <row r="437" spans="1:12" s="11" customFormat="1" x14ac:dyDescent="0.2">
      <c r="A437" s="54"/>
      <c r="B437" s="145"/>
      <c r="C437" s="66"/>
      <c r="E437" s="12"/>
      <c r="G437" s="34" t="s">
        <v>144</v>
      </c>
      <c r="H437" s="138"/>
      <c r="I437" s="136"/>
      <c r="J437" s="138"/>
      <c r="K437" s="136">
        <f>SUM(K436:K436)</f>
        <v>21.922000000000004</v>
      </c>
      <c r="L437" s="66" t="s">
        <v>49</v>
      </c>
    </row>
    <row r="438" spans="1:12" s="11" customFormat="1" ht="30" x14ac:dyDescent="0.2">
      <c r="A438" s="55"/>
      <c r="B438" s="170" t="s">
        <v>19</v>
      </c>
      <c r="C438" s="12"/>
      <c r="E438" s="12"/>
      <c r="F438" s="59"/>
      <c r="G438" s="67" t="str">
        <f>IF(C438,C438*E438,"")</f>
        <v/>
      </c>
    </row>
    <row r="439" spans="1:12" s="68" customFormat="1" ht="15.75" x14ac:dyDescent="0.25">
      <c r="A439" s="108"/>
      <c r="B439" s="151" t="s">
        <v>89</v>
      </c>
      <c r="C439" s="201">
        <v>1</v>
      </c>
      <c r="D439" s="68" t="s">
        <v>139</v>
      </c>
      <c r="E439" s="75">
        <v>3.05</v>
      </c>
      <c r="F439" s="68" t="s">
        <v>139</v>
      </c>
      <c r="G439" s="75">
        <v>2.44</v>
      </c>
      <c r="I439" s="75"/>
      <c r="J439" s="202" t="s">
        <v>140</v>
      </c>
      <c r="K439" s="75">
        <f t="shared" ref="K439:K449" si="19">IF(C439,C439*E439*G439,"")</f>
        <v>7.4419999999999993</v>
      </c>
      <c r="L439" s="201" t="s">
        <v>49</v>
      </c>
    </row>
    <row r="440" spans="1:12" s="68" customFormat="1" ht="15.75" x14ac:dyDescent="0.25">
      <c r="A440" s="80"/>
      <c r="B440" s="151" t="s">
        <v>83</v>
      </c>
      <c r="C440" s="201">
        <v>1</v>
      </c>
      <c r="D440" s="68" t="s">
        <v>139</v>
      </c>
      <c r="E440" s="75">
        <v>1.53</v>
      </c>
      <c r="F440" s="68" t="s">
        <v>139</v>
      </c>
      <c r="G440" s="75">
        <v>1</v>
      </c>
      <c r="I440" s="75"/>
      <c r="J440" s="202" t="s">
        <v>140</v>
      </c>
      <c r="K440" s="75">
        <f t="shared" si="19"/>
        <v>1.53</v>
      </c>
      <c r="L440" s="201" t="s">
        <v>49</v>
      </c>
    </row>
    <row r="441" spans="1:12" s="68" customFormat="1" ht="15.75" x14ac:dyDescent="0.25">
      <c r="A441" s="80"/>
      <c r="B441" s="151" t="s">
        <v>122</v>
      </c>
      <c r="C441" s="201">
        <v>1</v>
      </c>
      <c r="D441" s="68" t="s">
        <v>139</v>
      </c>
      <c r="E441" s="75">
        <v>3.05</v>
      </c>
      <c r="F441" s="68" t="s">
        <v>139</v>
      </c>
      <c r="G441" s="75">
        <v>5.19</v>
      </c>
      <c r="I441" s="75"/>
      <c r="J441" s="202" t="s">
        <v>140</v>
      </c>
      <c r="K441" s="75">
        <f t="shared" si="19"/>
        <v>15.829499999999999</v>
      </c>
      <c r="L441" s="201" t="s">
        <v>49</v>
      </c>
    </row>
    <row r="442" spans="1:12" s="68" customFormat="1" ht="15.75" x14ac:dyDescent="0.25">
      <c r="A442" s="80"/>
      <c r="B442" s="151" t="s">
        <v>74</v>
      </c>
      <c r="C442" s="201">
        <v>1</v>
      </c>
      <c r="D442" s="68" t="s">
        <v>139</v>
      </c>
      <c r="E442" s="75">
        <v>3.97</v>
      </c>
      <c r="F442" s="68" t="s">
        <v>139</v>
      </c>
      <c r="G442" s="75">
        <v>3.97</v>
      </c>
      <c r="I442" s="75"/>
      <c r="J442" s="202" t="s">
        <v>140</v>
      </c>
      <c r="K442" s="75">
        <f t="shared" si="19"/>
        <v>15.760900000000001</v>
      </c>
      <c r="L442" s="201" t="s">
        <v>49</v>
      </c>
    </row>
    <row r="443" spans="1:12" s="68" customFormat="1" ht="15.75" x14ac:dyDescent="0.25">
      <c r="A443" s="80"/>
      <c r="B443" s="151" t="s">
        <v>238</v>
      </c>
      <c r="C443" s="201">
        <v>1</v>
      </c>
      <c r="D443" s="68" t="s">
        <v>139</v>
      </c>
      <c r="E443" s="75">
        <v>2.9</v>
      </c>
      <c r="F443" s="68" t="s">
        <v>139</v>
      </c>
      <c r="G443" s="75">
        <v>1.99</v>
      </c>
      <c r="I443" s="75"/>
      <c r="J443" s="202" t="s">
        <v>140</v>
      </c>
      <c r="K443" s="75">
        <f t="shared" si="19"/>
        <v>5.7709999999999999</v>
      </c>
      <c r="L443" s="201" t="s">
        <v>49</v>
      </c>
    </row>
    <row r="444" spans="1:12" s="68" customFormat="1" ht="15.75" x14ac:dyDescent="0.25">
      <c r="A444" s="80"/>
      <c r="B444" s="151" t="s">
        <v>141</v>
      </c>
      <c r="C444" s="201">
        <v>1</v>
      </c>
      <c r="D444" s="68" t="s">
        <v>139</v>
      </c>
      <c r="E444" s="75">
        <v>1.83</v>
      </c>
      <c r="F444" s="68" t="s">
        <v>139</v>
      </c>
      <c r="G444" s="75">
        <v>1.38</v>
      </c>
      <c r="I444" s="75"/>
      <c r="J444" s="202" t="s">
        <v>140</v>
      </c>
      <c r="K444" s="75">
        <f t="shared" si="19"/>
        <v>2.5253999999999999</v>
      </c>
      <c r="L444" s="201" t="s">
        <v>49</v>
      </c>
    </row>
    <row r="445" spans="1:12" s="68" customFormat="1" ht="15.75" x14ac:dyDescent="0.25">
      <c r="A445" s="80"/>
      <c r="B445" s="151" t="s">
        <v>123</v>
      </c>
      <c r="C445" s="201">
        <v>1</v>
      </c>
      <c r="D445" s="68" t="s">
        <v>139</v>
      </c>
      <c r="E445" s="75">
        <v>4.2699999999999996</v>
      </c>
      <c r="F445" s="68" t="s">
        <v>139</v>
      </c>
      <c r="G445" s="75">
        <v>1.68</v>
      </c>
      <c r="I445" s="75"/>
      <c r="J445" s="202" t="s">
        <v>140</v>
      </c>
      <c r="K445" s="75">
        <f t="shared" si="19"/>
        <v>7.1735999999999986</v>
      </c>
      <c r="L445" s="201" t="s">
        <v>49</v>
      </c>
    </row>
    <row r="446" spans="1:12" s="68" customFormat="1" ht="15.75" x14ac:dyDescent="0.25">
      <c r="A446" s="80"/>
      <c r="B446" s="151" t="s">
        <v>90</v>
      </c>
      <c r="C446" s="201">
        <v>1</v>
      </c>
      <c r="D446" s="68" t="s">
        <v>139</v>
      </c>
      <c r="E446" s="75">
        <v>4.2699999999999996</v>
      </c>
      <c r="F446" s="68" t="s">
        <v>139</v>
      </c>
      <c r="G446" s="75">
        <v>6.86</v>
      </c>
      <c r="I446" s="75"/>
      <c r="J446" s="202" t="s">
        <v>140</v>
      </c>
      <c r="K446" s="75">
        <f t="shared" si="19"/>
        <v>29.292199999999998</v>
      </c>
      <c r="L446" s="201" t="s">
        <v>49</v>
      </c>
    </row>
    <row r="447" spans="1:12" s="68" customFormat="1" ht="15.75" x14ac:dyDescent="0.25">
      <c r="A447" s="80"/>
      <c r="B447" s="151" t="s">
        <v>91</v>
      </c>
      <c r="C447" s="201">
        <v>1</v>
      </c>
      <c r="D447" s="68" t="s">
        <v>139</v>
      </c>
      <c r="E447" s="75">
        <v>4.2699999999999996</v>
      </c>
      <c r="F447" s="68" t="s">
        <v>139</v>
      </c>
      <c r="G447" s="75">
        <v>3.66</v>
      </c>
      <c r="I447" s="75"/>
      <c r="J447" s="202" t="s">
        <v>140</v>
      </c>
      <c r="K447" s="75">
        <f t="shared" si="19"/>
        <v>15.6282</v>
      </c>
      <c r="L447" s="201" t="s">
        <v>49</v>
      </c>
    </row>
    <row r="448" spans="1:12" s="68" customFormat="1" ht="15.75" x14ac:dyDescent="0.25">
      <c r="A448" s="80"/>
      <c r="B448" s="151" t="s">
        <v>141</v>
      </c>
      <c r="C448" s="201">
        <v>2</v>
      </c>
      <c r="D448" s="68" t="s">
        <v>139</v>
      </c>
      <c r="E448" s="75">
        <v>2.44</v>
      </c>
      <c r="F448" s="68" t="s">
        <v>139</v>
      </c>
      <c r="G448" s="75">
        <v>1.68</v>
      </c>
      <c r="I448" s="75"/>
      <c r="J448" s="202" t="s">
        <v>140</v>
      </c>
      <c r="K448" s="75">
        <f t="shared" si="19"/>
        <v>8.1983999999999995</v>
      </c>
      <c r="L448" s="201" t="s">
        <v>49</v>
      </c>
    </row>
    <row r="449" spans="1:12" s="68" customFormat="1" ht="15.75" x14ac:dyDescent="0.25">
      <c r="A449" s="80"/>
      <c r="B449" s="203" t="s">
        <v>91</v>
      </c>
      <c r="C449" s="201">
        <v>1</v>
      </c>
      <c r="D449" s="68" t="s">
        <v>139</v>
      </c>
      <c r="E449" s="75">
        <v>4.2699999999999996</v>
      </c>
      <c r="F449" s="68" t="s">
        <v>139</v>
      </c>
      <c r="G449" s="75">
        <v>3.66</v>
      </c>
      <c r="I449" s="75"/>
      <c r="J449" s="202" t="s">
        <v>140</v>
      </c>
      <c r="K449" s="75">
        <f t="shared" si="19"/>
        <v>15.6282</v>
      </c>
      <c r="L449" s="201" t="s">
        <v>49</v>
      </c>
    </row>
    <row r="450" spans="1:12" s="68" customFormat="1" ht="15.75" x14ac:dyDescent="0.25">
      <c r="A450" s="80"/>
      <c r="B450" s="151" t="s">
        <v>93</v>
      </c>
      <c r="C450" s="201">
        <v>1</v>
      </c>
      <c r="D450" s="68" t="s">
        <v>139</v>
      </c>
      <c r="E450" s="75">
        <v>12</v>
      </c>
      <c r="F450" s="68" t="s">
        <v>139</v>
      </c>
      <c r="G450" s="75">
        <v>3.6</v>
      </c>
      <c r="I450" s="75"/>
      <c r="J450" s="202" t="s">
        <v>140</v>
      </c>
      <c r="K450" s="75">
        <f t="shared" ref="K450:K463" si="20">IF(C450,C450*E450*G450,"")</f>
        <v>43.2</v>
      </c>
      <c r="L450" s="201" t="s">
        <v>49</v>
      </c>
    </row>
    <row r="451" spans="1:12" s="68" customFormat="1" ht="15.75" x14ac:dyDescent="0.25">
      <c r="A451" s="80"/>
      <c r="B451" s="151" t="s">
        <v>238</v>
      </c>
      <c r="C451" s="201">
        <v>2</v>
      </c>
      <c r="D451" s="68" t="s">
        <v>139</v>
      </c>
      <c r="E451" s="75">
        <v>4.2</v>
      </c>
      <c r="F451" s="68" t="s">
        <v>139</v>
      </c>
      <c r="G451" s="75">
        <v>1.9</v>
      </c>
      <c r="I451" s="75"/>
      <c r="J451" s="202" t="s">
        <v>140</v>
      </c>
      <c r="K451" s="75">
        <f t="shared" si="20"/>
        <v>15.959999999999999</v>
      </c>
      <c r="L451" s="201" t="s">
        <v>49</v>
      </c>
    </row>
    <row r="452" spans="1:12" s="68" customFormat="1" ht="15.75" x14ac:dyDescent="0.25">
      <c r="A452" s="80"/>
      <c r="B452" s="151"/>
      <c r="C452" s="201">
        <v>1</v>
      </c>
      <c r="D452" s="68" t="s">
        <v>139</v>
      </c>
      <c r="E452" s="75">
        <v>4.2</v>
      </c>
      <c r="F452" s="68" t="s">
        <v>139</v>
      </c>
      <c r="G452" s="75">
        <v>3.3</v>
      </c>
      <c r="I452" s="75"/>
      <c r="J452" s="202" t="s">
        <v>140</v>
      </c>
      <c r="K452" s="75">
        <f t="shared" si="20"/>
        <v>13.86</v>
      </c>
      <c r="L452" s="201" t="s">
        <v>49</v>
      </c>
    </row>
    <row r="453" spans="1:12" s="68" customFormat="1" ht="15.75" x14ac:dyDescent="0.25">
      <c r="A453" s="80"/>
      <c r="B453" s="151" t="s">
        <v>238</v>
      </c>
      <c r="C453" s="201">
        <v>50</v>
      </c>
      <c r="D453" s="68" t="s">
        <v>139</v>
      </c>
      <c r="E453" s="75">
        <v>0.9</v>
      </c>
      <c r="F453" s="68" t="s">
        <v>139</v>
      </c>
      <c r="G453" s="75">
        <v>0.3</v>
      </c>
      <c r="I453" s="75"/>
      <c r="J453" s="202" t="s">
        <v>140</v>
      </c>
      <c r="K453" s="75">
        <f t="shared" si="20"/>
        <v>13.5</v>
      </c>
      <c r="L453" s="201" t="s">
        <v>49</v>
      </c>
    </row>
    <row r="454" spans="1:12" s="68" customFormat="1" ht="15.75" x14ac:dyDescent="0.25">
      <c r="A454" s="80"/>
      <c r="B454" s="151"/>
      <c r="C454" s="201">
        <v>54</v>
      </c>
      <c r="D454" s="68" t="s">
        <v>139</v>
      </c>
      <c r="E454" s="75">
        <v>0.9</v>
      </c>
      <c r="F454" s="68" t="s">
        <v>139</v>
      </c>
      <c r="G454" s="75">
        <v>0.15</v>
      </c>
      <c r="I454" s="75"/>
      <c r="J454" s="202" t="s">
        <v>140</v>
      </c>
      <c r="K454" s="75">
        <f t="shared" si="20"/>
        <v>7.29</v>
      </c>
      <c r="L454" s="201" t="s">
        <v>49</v>
      </c>
    </row>
    <row r="455" spans="1:12" s="68" customFormat="1" ht="15.75" x14ac:dyDescent="0.25">
      <c r="A455" s="80"/>
      <c r="B455" s="151" t="s">
        <v>382</v>
      </c>
      <c r="C455" s="201">
        <v>2</v>
      </c>
      <c r="D455" s="68" t="s">
        <v>139</v>
      </c>
      <c r="E455" s="75">
        <v>1.95</v>
      </c>
      <c r="F455" s="68" t="s">
        <v>139</v>
      </c>
      <c r="G455" s="75">
        <v>0.9</v>
      </c>
      <c r="I455" s="75"/>
      <c r="J455" s="202" t="s">
        <v>140</v>
      </c>
      <c r="K455" s="75">
        <f t="shared" si="20"/>
        <v>3.51</v>
      </c>
      <c r="L455" s="201" t="s">
        <v>49</v>
      </c>
    </row>
    <row r="456" spans="1:12" s="68" customFormat="1" ht="16.5" customHeight="1" x14ac:dyDescent="0.25">
      <c r="A456" s="80"/>
      <c r="B456" s="151" t="s">
        <v>15</v>
      </c>
      <c r="C456" s="201">
        <v>1</v>
      </c>
      <c r="D456" s="68" t="s">
        <v>139</v>
      </c>
      <c r="E456" s="75">
        <v>3.66</v>
      </c>
      <c r="F456" s="68" t="s">
        <v>139</v>
      </c>
      <c r="G456" s="75">
        <v>3.05</v>
      </c>
      <c r="I456" s="75"/>
      <c r="J456" s="202" t="s">
        <v>140</v>
      </c>
      <c r="K456" s="75">
        <f t="shared" si="20"/>
        <v>11.163</v>
      </c>
      <c r="L456" s="201" t="s">
        <v>49</v>
      </c>
    </row>
    <row r="457" spans="1:12" s="68" customFormat="1" ht="15.75" x14ac:dyDescent="0.25">
      <c r="A457" s="80"/>
      <c r="B457" s="151" t="s">
        <v>323</v>
      </c>
      <c r="C457" s="201">
        <v>1</v>
      </c>
      <c r="D457" s="68" t="s">
        <v>139</v>
      </c>
      <c r="E457" s="75">
        <v>4.2699999999999996</v>
      </c>
      <c r="F457" s="68" t="s">
        <v>139</v>
      </c>
      <c r="G457" s="75">
        <v>1.83</v>
      </c>
      <c r="I457" s="75"/>
      <c r="J457" s="202" t="s">
        <v>140</v>
      </c>
      <c r="K457" s="75">
        <f t="shared" si="20"/>
        <v>7.8140999999999998</v>
      </c>
      <c r="L457" s="201" t="s">
        <v>49</v>
      </c>
    </row>
    <row r="458" spans="1:12" s="68" customFormat="1" ht="15.75" x14ac:dyDescent="0.25">
      <c r="A458" s="80"/>
      <c r="B458" s="151" t="s">
        <v>107</v>
      </c>
      <c r="C458" s="201">
        <v>1</v>
      </c>
      <c r="D458" s="68" t="s">
        <v>139</v>
      </c>
      <c r="E458" s="75">
        <v>6</v>
      </c>
      <c r="F458" s="68" t="s">
        <v>139</v>
      </c>
      <c r="G458" s="75">
        <v>2.4</v>
      </c>
      <c r="I458" s="75"/>
      <c r="J458" s="202" t="s">
        <v>140</v>
      </c>
      <c r="K458" s="75">
        <f t="shared" si="20"/>
        <v>14.399999999999999</v>
      </c>
      <c r="L458" s="201" t="s">
        <v>49</v>
      </c>
    </row>
    <row r="459" spans="1:12" s="68" customFormat="1" ht="15.75" x14ac:dyDescent="0.25">
      <c r="A459" s="80"/>
      <c r="B459" s="151" t="s">
        <v>75</v>
      </c>
      <c r="C459" s="201">
        <v>1</v>
      </c>
      <c r="D459" s="68" t="s">
        <v>139</v>
      </c>
      <c r="E459" s="75">
        <v>4.2699999999999996</v>
      </c>
      <c r="F459" s="68" t="s">
        <v>139</v>
      </c>
      <c r="G459" s="75">
        <v>4.58</v>
      </c>
      <c r="I459" s="75"/>
      <c r="J459" s="202" t="s">
        <v>140</v>
      </c>
      <c r="K459" s="75">
        <f t="shared" si="20"/>
        <v>19.5566</v>
      </c>
      <c r="L459" s="201" t="s">
        <v>49</v>
      </c>
    </row>
    <row r="460" spans="1:12" s="11" customFormat="1" x14ac:dyDescent="0.2">
      <c r="A460" s="54"/>
      <c r="B460" s="150" t="s">
        <v>7</v>
      </c>
      <c r="C460" s="66">
        <v>3</v>
      </c>
      <c r="D460" s="11" t="s">
        <v>139</v>
      </c>
      <c r="E460" s="12">
        <v>0.9</v>
      </c>
      <c r="F460" s="11" t="s">
        <v>139</v>
      </c>
      <c r="G460" s="12">
        <v>0.3</v>
      </c>
      <c r="H460" s="48"/>
      <c r="I460" s="65"/>
      <c r="J460" s="76" t="s">
        <v>140</v>
      </c>
      <c r="K460" s="65">
        <f t="shared" si="20"/>
        <v>0.81</v>
      </c>
      <c r="L460" s="45" t="s">
        <v>49</v>
      </c>
    </row>
    <row r="461" spans="1:12" s="11" customFormat="1" x14ac:dyDescent="0.2">
      <c r="A461" s="54"/>
      <c r="B461" s="150" t="s">
        <v>178</v>
      </c>
      <c r="C461" s="66">
        <v>4</v>
      </c>
      <c r="D461" s="11" t="s">
        <v>139</v>
      </c>
      <c r="E461" s="12">
        <v>0.9</v>
      </c>
      <c r="F461" s="11" t="s">
        <v>139</v>
      </c>
      <c r="G461" s="12">
        <v>0.15</v>
      </c>
      <c r="H461" s="48"/>
      <c r="I461" s="65"/>
      <c r="J461" s="76" t="s">
        <v>140</v>
      </c>
      <c r="K461" s="65">
        <f t="shared" si="20"/>
        <v>0.54</v>
      </c>
      <c r="L461" s="45" t="s">
        <v>49</v>
      </c>
    </row>
    <row r="462" spans="1:12" s="11" customFormat="1" x14ac:dyDescent="0.2">
      <c r="A462" s="54"/>
      <c r="B462" s="150" t="s">
        <v>8</v>
      </c>
      <c r="C462" s="66">
        <v>3</v>
      </c>
      <c r="D462" s="11" t="s">
        <v>139</v>
      </c>
      <c r="E462" s="12">
        <v>1.5</v>
      </c>
      <c r="F462" s="11" t="s">
        <v>139</v>
      </c>
      <c r="G462" s="12">
        <v>0.3</v>
      </c>
      <c r="H462" s="48"/>
      <c r="I462" s="65"/>
      <c r="J462" s="76" t="s">
        <v>140</v>
      </c>
      <c r="K462" s="65">
        <f t="shared" si="20"/>
        <v>1.3499999999999999</v>
      </c>
      <c r="L462" s="45" t="s">
        <v>49</v>
      </c>
    </row>
    <row r="463" spans="1:12" s="11" customFormat="1" x14ac:dyDescent="0.2">
      <c r="A463" s="54"/>
      <c r="B463" s="150" t="s">
        <v>178</v>
      </c>
      <c r="C463" s="66">
        <v>4</v>
      </c>
      <c r="D463" s="11" t="s">
        <v>139</v>
      </c>
      <c r="E463" s="12">
        <v>1.5</v>
      </c>
      <c r="F463" s="11" t="s">
        <v>139</v>
      </c>
      <c r="G463" s="12">
        <v>0.15</v>
      </c>
      <c r="H463" s="48"/>
      <c r="I463" s="65"/>
      <c r="J463" s="76" t="s">
        <v>140</v>
      </c>
      <c r="K463" s="65">
        <f t="shared" si="20"/>
        <v>0.89999999999999991</v>
      </c>
      <c r="L463" s="45" t="s">
        <v>49</v>
      </c>
    </row>
    <row r="464" spans="1:12" s="11" customFormat="1" x14ac:dyDescent="0.2">
      <c r="A464" s="55"/>
      <c r="B464" s="174" t="s">
        <v>6</v>
      </c>
      <c r="C464" s="12"/>
      <c r="D464" s="38"/>
      <c r="E464" s="12"/>
      <c r="F464" s="42"/>
      <c r="G464" s="46"/>
      <c r="I464" s="132"/>
      <c r="J464" s="132"/>
      <c r="K464" s="133"/>
    </row>
    <row r="465" spans="1:12" s="11" customFormat="1" ht="15.75" x14ac:dyDescent="0.25">
      <c r="A465" s="54"/>
      <c r="B465" s="151" t="s">
        <v>375</v>
      </c>
      <c r="C465" s="201">
        <v>7</v>
      </c>
      <c r="D465" s="68" t="s">
        <v>139</v>
      </c>
      <c r="E465" s="75">
        <v>2.1</v>
      </c>
      <c r="F465" s="11" t="s">
        <v>139</v>
      </c>
      <c r="G465" s="67">
        <v>0.3</v>
      </c>
      <c r="I465" s="12"/>
      <c r="J465" s="69" t="s">
        <v>140</v>
      </c>
      <c r="K465" s="12">
        <f t="shared" ref="K465:K473" si="21">IF(C465,C465*E465*G465,"")</f>
        <v>4.41</v>
      </c>
      <c r="L465" s="59" t="s">
        <v>42</v>
      </c>
    </row>
    <row r="466" spans="1:12" s="11" customFormat="1" ht="15.75" x14ac:dyDescent="0.25">
      <c r="A466" s="54"/>
      <c r="B466" s="151" t="s">
        <v>322</v>
      </c>
      <c r="C466" s="201">
        <v>8</v>
      </c>
      <c r="D466" s="68" t="s">
        <v>139</v>
      </c>
      <c r="E466" s="75">
        <v>1.5</v>
      </c>
      <c r="F466" s="11" t="s">
        <v>139</v>
      </c>
      <c r="G466" s="67">
        <v>0.3</v>
      </c>
      <c r="I466" s="12"/>
      <c r="J466" s="69" t="s">
        <v>140</v>
      </c>
      <c r="K466" s="12">
        <f t="shared" si="21"/>
        <v>3.5999999999999996</v>
      </c>
      <c r="L466" s="59" t="s">
        <v>42</v>
      </c>
    </row>
    <row r="467" spans="1:12" s="11" customFormat="1" ht="15.75" x14ac:dyDescent="0.25">
      <c r="A467" s="54"/>
      <c r="B467" s="151" t="s">
        <v>95</v>
      </c>
      <c r="C467" s="201">
        <v>10</v>
      </c>
      <c r="D467" s="68" t="s">
        <v>139</v>
      </c>
      <c r="E467" s="75">
        <v>0.9</v>
      </c>
      <c r="F467" s="11" t="s">
        <v>139</v>
      </c>
      <c r="G467" s="67">
        <v>0.3</v>
      </c>
      <c r="I467" s="12"/>
      <c r="J467" s="69" t="s">
        <v>140</v>
      </c>
      <c r="K467" s="12">
        <f t="shared" si="21"/>
        <v>2.6999999999999997</v>
      </c>
      <c r="L467" s="59" t="s">
        <v>42</v>
      </c>
    </row>
    <row r="468" spans="1:12" s="11" customFormat="1" ht="15.75" x14ac:dyDescent="0.25">
      <c r="A468" s="54"/>
      <c r="B468" s="151" t="s">
        <v>376</v>
      </c>
      <c r="C468" s="201">
        <v>2</v>
      </c>
      <c r="D468" s="68" t="s">
        <v>139</v>
      </c>
      <c r="E468" s="75">
        <v>1.05</v>
      </c>
      <c r="F468" s="11" t="s">
        <v>139</v>
      </c>
      <c r="G468" s="12">
        <v>0.3</v>
      </c>
      <c r="I468" s="12"/>
      <c r="J468" s="69" t="s">
        <v>140</v>
      </c>
      <c r="K468" s="12">
        <f t="shared" si="21"/>
        <v>0.63</v>
      </c>
      <c r="L468" s="66" t="s">
        <v>49</v>
      </c>
    </row>
    <row r="469" spans="1:12" s="11" customFormat="1" ht="15.75" x14ac:dyDescent="0.25">
      <c r="A469" s="54"/>
      <c r="B469" s="151" t="s">
        <v>157</v>
      </c>
      <c r="C469" s="201">
        <v>3</v>
      </c>
      <c r="D469" s="68" t="s">
        <v>139</v>
      </c>
      <c r="E469" s="75">
        <v>0.75</v>
      </c>
      <c r="F469" s="11" t="s">
        <v>139</v>
      </c>
      <c r="G469" s="67">
        <v>0.3</v>
      </c>
      <c r="H469" s="68"/>
      <c r="I469" s="68"/>
      <c r="J469" s="202" t="s">
        <v>140</v>
      </c>
      <c r="K469" s="75">
        <f>IF(C469,C469*E469*G469,"")</f>
        <v>0.67499999999999993</v>
      </c>
      <c r="L469" s="201" t="s">
        <v>49</v>
      </c>
    </row>
    <row r="470" spans="1:12" s="11" customFormat="1" ht="15.75" x14ac:dyDescent="0.25">
      <c r="A470" s="54"/>
      <c r="B470" s="151" t="s">
        <v>96</v>
      </c>
      <c r="C470" s="201">
        <v>3</v>
      </c>
      <c r="D470" s="68" t="s">
        <v>139</v>
      </c>
      <c r="E470" s="75">
        <v>0.6</v>
      </c>
      <c r="F470" s="11" t="s">
        <v>139</v>
      </c>
      <c r="G470" s="67">
        <v>0.3</v>
      </c>
      <c r="H470" s="68"/>
      <c r="I470" s="68"/>
      <c r="J470" s="202" t="s">
        <v>140</v>
      </c>
      <c r="K470" s="75">
        <f>IF(C470,C470*E470*G470,"")</f>
        <v>0.53999999999999992</v>
      </c>
      <c r="L470" s="201" t="s">
        <v>49</v>
      </c>
    </row>
    <row r="471" spans="1:12" s="68" customFormat="1" ht="15.75" x14ac:dyDescent="0.25">
      <c r="A471" s="80"/>
      <c r="B471" s="151" t="s">
        <v>103</v>
      </c>
      <c r="C471" s="201">
        <v>2</v>
      </c>
      <c r="D471" s="68" t="s">
        <v>139</v>
      </c>
      <c r="E471" s="75">
        <v>1.8</v>
      </c>
      <c r="F471" s="68" t="s">
        <v>139</v>
      </c>
      <c r="G471" s="107">
        <v>0.3</v>
      </c>
      <c r="J471" s="202" t="s">
        <v>140</v>
      </c>
      <c r="K471" s="75">
        <f t="shared" si="21"/>
        <v>1.08</v>
      </c>
      <c r="L471" s="201" t="s">
        <v>49</v>
      </c>
    </row>
    <row r="472" spans="1:12" s="68" customFormat="1" ht="15.75" x14ac:dyDescent="0.25">
      <c r="A472" s="80"/>
      <c r="B472" s="151" t="s">
        <v>103</v>
      </c>
      <c r="C472" s="201">
        <v>1</v>
      </c>
      <c r="D472" s="68" t="s">
        <v>139</v>
      </c>
      <c r="E472" s="75">
        <v>2.1</v>
      </c>
      <c r="F472" s="68" t="s">
        <v>139</v>
      </c>
      <c r="G472" s="107">
        <v>0.3</v>
      </c>
      <c r="J472" s="202" t="s">
        <v>140</v>
      </c>
      <c r="K472" s="75">
        <f t="shared" si="21"/>
        <v>0.63</v>
      </c>
      <c r="L472" s="201" t="s">
        <v>49</v>
      </c>
    </row>
    <row r="473" spans="1:12" s="68" customFormat="1" ht="15.75" x14ac:dyDescent="0.25">
      <c r="A473" s="80"/>
      <c r="B473" s="151" t="s">
        <v>103</v>
      </c>
      <c r="C473" s="201">
        <v>2</v>
      </c>
      <c r="D473" s="68" t="s">
        <v>139</v>
      </c>
      <c r="E473" s="75">
        <v>0.9</v>
      </c>
      <c r="F473" s="68" t="s">
        <v>139</v>
      </c>
      <c r="G473" s="107">
        <v>0.3</v>
      </c>
      <c r="J473" s="202" t="s">
        <v>140</v>
      </c>
      <c r="K473" s="75">
        <f t="shared" si="21"/>
        <v>0.54</v>
      </c>
      <c r="L473" s="201" t="s">
        <v>49</v>
      </c>
    </row>
    <row r="474" spans="1:12" s="68" customFormat="1" ht="15.75" x14ac:dyDescent="0.25">
      <c r="A474" s="80"/>
      <c r="B474" s="146" t="s">
        <v>106</v>
      </c>
      <c r="C474" s="117"/>
      <c r="E474" s="75"/>
      <c r="F474" s="204"/>
      <c r="G474" s="75"/>
      <c r="I474" s="75"/>
      <c r="J474" s="202"/>
      <c r="K474" s="75"/>
      <c r="L474" s="201"/>
    </row>
    <row r="475" spans="1:12" s="68" customFormat="1" ht="15.75" x14ac:dyDescent="0.25">
      <c r="A475" s="80"/>
      <c r="B475" s="151"/>
      <c r="C475" s="117">
        <v>1</v>
      </c>
      <c r="D475" s="68" t="s">
        <v>139</v>
      </c>
      <c r="E475" s="75">
        <v>2.1</v>
      </c>
      <c r="F475" s="204" t="s">
        <v>139</v>
      </c>
      <c r="G475" s="75">
        <v>0.6</v>
      </c>
      <c r="J475" s="202" t="s">
        <v>140</v>
      </c>
      <c r="K475" s="75">
        <f>IF(C475,C475*E475*G475,"")</f>
        <v>1.26</v>
      </c>
      <c r="L475" s="201" t="s">
        <v>49</v>
      </c>
    </row>
    <row r="476" spans="1:12" s="68" customFormat="1" ht="15.75" x14ac:dyDescent="0.25">
      <c r="A476" s="80"/>
      <c r="B476" s="151"/>
      <c r="C476" s="117">
        <v>2</v>
      </c>
      <c r="D476" s="68" t="s">
        <v>139</v>
      </c>
      <c r="E476" s="75">
        <v>1.8</v>
      </c>
      <c r="F476" s="204" t="s">
        <v>139</v>
      </c>
      <c r="G476" s="75">
        <v>0.6</v>
      </c>
      <c r="J476" s="202" t="s">
        <v>140</v>
      </c>
      <c r="K476" s="75">
        <f>IF(C476,C476*E476*G476,"")</f>
        <v>2.16</v>
      </c>
      <c r="L476" s="201" t="s">
        <v>49</v>
      </c>
    </row>
    <row r="477" spans="1:12" s="68" customFormat="1" ht="15.75" x14ac:dyDescent="0.25">
      <c r="A477" s="80"/>
      <c r="B477" s="151"/>
      <c r="C477" s="117">
        <v>2</v>
      </c>
      <c r="D477" s="68" t="s">
        <v>139</v>
      </c>
      <c r="E477" s="75">
        <v>1.5</v>
      </c>
      <c r="F477" s="204" t="s">
        <v>139</v>
      </c>
      <c r="G477" s="75">
        <v>0.6</v>
      </c>
      <c r="J477" s="202" t="s">
        <v>140</v>
      </c>
      <c r="K477" s="75">
        <f>IF(C477,C477*E477*G477,"")</f>
        <v>1.7999999999999998</v>
      </c>
      <c r="L477" s="201" t="s">
        <v>49</v>
      </c>
    </row>
    <row r="478" spans="1:12" s="68" customFormat="1" ht="15.75" x14ac:dyDescent="0.25">
      <c r="A478" s="80"/>
      <c r="B478" s="151"/>
      <c r="C478" s="117">
        <v>2</v>
      </c>
      <c r="D478" s="68" t="s">
        <v>139</v>
      </c>
      <c r="E478" s="75">
        <v>1.35</v>
      </c>
      <c r="F478" s="204" t="s">
        <v>139</v>
      </c>
      <c r="G478" s="75">
        <v>0.6</v>
      </c>
      <c r="J478" s="202" t="s">
        <v>140</v>
      </c>
      <c r="K478" s="75">
        <f>IF(C478,C478*E478*G478,"")</f>
        <v>1.62</v>
      </c>
      <c r="L478" s="201" t="s">
        <v>49</v>
      </c>
    </row>
    <row r="479" spans="1:12" s="68" customFormat="1" ht="15.75" x14ac:dyDescent="0.25">
      <c r="A479" s="80"/>
      <c r="B479" s="151"/>
      <c r="C479" s="117">
        <v>3</v>
      </c>
      <c r="D479" s="68" t="s">
        <v>139</v>
      </c>
      <c r="E479" s="75">
        <v>0.75</v>
      </c>
      <c r="F479" s="204" t="s">
        <v>139</v>
      </c>
      <c r="G479" s="75">
        <v>0.6</v>
      </c>
      <c r="J479" s="202" t="s">
        <v>140</v>
      </c>
      <c r="K479" s="75">
        <f>IF(C479,C479*E479*G479,"")</f>
        <v>1.3499999999999999</v>
      </c>
      <c r="L479" s="201" t="s">
        <v>49</v>
      </c>
    </row>
    <row r="480" spans="1:12" s="11" customFormat="1" x14ac:dyDescent="0.2">
      <c r="A480" s="54"/>
      <c r="B480" s="145"/>
      <c r="C480" s="66"/>
      <c r="E480" s="12"/>
      <c r="G480" s="34" t="s">
        <v>144</v>
      </c>
      <c r="H480" s="138"/>
      <c r="I480" s="136"/>
      <c r="J480" s="138"/>
      <c r="K480" s="136">
        <f>SUM(K439:K479)</f>
        <v>301.62810000000013</v>
      </c>
      <c r="L480" s="66" t="s">
        <v>49</v>
      </c>
    </row>
    <row r="481" spans="1:12" s="11" customFormat="1" ht="60" x14ac:dyDescent="0.2">
      <c r="A481" s="55">
        <v>25</v>
      </c>
      <c r="B481" s="169" t="s">
        <v>61</v>
      </c>
      <c r="C481" s="12"/>
      <c r="E481" s="12"/>
      <c r="F481" s="59"/>
      <c r="G481" s="67"/>
    </row>
    <row r="482" spans="1:12" s="11" customFormat="1" x14ac:dyDescent="0.2">
      <c r="A482" s="55"/>
      <c r="B482" s="145" t="s">
        <v>240</v>
      </c>
      <c r="C482" s="12"/>
      <c r="E482" s="12"/>
      <c r="F482" s="59"/>
      <c r="G482" s="67"/>
    </row>
    <row r="483" spans="1:12" s="11" customFormat="1" x14ac:dyDescent="0.2">
      <c r="A483" s="54"/>
      <c r="B483" s="154" t="s">
        <v>126</v>
      </c>
      <c r="C483" s="59">
        <v>1</v>
      </c>
      <c r="D483" s="11" t="s">
        <v>139</v>
      </c>
      <c r="E483" s="12">
        <v>7</v>
      </c>
      <c r="F483" s="48" t="s">
        <v>139</v>
      </c>
      <c r="G483" s="12">
        <v>0.75</v>
      </c>
      <c r="I483" s="12"/>
      <c r="J483" s="69" t="s">
        <v>140</v>
      </c>
      <c r="K483" s="12">
        <f t="shared" ref="K483:K488" si="22">IF(C483,C483*E483*G483,"")</f>
        <v>5.25</v>
      </c>
      <c r="L483" s="66" t="s">
        <v>49</v>
      </c>
    </row>
    <row r="484" spans="1:12" s="11" customFormat="1" x14ac:dyDescent="0.2">
      <c r="A484" s="54"/>
      <c r="B484" s="145"/>
      <c r="C484" s="66">
        <v>2</v>
      </c>
      <c r="D484" s="11" t="s">
        <v>139</v>
      </c>
      <c r="E484" s="12">
        <v>7</v>
      </c>
      <c r="F484" s="11" t="s">
        <v>139</v>
      </c>
      <c r="G484" s="12">
        <v>0.6</v>
      </c>
      <c r="I484" s="12"/>
      <c r="J484" s="69" t="s">
        <v>140</v>
      </c>
      <c r="K484" s="12">
        <f t="shared" si="22"/>
        <v>8.4</v>
      </c>
      <c r="L484" s="66" t="s">
        <v>49</v>
      </c>
    </row>
    <row r="485" spans="1:12" s="11" customFormat="1" x14ac:dyDescent="0.2">
      <c r="A485" s="54"/>
      <c r="B485" s="145"/>
      <c r="C485" s="66">
        <v>4</v>
      </c>
      <c r="D485" s="11" t="s">
        <v>139</v>
      </c>
      <c r="E485" s="12">
        <v>7</v>
      </c>
      <c r="F485" s="11" t="s">
        <v>139</v>
      </c>
      <c r="G485" s="12">
        <v>0.3</v>
      </c>
      <c r="I485" s="12"/>
      <c r="J485" s="69" t="s">
        <v>140</v>
      </c>
      <c r="K485" s="12">
        <f t="shared" si="22"/>
        <v>8.4</v>
      </c>
      <c r="L485" s="66" t="s">
        <v>49</v>
      </c>
    </row>
    <row r="486" spans="1:12" s="68" customFormat="1" ht="15.75" x14ac:dyDescent="0.25">
      <c r="A486" s="80"/>
      <c r="B486" s="151" t="s">
        <v>103</v>
      </c>
      <c r="C486" s="201">
        <v>8</v>
      </c>
      <c r="D486" s="68" t="s">
        <v>139</v>
      </c>
      <c r="E486" s="75">
        <v>1.8</v>
      </c>
      <c r="F486" s="68" t="s">
        <v>139</v>
      </c>
      <c r="G486" s="107">
        <v>0.3</v>
      </c>
      <c r="J486" s="202" t="s">
        <v>140</v>
      </c>
      <c r="K486" s="75">
        <f t="shared" si="22"/>
        <v>4.32</v>
      </c>
      <c r="L486" s="201" t="s">
        <v>49</v>
      </c>
    </row>
    <row r="487" spans="1:12" s="68" customFormat="1" ht="15.75" x14ac:dyDescent="0.25">
      <c r="A487" s="80"/>
      <c r="B487" s="151" t="s">
        <v>103</v>
      </c>
      <c r="C487" s="201">
        <v>4</v>
      </c>
      <c r="D487" s="68" t="s">
        <v>139</v>
      </c>
      <c r="E487" s="75">
        <v>2.1</v>
      </c>
      <c r="F487" s="68" t="s">
        <v>139</v>
      </c>
      <c r="G487" s="107">
        <v>0.3</v>
      </c>
      <c r="J487" s="202" t="s">
        <v>140</v>
      </c>
      <c r="K487" s="75">
        <f t="shared" si="22"/>
        <v>2.52</v>
      </c>
      <c r="L487" s="201" t="s">
        <v>49</v>
      </c>
    </row>
    <row r="488" spans="1:12" s="68" customFormat="1" ht="15.75" x14ac:dyDescent="0.25">
      <c r="A488" s="80"/>
      <c r="B488" s="151" t="s">
        <v>103</v>
      </c>
      <c r="C488" s="201">
        <v>8</v>
      </c>
      <c r="D488" s="68" t="s">
        <v>139</v>
      </c>
      <c r="E488" s="75">
        <v>0.9</v>
      </c>
      <c r="F488" s="68" t="s">
        <v>139</v>
      </c>
      <c r="G488" s="107">
        <v>0.3</v>
      </c>
      <c r="J488" s="202" t="s">
        <v>140</v>
      </c>
      <c r="K488" s="75">
        <f t="shared" si="22"/>
        <v>2.16</v>
      </c>
      <c r="L488" s="201" t="s">
        <v>49</v>
      </c>
    </row>
    <row r="489" spans="1:12" s="68" customFormat="1" ht="15.75" x14ac:dyDescent="0.25">
      <c r="A489" s="80"/>
      <c r="B489" s="146" t="s">
        <v>106</v>
      </c>
      <c r="C489" s="117"/>
      <c r="E489" s="75"/>
      <c r="F489" s="204"/>
      <c r="G489" s="75"/>
      <c r="I489" s="75"/>
      <c r="J489" s="202"/>
      <c r="K489" s="75"/>
      <c r="L489" s="201"/>
    </row>
    <row r="490" spans="1:12" s="68" customFormat="1" ht="15.75" x14ac:dyDescent="0.25">
      <c r="A490" s="80"/>
      <c r="B490" s="151"/>
      <c r="C490" s="117">
        <v>2</v>
      </c>
      <c r="D490" s="68" t="s">
        <v>139</v>
      </c>
      <c r="E490" s="75">
        <v>2.1</v>
      </c>
      <c r="F490" s="204" t="s">
        <v>139</v>
      </c>
      <c r="G490" s="75">
        <v>0.6</v>
      </c>
      <c r="J490" s="202" t="s">
        <v>140</v>
      </c>
      <c r="K490" s="75">
        <f t="shared" ref="K490:K502" si="23">IF(C490,C490*E490*G490,"")</f>
        <v>2.52</v>
      </c>
      <c r="L490" s="201" t="s">
        <v>49</v>
      </c>
    </row>
    <row r="491" spans="1:12" s="68" customFormat="1" ht="15.75" x14ac:dyDescent="0.25">
      <c r="A491" s="80"/>
      <c r="B491" s="207" t="s">
        <v>12</v>
      </c>
      <c r="C491" s="59">
        <f>C490/2</f>
        <v>1</v>
      </c>
      <c r="D491" s="11" t="s">
        <v>139</v>
      </c>
      <c r="E491" s="12">
        <f>E490</f>
        <v>2.1</v>
      </c>
      <c r="F491" s="48" t="s">
        <v>139</v>
      </c>
      <c r="G491" s="12">
        <v>2</v>
      </c>
      <c r="H491" s="11"/>
      <c r="I491" s="11"/>
      <c r="J491" s="69" t="s">
        <v>140</v>
      </c>
      <c r="K491" s="12">
        <f>IF(C491,C491*E491*G491,"")</f>
        <v>4.2</v>
      </c>
      <c r="L491" s="66" t="s">
        <v>49</v>
      </c>
    </row>
    <row r="492" spans="1:12" s="68" customFormat="1" ht="15.75" x14ac:dyDescent="0.25">
      <c r="A492" s="80"/>
      <c r="B492" s="151"/>
      <c r="C492" s="59">
        <v>4</v>
      </c>
      <c r="D492" s="11" t="s">
        <v>139</v>
      </c>
      <c r="E492" s="12">
        <f>E490/2</f>
        <v>1.05</v>
      </c>
      <c r="F492" s="48" t="s">
        <v>139</v>
      </c>
      <c r="G492" s="12">
        <v>0.6</v>
      </c>
      <c r="H492" s="11"/>
      <c r="I492" s="11"/>
      <c r="J492" s="69" t="s">
        <v>140</v>
      </c>
      <c r="K492" s="12">
        <f>IF(C492,C492*E492*G492,"")</f>
        <v>2.52</v>
      </c>
      <c r="L492" s="66" t="s">
        <v>49</v>
      </c>
    </row>
    <row r="493" spans="1:12" s="68" customFormat="1" ht="15.75" x14ac:dyDescent="0.25">
      <c r="A493" s="80"/>
      <c r="B493" s="151"/>
      <c r="C493" s="117">
        <v>4</v>
      </c>
      <c r="D493" s="68" t="s">
        <v>139</v>
      </c>
      <c r="E493" s="75">
        <v>1.8</v>
      </c>
      <c r="F493" s="204" t="s">
        <v>139</v>
      </c>
      <c r="G493" s="75">
        <v>0.6</v>
      </c>
      <c r="J493" s="202" t="s">
        <v>140</v>
      </c>
      <c r="K493" s="75">
        <f t="shared" si="23"/>
        <v>4.32</v>
      </c>
      <c r="L493" s="201" t="s">
        <v>49</v>
      </c>
    </row>
    <row r="494" spans="1:12" s="68" customFormat="1" ht="15.75" x14ac:dyDescent="0.25">
      <c r="A494" s="80"/>
      <c r="B494" s="207" t="s">
        <v>12</v>
      </c>
      <c r="C494" s="59">
        <f>C493/2</f>
        <v>2</v>
      </c>
      <c r="D494" s="11" t="s">
        <v>139</v>
      </c>
      <c r="E494" s="12">
        <f>E493</f>
        <v>1.8</v>
      </c>
      <c r="F494" s="48" t="s">
        <v>139</v>
      </c>
      <c r="G494" s="12">
        <v>2</v>
      </c>
      <c r="H494" s="11"/>
      <c r="I494" s="11"/>
      <c r="J494" s="69" t="s">
        <v>140</v>
      </c>
      <c r="K494" s="12">
        <f t="shared" si="23"/>
        <v>7.2</v>
      </c>
      <c r="L494" s="66" t="s">
        <v>49</v>
      </c>
    </row>
    <row r="495" spans="1:12" s="68" customFormat="1" ht="15.75" x14ac:dyDescent="0.25">
      <c r="A495" s="80"/>
      <c r="B495" s="151"/>
      <c r="C495" s="59">
        <v>4</v>
      </c>
      <c r="D495" s="11" t="s">
        <v>139</v>
      </c>
      <c r="E495" s="12">
        <f>E493/2</f>
        <v>0.9</v>
      </c>
      <c r="F495" s="48" t="s">
        <v>139</v>
      </c>
      <c r="G495" s="12">
        <v>0.6</v>
      </c>
      <c r="H495" s="11"/>
      <c r="I495" s="11"/>
      <c r="J495" s="69" t="s">
        <v>140</v>
      </c>
      <c r="K495" s="12">
        <f t="shared" si="23"/>
        <v>2.16</v>
      </c>
      <c r="L495" s="66" t="s">
        <v>49</v>
      </c>
    </row>
    <row r="496" spans="1:12" s="68" customFormat="1" ht="15.75" x14ac:dyDescent="0.25">
      <c r="A496" s="80"/>
      <c r="B496" s="151"/>
      <c r="C496" s="117">
        <v>4</v>
      </c>
      <c r="D496" s="68" t="s">
        <v>139</v>
      </c>
      <c r="E496" s="75">
        <v>1.5</v>
      </c>
      <c r="F496" s="204" t="s">
        <v>139</v>
      </c>
      <c r="G496" s="75">
        <v>0.6</v>
      </c>
      <c r="J496" s="202" t="s">
        <v>140</v>
      </c>
      <c r="K496" s="75">
        <f t="shared" si="23"/>
        <v>3.5999999999999996</v>
      </c>
      <c r="L496" s="201" t="s">
        <v>49</v>
      </c>
    </row>
    <row r="497" spans="1:12" s="68" customFormat="1" ht="15.75" x14ac:dyDescent="0.25">
      <c r="A497" s="80"/>
      <c r="B497" s="207" t="s">
        <v>12</v>
      </c>
      <c r="C497" s="59">
        <f>C496/2</f>
        <v>2</v>
      </c>
      <c r="D497" s="11" t="s">
        <v>139</v>
      </c>
      <c r="E497" s="12">
        <f>E496</f>
        <v>1.5</v>
      </c>
      <c r="F497" s="48" t="s">
        <v>139</v>
      </c>
      <c r="G497" s="12">
        <v>2</v>
      </c>
      <c r="H497" s="11"/>
      <c r="I497" s="11"/>
      <c r="J497" s="69" t="s">
        <v>140</v>
      </c>
      <c r="K497" s="12">
        <f>IF(C497,C497*E497*G497,"")</f>
        <v>6</v>
      </c>
      <c r="L497" s="66" t="s">
        <v>49</v>
      </c>
    </row>
    <row r="498" spans="1:12" s="68" customFormat="1" ht="15.75" x14ac:dyDescent="0.25">
      <c r="A498" s="80"/>
      <c r="B498" s="151"/>
      <c r="C498" s="59">
        <v>4</v>
      </c>
      <c r="D498" s="11" t="s">
        <v>139</v>
      </c>
      <c r="E498" s="12">
        <f>E496/2</f>
        <v>0.75</v>
      </c>
      <c r="F498" s="48" t="s">
        <v>139</v>
      </c>
      <c r="G498" s="12">
        <v>0.6</v>
      </c>
      <c r="H498" s="11"/>
      <c r="I498" s="11"/>
      <c r="J498" s="69" t="s">
        <v>140</v>
      </c>
      <c r="K498" s="12">
        <f>IF(C498,C498*E498*G498,"")</f>
        <v>1.7999999999999998</v>
      </c>
      <c r="L498" s="66" t="s">
        <v>49</v>
      </c>
    </row>
    <row r="499" spans="1:12" s="68" customFormat="1" ht="15.75" x14ac:dyDescent="0.25">
      <c r="A499" s="80"/>
      <c r="B499" s="151"/>
      <c r="C499" s="117">
        <v>4</v>
      </c>
      <c r="D499" s="68" t="s">
        <v>139</v>
      </c>
      <c r="E499" s="75">
        <v>1.35</v>
      </c>
      <c r="F499" s="204" t="s">
        <v>139</v>
      </c>
      <c r="G499" s="75">
        <v>0.6</v>
      </c>
      <c r="J499" s="202" t="s">
        <v>140</v>
      </c>
      <c r="K499" s="75">
        <f t="shared" si="23"/>
        <v>3.24</v>
      </c>
      <c r="L499" s="201" t="s">
        <v>49</v>
      </c>
    </row>
    <row r="500" spans="1:12" s="68" customFormat="1" ht="15.75" x14ac:dyDescent="0.25">
      <c r="A500" s="80"/>
      <c r="B500" s="207" t="s">
        <v>12</v>
      </c>
      <c r="C500" s="59">
        <f>C499/2</f>
        <v>2</v>
      </c>
      <c r="D500" s="11" t="s">
        <v>139</v>
      </c>
      <c r="E500" s="12">
        <f>E499</f>
        <v>1.35</v>
      </c>
      <c r="F500" s="48" t="s">
        <v>139</v>
      </c>
      <c r="G500" s="12">
        <v>2</v>
      </c>
      <c r="H500" s="11"/>
      <c r="I500" s="11"/>
      <c r="J500" s="69" t="s">
        <v>140</v>
      </c>
      <c r="K500" s="12">
        <f t="shared" si="23"/>
        <v>5.4</v>
      </c>
      <c r="L500" s="66" t="s">
        <v>49</v>
      </c>
    </row>
    <row r="501" spans="1:12" s="68" customFormat="1" ht="15.75" x14ac:dyDescent="0.25">
      <c r="A501" s="80"/>
      <c r="B501" s="151"/>
      <c r="C501" s="59">
        <v>4</v>
      </c>
      <c r="D501" s="11" t="s">
        <v>139</v>
      </c>
      <c r="E501" s="12">
        <f>E499/2</f>
        <v>0.67500000000000004</v>
      </c>
      <c r="F501" s="48" t="s">
        <v>139</v>
      </c>
      <c r="G501" s="12">
        <v>0.6</v>
      </c>
      <c r="H501" s="11"/>
      <c r="I501" s="11"/>
      <c r="J501" s="69" t="s">
        <v>140</v>
      </c>
      <c r="K501" s="12">
        <f t="shared" si="23"/>
        <v>1.62</v>
      </c>
      <c r="L501" s="66" t="s">
        <v>49</v>
      </c>
    </row>
    <row r="502" spans="1:12" s="68" customFormat="1" ht="15.75" x14ac:dyDescent="0.25">
      <c r="A502" s="80"/>
      <c r="B502" s="151"/>
      <c r="C502" s="117">
        <v>6</v>
      </c>
      <c r="D502" s="68" t="s">
        <v>139</v>
      </c>
      <c r="E502" s="75">
        <v>0.75</v>
      </c>
      <c r="F502" s="204" t="s">
        <v>139</v>
      </c>
      <c r="G502" s="75">
        <v>0.6</v>
      </c>
      <c r="J502" s="202" t="s">
        <v>140</v>
      </c>
      <c r="K502" s="75">
        <f t="shared" si="23"/>
        <v>2.6999999999999997</v>
      </c>
      <c r="L502" s="201" t="s">
        <v>49</v>
      </c>
    </row>
    <row r="503" spans="1:12" s="68" customFormat="1" ht="15.75" x14ac:dyDescent="0.25">
      <c r="A503" s="80"/>
      <c r="B503" s="207" t="s">
        <v>12</v>
      </c>
      <c r="C503" s="59">
        <f>C502/2</f>
        <v>3</v>
      </c>
      <c r="D503" s="11" t="s">
        <v>139</v>
      </c>
      <c r="E503" s="12">
        <f>E502</f>
        <v>0.75</v>
      </c>
      <c r="F503" s="48" t="s">
        <v>139</v>
      </c>
      <c r="G503" s="12">
        <v>2</v>
      </c>
      <c r="H503" s="11"/>
      <c r="I503" s="11"/>
      <c r="J503" s="69" t="s">
        <v>140</v>
      </c>
      <c r="K503" s="12">
        <f>IF(C503,C503*E503*G503,"")</f>
        <v>4.5</v>
      </c>
      <c r="L503" s="66" t="s">
        <v>49</v>
      </c>
    </row>
    <row r="504" spans="1:12" s="68" customFormat="1" ht="15.75" x14ac:dyDescent="0.25">
      <c r="A504" s="80"/>
      <c r="B504" s="151"/>
      <c r="C504" s="59">
        <v>4</v>
      </c>
      <c r="D504" s="11" t="s">
        <v>139</v>
      </c>
      <c r="E504" s="12">
        <f>E502/2</f>
        <v>0.375</v>
      </c>
      <c r="F504" s="48" t="s">
        <v>139</v>
      </c>
      <c r="G504" s="12">
        <v>0.6</v>
      </c>
      <c r="H504" s="11"/>
      <c r="I504" s="11"/>
      <c r="J504" s="69" t="s">
        <v>140</v>
      </c>
      <c r="K504" s="12">
        <f>IF(C504,C504*E504*G504,"")</f>
        <v>0.89999999999999991</v>
      </c>
      <c r="L504" s="66" t="s">
        <v>49</v>
      </c>
    </row>
    <row r="505" spans="1:12" s="11" customFormat="1" x14ac:dyDescent="0.2">
      <c r="A505" s="54"/>
      <c r="B505" s="145"/>
      <c r="C505" s="66"/>
      <c r="E505" s="12"/>
      <c r="G505" s="34" t="s">
        <v>144</v>
      </c>
      <c r="H505" s="138"/>
      <c r="I505" s="136"/>
      <c r="J505" s="138"/>
      <c r="K505" s="136">
        <f>SUM(K483:K504)</f>
        <v>83.730000000000032</v>
      </c>
      <c r="L505" s="33" t="s">
        <v>49</v>
      </c>
    </row>
    <row r="506" spans="1:12" s="11" customFormat="1" ht="30" x14ac:dyDescent="0.2">
      <c r="A506" s="55"/>
      <c r="B506" s="145" t="s">
        <v>241</v>
      </c>
      <c r="C506" s="12"/>
      <c r="E506" s="12"/>
      <c r="F506" s="59"/>
      <c r="G506" s="67"/>
    </row>
    <row r="507" spans="1:12" s="11" customFormat="1" x14ac:dyDescent="0.2">
      <c r="A507" s="54"/>
      <c r="B507" s="145" t="s">
        <v>347</v>
      </c>
      <c r="C507" s="66">
        <v>4</v>
      </c>
      <c r="D507" s="59" t="s">
        <v>139</v>
      </c>
      <c r="E507" s="12">
        <v>1.5</v>
      </c>
      <c r="F507" s="59" t="s">
        <v>139</v>
      </c>
      <c r="G507" s="67">
        <v>1.5</v>
      </c>
      <c r="I507" s="12"/>
      <c r="J507" s="69" t="s">
        <v>140</v>
      </c>
      <c r="K507" s="12">
        <f>IF(C507,C507*E507*G507,"")</f>
        <v>9</v>
      </c>
      <c r="L507" s="66" t="s">
        <v>49</v>
      </c>
    </row>
    <row r="508" spans="1:12" s="11" customFormat="1" x14ac:dyDescent="0.2">
      <c r="A508" s="54"/>
      <c r="B508" s="145" t="s">
        <v>112</v>
      </c>
      <c r="C508" s="66">
        <v>4</v>
      </c>
      <c r="D508" s="59" t="s">
        <v>139</v>
      </c>
      <c r="E508" s="12">
        <v>1.5</v>
      </c>
      <c r="F508" s="59" t="s">
        <v>139</v>
      </c>
      <c r="G508" s="67">
        <v>0.75</v>
      </c>
      <c r="I508" s="12"/>
      <c r="J508" s="69" t="s">
        <v>140</v>
      </c>
      <c r="K508" s="12">
        <f>IF(C508,C508*E508*G508,"")</f>
        <v>4.5</v>
      </c>
      <c r="L508" s="66" t="s">
        <v>49</v>
      </c>
    </row>
    <row r="509" spans="1:12" s="11" customFormat="1" x14ac:dyDescent="0.2">
      <c r="A509" s="54"/>
      <c r="B509" s="145" t="s">
        <v>122</v>
      </c>
      <c r="C509" s="66">
        <v>4</v>
      </c>
      <c r="D509" s="59" t="s">
        <v>139</v>
      </c>
      <c r="E509" s="12">
        <v>1.5</v>
      </c>
      <c r="F509" s="59" t="s">
        <v>139</v>
      </c>
      <c r="G509" s="67">
        <v>0.75</v>
      </c>
      <c r="I509" s="12"/>
      <c r="J509" s="69" t="s">
        <v>140</v>
      </c>
      <c r="K509" s="12">
        <f>IF(C509,C509*E509*G509,"")</f>
        <v>4.5</v>
      </c>
      <c r="L509" s="66" t="s">
        <v>49</v>
      </c>
    </row>
    <row r="510" spans="1:12" s="11" customFormat="1" x14ac:dyDescent="0.2">
      <c r="A510" s="54"/>
      <c r="B510" s="145"/>
      <c r="C510" s="66"/>
      <c r="E510" s="12"/>
      <c r="G510" s="34" t="s">
        <v>144</v>
      </c>
      <c r="H510" s="138"/>
      <c r="I510" s="136"/>
      <c r="J510" s="138"/>
      <c r="K510" s="136">
        <f>SUM(K507:K509)</f>
        <v>18</v>
      </c>
      <c r="L510" s="33" t="s">
        <v>49</v>
      </c>
    </row>
    <row r="511" spans="1:12" s="11" customFormat="1" ht="180" x14ac:dyDescent="0.2">
      <c r="A511" s="186">
        <f>A481+1</f>
        <v>26</v>
      </c>
      <c r="B511" s="145" t="s">
        <v>24</v>
      </c>
      <c r="C511" s="12"/>
      <c r="E511" s="12"/>
      <c r="F511" s="59"/>
      <c r="G511" s="67"/>
    </row>
    <row r="512" spans="1:12" s="11" customFormat="1" ht="15.75" customHeight="1" x14ac:dyDescent="0.25">
      <c r="A512" s="54"/>
      <c r="B512" s="151" t="s">
        <v>156</v>
      </c>
      <c r="C512" s="201">
        <v>3</v>
      </c>
      <c r="D512" s="59" t="s">
        <v>139</v>
      </c>
      <c r="E512" s="12">
        <v>0.9</v>
      </c>
      <c r="F512" s="59" t="s">
        <v>139</v>
      </c>
      <c r="G512" s="46">
        <v>2.1</v>
      </c>
      <c r="H512" s="48"/>
      <c r="I512" s="65"/>
      <c r="J512" s="76" t="s">
        <v>140</v>
      </c>
      <c r="K512" s="65">
        <f>C512*E512*G512</f>
        <v>5.6700000000000008</v>
      </c>
      <c r="L512" s="45" t="s">
        <v>49</v>
      </c>
    </row>
    <row r="513" spans="1:12" s="11" customFormat="1" x14ac:dyDescent="0.2">
      <c r="A513" s="54"/>
      <c r="B513" s="145"/>
      <c r="C513" s="66"/>
      <c r="E513" s="12"/>
      <c r="G513" s="34" t="s">
        <v>144</v>
      </c>
      <c r="H513" s="138"/>
      <c r="I513" s="136"/>
      <c r="J513" s="138"/>
      <c r="K513" s="136">
        <f>SUM(K512)</f>
        <v>5.6700000000000008</v>
      </c>
      <c r="L513" s="33" t="s">
        <v>49</v>
      </c>
    </row>
    <row r="514" spans="1:12" s="11" customFormat="1" ht="180" x14ac:dyDescent="0.2">
      <c r="A514" s="186">
        <f>A511+1</f>
        <v>27</v>
      </c>
      <c r="B514" s="145" t="s">
        <v>25</v>
      </c>
      <c r="C514" s="12"/>
      <c r="E514" s="12"/>
      <c r="F514" s="59"/>
      <c r="G514" s="67"/>
    </row>
    <row r="515" spans="1:12" s="11" customFormat="1" ht="15.75" x14ac:dyDescent="0.25">
      <c r="A515" s="54"/>
      <c r="B515" s="151" t="s">
        <v>374</v>
      </c>
      <c r="C515" s="201">
        <v>7</v>
      </c>
      <c r="D515" s="59" t="s">
        <v>139</v>
      </c>
      <c r="E515" s="12">
        <v>1.2</v>
      </c>
      <c r="F515" s="59" t="s">
        <v>139</v>
      </c>
      <c r="G515" s="46">
        <v>2.1</v>
      </c>
      <c r="H515" s="48"/>
      <c r="I515" s="65"/>
      <c r="J515" s="76" t="s">
        <v>140</v>
      </c>
      <c r="K515" s="65">
        <f>C515*E515*G515</f>
        <v>17.64</v>
      </c>
      <c r="L515" s="45" t="s">
        <v>49</v>
      </c>
    </row>
    <row r="516" spans="1:12" s="11" customFormat="1" ht="15.75" x14ac:dyDescent="0.25">
      <c r="A516" s="54"/>
      <c r="B516" s="151" t="s">
        <v>321</v>
      </c>
      <c r="C516" s="201">
        <v>4</v>
      </c>
      <c r="D516" s="59" t="s">
        <v>139</v>
      </c>
      <c r="E516" s="12">
        <v>1.05</v>
      </c>
      <c r="F516" s="59" t="s">
        <v>139</v>
      </c>
      <c r="G516" s="46">
        <v>2.1</v>
      </c>
      <c r="H516" s="48"/>
      <c r="I516" s="65"/>
      <c r="J516" s="76" t="s">
        <v>140</v>
      </c>
      <c r="K516" s="65">
        <f>C516*E516*G516</f>
        <v>8.82</v>
      </c>
      <c r="L516" s="45" t="s">
        <v>49</v>
      </c>
    </row>
    <row r="517" spans="1:12" s="11" customFormat="1" ht="15.75" x14ac:dyDescent="0.25">
      <c r="A517" s="54"/>
      <c r="B517" s="151" t="s">
        <v>155</v>
      </c>
      <c r="C517" s="201">
        <v>6</v>
      </c>
      <c r="D517" s="59" t="s">
        <v>139</v>
      </c>
      <c r="E517" s="12">
        <v>0.84</v>
      </c>
      <c r="F517" s="59" t="s">
        <v>139</v>
      </c>
      <c r="G517" s="46">
        <v>2.1</v>
      </c>
      <c r="H517" s="48"/>
      <c r="I517" s="65"/>
      <c r="J517" s="76" t="s">
        <v>140</v>
      </c>
      <c r="K517" s="65">
        <f>C517*E517*G517</f>
        <v>10.584000000000001</v>
      </c>
      <c r="L517" s="45" t="s">
        <v>49</v>
      </c>
    </row>
    <row r="518" spans="1:12" s="11" customFormat="1" ht="15.75" x14ac:dyDescent="0.25">
      <c r="A518" s="54"/>
      <c r="B518" s="151" t="s">
        <v>94</v>
      </c>
      <c r="C518" s="201">
        <v>1</v>
      </c>
      <c r="D518" s="59" t="s">
        <v>139</v>
      </c>
      <c r="E518" s="12">
        <v>0.75</v>
      </c>
      <c r="F518" s="59" t="s">
        <v>139</v>
      </c>
      <c r="G518" s="46">
        <v>2.1</v>
      </c>
      <c r="H518" s="48"/>
      <c r="I518" s="65"/>
      <c r="J518" s="76" t="s">
        <v>140</v>
      </c>
      <c r="K518" s="65">
        <f>C518*E518*G518</f>
        <v>1.5750000000000002</v>
      </c>
      <c r="L518" s="45" t="s">
        <v>49</v>
      </c>
    </row>
    <row r="519" spans="1:12" s="11" customFormat="1" x14ac:dyDescent="0.2">
      <c r="A519" s="54"/>
      <c r="B519" s="145"/>
      <c r="C519" s="66"/>
      <c r="E519" s="12"/>
      <c r="G519" s="34" t="s">
        <v>144</v>
      </c>
      <c r="H519" s="138"/>
      <c r="I519" s="136"/>
      <c r="J519" s="138"/>
      <c r="K519" s="136">
        <f>SUM(K515:K518)</f>
        <v>38.619000000000007</v>
      </c>
      <c r="L519" s="33" t="s">
        <v>49</v>
      </c>
    </row>
    <row r="520" spans="1:12" s="11" customFormat="1" ht="90" x14ac:dyDescent="0.2">
      <c r="A520" s="186">
        <v>28</v>
      </c>
      <c r="B520" s="145" t="str">
        <f>GF1_ABS!B43</f>
        <v>Distempering with oil bound washable distemper of approved brand &amp; manufacture to give an even shade including all scaffolding, New work (two or more coats over and including priming coat with distemper primer).</v>
      </c>
      <c r="C520" s="12"/>
      <c r="D520" s="38"/>
      <c r="E520" s="12"/>
      <c r="F520" s="42"/>
      <c r="G520" s="67"/>
    </row>
    <row r="521" spans="1:12" s="11" customFormat="1" x14ac:dyDescent="0.2">
      <c r="A521" s="55"/>
      <c r="B521" s="145" t="s">
        <v>179</v>
      </c>
      <c r="C521" s="12"/>
      <c r="D521" s="38"/>
      <c r="E521" s="12"/>
      <c r="F521" s="42"/>
      <c r="G521" s="67"/>
      <c r="J521" s="74" t="s">
        <v>140</v>
      </c>
      <c r="K521" s="12">
        <f>K378</f>
        <v>584.33900000000006</v>
      </c>
      <c r="L521" s="11" t="s">
        <v>49</v>
      </c>
    </row>
    <row r="522" spans="1:12" s="11" customFormat="1" x14ac:dyDescent="0.2">
      <c r="A522" s="55"/>
      <c r="B522" s="148" t="s">
        <v>182</v>
      </c>
      <c r="C522" s="13">
        <v>2</v>
      </c>
      <c r="D522" s="42" t="s">
        <v>139</v>
      </c>
      <c r="E522" s="12">
        <f>C206</f>
        <v>40.927499999999995</v>
      </c>
      <c r="F522" s="42"/>
      <c r="G522" s="46"/>
      <c r="H522" s="48"/>
      <c r="I522" s="48"/>
      <c r="J522" s="74" t="s">
        <v>140</v>
      </c>
      <c r="K522" s="65">
        <f>C522*E522</f>
        <v>81.85499999999999</v>
      </c>
      <c r="L522" s="48" t="s">
        <v>49</v>
      </c>
    </row>
    <row r="523" spans="1:12" s="11" customFormat="1" x14ac:dyDescent="0.2">
      <c r="A523" s="55"/>
      <c r="B523" s="148" t="s">
        <v>180</v>
      </c>
      <c r="C523" s="12"/>
      <c r="D523" s="38"/>
      <c r="E523" s="12"/>
      <c r="F523" s="42"/>
      <c r="G523" s="46"/>
      <c r="H523" s="48"/>
      <c r="I523" s="48"/>
      <c r="J523" s="74" t="s">
        <v>140</v>
      </c>
      <c r="K523" s="65">
        <f>C251</f>
        <v>254.59109999999993</v>
      </c>
      <c r="L523" s="48" t="s">
        <v>49</v>
      </c>
    </row>
    <row r="524" spans="1:12" s="11" customFormat="1" x14ac:dyDescent="0.2">
      <c r="A524" s="54"/>
      <c r="B524" s="145"/>
      <c r="C524" s="66"/>
      <c r="E524" s="12"/>
      <c r="G524" s="34" t="s">
        <v>144</v>
      </c>
      <c r="H524" s="138"/>
      <c r="I524" s="136"/>
      <c r="J524" s="138"/>
      <c r="K524" s="136">
        <f>SUM(K521:K523)</f>
        <v>920.78510000000006</v>
      </c>
      <c r="L524" s="33" t="s">
        <v>49</v>
      </c>
    </row>
    <row r="525" spans="1:12" s="11" customFormat="1" ht="75" x14ac:dyDescent="0.2">
      <c r="A525" s="55">
        <f>A520+1</f>
        <v>29</v>
      </c>
      <c r="B525" s="148" t="str">
        <f>GF1_ABS!B44</f>
        <v>Finishing wall with water proofing cement paint of approved brand &amp; manufacture and of required shade to give an even shade including all scaffolding New Work (Three or more coat).</v>
      </c>
      <c r="C525" s="12"/>
      <c r="D525" s="38"/>
      <c r="E525" s="12"/>
      <c r="F525" s="42"/>
      <c r="G525" s="67"/>
    </row>
    <row r="526" spans="1:12" s="11" customFormat="1" x14ac:dyDescent="0.2">
      <c r="A526" s="55"/>
      <c r="B526" s="148" t="s">
        <v>181</v>
      </c>
      <c r="C526" s="13">
        <v>1</v>
      </c>
      <c r="D526" s="42" t="s">
        <v>139</v>
      </c>
      <c r="E526" s="15">
        <f>K384</f>
        <v>596.49300000000005</v>
      </c>
      <c r="F526" s="99"/>
      <c r="G526" s="188"/>
      <c r="H526" s="70"/>
      <c r="I526" s="70"/>
      <c r="J526" s="73" t="s">
        <v>140</v>
      </c>
      <c r="K526" s="71">
        <f>K384</f>
        <v>596.49300000000005</v>
      </c>
      <c r="L526" s="70" t="s">
        <v>49</v>
      </c>
    </row>
    <row r="527" spans="1:12" s="11" customFormat="1" ht="60" x14ac:dyDescent="0.2">
      <c r="A527" s="55">
        <f>A525+1</f>
        <v>30</v>
      </c>
      <c r="B527" s="145" t="s">
        <v>267</v>
      </c>
      <c r="C527" s="12"/>
      <c r="D527" s="38"/>
      <c r="E527" s="12"/>
      <c r="F527" s="42"/>
      <c r="G527" s="67"/>
    </row>
    <row r="528" spans="1:12" s="11" customFormat="1" x14ac:dyDescent="0.2">
      <c r="A528" s="54"/>
      <c r="B528" s="148" t="s">
        <v>185</v>
      </c>
      <c r="C528" s="100">
        <f>K513</f>
        <v>5.6700000000000008</v>
      </c>
      <c r="D528" s="14"/>
      <c r="E528" s="15"/>
      <c r="F528" s="11" t="s">
        <v>49</v>
      </c>
      <c r="G528" s="67"/>
      <c r="H528" s="89" t="s">
        <v>184</v>
      </c>
      <c r="I528" s="81">
        <v>2.25</v>
      </c>
      <c r="J528" s="76" t="s">
        <v>140</v>
      </c>
      <c r="K528" s="65">
        <f>C528*I528</f>
        <v>12.757500000000002</v>
      </c>
      <c r="L528" s="74" t="s">
        <v>49</v>
      </c>
    </row>
    <row r="529" spans="1:12" s="11" customFormat="1" x14ac:dyDescent="0.2">
      <c r="A529" s="54"/>
      <c r="B529" s="145" t="s">
        <v>183</v>
      </c>
      <c r="C529" s="100">
        <f>K519</f>
        <v>38.619000000000007</v>
      </c>
      <c r="D529" s="14"/>
      <c r="E529" s="15"/>
      <c r="F529" s="11" t="s">
        <v>49</v>
      </c>
      <c r="G529" s="67"/>
      <c r="H529" s="89" t="s">
        <v>184</v>
      </c>
      <c r="I529" s="81">
        <v>2.25</v>
      </c>
      <c r="J529" s="76" t="s">
        <v>140</v>
      </c>
      <c r="K529" s="65">
        <f>C529*I529</f>
        <v>86.892750000000021</v>
      </c>
      <c r="L529" s="74" t="s">
        <v>49</v>
      </c>
    </row>
    <row r="530" spans="1:12" s="11" customFormat="1" x14ac:dyDescent="0.2">
      <c r="A530" s="54"/>
      <c r="B530" s="148" t="s">
        <v>186</v>
      </c>
      <c r="C530" s="100">
        <f>K409</f>
        <v>68.602500000000006</v>
      </c>
      <c r="D530" s="14"/>
      <c r="E530" s="15"/>
      <c r="F530" s="11" t="s">
        <v>49</v>
      </c>
      <c r="G530" s="67"/>
      <c r="H530" s="89" t="s">
        <v>184</v>
      </c>
      <c r="I530" s="81">
        <v>2.6</v>
      </c>
      <c r="J530" s="76" t="s">
        <v>140</v>
      </c>
      <c r="K530" s="65">
        <f>C530*I530</f>
        <v>178.36650000000003</v>
      </c>
      <c r="L530" s="74" t="s">
        <v>49</v>
      </c>
    </row>
    <row r="531" spans="1:12" s="11" customFormat="1" x14ac:dyDescent="0.2">
      <c r="A531" s="54"/>
      <c r="B531" s="145" t="s">
        <v>187</v>
      </c>
      <c r="C531" s="59">
        <v>3</v>
      </c>
      <c r="D531" s="11" t="s">
        <v>139</v>
      </c>
      <c r="E531" s="12">
        <v>3</v>
      </c>
      <c r="F531" s="11" t="s">
        <v>139</v>
      </c>
      <c r="G531" s="67">
        <v>2.5499999999999998</v>
      </c>
      <c r="H531" s="89" t="s">
        <v>184</v>
      </c>
      <c r="I531" s="81">
        <v>2</v>
      </c>
      <c r="J531" s="76" t="s">
        <v>140</v>
      </c>
      <c r="K531" s="65">
        <f>C531*E531*G531*I531</f>
        <v>45.9</v>
      </c>
      <c r="L531" s="74" t="s">
        <v>49</v>
      </c>
    </row>
    <row r="532" spans="1:12" s="11" customFormat="1" x14ac:dyDescent="0.2">
      <c r="A532" s="54"/>
      <c r="B532" s="145" t="s">
        <v>188</v>
      </c>
      <c r="C532" s="59">
        <v>4</v>
      </c>
      <c r="D532" s="11" t="s">
        <v>139</v>
      </c>
      <c r="E532" s="12">
        <v>4.71</v>
      </c>
      <c r="F532" s="11" t="s">
        <v>139</v>
      </c>
      <c r="G532" s="67">
        <v>1</v>
      </c>
      <c r="H532" s="89" t="s">
        <v>184</v>
      </c>
      <c r="I532" s="81">
        <v>1</v>
      </c>
      <c r="J532" s="76" t="s">
        <v>140</v>
      </c>
      <c r="K532" s="65">
        <f>C532*E532*G532*I532</f>
        <v>18.84</v>
      </c>
      <c r="L532" s="74" t="s">
        <v>49</v>
      </c>
    </row>
    <row r="533" spans="1:12" s="11" customFormat="1" x14ac:dyDescent="0.2">
      <c r="A533" s="54"/>
      <c r="B533" s="145" t="s">
        <v>188</v>
      </c>
      <c r="C533" s="59">
        <v>3</v>
      </c>
      <c r="D533" s="11" t="s">
        <v>139</v>
      </c>
      <c r="E533" s="12">
        <v>6</v>
      </c>
      <c r="F533" s="11" t="s">
        <v>139</v>
      </c>
      <c r="G533" s="67">
        <v>1</v>
      </c>
      <c r="H533" s="89" t="s">
        <v>184</v>
      </c>
      <c r="I533" s="77">
        <v>1</v>
      </c>
      <c r="J533" s="72" t="s">
        <v>140</v>
      </c>
      <c r="K533" s="71">
        <f>C533*E533*G533*I533</f>
        <v>18</v>
      </c>
      <c r="L533" s="73" t="s">
        <v>49</v>
      </c>
    </row>
    <row r="534" spans="1:12" s="11" customFormat="1" x14ac:dyDescent="0.2">
      <c r="A534" s="54"/>
      <c r="B534" s="148"/>
      <c r="C534" s="59"/>
      <c r="E534" s="12"/>
      <c r="I534" s="34" t="s">
        <v>144</v>
      </c>
      <c r="J534" s="137" t="s">
        <v>140</v>
      </c>
      <c r="K534" s="136">
        <f>SUM(K528:K533)</f>
        <v>360.75675000000001</v>
      </c>
      <c r="L534" s="139" t="s">
        <v>49</v>
      </c>
    </row>
    <row r="535" spans="1:12" s="11" customFormat="1" ht="45" x14ac:dyDescent="0.2">
      <c r="A535" s="55">
        <f>A527+1</f>
        <v>31</v>
      </c>
      <c r="B535" s="148" t="s">
        <v>62</v>
      </c>
      <c r="C535" s="12"/>
      <c r="D535" s="38"/>
      <c r="E535" s="12"/>
      <c r="F535" s="42"/>
      <c r="G535" s="67"/>
    </row>
    <row r="536" spans="1:12" s="11" customFormat="1" x14ac:dyDescent="0.2">
      <c r="A536" s="55"/>
      <c r="B536" s="145" t="s">
        <v>189</v>
      </c>
      <c r="C536" s="12"/>
      <c r="D536" s="38"/>
      <c r="E536" s="12"/>
      <c r="F536" s="42"/>
      <c r="G536" s="67"/>
      <c r="K536" s="65">
        <f>K534</f>
        <v>360.75675000000001</v>
      </c>
      <c r="L536" s="74" t="s">
        <v>49</v>
      </c>
    </row>
    <row r="537" spans="1:12" ht="60" x14ac:dyDescent="0.2">
      <c r="A537" s="55">
        <v>32</v>
      </c>
      <c r="B537" s="169" t="s">
        <v>20</v>
      </c>
      <c r="C537" s="12"/>
      <c r="D537" s="38"/>
      <c r="E537" s="12"/>
      <c r="F537" s="42"/>
      <c r="G537" s="67"/>
      <c r="I537" s="48"/>
      <c r="K537" s="48"/>
    </row>
    <row r="538" spans="1:12" s="11" customFormat="1" x14ac:dyDescent="0.2">
      <c r="A538" s="54"/>
      <c r="B538" s="145" t="s">
        <v>113</v>
      </c>
      <c r="C538" s="66">
        <v>1</v>
      </c>
      <c r="D538" s="11" t="s">
        <v>139</v>
      </c>
      <c r="E538" s="12">
        <v>3</v>
      </c>
      <c r="F538" s="11" t="s">
        <v>139</v>
      </c>
      <c r="G538" s="12">
        <v>2.4</v>
      </c>
      <c r="H538" s="48"/>
      <c r="I538" s="65"/>
      <c r="J538" s="76" t="s">
        <v>140</v>
      </c>
      <c r="K538" s="65">
        <f t="shared" ref="K538:K546" si="24">IF(C538,C538*E538*G538,"")</f>
        <v>7.1999999999999993</v>
      </c>
      <c r="L538" s="45" t="s">
        <v>49</v>
      </c>
    </row>
    <row r="539" spans="1:12" s="11" customFormat="1" x14ac:dyDescent="0.2">
      <c r="A539" s="54"/>
      <c r="B539" s="145" t="s">
        <v>74</v>
      </c>
      <c r="C539" s="66">
        <v>1</v>
      </c>
      <c r="D539" s="11" t="s">
        <v>139</v>
      </c>
      <c r="E539" s="12">
        <v>10.050000000000001</v>
      </c>
      <c r="F539" s="11" t="s">
        <v>139</v>
      </c>
      <c r="G539" s="12">
        <v>3.95</v>
      </c>
      <c r="H539" s="48"/>
      <c r="I539" s="65"/>
      <c r="J539" s="76" t="s">
        <v>140</v>
      </c>
      <c r="K539" s="65">
        <f t="shared" si="24"/>
        <v>39.697500000000005</v>
      </c>
      <c r="L539" s="45" t="s">
        <v>49</v>
      </c>
    </row>
    <row r="540" spans="1:12" s="11" customFormat="1" x14ac:dyDescent="0.2">
      <c r="A540" s="54"/>
      <c r="B540" s="145"/>
      <c r="C540" s="66">
        <v>1</v>
      </c>
      <c r="D540" s="11" t="s">
        <v>139</v>
      </c>
      <c r="E540" s="12">
        <v>4.55</v>
      </c>
      <c r="F540" s="11" t="s">
        <v>139</v>
      </c>
      <c r="G540" s="12">
        <v>0.9</v>
      </c>
      <c r="H540" s="48"/>
      <c r="I540" s="65"/>
      <c r="J540" s="76" t="s">
        <v>140</v>
      </c>
      <c r="K540" s="65">
        <f t="shared" si="24"/>
        <v>4.0949999999999998</v>
      </c>
      <c r="L540" s="45" t="s">
        <v>49</v>
      </c>
    </row>
    <row r="541" spans="1:12" s="11" customFormat="1" x14ac:dyDescent="0.2">
      <c r="A541" s="54"/>
      <c r="B541" s="145" t="s">
        <v>90</v>
      </c>
      <c r="C541" s="66">
        <v>1</v>
      </c>
      <c r="D541" s="11" t="s">
        <v>139</v>
      </c>
      <c r="E541" s="12">
        <v>8.85</v>
      </c>
      <c r="F541" s="11" t="s">
        <v>139</v>
      </c>
      <c r="G541" s="12">
        <v>8.1</v>
      </c>
      <c r="H541" s="48"/>
      <c r="I541" s="65"/>
      <c r="J541" s="76" t="s">
        <v>140</v>
      </c>
      <c r="K541" s="65">
        <f t="shared" si="24"/>
        <v>71.684999999999988</v>
      </c>
      <c r="L541" s="45" t="s">
        <v>49</v>
      </c>
    </row>
    <row r="542" spans="1:12" s="11" customFormat="1" x14ac:dyDescent="0.2">
      <c r="A542" s="54"/>
      <c r="B542" s="145"/>
      <c r="C542" s="66">
        <v>1</v>
      </c>
      <c r="D542" s="11" t="s">
        <v>139</v>
      </c>
      <c r="E542" s="12">
        <v>10.98</v>
      </c>
      <c r="F542" s="11" t="s">
        <v>139</v>
      </c>
      <c r="G542" s="12">
        <v>8.1</v>
      </c>
      <c r="H542" s="48"/>
      <c r="I542" s="65"/>
      <c r="J542" s="76" t="s">
        <v>140</v>
      </c>
      <c r="K542" s="65">
        <f t="shared" si="24"/>
        <v>88.938000000000002</v>
      </c>
      <c r="L542" s="45" t="s">
        <v>49</v>
      </c>
    </row>
    <row r="543" spans="1:12" s="11" customFormat="1" x14ac:dyDescent="0.2">
      <c r="A543" s="54"/>
      <c r="B543" s="145" t="s">
        <v>141</v>
      </c>
      <c r="C543" s="66">
        <v>1</v>
      </c>
      <c r="D543" s="11" t="s">
        <v>139</v>
      </c>
      <c r="E543" s="12">
        <v>3.25</v>
      </c>
      <c r="F543" s="11" t="s">
        <v>139</v>
      </c>
      <c r="G543" s="12">
        <v>1.65</v>
      </c>
      <c r="H543" s="48"/>
      <c r="I543" s="65"/>
      <c r="J543" s="76" t="s">
        <v>140</v>
      </c>
      <c r="K543" s="65">
        <f t="shared" si="24"/>
        <v>5.3624999999999998</v>
      </c>
      <c r="L543" s="45" t="s">
        <v>49</v>
      </c>
    </row>
    <row r="544" spans="1:12" s="11" customFormat="1" x14ac:dyDescent="0.2">
      <c r="A544" s="54"/>
      <c r="B544" s="145" t="s">
        <v>15</v>
      </c>
      <c r="C544" s="66">
        <v>1</v>
      </c>
      <c r="D544" s="11" t="s">
        <v>139</v>
      </c>
      <c r="E544" s="12">
        <v>3.65</v>
      </c>
      <c r="F544" s="11" t="s">
        <v>139</v>
      </c>
      <c r="G544" s="12">
        <v>5</v>
      </c>
      <c r="H544" s="48"/>
      <c r="I544" s="65"/>
      <c r="J544" s="76" t="s">
        <v>140</v>
      </c>
      <c r="K544" s="65">
        <f t="shared" si="24"/>
        <v>18.25</v>
      </c>
      <c r="L544" s="45" t="s">
        <v>49</v>
      </c>
    </row>
    <row r="545" spans="1:12" s="11" customFormat="1" x14ac:dyDescent="0.2">
      <c r="A545" s="54"/>
      <c r="B545" s="145" t="s">
        <v>93</v>
      </c>
      <c r="C545" s="66">
        <v>1</v>
      </c>
      <c r="D545" s="11" t="s">
        <v>139</v>
      </c>
      <c r="E545" s="12">
        <v>3</v>
      </c>
      <c r="F545" s="11" t="s">
        <v>139</v>
      </c>
      <c r="G545" s="12">
        <v>7.5</v>
      </c>
      <c r="H545" s="48"/>
      <c r="I545" s="65"/>
      <c r="J545" s="76" t="s">
        <v>140</v>
      </c>
      <c r="K545" s="65">
        <f t="shared" si="24"/>
        <v>22.5</v>
      </c>
      <c r="L545" s="45" t="s">
        <v>49</v>
      </c>
    </row>
    <row r="546" spans="1:12" s="11" customFormat="1" x14ac:dyDescent="0.2">
      <c r="A546" s="54"/>
      <c r="B546" s="145"/>
      <c r="C546" s="66">
        <v>1</v>
      </c>
      <c r="D546" s="11" t="s">
        <v>139</v>
      </c>
      <c r="E546" s="12">
        <v>1.9</v>
      </c>
      <c r="F546" s="11" t="s">
        <v>139</v>
      </c>
      <c r="G546" s="12">
        <v>3.6</v>
      </c>
      <c r="H546" s="48"/>
      <c r="I546" s="65"/>
      <c r="J546" s="76" t="s">
        <v>140</v>
      </c>
      <c r="K546" s="65">
        <f t="shared" si="24"/>
        <v>6.84</v>
      </c>
      <c r="L546" s="45" t="s">
        <v>49</v>
      </c>
    </row>
    <row r="547" spans="1:12" s="11" customFormat="1" x14ac:dyDescent="0.2">
      <c r="A547" s="54"/>
      <c r="B547" s="145"/>
      <c r="C547" s="66"/>
      <c r="E547" s="34" t="s">
        <v>144</v>
      </c>
      <c r="F547" s="138"/>
      <c r="G547" s="34"/>
      <c r="H547" s="138"/>
      <c r="I547" s="136"/>
      <c r="J547" s="138"/>
      <c r="K547" s="136">
        <f>SUM(K538:K546)</f>
        <v>264.56799999999998</v>
      </c>
      <c r="L547" s="33" t="s">
        <v>49</v>
      </c>
    </row>
    <row r="548" spans="1:12" s="11" customFormat="1" ht="60" x14ac:dyDescent="0.2">
      <c r="A548" s="55">
        <v>33</v>
      </c>
      <c r="B548" s="148" t="s">
        <v>127</v>
      </c>
      <c r="C548" s="12"/>
      <c r="D548" s="38"/>
      <c r="E548" s="12" t="s">
        <v>346</v>
      </c>
      <c r="F548" s="42"/>
      <c r="G548" s="67"/>
      <c r="H548" s="48"/>
      <c r="I548" s="48"/>
      <c r="J548" s="76" t="s">
        <v>140</v>
      </c>
      <c r="K548" s="65">
        <f>K547</f>
        <v>264.56799999999998</v>
      </c>
      <c r="L548" s="48" t="s">
        <v>49</v>
      </c>
    </row>
    <row r="549" spans="1:12" ht="60" x14ac:dyDescent="0.2">
      <c r="A549" s="55">
        <v>34</v>
      </c>
      <c r="B549" s="169" t="s">
        <v>128</v>
      </c>
      <c r="C549" s="12"/>
      <c r="D549" s="38"/>
      <c r="E549" s="12"/>
      <c r="F549" s="42"/>
      <c r="G549" s="67"/>
      <c r="I549" s="48"/>
      <c r="K549" s="48"/>
    </row>
    <row r="550" spans="1:12" x14ac:dyDescent="0.2">
      <c r="A550" s="55"/>
      <c r="B550" s="169" t="s">
        <v>345</v>
      </c>
      <c r="C550" s="12"/>
      <c r="D550" s="38"/>
      <c r="E550" s="12">
        <f>K547</f>
        <v>264.56799999999998</v>
      </c>
      <c r="F550" s="54" t="s">
        <v>344</v>
      </c>
      <c r="G550" s="54"/>
      <c r="H550" s="54"/>
      <c r="I550" s="54"/>
      <c r="J550" s="54" t="s">
        <v>140</v>
      </c>
      <c r="K550" s="196">
        <f>E550*0.25</f>
        <v>66.141999999999996</v>
      </c>
      <c r="L550" s="66" t="s">
        <v>49</v>
      </c>
    </row>
    <row r="551" spans="1:12" ht="90" x14ac:dyDescent="0.2">
      <c r="A551" s="55">
        <f>IF(A549,A549+1,#REF!+1)</f>
        <v>35</v>
      </c>
      <c r="B551" s="169" t="s">
        <v>243</v>
      </c>
      <c r="C551" s="12"/>
      <c r="D551" s="38"/>
      <c r="E551" s="12" t="s">
        <v>346</v>
      </c>
      <c r="F551" s="42"/>
      <c r="G551" s="67"/>
      <c r="I551" s="48"/>
      <c r="J551" s="76" t="s">
        <v>140</v>
      </c>
      <c r="K551" s="65">
        <f>K547</f>
        <v>264.56799999999998</v>
      </c>
      <c r="L551" s="48" t="s">
        <v>49</v>
      </c>
    </row>
    <row r="552" spans="1:12" s="11" customFormat="1" ht="105" x14ac:dyDescent="0.2">
      <c r="A552" s="55">
        <v>36</v>
      </c>
      <c r="B552" s="148" t="s">
        <v>11</v>
      </c>
      <c r="C552" s="12"/>
      <c r="D552" s="38"/>
      <c r="E552" s="12"/>
      <c r="F552" s="42"/>
      <c r="G552" s="67"/>
    </row>
    <row r="553" spans="1:12" s="11" customFormat="1" x14ac:dyDescent="0.2">
      <c r="A553" s="54"/>
      <c r="B553" s="145" t="s">
        <v>74</v>
      </c>
      <c r="C553" s="66">
        <v>2</v>
      </c>
      <c r="D553" s="59" t="s">
        <v>139</v>
      </c>
      <c r="E553" s="12">
        <v>3</v>
      </c>
      <c r="F553" s="59" t="s">
        <v>139</v>
      </c>
      <c r="G553" s="67">
        <v>0.6</v>
      </c>
      <c r="I553" s="12"/>
      <c r="J553" s="69" t="s">
        <v>140</v>
      </c>
      <c r="K553" s="12">
        <f>IF(C553,C553*E553*G553,"")</f>
        <v>3.5999999999999996</v>
      </c>
      <c r="L553" s="66" t="s">
        <v>49</v>
      </c>
    </row>
    <row r="554" spans="1:12" s="11" customFormat="1" x14ac:dyDescent="0.2">
      <c r="A554" s="54"/>
      <c r="B554" s="145" t="s">
        <v>229</v>
      </c>
      <c r="C554" s="66">
        <v>2</v>
      </c>
      <c r="D554" s="59" t="s">
        <v>139</v>
      </c>
      <c r="E554" s="12">
        <v>8.1</v>
      </c>
      <c r="F554" s="59" t="s">
        <v>139</v>
      </c>
      <c r="G554" s="67">
        <v>2.1</v>
      </c>
      <c r="I554" s="12"/>
      <c r="J554" s="69" t="s">
        <v>140</v>
      </c>
      <c r="K554" s="12">
        <f>IF(C554,C554*E554*G554,"")</f>
        <v>34.020000000000003</v>
      </c>
      <c r="L554" s="66" t="s">
        <v>49</v>
      </c>
    </row>
    <row r="555" spans="1:12" s="11" customFormat="1" x14ac:dyDescent="0.2">
      <c r="A555" s="54"/>
      <c r="B555" s="145"/>
      <c r="C555" s="66">
        <v>1</v>
      </c>
      <c r="D555" s="59" t="s">
        <v>139</v>
      </c>
      <c r="E555" s="12">
        <v>6.3</v>
      </c>
      <c r="F555" s="59" t="s">
        <v>139</v>
      </c>
      <c r="G555" s="67">
        <v>2.1</v>
      </c>
      <c r="I555" s="12"/>
      <c r="J555" s="69" t="s">
        <v>140</v>
      </c>
      <c r="K555" s="12">
        <f>IF(C555,C555*E555*G555,"")</f>
        <v>13.23</v>
      </c>
      <c r="L555" s="66" t="s">
        <v>49</v>
      </c>
    </row>
    <row r="556" spans="1:12" s="11" customFormat="1" x14ac:dyDescent="0.2">
      <c r="A556" s="54"/>
      <c r="B556" s="145"/>
      <c r="C556" s="66">
        <v>1</v>
      </c>
      <c r="D556" s="59" t="s">
        <v>139</v>
      </c>
      <c r="E556" s="12">
        <v>9</v>
      </c>
      <c r="F556" s="59" t="s">
        <v>139</v>
      </c>
      <c r="G556" s="67">
        <v>2.1</v>
      </c>
      <c r="I556" s="12"/>
      <c r="J556" s="69" t="s">
        <v>140</v>
      </c>
      <c r="K556" s="12">
        <f>IF(C556,C556*E556*G556,"")</f>
        <v>18.900000000000002</v>
      </c>
      <c r="L556" s="66" t="s">
        <v>49</v>
      </c>
    </row>
    <row r="557" spans="1:12" s="11" customFormat="1" x14ac:dyDescent="0.2">
      <c r="A557" s="54"/>
      <c r="B557" s="145" t="s">
        <v>83</v>
      </c>
      <c r="C557" s="66">
        <v>1</v>
      </c>
      <c r="D557" s="59" t="s">
        <v>139</v>
      </c>
      <c r="E557" s="12">
        <f>16.5*0.3</f>
        <v>4.95</v>
      </c>
      <c r="F557" s="59" t="s">
        <v>139</v>
      </c>
      <c r="G557" s="67">
        <v>1.2</v>
      </c>
      <c r="I557" s="12"/>
      <c r="J557" s="69" t="s">
        <v>140</v>
      </c>
      <c r="K557" s="12">
        <f>IF(C557,C557*E557*G557,"")</f>
        <v>5.94</v>
      </c>
      <c r="L557" s="66" t="s">
        <v>49</v>
      </c>
    </row>
    <row r="558" spans="1:12" s="11" customFormat="1" x14ac:dyDescent="0.2">
      <c r="A558" s="54"/>
      <c r="B558" s="145"/>
      <c r="C558" s="66"/>
      <c r="E558" s="12"/>
      <c r="G558" s="184"/>
      <c r="H558" s="48"/>
      <c r="I558" s="34" t="s">
        <v>144</v>
      </c>
      <c r="J558" s="137" t="s">
        <v>140</v>
      </c>
      <c r="K558" s="136">
        <f>SUM(K553:K557)</f>
        <v>75.690000000000012</v>
      </c>
      <c r="L558" s="33" t="s">
        <v>49</v>
      </c>
    </row>
    <row r="559" spans="1:12" s="11" customFormat="1" ht="45" x14ac:dyDescent="0.2">
      <c r="A559" s="55">
        <f>A552+1</f>
        <v>37</v>
      </c>
      <c r="B559" s="145" t="s">
        <v>10</v>
      </c>
      <c r="C559" s="66">
        <v>10</v>
      </c>
      <c r="D559" s="59" t="s">
        <v>139</v>
      </c>
      <c r="E559" s="12">
        <v>1</v>
      </c>
      <c r="F559" s="59"/>
      <c r="G559" s="67"/>
      <c r="I559" s="65"/>
      <c r="J559" s="76" t="s">
        <v>140</v>
      </c>
      <c r="K559" s="65">
        <f>C559*E559</f>
        <v>10</v>
      </c>
      <c r="L559" s="45" t="s">
        <v>133</v>
      </c>
    </row>
    <row r="560" spans="1:12" s="11" customFormat="1" x14ac:dyDescent="0.2">
      <c r="A560" s="54"/>
      <c r="B560" s="145"/>
      <c r="C560" s="66"/>
      <c r="E560" s="12"/>
      <c r="G560" s="184"/>
      <c r="H560" s="48"/>
      <c r="I560" s="34" t="s">
        <v>144</v>
      </c>
      <c r="J560" s="137" t="s">
        <v>140</v>
      </c>
      <c r="K560" s="136">
        <f>SUM(K559:K559)</f>
        <v>10</v>
      </c>
      <c r="L560" s="45" t="s">
        <v>133</v>
      </c>
    </row>
    <row r="561" spans="1:12" s="11" customFormat="1" ht="60" x14ac:dyDescent="0.2">
      <c r="A561" s="186">
        <v>38</v>
      </c>
      <c r="B561" s="170" t="s">
        <v>342</v>
      </c>
      <c r="C561" s="64"/>
      <c r="D561" s="86"/>
      <c r="E561" s="64"/>
      <c r="F561" s="12"/>
      <c r="L561" s="86"/>
    </row>
    <row r="562" spans="1:12" s="11" customFormat="1" x14ac:dyDescent="0.2">
      <c r="A562" s="54"/>
      <c r="B562" s="145" t="s">
        <v>114</v>
      </c>
      <c r="C562" s="66">
        <v>1</v>
      </c>
      <c r="D562" s="11" t="s">
        <v>139</v>
      </c>
      <c r="E562" s="12">
        <f>K39</f>
        <v>96.66</v>
      </c>
      <c r="F562" s="11" t="s">
        <v>139</v>
      </c>
      <c r="G562" s="67">
        <v>0.35</v>
      </c>
      <c r="I562" s="12"/>
      <c r="J562" s="76" t="s">
        <v>140</v>
      </c>
      <c r="K562" s="65">
        <f>IF(C562,C562*E562*G562,"")</f>
        <v>33.830999999999996</v>
      </c>
      <c r="L562" s="45" t="s">
        <v>49</v>
      </c>
    </row>
    <row r="563" spans="1:12" s="11" customFormat="1" x14ac:dyDescent="0.2">
      <c r="A563" s="54"/>
      <c r="B563" s="145" t="s">
        <v>115</v>
      </c>
      <c r="C563" s="66">
        <v>1</v>
      </c>
      <c r="D563" s="11" t="s">
        <v>139</v>
      </c>
      <c r="E563" s="12">
        <f>K39</f>
        <v>96.66</v>
      </c>
      <c r="F563" s="11" t="s">
        <v>139</v>
      </c>
      <c r="G563" s="67">
        <v>0.2</v>
      </c>
      <c r="I563" s="12"/>
      <c r="J563" s="76" t="s">
        <v>140</v>
      </c>
      <c r="K563" s="65">
        <f>IF(C563,C563*E563*G563,"")</f>
        <v>19.332000000000001</v>
      </c>
      <c r="L563" s="45" t="s">
        <v>49</v>
      </c>
    </row>
    <row r="564" spans="1:12" s="11" customFormat="1" x14ac:dyDescent="0.2">
      <c r="A564" s="54"/>
      <c r="B564" s="145"/>
      <c r="C564" s="66"/>
      <c r="D564" s="59"/>
      <c r="E564" s="12"/>
      <c r="F564" s="59"/>
      <c r="G564" s="67"/>
      <c r="H564" s="48"/>
      <c r="I564" s="34" t="s">
        <v>144</v>
      </c>
      <c r="J564" s="137" t="s">
        <v>140</v>
      </c>
      <c r="K564" s="136">
        <f>SUM(K562:K563)</f>
        <v>53.162999999999997</v>
      </c>
      <c r="L564" s="33" t="s">
        <v>49</v>
      </c>
    </row>
    <row r="565" spans="1:12" customFormat="1" ht="210" x14ac:dyDescent="0.2">
      <c r="A565" s="156">
        <v>39</v>
      </c>
      <c r="B565" s="152" t="s">
        <v>117</v>
      </c>
      <c r="C565" s="66">
        <v>1</v>
      </c>
      <c r="D565" s="11" t="s">
        <v>139</v>
      </c>
      <c r="E565" s="12">
        <v>2.7</v>
      </c>
      <c r="F565" s="11" t="s">
        <v>139</v>
      </c>
      <c r="G565" s="67">
        <v>2.4</v>
      </c>
      <c r="H565" s="11"/>
      <c r="I565" s="12"/>
      <c r="J565" s="76" t="s">
        <v>140</v>
      </c>
      <c r="K565" s="65">
        <f>IF(C565,C565*E565*G565,"")</f>
        <v>6.48</v>
      </c>
      <c r="L565" s="45" t="s">
        <v>49</v>
      </c>
    </row>
    <row r="566" spans="1:12" s="11" customFormat="1" x14ac:dyDescent="0.2">
      <c r="A566" s="54"/>
      <c r="B566" s="145" t="s">
        <v>122</v>
      </c>
      <c r="G566" s="67"/>
    </row>
    <row r="567" spans="1:12" s="11" customFormat="1" x14ac:dyDescent="0.2">
      <c r="A567" s="54"/>
      <c r="B567" s="145"/>
      <c r="C567" s="66"/>
      <c r="D567" s="59"/>
      <c r="E567" s="12"/>
      <c r="F567" s="59"/>
      <c r="G567" s="67"/>
      <c r="H567" s="48"/>
      <c r="I567" s="65"/>
      <c r="J567" s="76"/>
      <c r="K567" s="65"/>
      <c r="L567" s="45"/>
    </row>
    <row r="568" spans="1:12" s="11" customFormat="1" x14ac:dyDescent="0.2">
      <c r="A568" s="10"/>
      <c r="B568" s="176" t="s">
        <v>328</v>
      </c>
      <c r="F568" s="14"/>
      <c r="K568" s="189" t="s">
        <v>327</v>
      </c>
    </row>
    <row r="569" spans="1:12" s="11" customFormat="1" x14ac:dyDescent="0.2">
      <c r="A569" s="10"/>
      <c r="B569" s="176" t="s">
        <v>16</v>
      </c>
      <c r="F569" s="14"/>
      <c r="K569" s="189" t="s">
        <v>348</v>
      </c>
    </row>
  </sheetData>
  <mergeCells count="6">
    <mergeCell ref="C323:D323"/>
    <mergeCell ref="G420:H420"/>
    <mergeCell ref="A1:L1"/>
    <mergeCell ref="A3:L3"/>
    <mergeCell ref="A2:L2"/>
    <mergeCell ref="C357:E357"/>
  </mergeCells>
  <phoneticPr fontId="0" type="noConversion"/>
  <printOptions horizontalCentered="1"/>
  <pageMargins left="0.75" right="0.16" top="0.75" bottom="0.75" header="0.5" footer="0.5"/>
  <pageSetup paperSize="9" scale="88" fitToHeight="30" orientation="portrait" horizontalDpi="180" verticalDpi="180" r:id="rId1"/>
  <headerFooter alignWithMargins="0">
    <oddFooter>&amp;CMes -  &amp;P</oddFooter>
  </headerFooter>
  <rowBreaks count="1" manualBreakCount="1">
    <brk id="40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zoomScaleNormal="100" zoomScaleSheetLayoutView="100" workbookViewId="0">
      <selection activeCell="C11" sqref="C11"/>
    </sheetView>
    <sheetView topLeftCell="A96" workbookViewId="1">
      <selection activeCell="E98" sqref="E98"/>
    </sheetView>
    <sheetView view="pageBreakPreview" topLeftCell="A33" zoomScale="60" zoomScaleNormal="100" workbookViewId="2">
      <selection activeCell="C36" sqref="C36"/>
    </sheetView>
  </sheetViews>
  <sheetFormatPr defaultRowHeight="15" x14ac:dyDescent="0.2"/>
  <cols>
    <col min="1" max="1" width="4.44140625" style="37" bestFit="1" customWidth="1"/>
    <col min="2" max="2" width="36.44140625" style="18" customWidth="1"/>
    <col min="3" max="3" width="7.88671875" style="22" customWidth="1"/>
    <col min="4" max="4" width="5.21875" style="38" customWidth="1"/>
    <col min="5" max="5" width="8.44140625" style="4" bestFit="1" customWidth="1"/>
    <col min="6" max="6" width="5.21875" style="38" customWidth="1"/>
    <col min="7" max="7" width="10.88671875" style="91" customWidth="1"/>
    <col min="8" max="8" width="8.88671875" style="143"/>
  </cols>
  <sheetData>
    <row r="1" spans="1:8" s="11" customFormat="1" ht="24" customHeight="1" x14ac:dyDescent="0.2">
      <c r="A1" s="211" t="str">
        <f>'gen-abstract'!A2</f>
        <v xml:space="preserve">NAME OF WORK :- Construction of Additional Session Judge Bungalow at Nathdwara </v>
      </c>
      <c r="B1" s="211"/>
      <c r="C1" s="211"/>
      <c r="D1" s="211"/>
      <c r="E1" s="211"/>
      <c r="F1" s="211"/>
      <c r="G1" s="211"/>
      <c r="H1" s="56"/>
    </row>
    <row r="2" spans="1:8" s="11" customFormat="1" x14ac:dyDescent="0.2">
      <c r="A2" s="217" t="s">
        <v>236</v>
      </c>
      <c r="B2" s="217"/>
      <c r="C2" s="217"/>
      <c r="D2" s="217"/>
      <c r="E2" s="217"/>
      <c r="F2" s="217"/>
      <c r="G2" s="217"/>
      <c r="H2" s="56"/>
    </row>
    <row r="3" spans="1:8" s="11" customFormat="1" x14ac:dyDescent="0.2">
      <c r="A3" s="216" t="s">
        <v>35</v>
      </c>
      <c r="B3" s="216"/>
      <c r="C3" s="216"/>
      <c r="D3" s="216"/>
      <c r="E3" s="216"/>
      <c r="F3" s="216"/>
      <c r="G3" s="216"/>
      <c r="H3" s="56"/>
    </row>
    <row r="4" spans="1:8" s="11" customFormat="1" x14ac:dyDescent="0.2">
      <c r="A4" s="36" t="s">
        <v>36</v>
      </c>
      <c r="B4" s="168" t="s">
        <v>37</v>
      </c>
      <c r="C4" s="30" t="s">
        <v>38</v>
      </c>
      <c r="D4" s="49"/>
      <c r="E4" s="30" t="s">
        <v>39</v>
      </c>
      <c r="F4" s="49" t="s">
        <v>40</v>
      </c>
      <c r="G4" s="90" t="s">
        <v>41</v>
      </c>
      <c r="H4" s="56"/>
    </row>
    <row r="5" spans="1:8" ht="75" x14ac:dyDescent="0.2">
      <c r="A5" s="1">
        <v>1</v>
      </c>
      <c r="B5" s="155" t="s">
        <v>266</v>
      </c>
      <c r="C5" s="87">
        <v>2</v>
      </c>
      <c r="D5" s="39" t="s">
        <v>133</v>
      </c>
      <c r="E5" s="4">
        <v>890</v>
      </c>
      <c r="F5" s="38" t="s">
        <v>192</v>
      </c>
      <c r="G5" s="67">
        <f t="shared" ref="G5:G39" si="0">IF(C5,ROUNDUP(C5*E5,0),"")</f>
        <v>1780</v>
      </c>
    </row>
    <row r="6" spans="1:8" ht="45" x14ac:dyDescent="0.2">
      <c r="A6" s="1">
        <f>A5+1</f>
        <v>2</v>
      </c>
      <c r="B6" s="155" t="s">
        <v>193</v>
      </c>
      <c r="C6" s="87">
        <v>2</v>
      </c>
      <c r="D6" s="39" t="s">
        <v>133</v>
      </c>
      <c r="E6" s="4">
        <v>650</v>
      </c>
      <c r="F6" s="38" t="s">
        <v>192</v>
      </c>
      <c r="G6" s="67">
        <f t="shared" si="0"/>
        <v>1300</v>
      </c>
    </row>
    <row r="7" spans="1:8" ht="105" x14ac:dyDescent="0.2">
      <c r="A7" s="1">
        <f>IF(A6,A6+1,#REF!+1)</f>
        <v>3</v>
      </c>
      <c r="B7" s="18" t="s">
        <v>360</v>
      </c>
      <c r="C7" s="87">
        <v>4</v>
      </c>
      <c r="D7" s="39" t="s">
        <v>133</v>
      </c>
      <c r="E7" s="4">
        <v>1250</v>
      </c>
      <c r="F7" s="38" t="s">
        <v>192</v>
      </c>
      <c r="G7" s="67">
        <f t="shared" si="0"/>
        <v>5000</v>
      </c>
    </row>
    <row r="8" spans="1:8" ht="75" x14ac:dyDescent="0.2">
      <c r="A8" s="1">
        <f>IF(A7,A7+1,A6+1)</f>
        <v>4</v>
      </c>
      <c r="B8" s="18" t="s">
        <v>391</v>
      </c>
      <c r="C8" s="87">
        <v>4</v>
      </c>
      <c r="D8" s="39" t="s">
        <v>133</v>
      </c>
      <c r="E8" s="4">
        <v>210</v>
      </c>
      <c r="F8" s="38" t="s">
        <v>192</v>
      </c>
      <c r="G8" s="67">
        <f t="shared" si="0"/>
        <v>840</v>
      </c>
    </row>
    <row r="9" spans="1:8" ht="30" x14ac:dyDescent="0.2">
      <c r="A9" s="1">
        <f>IF(A8,A8+1,A7+1)</f>
        <v>5</v>
      </c>
      <c r="B9" s="155" t="s">
        <v>194</v>
      </c>
      <c r="C9" s="87">
        <v>8</v>
      </c>
      <c r="D9" s="39" t="s">
        <v>133</v>
      </c>
      <c r="E9" s="4">
        <v>30</v>
      </c>
      <c r="F9" s="38" t="s">
        <v>192</v>
      </c>
      <c r="G9" s="67">
        <f t="shared" si="0"/>
        <v>240</v>
      </c>
    </row>
    <row r="10" spans="1:8" ht="45" x14ac:dyDescent="0.2">
      <c r="A10" s="1">
        <f>IF(A9,A9+1,A8+1)</f>
        <v>6</v>
      </c>
      <c r="B10" s="18" t="s">
        <v>195</v>
      </c>
      <c r="C10" s="86"/>
      <c r="D10" s="39"/>
      <c r="G10" s="67" t="str">
        <f t="shared" si="0"/>
        <v/>
      </c>
    </row>
    <row r="11" spans="1:8" x14ac:dyDescent="0.2">
      <c r="A11" s="84" t="s">
        <v>196</v>
      </c>
      <c r="B11" s="18" t="s">
        <v>270</v>
      </c>
      <c r="C11" s="86">
        <f>sanitary_MEASUR!K22</f>
        <v>45</v>
      </c>
      <c r="D11" s="39" t="s">
        <v>59</v>
      </c>
      <c r="E11" s="4">
        <v>70</v>
      </c>
      <c r="F11" s="42" t="s">
        <v>60</v>
      </c>
      <c r="G11" s="67">
        <f t="shared" si="0"/>
        <v>3150</v>
      </c>
    </row>
    <row r="12" spans="1:8" x14ac:dyDescent="0.2">
      <c r="A12" s="84" t="s">
        <v>198</v>
      </c>
      <c r="B12" s="18" t="s">
        <v>271</v>
      </c>
      <c r="C12" s="86">
        <f>sanitary_MEASUR!K27</f>
        <v>160.39999999999998</v>
      </c>
      <c r="D12" s="39" t="s">
        <v>59</v>
      </c>
      <c r="E12" s="4">
        <v>117</v>
      </c>
      <c r="F12" s="42" t="s">
        <v>60</v>
      </c>
      <c r="G12" s="67">
        <f t="shared" si="0"/>
        <v>18767</v>
      </c>
    </row>
    <row r="13" spans="1:8" ht="45" x14ac:dyDescent="0.2">
      <c r="A13" s="1">
        <v>7</v>
      </c>
      <c r="B13" s="155" t="s">
        <v>200</v>
      </c>
      <c r="C13" s="86"/>
      <c r="D13" s="39"/>
      <c r="G13" s="67" t="str">
        <f t="shared" si="0"/>
        <v/>
      </c>
    </row>
    <row r="14" spans="1:8" x14ac:dyDescent="0.2">
      <c r="A14" s="84" t="s">
        <v>196</v>
      </c>
      <c r="B14" s="18" t="s">
        <v>272</v>
      </c>
      <c r="C14" s="86">
        <f>sanitary_MEASUR!K32</f>
        <v>30</v>
      </c>
      <c r="D14" s="39" t="s">
        <v>59</v>
      </c>
      <c r="E14" s="4">
        <v>98</v>
      </c>
      <c r="F14" s="42" t="s">
        <v>60</v>
      </c>
      <c r="G14" s="67">
        <f t="shared" si="0"/>
        <v>2940</v>
      </c>
    </row>
    <row r="15" spans="1:8" s="9" customFormat="1" ht="45" x14ac:dyDescent="0.2">
      <c r="A15" s="37">
        <f>A13+1</f>
        <v>8</v>
      </c>
      <c r="B15" s="18" t="s">
        <v>273</v>
      </c>
      <c r="C15" s="87">
        <f>sanitary_MEASUR!K35</f>
        <v>18</v>
      </c>
      <c r="D15" s="39" t="s">
        <v>133</v>
      </c>
      <c r="E15" s="4">
        <v>100</v>
      </c>
      <c r="F15" s="38" t="s">
        <v>192</v>
      </c>
      <c r="G15" s="67">
        <f t="shared" si="0"/>
        <v>1800</v>
      </c>
      <c r="H15" s="167"/>
    </row>
    <row r="16" spans="1:8" ht="45" x14ac:dyDescent="0.2">
      <c r="A16" s="1">
        <v>9</v>
      </c>
      <c r="B16" s="155" t="s">
        <v>244</v>
      </c>
      <c r="C16" s="87">
        <v>15</v>
      </c>
      <c r="D16" s="39" t="s">
        <v>133</v>
      </c>
      <c r="E16" s="4">
        <v>120</v>
      </c>
      <c r="F16" s="38" t="s">
        <v>192</v>
      </c>
      <c r="G16" s="67">
        <f t="shared" si="0"/>
        <v>1800</v>
      </c>
    </row>
    <row r="17" spans="1:8" ht="45" x14ac:dyDescent="0.2">
      <c r="A17" s="1">
        <f>IF(A16,A16+1,#REF!+1)</f>
        <v>10</v>
      </c>
      <c r="B17" s="155" t="s">
        <v>245</v>
      </c>
      <c r="C17" s="87">
        <v>5</v>
      </c>
      <c r="D17" s="39" t="s">
        <v>133</v>
      </c>
      <c r="E17" s="4">
        <v>120</v>
      </c>
      <c r="F17" s="38" t="s">
        <v>192</v>
      </c>
      <c r="G17" s="67">
        <f t="shared" si="0"/>
        <v>600</v>
      </c>
    </row>
    <row r="18" spans="1:8" ht="30" x14ac:dyDescent="0.2">
      <c r="A18" s="1">
        <v>11</v>
      </c>
      <c r="B18" s="155" t="s">
        <v>203</v>
      </c>
      <c r="C18" s="87"/>
      <c r="D18" s="39"/>
      <c r="G18" s="67" t="str">
        <f t="shared" si="0"/>
        <v/>
      </c>
    </row>
    <row r="19" spans="1:8" x14ac:dyDescent="0.2">
      <c r="A19" s="1"/>
      <c r="B19" s="155" t="s">
        <v>204</v>
      </c>
      <c r="C19" s="87">
        <v>2</v>
      </c>
      <c r="D19" s="39" t="s">
        <v>133</v>
      </c>
      <c r="E19" s="4">
        <v>150</v>
      </c>
      <c r="F19" s="38" t="s">
        <v>192</v>
      </c>
      <c r="G19" s="67">
        <f t="shared" si="0"/>
        <v>300</v>
      </c>
    </row>
    <row r="20" spans="1:8" x14ac:dyDescent="0.2">
      <c r="A20" s="1"/>
      <c r="B20" s="155" t="s">
        <v>205</v>
      </c>
      <c r="C20" s="87">
        <v>2</v>
      </c>
      <c r="D20" s="39" t="s">
        <v>133</v>
      </c>
      <c r="E20" s="4">
        <v>300</v>
      </c>
      <c r="F20" s="38" t="s">
        <v>192</v>
      </c>
      <c r="G20" s="67">
        <f t="shared" si="0"/>
        <v>600</v>
      </c>
    </row>
    <row r="21" spans="1:8" ht="90" x14ac:dyDescent="0.2">
      <c r="A21" s="1">
        <f>IF(A18,A18+1,#REF!+1)</f>
        <v>12</v>
      </c>
      <c r="B21" s="18" t="s">
        <v>274</v>
      </c>
      <c r="C21"/>
      <c r="D21"/>
      <c r="E21"/>
      <c r="F21"/>
      <c r="G21" s="67" t="str">
        <f t="shared" si="0"/>
        <v/>
      </c>
    </row>
    <row r="22" spans="1:8" s="9" customFormat="1" x14ac:dyDescent="0.2">
      <c r="A22" s="1"/>
      <c r="B22" s="155" t="s">
        <v>307</v>
      </c>
      <c r="C22" s="87">
        <v>4</v>
      </c>
      <c r="D22" s="39" t="s">
        <v>133</v>
      </c>
      <c r="E22" s="4">
        <f>5000</f>
        <v>5000</v>
      </c>
      <c r="F22" s="38" t="s">
        <v>192</v>
      </c>
      <c r="G22" s="67">
        <f t="shared" si="0"/>
        <v>20000</v>
      </c>
      <c r="H22" s="167"/>
    </row>
    <row r="23" spans="1:8" ht="30" x14ac:dyDescent="0.2">
      <c r="A23" s="1">
        <f>IF(A21,A21+1,A18+1)</f>
        <v>13</v>
      </c>
      <c r="B23" s="155" t="s">
        <v>207</v>
      </c>
      <c r="C23" s="87"/>
      <c r="D23" s="39"/>
      <c r="G23" s="67" t="str">
        <f t="shared" si="0"/>
        <v/>
      </c>
    </row>
    <row r="24" spans="1:8" s="9" customFormat="1" x14ac:dyDescent="0.2">
      <c r="A24" s="1"/>
      <c r="B24" s="155" t="s">
        <v>208</v>
      </c>
      <c r="C24" s="87">
        <v>4</v>
      </c>
      <c r="D24" s="39" t="s">
        <v>133</v>
      </c>
      <c r="E24" s="4">
        <v>150</v>
      </c>
      <c r="F24" s="38" t="s">
        <v>192</v>
      </c>
      <c r="G24" s="67">
        <f t="shared" si="0"/>
        <v>600</v>
      </c>
      <c r="H24" s="167"/>
    </row>
    <row r="25" spans="1:8" ht="90" x14ac:dyDescent="0.2">
      <c r="A25" s="1">
        <f>IF(A23,A23+1,A21+1)</f>
        <v>14</v>
      </c>
      <c r="B25" s="18" t="s">
        <v>359</v>
      </c>
      <c r="C25" s="86"/>
      <c r="D25" s="42"/>
      <c r="G25" s="67" t="str">
        <f t="shared" si="0"/>
        <v/>
      </c>
    </row>
    <row r="26" spans="1:8" x14ac:dyDescent="0.2">
      <c r="B26" s="155" t="s">
        <v>308</v>
      </c>
      <c r="C26" s="86">
        <f>sanitary_MEASUR!K59</f>
        <v>37.400000000000006</v>
      </c>
      <c r="D26" s="39" t="s">
        <v>59</v>
      </c>
      <c r="E26" s="4">
        <f>200</f>
        <v>200</v>
      </c>
      <c r="F26" s="38" t="s">
        <v>60</v>
      </c>
      <c r="G26" s="67">
        <f t="shared" si="0"/>
        <v>7480</v>
      </c>
    </row>
    <row r="27" spans="1:8" ht="90" x14ac:dyDescent="0.2">
      <c r="A27" s="37">
        <v>15</v>
      </c>
      <c r="B27" s="18" t="s">
        <v>309</v>
      </c>
      <c r="C27" s="87"/>
      <c r="D27" s="42"/>
      <c r="G27" s="67" t="str">
        <f t="shared" si="0"/>
        <v/>
      </c>
    </row>
    <row r="28" spans="1:8" x14ac:dyDescent="0.2">
      <c r="A28" s="37" t="s">
        <v>196</v>
      </c>
      <c r="B28" s="155" t="s">
        <v>310</v>
      </c>
      <c r="C28" s="87">
        <v>1</v>
      </c>
      <c r="D28" s="39" t="s">
        <v>133</v>
      </c>
      <c r="E28" s="4">
        <v>162</v>
      </c>
      <c r="F28" s="38" t="s">
        <v>192</v>
      </c>
      <c r="G28" s="67">
        <f t="shared" si="0"/>
        <v>162</v>
      </c>
    </row>
    <row r="29" spans="1:8" x14ac:dyDescent="0.2">
      <c r="A29" s="37" t="s">
        <v>198</v>
      </c>
      <c r="B29" s="155" t="s">
        <v>312</v>
      </c>
      <c r="C29" s="87">
        <v>5</v>
      </c>
      <c r="D29" s="39" t="s">
        <v>133</v>
      </c>
      <c r="E29" s="4">
        <v>62</v>
      </c>
      <c r="F29" s="38" t="s">
        <v>192</v>
      </c>
      <c r="G29" s="67">
        <f t="shared" si="0"/>
        <v>310</v>
      </c>
    </row>
    <row r="30" spans="1:8" x14ac:dyDescent="0.2">
      <c r="A30" s="37" t="s">
        <v>209</v>
      </c>
      <c r="B30" s="155" t="s">
        <v>335</v>
      </c>
      <c r="C30" s="87">
        <v>1</v>
      </c>
      <c r="D30" s="39" t="s">
        <v>133</v>
      </c>
      <c r="E30" s="4">
        <v>199</v>
      </c>
      <c r="F30" s="38" t="s">
        <v>192</v>
      </c>
      <c r="G30" s="67">
        <f t="shared" si="0"/>
        <v>199</v>
      </c>
    </row>
    <row r="31" spans="1:8" x14ac:dyDescent="0.2">
      <c r="A31" s="37" t="s">
        <v>210</v>
      </c>
      <c r="B31" s="18" t="s">
        <v>311</v>
      </c>
      <c r="C31" s="87">
        <f>sanitary_MEASUR!K64</f>
        <v>3</v>
      </c>
      <c r="D31" s="39" t="s">
        <v>133</v>
      </c>
      <c r="E31" s="4">
        <v>34</v>
      </c>
      <c r="F31" s="38" t="s">
        <v>192</v>
      </c>
      <c r="G31" s="67">
        <f t="shared" si="0"/>
        <v>102</v>
      </c>
    </row>
    <row r="32" spans="1:8" x14ac:dyDescent="0.2">
      <c r="A32" s="37" t="s">
        <v>211</v>
      </c>
      <c r="B32" s="155" t="s">
        <v>336</v>
      </c>
      <c r="C32" s="87">
        <v>1</v>
      </c>
      <c r="D32" s="39" t="s">
        <v>133</v>
      </c>
      <c r="E32" s="4">
        <v>159</v>
      </c>
      <c r="F32" s="38" t="s">
        <v>192</v>
      </c>
      <c r="G32" s="67">
        <f t="shared" si="0"/>
        <v>159</v>
      </c>
    </row>
    <row r="33" spans="1:12" s="9" customFormat="1" x14ac:dyDescent="0.2">
      <c r="A33" s="37" t="s">
        <v>212</v>
      </c>
      <c r="B33" s="155" t="s">
        <v>337</v>
      </c>
      <c r="C33" s="87">
        <v>1</v>
      </c>
      <c r="D33" s="39" t="s">
        <v>133</v>
      </c>
      <c r="E33" s="4">
        <v>111</v>
      </c>
      <c r="F33" s="38" t="s">
        <v>192</v>
      </c>
      <c r="G33" s="67">
        <f t="shared" si="0"/>
        <v>111</v>
      </c>
      <c r="H33" s="167"/>
    </row>
    <row r="34" spans="1:12" s="9" customFormat="1" x14ac:dyDescent="0.2">
      <c r="A34" s="37" t="s">
        <v>213</v>
      </c>
      <c r="B34" s="155" t="s">
        <v>338</v>
      </c>
      <c r="C34" s="87">
        <v>1</v>
      </c>
      <c r="D34" s="39" t="s">
        <v>133</v>
      </c>
      <c r="E34" s="4">
        <v>89</v>
      </c>
      <c r="F34" s="38" t="s">
        <v>192</v>
      </c>
      <c r="G34" s="67">
        <f t="shared" si="0"/>
        <v>89</v>
      </c>
      <c r="H34" s="167"/>
    </row>
    <row r="35" spans="1:12" ht="75" x14ac:dyDescent="0.2">
      <c r="A35" s="37">
        <v>16</v>
      </c>
      <c r="B35" s="155" t="s">
        <v>214</v>
      </c>
      <c r="C35" s="87">
        <v>4</v>
      </c>
      <c r="D35" s="39" t="s">
        <v>133</v>
      </c>
      <c r="E35" s="4">
        <v>140</v>
      </c>
      <c r="F35" s="38" t="s">
        <v>192</v>
      </c>
      <c r="G35" s="67">
        <f t="shared" si="0"/>
        <v>560</v>
      </c>
    </row>
    <row r="36" spans="1:12" ht="180" x14ac:dyDescent="0.2">
      <c r="A36" s="1">
        <v>17</v>
      </c>
      <c r="B36" s="18" t="s">
        <v>358</v>
      </c>
      <c r="C36" s="87"/>
      <c r="D36" s="39"/>
      <c r="G36" s="67" t="str">
        <f t="shared" si="0"/>
        <v/>
      </c>
    </row>
    <row r="37" spans="1:12" x14ac:dyDescent="0.2">
      <c r="A37" s="1"/>
      <c r="B37" s="18" t="s">
        <v>215</v>
      </c>
      <c r="C37" s="87">
        <v>3</v>
      </c>
      <c r="D37" s="39" t="s">
        <v>133</v>
      </c>
      <c r="E37" s="4">
        <v>1500</v>
      </c>
      <c r="F37" s="38" t="s">
        <v>192</v>
      </c>
      <c r="G37" s="67">
        <f t="shared" si="0"/>
        <v>4500</v>
      </c>
    </row>
    <row r="38" spans="1:12" x14ac:dyDescent="0.2">
      <c r="A38" s="1"/>
      <c r="B38" s="155" t="s">
        <v>216</v>
      </c>
      <c r="C38" s="87">
        <v>3</v>
      </c>
      <c r="D38" s="39" t="s">
        <v>133</v>
      </c>
      <c r="E38" s="4">
        <v>2050</v>
      </c>
      <c r="F38" s="38" t="s">
        <v>192</v>
      </c>
      <c r="G38" s="67">
        <f t="shared" si="0"/>
        <v>6150</v>
      </c>
    </row>
    <row r="39" spans="1:12" s="11" customFormat="1" ht="30" x14ac:dyDescent="0.2">
      <c r="A39" s="1">
        <f>IF(A36,A36+1,#REF!+1)</f>
        <v>18</v>
      </c>
      <c r="B39" s="169" t="s">
        <v>217</v>
      </c>
      <c r="C39" s="86">
        <f>sanitary_MEASUR!K72</f>
        <v>300</v>
      </c>
      <c r="D39" s="11" t="s">
        <v>218</v>
      </c>
      <c r="E39" s="12">
        <v>12</v>
      </c>
      <c r="F39" s="11" t="s">
        <v>219</v>
      </c>
      <c r="G39" s="67">
        <f t="shared" si="0"/>
        <v>3600</v>
      </c>
      <c r="H39" s="56"/>
    </row>
    <row r="40" spans="1:12" ht="105" x14ac:dyDescent="0.2">
      <c r="A40" s="37">
        <v>19</v>
      </c>
      <c r="B40" s="18" t="s">
        <v>357</v>
      </c>
      <c r="C40" s="86">
        <v>40</v>
      </c>
      <c r="D40" s="39" t="s">
        <v>59</v>
      </c>
      <c r="E40" s="4">
        <v>95</v>
      </c>
      <c r="F40" s="38" t="s">
        <v>60</v>
      </c>
      <c r="G40" s="67">
        <f>IF(C40,ROUNDUP(C40*E40,0),"")</f>
        <v>3800</v>
      </c>
    </row>
    <row r="41" spans="1:12" s="11" customFormat="1" ht="75" x14ac:dyDescent="0.2">
      <c r="A41" s="85">
        <v>20</v>
      </c>
      <c r="B41" s="170" t="s">
        <v>275</v>
      </c>
      <c r="C41" s="86">
        <v>40</v>
      </c>
      <c r="D41" s="11" t="s">
        <v>190</v>
      </c>
      <c r="E41" s="12">
        <v>115</v>
      </c>
      <c r="F41" s="11" t="s">
        <v>221</v>
      </c>
      <c r="G41" s="67">
        <f>IF(C41,ROUNDUP(C41*E41,0),"")</f>
        <v>4600</v>
      </c>
      <c r="H41" s="56"/>
    </row>
    <row r="42" spans="1:12" ht="120" x14ac:dyDescent="0.2">
      <c r="A42" s="55">
        <v>21</v>
      </c>
      <c r="B42" s="18" t="s">
        <v>356</v>
      </c>
      <c r="C42" s="87">
        <f>sanitary_MEASUR!K81</f>
        <v>5</v>
      </c>
      <c r="D42" s="11" t="s">
        <v>191</v>
      </c>
      <c r="E42" s="12">
        <v>500</v>
      </c>
      <c r="F42" s="11" t="s">
        <v>192</v>
      </c>
      <c r="G42" s="67">
        <f>IF(C42,ROUNDUP(C42*E42,0),"")</f>
        <v>2500</v>
      </c>
      <c r="H42" s="56"/>
    </row>
    <row r="43" spans="1:12" ht="30" x14ac:dyDescent="0.2">
      <c r="A43" s="111">
        <v>22</v>
      </c>
      <c r="B43" s="18" t="s">
        <v>276</v>
      </c>
      <c r="C43" s="181">
        <v>5</v>
      </c>
      <c r="D43" s="39" t="s">
        <v>133</v>
      </c>
      <c r="E43" s="4">
        <v>35</v>
      </c>
      <c r="F43" s="38" t="s">
        <v>192</v>
      </c>
      <c r="G43" s="67">
        <f>IF(C43,ROUNDUP(C43*E43,0),"")</f>
        <v>175</v>
      </c>
      <c r="K43" s="26"/>
      <c r="L43" s="6"/>
    </row>
    <row r="44" spans="1:12" s="11" customFormat="1" ht="75" x14ac:dyDescent="0.2">
      <c r="A44" s="85">
        <v>23</v>
      </c>
      <c r="B44" s="170" t="s">
        <v>341</v>
      </c>
      <c r="C44" s="64">
        <v>4</v>
      </c>
      <c r="D44" s="11" t="s">
        <v>133</v>
      </c>
      <c r="E44" s="12">
        <v>450</v>
      </c>
      <c r="F44" s="11" t="s">
        <v>192</v>
      </c>
      <c r="G44" s="67">
        <f>IF(C44,ROUNDUP(C44*E44,0),"")</f>
        <v>1800</v>
      </c>
    </row>
    <row r="45" spans="1:12" ht="45" x14ac:dyDescent="0.2">
      <c r="A45" s="1">
        <v>25</v>
      </c>
      <c r="B45" s="19" t="s">
        <v>350</v>
      </c>
      <c r="C45" s="87">
        <v>5</v>
      </c>
      <c r="D45" s="39" t="s">
        <v>133</v>
      </c>
      <c r="E45" s="4">
        <v>150</v>
      </c>
      <c r="F45" s="38" t="s">
        <v>192</v>
      </c>
      <c r="G45" s="57">
        <f t="shared" ref="G45:G50" si="1">IF(C45,E45*C45,"")</f>
        <v>750</v>
      </c>
      <c r="H45"/>
    </row>
    <row r="46" spans="1:12" ht="60" x14ac:dyDescent="0.2">
      <c r="A46" s="37">
        <v>26</v>
      </c>
      <c r="B46" s="2" t="s">
        <v>392</v>
      </c>
      <c r="C46" s="87">
        <v>3</v>
      </c>
      <c r="D46" s="39" t="s">
        <v>133</v>
      </c>
      <c r="E46" s="4">
        <v>2800</v>
      </c>
      <c r="F46" s="38" t="s">
        <v>192</v>
      </c>
      <c r="G46" s="57">
        <f t="shared" si="1"/>
        <v>8400</v>
      </c>
      <c r="H46"/>
    </row>
    <row r="47" spans="1:12" ht="45" x14ac:dyDescent="0.2">
      <c r="A47" s="37">
        <v>27</v>
      </c>
      <c r="B47" s="19" t="s">
        <v>351</v>
      </c>
      <c r="C47" s="87">
        <v>3</v>
      </c>
      <c r="D47" s="39" t="s">
        <v>133</v>
      </c>
      <c r="E47" s="4">
        <v>240</v>
      </c>
      <c r="F47" s="38" t="s">
        <v>192</v>
      </c>
      <c r="G47" s="57">
        <f t="shared" si="1"/>
        <v>720</v>
      </c>
      <c r="H47"/>
    </row>
    <row r="48" spans="1:12" ht="75" x14ac:dyDescent="0.2">
      <c r="A48" s="37">
        <v>28</v>
      </c>
      <c r="B48" s="2" t="s">
        <v>393</v>
      </c>
      <c r="C48" s="87">
        <v>3</v>
      </c>
      <c r="D48" s="39" t="s">
        <v>133</v>
      </c>
      <c r="E48" s="4">
        <v>635</v>
      </c>
      <c r="F48" s="38" t="s">
        <v>192</v>
      </c>
      <c r="G48" s="57">
        <f t="shared" si="1"/>
        <v>1905</v>
      </c>
      <c r="H48"/>
    </row>
    <row r="49" spans="1:8" ht="210" x14ac:dyDescent="0.2">
      <c r="A49" s="37">
        <v>29</v>
      </c>
      <c r="B49" s="19" t="s">
        <v>354</v>
      </c>
      <c r="C49" s="87">
        <v>1</v>
      </c>
      <c r="D49" s="39" t="s">
        <v>133</v>
      </c>
      <c r="E49" s="4">
        <v>15200</v>
      </c>
      <c r="F49" s="38" t="s">
        <v>192</v>
      </c>
      <c r="G49" s="57">
        <f t="shared" si="1"/>
        <v>15200</v>
      </c>
      <c r="H49"/>
    </row>
    <row r="50" spans="1:8" ht="135" x14ac:dyDescent="0.2">
      <c r="A50" s="37">
        <v>30</v>
      </c>
      <c r="B50" s="2" t="s">
        <v>394</v>
      </c>
      <c r="C50" s="87">
        <v>1</v>
      </c>
      <c r="D50" s="39" t="s">
        <v>133</v>
      </c>
      <c r="E50" s="4">
        <v>5000</v>
      </c>
      <c r="F50" s="38" t="s">
        <v>192</v>
      </c>
      <c r="G50" s="57">
        <f t="shared" si="1"/>
        <v>5000</v>
      </c>
      <c r="H50"/>
    </row>
    <row r="51" spans="1:8" x14ac:dyDescent="0.2">
      <c r="A51" s="1"/>
      <c r="C51"/>
      <c r="D51" s="135" t="s">
        <v>129</v>
      </c>
      <c r="E51" s="134"/>
      <c r="F51" s="165" t="s">
        <v>30</v>
      </c>
      <c r="G51" s="166">
        <f>SUM(G5:G50)</f>
        <v>127989</v>
      </c>
    </row>
    <row r="52" spans="1:8" x14ac:dyDescent="0.2">
      <c r="A52" s="1"/>
      <c r="C52"/>
      <c r="D52" s="5"/>
      <c r="E52" s="9"/>
      <c r="F52" s="25"/>
      <c r="G52" s="92"/>
    </row>
    <row r="53" spans="1:8" x14ac:dyDescent="0.2">
      <c r="A53" s="1"/>
      <c r="C53" s="4"/>
      <c r="E53"/>
      <c r="F53" s="4"/>
    </row>
    <row r="54" spans="1:8" s="68" customFormat="1" ht="15.75" x14ac:dyDescent="0.25">
      <c r="A54" s="78"/>
      <c r="B54" s="157" t="s">
        <v>328</v>
      </c>
      <c r="C54" s="11"/>
      <c r="D54" s="108" t="s">
        <v>327</v>
      </c>
      <c r="E54" s="11"/>
      <c r="F54" s="53"/>
      <c r="H54" s="11"/>
    </row>
    <row r="55" spans="1:8" s="68" customFormat="1" ht="15.75" x14ac:dyDescent="0.25">
      <c r="A55" s="78"/>
      <c r="B55" s="157" t="s">
        <v>16</v>
      </c>
      <c r="C55" s="11"/>
      <c r="D55" s="78" t="s">
        <v>348</v>
      </c>
      <c r="E55" s="11"/>
      <c r="F55" s="53"/>
      <c r="H55" s="11"/>
    </row>
    <row r="56" spans="1:8" s="9" customFormat="1" x14ac:dyDescent="0.2">
      <c r="A56" s="40"/>
      <c r="B56" s="41"/>
      <c r="C56" s="23"/>
      <c r="D56" s="44"/>
      <c r="E56" s="5"/>
      <c r="F56" s="44"/>
      <c r="G56" s="92"/>
      <c r="H56" s="167"/>
    </row>
    <row r="57" spans="1:8" s="9" customFormat="1" x14ac:dyDescent="0.2">
      <c r="A57" s="40"/>
      <c r="B57" s="41"/>
      <c r="C57" s="23"/>
      <c r="D57" s="44"/>
      <c r="E57" s="5"/>
      <c r="F57" s="44"/>
      <c r="G57" s="92"/>
      <c r="H57" s="167"/>
    </row>
    <row r="58" spans="1:8" s="9" customFormat="1" x14ac:dyDescent="0.2">
      <c r="A58" s="40"/>
      <c r="B58" s="41"/>
      <c r="C58" s="23"/>
      <c r="D58" s="44"/>
      <c r="E58" s="5"/>
      <c r="F58" s="44"/>
      <c r="G58" s="92"/>
      <c r="H58" s="167"/>
    </row>
    <row r="59" spans="1:8" s="9" customFormat="1" x14ac:dyDescent="0.2">
      <c r="A59" s="40"/>
      <c r="B59" s="41"/>
      <c r="C59" s="23"/>
      <c r="D59" s="44"/>
      <c r="E59" s="5"/>
      <c r="F59" s="44"/>
      <c r="G59" s="92"/>
      <c r="H59" s="167"/>
    </row>
    <row r="60" spans="1:8" s="9" customFormat="1" x14ac:dyDescent="0.2">
      <c r="A60" s="40"/>
      <c r="B60" s="41"/>
      <c r="C60" s="23"/>
      <c r="D60" s="44"/>
      <c r="E60" s="5"/>
      <c r="F60" s="44"/>
      <c r="G60" s="92"/>
      <c r="H60" s="167"/>
    </row>
    <row r="61" spans="1:8" s="9" customFormat="1" x14ac:dyDescent="0.2">
      <c r="A61" s="40"/>
      <c r="B61" s="41"/>
      <c r="C61" s="23"/>
      <c r="D61" s="44"/>
      <c r="E61" s="5"/>
      <c r="F61" s="44"/>
      <c r="G61" s="92"/>
      <c r="H61" s="167"/>
    </row>
    <row r="62" spans="1:8" s="9" customFormat="1" x14ac:dyDescent="0.2">
      <c r="A62" s="40"/>
      <c r="B62" s="41"/>
      <c r="C62" s="23"/>
      <c r="D62" s="44"/>
      <c r="E62" s="5"/>
      <c r="F62" s="44"/>
      <c r="G62" s="92"/>
      <c r="H62" s="167"/>
    </row>
    <row r="63" spans="1:8" s="9" customFormat="1" x14ac:dyDescent="0.2">
      <c r="A63" s="40"/>
      <c r="B63" s="41"/>
      <c r="C63" s="23"/>
      <c r="D63" s="44"/>
      <c r="E63" s="5"/>
      <c r="F63" s="44"/>
      <c r="G63" s="92"/>
      <c r="H63" s="167"/>
    </row>
    <row r="64" spans="1:8" s="9" customFormat="1" x14ac:dyDescent="0.2">
      <c r="A64" s="40"/>
      <c r="B64" s="41"/>
      <c r="C64" s="23"/>
      <c r="D64" s="44"/>
      <c r="E64" s="5"/>
      <c r="F64" s="44"/>
      <c r="G64" s="92"/>
      <c r="H64" s="167"/>
    </row>
    <row r="65" spans="1:8" s="9" customFormat="1" x14ac:dyDescent="0.2">
      <c r="A65" s="40"/>
      <c r="B65" s="41"/>
      <c r="C65" s="23"/>
      <c r="D65" s="44"/>
      <c r="E65" s="5"/>
      <c r="F65" s="44"/>
      <c r="G65" s="92"/>
      <c r="H65" s="167"/>
    </row>
    <row r="66" spans="1:8" s="9" customFormat="1" x14ac:dyDescent="0.2">
      <c r="A66" s="40"/>
      <c r="B66" s="41"/>
      <c r="C66" s="23"/>
      <c r="D66" s="44"/>
      <c r="E66" s="5"/>
      <c r="F66" s="44"/>
      <c r="G66" s="92"/>
      <c r="H66" s="167"/>
    </row>
    <row r="67" spans="1:8" s="9" customFormat="1" x14ac:dyDescent="0.2">
      <c r="A67" s="40"/>
      <c r="B67" s="41"/>
      <c r="C67" s="23"/>
      <c r="D67" s="44"/>
      <c r="E67" s="5"/>
      <c r="F67" s="44"/>
      <c r="G67" s="92"/>
      <c r="H67" s="167"/>
    </row>
    <row r="68" spans="1:8" s="9" customFormat="1" x14ac:dyDescent="0.2">
      <c r="A68" s="40"/>
      <c r="B68" s="41"/>
      <c r="C68" s="23"/>
      <c r="D68" s="44"/>
      <c r="E68" s="5"/>
      <c r="F68" s="44"/>
      <c r="G68" s="92"/>
      <c r="H68" s="167"/>
    </row>
    <row r="69" spans="1:8" s="9" customFormat="1" x14ac:dyDescent="0.2">
      <c r="A69" s="40"/>
      <c r="B69" s="41"/>
      <c r="C69" s="23"/>
      <c r="D69" s="44"/>
      <c r="E69" s="5"/>
      <c r="F69" s="44"/>
      <c r="G69" s="92"/>
      <c r="H69" s="167"/>
    </row>
    <row r="70" spans="1:8" s="9" customFormat="1" x14ac:dyDescent="0.2">
      <c r="A70" s="40"/>
      <c r="B70" s="41"/>
      <c r="C70" s="23"/>
      <c r="D70" s="44"/>
      <c r="E70" s="5"/>
      <c r="F70" s="44"/>
      <c r="G70" s="92"/>
      <c r="H70" s="167"/>
    </row>
    <row r="71" spans="1:8" s="9" customFormat="1" x14ac:dyDescent="0.2">
      <c r="A71" s="40"/>
      <c r="B71" s="41"/>
      <c r="C71" s="23"/>
      <c r="D71" s="44"/>
      <c r="E71" s="5"/>
      <c r="F71" s="44"/>
      <c r="G71" s="92"/>
      <c r="H71" s="167"/>
    </row>
    <row r="72" spans="1:8" s="9" customFormat="1" x14ac:dyDescent="0.2">
      <c r="A72" s="40"/>
      <c r="B72" s="41"/>
      <c r="C72" s="23"/>
      <c r="D72" s="44"/>
      <c r="E72" s="5"/>
      <c r="F72" s="44"/>
      <c r="G72" s="92"/>
      <c r="H72" s="167"/>
    </row>
    <row r="73" spans="1:8" s="9" customFormat="1" x14ac:dyDescent="0.2">
      <c r="A73" s="40"/>
      <c r="B73" s="41"/>
      <c r="C73" s="23"/>
      <c r="D73" s="44"/>
      <c r="E73" s="5"/>
      <c r="F73" s="44"/>
      <c r="G73" s="92"/>
      <c r="H73" s="167"/>
    </row>
    <row r="74" spans="1:8" s="9" customFormat="1" x14ac:dyDescent="0.2">
      <c r="A74" s="40"/>
      <c r="B74" s="41"/>
      <c r="C74" s="23"/>
      <c r="D74" s="44"/>
      <c r="E74" s="5"/>
      <c r="F74" s="44"/>
      <c r="G74" s="92"/>
      <c r="H74" s="167"/>
    </row>
    <row r="75" spans="1:8" s="9" customFormat="1" x14ac:dyDescent="0.2">
      <c r="A75" s="40"/>
      <c r="B75" s="41"/>
      <c r="C75" s="23"/>
      <c r="D75" s="44"/>
      <c r="E75" s="5"/>
      <c r="F75" s="44"/>
      <c r="G75" s="92"/>
      <c r="H75" s="167"/>
    </row>
    <row r="76" spans="1:8" s="9" customFormat="1" x14ac:dyDescent="0.2">
      <c r="A76" s="40"/>
      <c r="B76" s="41"/>
      <c r="C76" s="23"/>
      <c r="D76" s="44"/>
      <c r="E76" s="5"/>
      <c r="F76" s="44"/>
      <c r="G76" s="92"/>
      <c r="H76" s="167"/>
    </row>
    <row r="77" spans="1:8" s="9" customFormat="1" x14ac:dyDescent="0.2">
      <c r="A77" s="40"/>
      <c r="B77" s="41"/>
      <c r="C77" s="23"/>
      <c r="D77" s="44"/>
      <c r="E77" s="5"/>
      <c r="F77" s="44"/>
      <c r="G77" s="92"/>
      <c r="H77" s="167"/>
    </row>
    <row r="78" spans="1:8" s="9" customFormat="1" x14ac:dyDescent="0.2">
      <c r="A78" s="40"/>
      <c r="B78" s="41"/>
      <c r="C78" s="23"/>
      <c r="D78" s="44"/>
      <c r="E78" s="5"/>
      <c r="F78" s="44"/>
      <c r="G78" s="92"/>
      <c r="H78" s="167"/>
    </row>
    <row r="79" spans="1:8" s="9" customFormat="1" x14ac:dyDescent="0.2">
      <c r="A79" s="40"/>
      <c r="B79" s="41"/>
      <c r="C79" s="23"/>
      <c r="D79" s="44"/>
      <c r="E79" s="5"/>
      <c r="F79" s="44"/>
      <c r="G79" s="92"/>
      <c r="H79" s="167"/>
    </row>
    <row r="80" spans="1:8" s="9" customFormat="1" x14ac:dyDescent="0.2">
      <c r="A80" s="40"/>
      <c r="B80" s="41"/>
      <c r="C80" s="23"/>
      <c r="D80" s="44"/>
      <c r="E80" s="5"/>
      <c r="F80" s="44"/>
      <c r="G80" s="92"/>
      <c r="H80" s="167"/>
    </row>
    <row r="81" spans="1:8" s="9" customFormat="1" x14ac:dyDescent="0.2">
      <c r="A81" s="40"/>
      <c r="B81" s="41"/>
      <c r="C81" s="23"/>
      <c r="D81" s="44"/>
      <c r="E81" s="5"/>
      <c r="F81" s="44"/>
      <c r="G81" s="92"/>
      <c r="H81" s="167"/>
    </row>
    <row r="82" spans="1:8" s="9" customFormat="1" x14ac:dyDescent="0.2">
      <c r="A82" s="40"/>
      <c r="B82" s="41"/>
      <c r="C82" s="23"/>
      <c r="D82" s="44"/>
      <c r="E82" s="5"/>
      <c r="F82" s="44"/>
      <c r="G82" s="92"/>
      <c r="H82" s="167"/>
    </row>
    <row r="83" spans="1:8" s="9" customFormat="1" x14ac:dyDescent="0.2">
      <c r="A83" s="40"/>
      <c r="B83" s="41"/>
      <c r="C83" s="23"/>
      <c r="D83" s="44"/>
      <c r="E83" s="5"/>
      <c r="F83" s="44"/>
      <c r="G83" s="92"/>
      <c r="H83" s="167"/>
    </row>
    <row r="84" spans="1:8" s="9" customFormat="1" x14ac:dyDescent="0.2">
      <c r="A84" s="40"/>
      <c r="B84" s="41"/>
      <c r="C84" s="23"/>
      <c r="D84" s="44"/>
      <c r="E84" s="5"/>
      <c r="F84" s="44"/>
      <c r="G84" s="92"/>
      <c r="H84" s="167"/>
    </row>
    <row r="85" spans="1:8" s="9" customFormat="1" x14ac:dyDescent="0.2">
      <c r="A85" s="40"/>
      <c r="B85" s="41"/>
      <c r="C85" s="23"/>
      <c r="D85" s="44"/>
      <c r="E85" s="5"/>
      <c r="F85" s="44"/>
      <c r="G85" s="92"/>
      <c r="H85" s="167"/>
    </row>
    <row r="86" spans="1:8" s="9" customFormat="1" x14ac:dyDescent="0.2">
      <c r="A86" s="40"/>
      <c r="B86" s="41"/>
      <c r="C86" s="23"/>
      <c r="D86" s="44"/>
      <c r="E86" s="5"/>
      <c r="F86" s="44"/>
      <c r="G86" s="92"/>
      <c r="H86" s="167"/>
    </row>
    <row r="87" spans="1:8" s="9" customFormat="1" x14ac:dyDescent="0.2">
      <c r="A87" s="40"/>
      <c r="B87" s="41"/>
      <c r="C87" s="23"/>
      <c r="D87" s="44"/>
      <c r="E87" s="5"/>
      <c r="F87" s="44"/>
      <c r="G87" s="92"/>
      <c r="H87" s="167"/>
    </row>
  </sheetData>
  <mergeCells count="3">
    <mergeCell ref="A1:G1"/>
    <mergeCell ref="A3:G3"/>
    <mergeCell ref="A2:G2"/>
  </mergeCells>
  <phoneticPr fontId="0" type="noConversion"/>
  <printOptions horizontalCentered="1"/>
  <pageMargins left="0.49" right="0.47" top="0.56999999999999995" bottom="0.71" header="0.27" footer="0.48"/>
  <pageSetup paperSize="9" scale="99" firstPageNumber="11" orientation="portrait" useFirstPageNumber="1" horizontalDpi="180" verticalDpi="180" r:id="rId1"/>
  <headerFooter alignWithMargins="0">
    <oddFooter>&amp;C&amp;F - &amp;P</oddFooter>
  </headerFooter>
  <rowBreaks count="1" manualBreakCount="1">
    <brk id="20" max="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
  <sheetViews>
    <sheetView topLeftCell="A186" zoomScaleNormal="100" workbookViewId="0">
      <selection activeCell="C192" sqref="C192"/>
    </sheetView>
    <sheetView topLeftCell="A186" workbookViewId="1">
      <selection activeCell="A190" sqref="A190"/>
    </sheetView>
    <sheetView topLeftCell="A19" workbookViewId="2">
      <selection activeCell="A32" sqref="A32:IV34"/>
    </sheetView>
  </sheetViews>
  <sheetFormatPr defaultRowHeight="15" x14ac:dyDescent="0.2"/>
  <cols>
    <col min="1" max="1" width="4.21875" style="40" customWidth="1"/>
    <col min="2" max="2" width="42.109375" style="41" customWidth="1"/>
    <col min="3" max="3" width="4" style="23" customWidth="1"/>
    <col min="4" max="4" width="1.77734375" style="9" customWidth="1"/>
    <col min="5" max="5" width="6.44140625" style="5" customWidth="1"/>
    <col min="6" max="6" width="2.77734375" style="9" customWidth="1"/>
    <col min="7" max="7" width="5.21875" style="25"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18" x14ac:dyDescent="0.2">
      <c r="A1" s="60" t="str">
        <f>'gen-abstract'!A2</f>
        <v xml:space="preserve">NAME OF WORK :- Construction of Additional Session Judge Bungalow at Nathdwara </v>
      </c>
      <c r="B1" s="14"/>
      <c r="C1" s="15"/>
      <c r="D1" s="14"/>
      <c r="E1" s="15"/>
      <c r="F1" s="14"/>
      <c r="G1" s="16"/>
      <c r="H1" s="14"/>
      <c r="I1" s="14"/>
      <c r="J1" s="14"/>
      <c r="K1" s="14"/>
      <c r="L1" s="14"/>
    </row>
    <row r="2" spans="1:12" s="11" customFormat="1" x14ac:dyDescent="0.2">
      <c r="A2" s="101" t="s">
        <v>236</v>
      </c>
      <c r="B2" s="14"/>
      <c r="C2" s="47"/>
      <c r="D2" s="43"/>
      <c r="E2" s="51"/>
      <c r="F2" s="43"/>
      <c r="G2" s="15"/>
      <c r="H2" s="14"/>
      <c r="I2" s="14"/>
      <c r="J2" s="14"/>
      <c r="K2" s="14"/>
      <c r="L2" s="14"/>
    </row>
    <row r="3" spans="1:12" s="48" customFormat="1" ht="18" x14ac:dyDescent="0.25">
      <c r="A3" s="61" t="s">
        <v>130</v>
      </c>
      <c r="B3" s="3"/>
      <c r="C3" s="3"/>
      <c r="D3" s="14"/>
      <c r="E3" s="15"/>
      <c r="F3" s="14"/>
      <c r="G3" s="16"/>
      <c r="H3" s="14"/>
      <c r="I3" s="15"/>
      <c r="J3" s="14"/>
      <c r="K3" s="14"/>
      <c r="L3" s="14"/>
    </row>
    <row r="4" spans="1:12" s="48" customFormat="1" x14ac:dyDescent="0.2">
      <c r="A4" s="36" t="s">
        <v>131</v>
      </c>
      <c r="B4" s="28" t="s">
        <v>132</v>
      </c>
      <c r="C4" s="33" t="s">
        <v>133</v>
      </c>
      <c r="D4" s="29"/>
      <c r="E4" s="30" t="s">
        <v>134</v>
      </c>
      <c r="F4" s="29"/>
      <c r="G4" s="34" t="s">
        <v>135</v>
      </c>
      <c r="H4" s="30"/>
      <c r="I4" s="30" t="s">
        <v>136</v>
      </c>
      <c r="J4" s="30"/>
      <c r="K4" s="30" t="s">
        <v>137</v>
      </c>
      <c r="L4" s="30" t="s">
        <v>138</v>
      </c>
    </row>
    <row r="5" spans="1:12" ht="60" x14ac:dyDescent="0.2">
      <c r="A5" s="1">
        <v>1</v>
      </c>
      <c r="B5" s="155" t="s">
        <v>266</v>
      </c>
      <c r="C5"/>
      <c r="D5"/>
      <c r="E5"/>
      <c r="F5"/>
      <c r="G5"/>
      <c r="H5"/>
      <c r="I5"/>
      <c r="J5"/>
      <c r="K5"/>
      <c r="L5"/>
    </row>
    <row r="6" spans="1:12" x14ac:dyDescent="0.2">
      <c r="A6" s="1"/>
      <c r="B6" s="18"/>
      <c r="C6" s="22">
        <v>6</v>
      </c>
      <c r="D6" s="6" t="s">
        <v>139</v>
      </c>
      <c r="E6" s="26">
        <v>1</v>
      </c>
      <c r="F6"/>
      <c r="G6" s="24"/>
      <c r="H6" s="7"/>
      <c r="I6" s="7"/>
      <c r="J6" s="57" t="str">
        <f>IF(K6,"=","")</f>
        <v>=</v>
      </c>
      <c r="K6" s="96">
        <f>C6*E6</f>
        <v>6</v>
      </c>
      <c r="L6" s="95" t="s">
        <v>133</v>
      </c>
    </row>
    <row r="7" spans="1:12" ht="45" x14ac:dyDescent="0.2">
      <c r="A7" s="1">
        <f>A5+1</f>
        <v>2</v>
      </c>
      <c r="B7" s="155" t="s">
        <v>193</v>
      </c>
      <c r="C7" s="22"/>
      <c r="D7" s="6"/>
      <c r="E7" s="26"/>
      <c r="F7"/>
      <c r="G7" s="24"/>
      <c r="H7"/>
      <c r="I7"/>
      <c r="J7" s="57" t="str">
        <f t="shared" ref="J7:J41" si="0">IF(K7,"=","")</f>
        <v/>
      </c>
      <c r="K7" s="26"/>
      <c r="L7" s="6"/>
    </row>
    <row r="8" spans="1:12" x14ac:dyDescent="0.2">
      <c r="A8" s="1"/>
      <c r="B8" s="18"/>
      <c r="C8" s="22">
        <v>6</v>
      </c>
      <c r="D8" s="6" t="s">
        <v>139</v>
      </c>
      <c r="E8" s="26">
        <v>1</v>
      </c>
      <c r="F8"/>
      <c r="G8" s="24"/>
      <c r="H8" s="7"/>
      <c r="I8" s="7"/>
      <c r="J8" s="57" t="str">
        <f t="shared" si="0"/>
        <v>=</v>
      </c>
      <c r="K8" s="96">
        <f>C8*E8</f>
        <v>6</v>
      </c>
      <c r="L8" s="95" t="s">
        <v>133</v>
      </c>
    </row>
    <row r="9" spans="1:12" x14ac:dyDescent="0.2">
      <c r="A9" s="1"/>
      <c r="B9" s="18"/>
      <c r="C9" s="22"/>
      <c r="D9" s="6"/>
      <c r="E9" s="26"/>
      <c r="F9"/>
      <c r="G9" s="24"/>
      <c r="H9" t="s">
        <v>144</v>
      </c>
      <c r="I9"/>
      <c r="J9" s="57" t="str">
        <f t="shared" si="0"/>
        <v>=</v>
      </c>
      <c r="K9" s="26">
        <f>SUM(K8:K8)</f>
        <v>6</v>
      </c>
      <c r="L9" s="6" t="s">
        <v>133</v>
      </c>
    </row>
    <row r="10" spans="1:12" x14ac:dyDescent="0.2">
      <c r="A10" s="1">
        <f>IF(A7,A7+1,A5+1)</f>
        <v>3</v>
      </c>
      <c r="B10" s="18"/>
      <c r="C10" s="22"/>
      <c r="D10" s="6"/>
      <c r="E10" s="26"/>
      <c r="F10"/>
      <c r="G10" s="24"/>
      <c r="H10"/>
      <c r="I10"/>
      <c r="J10" s="57" t="str">
        <f t="shared" si="0"/>
        <v/>
      </c>
      <c r="K10" s="26"/>
      <c r="L10" s="6"/>
    </row>
    <row r="11" spans="1:12" x14ac:dyDescent="0.2">
      <c r="A11" s="1"/>
      <c r="B11" s="155"/>
      <c r="C11" s="22">
        <v>5</v>
      </c>
      <c r="D11" s="6" t="s">
        <v>139</v>
      </c>
      <c r="E11" s="26">
        <v>1</v>
      </c>
      <c r="F11"/>
      <c r="G11" s="24"/>
      <c r="H11" s="7"/>
      <c r="I11" s="7"/>
      <c r="J11" s="57" t="str">
        <f t="shared" si="0"/>
        <v>=</v>
      </c>
      <c r="K11" s="96">
        <f>C11*E11</f>
        <v>5</v>
      </c>
      <c r="L11" s="95" t="s">
        <v>133</v>
      </c>
    </row>
    <row r="12" spans="1:12" x14ac:dyDescent="0.2">
      <c r="A12" s="1"/>
      <c r="B12" s="18"/>
      <c r="C12" s="22"/>
      <c r="D12" s="6"/>
      <c r="E12" s="26"/>
      <c r="F12"/>
      <c r="G12" s="24"/>
      <c r="H12" t="s">
        <v>144</v>
      </c>
      <c r="I12"/>
      <c r="J12" s="57" t="str">
        <f t="shared" si="0"/>
        <v>=</v>
      </c>
      <c r="K12" s="26">
        <f>SUM(K11:K11)</f>
        <v>5</v>
      </c>
      <c r="L12" s="6" t="s">
        <v>133</v>
      </c>
    </row>
    <row r="13" spans="1:12" ht="75" x14ac:dyDescent="0.2">
      <c r="A13" s="1">
        <f>IF(A10,A10+1,A7+1)</f>
        <v>4</v>
      </c>
      <c r="B13" s="18" t="s">
        <v>391</v>
      </c>
      <c r="C13" s="102">
        <f>K12</f>
        <v>5</v>
      </c>
      <c r="D13" s="6" t="s">
        <v>139</v>
      </c>
      <c r="E13" s="26">
        <v>1</v>
      </c>
      <c r="F13"/>
      <c r="G13" s="24"/>
      <c r="H13"/>
      <c r="I13"/>
      <c r="J13" s="57" t="str">
        <f t="shared" si="0"/>
        <v>=</v>
      </c>
      <c r="K13" s="26">
        <f>C13*E13</f>
        <v>5</v>
      </c>
      <c r="L13" s="6" t="s">
        <v>133</v>
      </c>
    </row>
    <row r="14" spans="1:12" x14ac:dyDescent="0.2">
      <c r="A14" s="1"/>
      <c r="B14" s="155"/>
      <c r="C14" s="102"/>
      <c r="D14" s="6"/>
      <c r="E14" s="26"/>
      <c r="F14"/>
      <c r="G14" s="24"/>
      <c r="H14"/>
      <c r="I14"/>
      <c r="J14" s="57"/>
      <c r="K14" s="26"/>
      <c r="L14" s="6"/>
    </row>
    <row r="15" spans="1:12" x14ac:dyDescent="0.2">
      <c r="A15" s="1">
        <v>5</v>
      </c>
      <c r="B15" s="155" t="s">
        <v>194</v>
      </c>
      <c r="C15" s="22"/>
      <c r="D15" s="6"/>
      <c r="E15" s="26"/>
      <c r="F15"/>
      <c r="G15" s="24"/>
      <c r="H15"/>
      <c r="I15"/>
      <c r="J15" s="57" t="str">
        <f t="shared" si="0"/>
        <v/>
      </c>
      <c r="K15" s="26"/>
      <c r="L15" s="6"/>
    </row>
    <row r="16" spans="1:12" x14ac:dyDescent="0.2">
      <c r="A16" s="1"/>
      <c r="B16" s="155" t="s">
        <v>222</v>
      </c>
      <c r="C16" s="22">
        <v>11</v>
      </c>
      <c r="D16" s="6" t="s">
        <v>139</v>
      </c>
      <c r="E16" s="26">
        <v>1</v>
      </c>
      <c r="F16"/>
      <c r="G16" s="24"/>
      <c r="J16" s="57" t="str">
        <f t="shared" si="0"/>
        <v>=</v>
      </c>
      <c r="K16" s="103">
        <f>C16*E16</f>
        <v>11</v>
      </c>
      <c r="L16" s="21" t="s">
        <v>133</v>
      </c>
    </row>
    <row r="17" spans="1:12" x14ac:dyDescent="0.2">
      <c r="A17" s="1"/>
      <c r="B17" s="18"/>
      <c r="C17" s="22"/>
      <c r="D17" s="6"/>
      <c r="E17" s="26"/>
      <c r="F17"/>
      <c r="G17" s="24"/>
      <c r="H17" s="134" t="s">
        <v>144</v>
      </c>
      <c r="I17" s="134"/>
      <c r="J17" s="158" t="str">
        <f t="shared" si="0"/>
        <v>=</v>
      </c>
      <c r="K17" s="159">
        <f>SUM(K16:K16)</f>
        <v>11</v>
      </c>
      <c r="L17" s="160" t="s">
        <v>133</v>
      </c>
    </row>
    <row r="18" spans="1:12" ht="45" x14ac:dyDescent="0.2">
      <c r="A18" s="1">
        <v>6</v>
      </c>
      <c r="B18" s="155" t="s">
        <v>223</v>
      </c>
      <c r="C18" s="22"/>
      <c r="D18" s="6"/>
      <c r="E18" s="26"/>
      <c r="F18"/>
      <c r="G18" s="24"/>
      <c r="H18"/>
      <c r="I18"/>
      <c r="J18" s="57" t="str">
        <f t="shared" si="0"/>
        <v/>
      </c>
      <c r="K18" s="26"/>
      <c r="L18" s="6"/>
    </row>
    <row r="19" spans="1:12" x14ac:dyDescent="0.2">
      <c r="A19" s="84" t="s">
        <v>196</v>
      </c>
      <c r="B19" s="18" t="s">
        <v>197</v>
      </c>
      <c r="C19" s="22"/>
      <c r="D19" s="6"/>
      <c r="E19" s="4"/>
      <c r="F19"/>
      <c r="G19" s="24"/>
      <c r="H19"/>
      <c r="I19"/>
      <c r="J19" s="57" t="str">
        <f t="shared" si="0"/>
        <v/>
      </c>
      <c r="K19" s="4"/>
      <c r="L19" s="22"/>
    </row>
    <row r="20" spans="1:12" x14ac:dyDescent="0.2">
      <c r="A20" s="84"/>
      <c r="B20" s="18" t="s">
        <v>224</v>
      </c>
      <c r="C20" s="22">
        <v>5</v>
      </c>
      <c r="D20" s="6" t="s">
        <v>139</v>
      </c>
      <c r="E20" s="4">
        <v>4.5</v>
      </c>
      <c r="F20"/>
      <c r="G20" s="24"/>
      <c r="H20"/>
      <c r="I20"/>
      <c r="J20" s="57" t="str">
        <f t="shared" si="0"/>
        <v>=</v>
      </c>
      <c r="K20" s="4">
        <f>C20*E20</f>
        <v>22.5</v>
      </c>
      <c r="L20" s="22" t="s">
        <v>59</v>
      </c>
    </row>
    <row r="21" spans="1:12" x14ac:dyDescent="0.2">
      <c r="A21" s="84"/>
      <c r="B21" s="18" t="s">
        <v>225</v>
      </c>
      <c r="C21" s="22">
        <v>5</v>
      </c>
      <c r="D21" s="6" t="s">
        <v>139</v>
      </c>
      <c r="E21" s="4">
        <v>4.5</v>
      </c>
      <c r="F21"/>
      <c r="G21" s="24"/>
      <c r="H21"/>
      <c r="I21"/>
      <c r="J21" s="57" t="str">
        <f t="shared" si="0"/>
        <v>=</v>
      </c>
      <c r="K21" s="4">
        <f>C21*E21</f>
        <v>22.5</v>
      </c>
      <c r="L21" s="22" t="s">
        <v>59</v>
      </c>
    </row>
    <row r="22" spans="1:12" x14ac:dyDescent="0.2">
      <c r="A22" s="84"/>
      <c r="B22" s="18"/>
      <c r="C22" s="22"/>
      <c r="D22" s="6"/>
      <c r="E22" s="4"/>
      <c r="F22"/>
      <c r="G22" s="24"/>
      <c r="H22" s="134" t="s">
        <v>129</v>
      </c>
      <c r="I22" s="134"/>
      <c r="J22" s="158" t="str">
        <f t="shared" si="0"/>
        <v>=</v>
      </c>
      <c r="K22" s="135">
        <f>SUM(K19:K21)</f>
        <v>45</v>
      </c>
      <c r="L22" s="161" t="s">
        <v>59</v>
      </c>
    </row>
    <row r="23" spans="1:12" x14ac:dyDescent="0.2">
      <c r="A23" s="84" t="s">
        <v>198</v>
      </c>
      <c r="B23" s="18" t="s">
        <v>199</v>
      </c>
      <c r="C23" s="22"/>
      <c r="D23" s="6"/>
      <c r="E23" s="26"/>
      <c r="F23"/>
      <c r="G23" s="24"/>
      <c r="H23"/>
      <c r="I23"/>
      <c r="J23" s="57" t="str">
        <f t="shared" si="0"/>
        <v/>
      </c>
      <c r="K23" s="26"/>
      <c r="L23" s="6"/>
    </row>
    <row r="24" spans="1:12" x14ac:dyDescent="0.2">
      <c r="A24" s="84"/>
      <c r="B24" s="155" t="s">
        <v>226</v>
      </c>
      <c r="C24" s="22">
        <v>4</v>
      </c>
      <c r="D24" s="6" t="s">
        <v>139</v>
      </c>
      <c r="E24" s="4">
        <v>16.8</v>
      </c>
      <c r="F24"/>
      <c r="G24" s="24"/>
      <c r="H24"/>
      <c r="I24"/>
      <c r="J24" s="57" t="str">
        <f t="shared" si="0"/>
        <v>=</v>
      </c>
      <c r="K24" s="4">
        <f>C24*E24</f>
        <v>67.2</v>
      </c>
      <c r="L24" s="22" t="s">
        <v>59</v>
      </c>
    </row>
    <row r="25" spans="1:12" x14ac:dyDescent="0.2">
      <c r="A25" s="84"/>
      <c r="B25" s="155" t="s">
        <v>334</v>
      </c>
      <c r="C25" s="22">
        <v>4</v>
      </c>
      <c r="D25" s="6" t="s">
        <v>139</v>
      </c>
      <c r="E25" s="4">
        <v>14.6</v>
      </c>
      <c r="F25"/>
      <c r="J25" s="57" t="str">
        <f>IF(K25,"=","")</f>
        <v>=</v>
      </c>
      <c r="K25" s="5">
        <f>C25*E25</f>
        <v>58.4</v>
      </c>
      <c r="L25" s="23" t="s">
        <v>59</v>
      </c>
    </row>
    <row r="26" spans="1:12" x14ac:dyDescent="0.2">
      <c r="A26" s="84"/>
      <c r="B26" s="155" t="s">
        <v>227</v>
      </c>
      <c r="C26" s="22">
        <v>4</v>
      </c>
      <c r="D26" s="6" t="s">
        <v>139</v>
      </c>
      <c r="E26" s="4">
        <v>8.6999999999999993</v>
      </c>
      <c r="F26"/>
      <c r="J26" s="57" t="str">
        <f t="shared" si="0"/>
        <v>=</v>
      </c>
      <c r="K26" s="5">
        <f>C26*E26</f>
        <v>34.799999999999997</v>
      </c>
      <c r="L26" s="23" t="s">
        <v>59</v>
      </c>
    </row>
    <row r="27" spans="1:12" x14ac:dyDescent="0.2">
      <c r="A27" s="84"/>
      <c r="B27" s="18"/>
      <c r="C27" s="22"/>
      <c r="D27" s="6"/>
      <c r="E27" s="4"/>
      <c r="F27"/>
      <c r="G27" s="24"/>
      <c r="H27" s="134" t="s">
        <v>129</v>
      </c>
      <c r="I27" s="134"/>
      <c r="J27" s="158" t="str">
        <f t="shared" si="0"/>
        <v>=</v>
      </c>
      <c r="K27" s="135">
        <f>SUM(K23:K26)</f>
        <v>160.39999999999998</v>
      </c>
      <c r="L27" s="161" t="s">
        <v>59</v>
      </c>
    </row>
    <row r="28" spans="1:12" ht="45" x14ac:dyDescent="0.2">
      <c r="A28" s="1">
        <f>A18+1</f>
        <v>7</v>
      </c>
      <c r="B28" s="155" t="s">
        <v>200</v>
      </c>
      <c r="C28" s="22"/>
      <c r="D28" s="6"/>
      <c r="E28" s="26"/>
      <c r="F28"/>
      <c r="G28" s="24"/>
      <c r="H28"/>
      <c r="I28"/>
      <c r="J28" s="57" t="str">
        <f t="shared" si="0"/>
        <v/>
      </c>
      <c r="K28" s="26"/>
      <c r="L28" s="6"/>
    </row>
    <row r="29" spans="1:12" x14ac:dyDescent="0.2">
      <c r="A29" s="37" t="s">
        <v>196</v>
      </c>
      <c r="B29" s="155" t="s">
        <v>201</v>
      </c>
      <c r="C29" s="22"/>
      <c r="D29" s="6"/>
      <c r="E29" s="26"/>
      <c r="F29"/>
      <c r="G29" s="24"/>
      <c r="H29"/>
      <c r="I29"/>
      <c r="J29" s="57" t="str">
        <f t="shared" si="0"/>
        <v/>
      </c>
      <c r="K29" s="26"/>
      <c r="L29" s="6"/>
    </row>
    <row r="30" spans="1:12" x14ac:dyDescent="0.2">
      <c r="A30" s="84"/>
      <c r="B30" s="18" t="s">
        <v>355</v>
      </c>
      <c r="C30" s="22">
        <v>1</v>
      </c>
      <c r="D30" s="6" t="s">
        <v>139</v>
      </c>
      <c r="E30" s="4">
        <v>10</v>
      </c>
      <c r="F30"/>
      <c r="G30" s="24"/>
      <c r="H30"/>
      <c r="I30"/>
      <c r="J30" s="57" t="str">
        <f t="shared" si="0"/>
        <v>=</v>
      </c>
      <c r="K30" s="4">
        <f>C30*E30</f>
        <v>10</v>
      </c>
      <c r="L30" s="22" t="s">
        <v>59</v>
      </c>
    </row>
    <row r="31" spans="1:12" x14ac:dyDescent="0.2">
      <c r="A31" s="84"/>
      <c r="B31" s="18" t="s">
        <v>228</v>
      </c>
      <c r="C31" s="22">
        <v>2</v>
      </c>
      <c r="D31" s="6" t="s">
        <v>139</v>
      </c>
      <c r="E31" s="4">
        <v>10</v>
      </c>
      <c r="F31"/>
      <c r="G31" s="24"/>
      <c r="H31"/>
      <c r="I31"/>
      <c r="J31" s="57" t="str">
        <f>IF(K31,"=","")</f>
        <v>=</v>
      </c>
      <c r="K31" s="4">
        <f>C31*E31</f>
        <v>20</v>
      </c>
      <c r="L31" s="22" t="s">
        <v>59</v>
      </c>
    </row>
    <row r="32" spans="1:12" x14ac:dyDescent="0.2">
      <c r="A32" s="84"/>
      <c r="B32" s="18"/>
      <c r="C32" s="22"/>
      <c r="D32" s="6"/>
      <c r="E32" s="4"/>
      <c r="F32"/>
      <c r="G32" s="24"/>
      <c r="H32" s="134" t="s">
        <v>129</v>
      </c>
      <c r="I32" s="134"/>
      <c r="J32" s="158" t="str">
        <f t="shared" si="0"/>
        <v>=</v>
      </c>
      <c r="K32" s="135">
        <f>SUM(K30:K31)</f>
        <v>30</v>
      </c>
      <c r="L32" s="161" t="s">
        <v>59</v>
      </c>
    </row>
    <row r="33" spans="1:12" ht="30" x14ac:dyDescent="0.2">
      <c r="A33" s="37">
        <f>A28+1</f>
        <v>8</v>
      </c>
      <c r="B33" s="155" t="s">
        <v>202</v>
      </c>
      <c r="C33" s="22"/>
      <c r="D33" s="6"/>
      <c r="E33" s="26"/>
      <c r="F33"/>
      <c r="G33" s="24"/>
      <c r="H33"/>
      <c r="I33"/>
      <c r="J33" s="57" t="str">
        <f t="shared" si="0"/>
        <v/>
      </c>
      <c r="K33" s="26"/>
      <c r="L33" s="6"/>
    </row>
    <row r="34" spans="1:12" x14ac:dyDescent="0.2">
      <c r="A34" s="1"/>
      <c r="B34" s="18" t="s">
        <v>229</v>
      </c>
      <c r="C34" s="22">
        <v>6</v>
      </c>
      <c r="D34" s="6" t="s">
        <v>139</v>
      </c>
      <c r="E34" s="26">
        <v>3</v>
      </c>
      <c r="F34"/>
      <c r="G34" s="24"/>
      <c r="H34"/>
      <c r="I34"/>
      <c r="J34" s="57" t="str">
        <f t="shared" si="0"/>
        <v>=</v>
      </c>
      <c r="K34" s="26">
        <f>C34*E34</f>
        <v>18</v>
      </c>
      <c r="L34" s="6" t="s">
        <v>133</v>
      </c>
    </row>
    <row r="35" spans="1:12" x14ac:dyDescent="0.2">
      <c r="A35" s="1"/>
      <c r="B35" s="18"/>
      <c r="C35" s="22"/>
      <c r="D35" s="6"/>
      <c r="E35" s="26"/>
      <c r="F35"/>
      <c r="G35" s="24"/>
      <c r="H35" t="s">
        <v>144</v>
      </c>
      <c r="I35"/>
      <c r="J35" s="57" t="str">
        <f t="shared" si="0"/>
        <v>=</v>
      </c>
      <c r="K35" s="26">
        <f>SUM(K34:K34)</f>
        <v>18</v>
      </c>
      <c r="L35" s="6" t="s">
        <v>133</v>
      </c>
    </row>
    <row r="36" spans="1:12" ht="30" x14ac:dyDescent="0.2">
      <c r="A36" s="1">
        <f>A33+1</f>
        <v>9</v>
      </c>
      <c r="B36" s="155" t="s">
        <v>244</v>
      </c>
      <c r="C36" s="22"/>
      <c r="D36" s="6"/>
      <c r="E36" s="26"/>
      <c r="F36"/>
      <c r="G36" s="24"/>
      <c r="H36"/>
      <c r="I36"/>
      <c r="J36" s="57" t="str">
        <f t="shared" si="0"/>
        <v/>
      </c>
      <c r="K36" s="26"/>
      <c r="L36" s="6"/>
    </row>
    <row r="37" spans="1:12" x14ac:dyDescent="0.2">
      <c r="A37" s="1"/>
      <c r="B37" s="18" t="s">
        <v>142</v>
      </c>
      <c r="C37" s="22">
        <v>12</v>
      </c>
      <c r="D37" s="6" t="s">
        <v>139</v>
      </c>
      <c r="E37" s="26">
        <v>1</v>
      </c>
      <c r="F37"/>
      <c r="G37" s="24"/>
      <c r="J37" s="57" t="str">
        <f>IF(K37,"=","")</f>
        <v>=</v>
      </c>
      <c r="K37" s="103">
        <f>C37*E37</f>
        <v>12</v>
      </c>
      <c r="L37" s="21" t="s">
        <v>133</v>
      </c>
    </row>
    <row r="38" spans="1:12" x14ac:dyDescent="0.2">
      <c r="A38" s="1"/>
      <c r="B38" s="18" t="s">
        <v>314</v>
      </c>
      <c r="C38" s="22">
        <v>6</v>
      </c>
      <c r="D38" s="6" t="s">
        <v>139</v>
      </c>
      <c r="E38" s="26">
        <v>1</v>
      </c>
      <c r="F38"/>
      <c r="G38" s="24"/>
      <c r="J38" s="118" t="str">
        <f t="shared" si="0"/>
        <v>=</v>
      </c>
      <c r="K38" s="103">
        <f>C38*E38</f>
        <v>6</v>
      </c>
      <c r="L38" s="21" t="s">
        <v>133</v>
      </c>
    </row>
    <row r="39" spans="1:12" x14ac:dyDescent="0.2">
      <c r="A39" s="1"/>
      <c r="B39" s="18"/>
      <c r="C39" s="22"/>
      <c r="D39" s="6"/>
      <c r="E39" s="26"/>
      <c r="F39"/>
      <c r="G39" s="24"/>
      <c r="H39" s="134" t="s">
        <v>144</v>
      </c>
      <c r="I39" s="134"/>
      <c r="J39" s="158" t="str">
        <f t="shared" si="0"/>
        <v>=</v>
      </c>
      <c r="K39" s="159">
        <f>SUM(K37:K38)</f>
        <v>18</v>
      </c>
      <c r="L39" s="160" t="s">
        <v>133</v>
      </c>
    </row>
    <row r="40" spans="1:12" ht="30" x14ac:dyDescent="0.2">
      <c r="A40" s="1">
        <f>IF(A36,A36+1,#REF!+1)</f>
        <v>10</v>
      </c>
      <c r="B40" s="155" t="s">
        <v>245</v>
      </c>
      <c r="C40" s="22"/>
      <c r="D40" s="6"/>
      <c r="E40" s="26"/>
      <c r="F40"/>
      <c r="G40" s="24"/>
      <c r="H40"/>
      <c r="I40"/>
      <c r="J40" s="57" t="str">
        <f t="shared" si="0"/>
        <v/>
      </c>
      <c r="K40" s="26"/>
      <c r="L40" s="6"/>
    </row>
    <row r="41" spans="1:12" x14ac:dyDescent="0.2">
      <c r="A41" s="1"/>
      <c r="B41" s="155" t="s">
        <v>230</v>
      </c>
      <c r="C41" s="22">
        <v>5</v>
      </c>
      <c r="D41" s="6" t="s">
        <v>139</v>
      </c>
      <c r="E41" s="26">
        <v>1</v>
      </c>
      <c r="F41"/>
      <c r="G41" s="24"/>
      <c r="J41" s="57" t="str">
        <f t="shared" si="0"/>
        <v>=</v>
      </c>
      <c r="K41" s="103">
        <f>C41*E41</f>
        <v>5</v>
      </c>
      <c r="L41" s="21" t="s">
        <v>133</v>
      </c>
    </row>
    <row r="42" spans="1:12" x14ac:dyDescent="0.2">
      <c r="A42" s="1"/>
      <c r="B42" s="18"/>
      <c r="C42" s="22"/>
      <c r="D42" s="6"/>
      <c r="E42" s="26"/>
      <c r="F42"/>
      <c r="G42" s="24"/>
      <c r="H42" t="s">
        <v>144</v>
      </c>
      <c r="I42"/>
      <c r="J42" s="57" t="str">
        <f t="shared" ref="J42:J60" si="1">IF(K42,"=","")</f>
        <v>=</v>
      </c>
      <c r="K42" s="26">
        <f>SUM(K41:K41)</f>
        <v>5</v>
      </c>
      <c r="L42" s="6" t="s">
        <v>133</v>
      </c>
    </row>
    <row r="43" spans="1:12" ht="30" x14ac:dyDescent="0.2">
      <c r="A43" s="1">
        <v>11</v>
      </c>
      <c r="B43" s="155" t="s">
        <v>203</v>
      </c>
      <c r="C43" s="22"/>
      <c r="D43" s="6"/>
      <c r="E43" s="26"/>
      <c r="F43"/>
      <c r="G43" s="24"/>
      <c r="H43"/>
      <c r="I43"/>
      <c r="J43" s="57" t="str">
        <f t="shared" si="1"/>
        <v/>
      </c>
      <c r="K43" s="26"/>
      <c r="L43" s="6"/>
    </row>
    <row r="44" spans="1:12" customFormat="1" x14ac:dyDescent="0.2">
      <c r="A44" s="1"/>
      <c r="B44" s="155" t="s">
        <v>204</v>
      </c>
      <c r="C44" s="87"/>
      <c r="D44" s="39"/>
      <c r="E44" s="4"/>
      <c r="F44" s="38"/>
      <c r="G44" s="57"/>
      <c r="J44" s="57" t="str">
        <f t="shared" si="1"/>
        <v/>
      </c>
    </row>
    <row r="45" spans="1:12" x14ac:dyDescent="0.2">
      <c r="A45" s="1"/>
      <c r="B45" s="18" t="s">
        <v>231</v>
      </c>
      <c r="C45" s="22">
        <v>6</v>
      </c>
      <c r="D45" s="6" t="s">
        <v>139</v>
      </c>
      <c r="E45" s="26">
        <v>1</v>
      </c>
      <c r="F45"/>
      <c r="G45" s="24"/>
      <c r="H45" s="7"/>
      <c r="I45" s="7"/>
      <c r="J45" s="57" t="str">
        <f t="shared" si="1"/>
        <v>=</v>
      </c>
      <c r="K45" s="96">
        <f>C45*E45</f>
        <v>6</v>
      </c>
      <c r="L45" s="95" t="s">
        <v>133</v>
      </c>
    </row>
    <row r="46" spans="1:12" x14ac:dyDescent="0.2">
      <c r="A46" s="1"/>
      <c r="B46" s="18"/>
      <c r="C46" s="22"/>
      <c r="D46" s="6"/>
      <c r="E46" s="26"/>
      <c r="F46"/>
      <c r="G46" s="24"/>
      <c r="H46" t="s">
        <v>144</v>
      </c>
      <c r="I46"/>
      <c r="J46" s="57" t="str">
        <f t="shared" si="1"/>
        <v>=</v>
      </c>
      <c r="K46" s="26">
        <f>SUM(K45)</f>
        <v>6</v>
      </c>
      <c r="L46" s="6" t="s">
        <v>133</v>
      </c>
    </row>
    <row r="47" spans="1:12" customFormat="1" x14ac:dyDescent="0.2">
      <c r="A47" s="1"/>
      <c r="B47" s="155" t="s">
        <v>205</v>
      </c>
      <c r="C47" s="87"/>
      <c r="D47" s="39"/>
      <c r="E47" s="4"/>
      <c r="F47" s="38"/>
      <c r="G47" s="57"/>
      <c r="J47" s="57" t="str">
        <f t="shared" si="1"/>
        <v/>
      </c>
    </row>
    <row r="48" spans="1:12" x14ac:dyDescent="0.2">
      <c r="A48" s="1"/>
      <c r="B48" s="155" t="s">
        <v>232</v>
      </c>
      <c r="C48" s="22">
        <v>6</v>
      </c>
      <c r="D48" s="6" t="s">
        <v>139</v>
      </c>
      <c r="E48" s="26">
        <v>1</v>
      </c>
      <c r="F48"/>
      <c r="G48" s="24"/>
      <c r="H48" s="7"/>
      <c r="I48" s="7"/>
      <c r="J48" s="57" t="str">
        <f t="shared" si="1"/>
        <v>=</v>
      </c>
      <c r="K48" s="96">
        <f>C48*E48</f>
        <v>6</v>
      </c>
      <c r="L48" s="95" t="s">
        <v>133</v>
      </c>
    </row>
    <row r="49" spans="1:13" x14ac:dyDescent="0.2">
      <c r="A49" s="1"/>
      <c r="B49" s="18"/>
      <c r="C49" s="22"/>
      <c r="D49" s="6"/>
      <c r="E49" s="26"/>
      <c r="F49"/>
      <c r="G49" s="24"/>
      <c r="H49" t="s">
        <v>144</v>
      </c>
      <c r="I49"/>
      <c r="J49" s="57" t="str">
        <f t="shared" si="1"/>
        <v>=</v>
      </c>
      <c r="K49" s="26">
        <f>SUM(K48:K48)</f>
        <v>6</v>
      </c>
      <c r="L49" s="6" t="s">
        <v>133</v>
      </c>
    </row>
    <row r="50" spans="1:13" ht="75" x14ac:dyDescent="0.2">
      <c r="A50" s="1">
        <f>IF(A43,A43+1,#REF!+1)</f>
        <v>12</v>
      </c>
      <c r="B50" s="155" t="s">
        <v>206</v>
      </c>
      <c r="C50"/>
      <c r="D50"/>
      <c r="E50"/>
      <c r="F50"/>
      <c r="G50"/>
      <c r="H50"/>
      <c r="I50"/>
      <c r="J50" s="57" t="str">
        <f t="shared" si="1"/>
        <v/>
      </c>
      <c r="K50"/>
      <c r="L50"/>
      <c r="M50"/>
    </row>
    <row r="51" spans="1:13" x14ac:dyDescent="0.2">
      <c r="A51" s="1"/>
      <c r="B51" s="155" t="s">
        <v>307</v>
      </c>
      <c r="C51" s="22">
        <v>6</v>
      </c>
      <c r="D51" s="6" t="s">
        <v>139</v>
      </c>
      <c r="E51" s="26">
        <v>1</v>
      </c>
      <c r="F51"/>
      <c r="G51" s="24"/>
      <c r="H51"/>
      <c r="I51"/>
      <c r="J51" s="57" t="str">
        <f>IF(K51,"=","")</f>
        <v>=</v>
      </c>
      <c r="K51" s="26">
        <f>C51*E51</f>
        <v>6</v>
      </c>
      <c r="L51" s="6" t="s">
        <v>133</v>
      </c>
    </row>
    <row r="52" spans="1:13" ht="30" x14ac:dyDescent="0.2">
      <c r="A52" s="1">
        <f>IF(A50,A50+1,A43+1)</f>
        <v>13</v>
      </c>
      <c r="B52" s="155" t="s">
        <v>207</v>
      </c>
      <c r="C52"/>
      <c r="D52"/>
      <c r="E52"/>
      <c r="F52"/>
      <c r="G52"/>
      <c r="H52"/>
      <c r="I52"/>
      <c r="J52" s="57" t="str">
        <f t="shared" si="1"/>
        <v/>
      </c>
      <c r="K52"/>
      <c r="L52"/>
    </row>
    <row r="53" spans="1:13" x14ac:dyDescent="0.2">
      <c r="A53" s="1"/>
      <c r="B53" s="155" t="s">
        <v>208</v>
      </c>
      <c r="C53" s="22">
        <v>6</v>
      </c>
      <c r="D53" s="6" t="s">
        <v>139</v>
      </c>
      <c r="E53" s="26">
        <v>1</v>
      </c>
      <c r="F53"/>
      <c r="G53" s="24"/>
      <c r="H53"/>
      <c r="I53"/>
      <c r="J53" s="57" t="str">
        <f t="shared" si="1"/>
        <v>=</v>
      </c>
      <c r="K53" s="26">
        <f>C53*E53</f>
        <v>6</v>
      </c>
      <c r="L53" s="6" t="s">
        <v>133</v>
      </c>
    </row>
    <row r="54" spans="1:13" x14ac:dyDescent="0.2">
      <c r="A54" s="1">
        <f>IF(A52,A52+1,A50+1)</f>
        <v>14</v>
      </c>
      <c r="B54" s="18"/>
      <c r="C54" s="22"/>
      <c r="D54" s="6"/>
      <c r="E54" s="26"/>
      <c r="F54"/>
      <c r="G54" s="24"/>
      <c r="H54"/>
      <c r="I54"/>
      <c r="J54" s="57" t="str">
        <f t="shared" si="1"/>
        <v/>
      </c>
      <c r="K54" s="26"/>
      <c r="L54" s="6"/>
    </row>
    <row r="55" spans="1:13" customFormat="1" x14ac:dyDescent="0.2">
      <c r="A55" s="37"/>
      <c r="B55" s="155" t="s">
        <v>308</v>
      </c>
      <c r="C55" s="86"/>
      <c r="D55" s="39"/>
      <c r="E55" s="4"/>
      <c r="F55" s="38"/>
      <c r="G55" s="57"/>
    </row>
    <row r="56" spans="1:13" x14ac:dyDescent="0.2">
      <c r="A56" s="84"/>
      <c r="B56" s="172" t="s">
        <v>233</v>
      </c>
      <c r="C56" s="22"/>
      <c r="D56" s="6"/>
      <c r="E56" s="4"/>
      <c r="F56"/>
      <c r="G56" s="24"/>
      <c r="H56"/>
      <c r="I56"/>
      <c r="J56" s="57" t="str">
        <f>IF(K56,"=","")</f>
        <v/>
      </c>
      <c r="K56" s="4"/>
      <c r="L56" s="22"/>
    </row>
    <row r="57" spans="1:13" x14ac:dyDescent="0.2">
      <c r="A57" s="84"/>
      <c r="B57" s="18" t="s">
        <v>142</v>
      </c>
      <c r="C57" s="22">
        <v>12</v>
      </c>
      <c r="D57" s="6" t="s">
        <v>139</v>
      </c>
      <c r="E57" s="4">
        <v>2.2000000000000002</v>
      </c>
      <c r="F57"/>
      <c r="G57" s="24"/>
      <c r="H57"/>
      <c r="I57"/>
      <c r="J57" s="57" t="str">
        <f>IF(K57,"=","")</f>
        <v>=</v>
      </c>
      <c r="K57" s="4">
        <f>C57*E57</f>
        <v>26.400000000000002</v>
      </c>
      <c r="L57" s="22" t="s">
        <v>59</v>
      </c>
    </row>
    <row r="58" spans="1:13" x14ac:dyDescent="0.2">
      <c r="A58" s="84"/>
      <c r="B58" s="18" t="s">
        <v>230</v>
      </c>
      <c r="C58" s="22">
        <v>5</v>
      </c>
      <c r="D58" s="6" t="s">
        <v>139</v>
      </c>
      <c r="E58" s="4">
        <v>2.2000000000000002</v>
      </c>
      <c r="F58"/>
      <c r="G58" s="24"/>
      <c r="H58"/>
      <c r="I58"/>
      <c r="J58" s="57" t="str">
        <f>IF(K58,"=","")</f>
        <v>=</v>
      </c>
      <c r="K58" s="4">
        <f>C58*E58</f>
        <v>11</v>
      </c>
      <c r="L58" s="22" t="s">
        <v>59</v>
      </c>
    </row>
    <row r="59" spans="1:13" x14ac:dyDescent="0.2">
      <c r="A59" s="84"/>
      <c r="B59" s="18"/>
      <c r="C59" s="22"/>
      <c r="D59" s="6"/>
      <c r="E59" s="4"/>
      <c r="F59"/>
      <c r="G59" s="24"/>
      <c r="H59" t="s">
        <v>129</v>
      </c>
      <c r="I59"/>
      <c r="J59" s="57" t="str">
        <f>IF(K59,"=","")</f>
        <v>=</v>
      </c>
      <c r="K59" s="4">
        <f>SUM(K57:K58)</f>
        <v>37.400000000000006</v>
      </c>
      <c r="L59" s="22" t="s">
        <v>59</v>
      </c>
    </row>
    <row r="60" spans="1:13" ht="75" x14ac:dyDescent="0.2">
      <c r="A60" s="37">
        <v>15</v>
      </c>
      <c r="B60" s="18" t="s">
        <v>309</v>
      </c>
      <c r="C60" s="22"/>
      <c r="D60" s="6"/>
      <c r="E60" s="26"/>
      <c r="F60"/>
      <c r="G60" s="24"/>
      <c r="H60"/>
      <c r="I60"/>
      <c r="J60" s="57" t="str">
        <f t="shared" si="1"/>
        <v/>
      </c>
      <c r="K60" s="26"/>
      <c r="L60" s="6"/>
    </row>
    <row r="61" spans="1:13" customFormat="1" x14ac:dyDescent="0.2">
      <c r="A61" s="37" t="s">
        <v>196</v>
      </c>
      <c r="B61" s="155" t="s">
        <v>310</v>
      </c>
      <c r="C61" s="87">
        <v>1</v>
      </c>
      <c r="D61" s="6" t="s">
        <v>139</v>
      </c>
      <c r="E61" s="26">
        <v>1</v>
      </c>
      <c r="G61" s="24"/>
      <c r="J61" s="57" t="str">
        <f t="shared" ref="J61:J67" si="2">IF(K61,"=","")</f>
        <v>=</v>
      </c>
      <c r="K61" s="26">
        <f t="shared" ref="K61:K68" si="3">C61*E61</f>
        <v>1</v>
      </c>
      <c r="L61" s="6" t="s">
        <v>133</v>
      </c>
    </row>
    <row r="62" spans="1:13" customFormat="1" x14ac:dyDescent="0.2">
      <c r="A62" s="37" t="s">
        <v>198</v>
      </c>
      <c r="B62" s="155" t="s">
        <v>312</v>
      </c>
      <c r="C62" s="87">
        <v>5</v>
      </c>
      <c r="D62" s="6" t="s">
        <v>139</v>
      </c>
      <c r="E62" s="26">
        <v>1</v>
      </c>
      <c r="G62" s="24"/>
      <c r="J62" s="57" t="str">
        <f t="shared" si="2"/>
        <v>=</v>
      </c>
      <c r="K62" s="26">
        <f t="shared" si="3"/>
        <v>5</v>
      </c>
      <c r="L62" s="6" t="s">
        <v>133</v>
      </c>
    </row>
    <row r="63" spans="1:13" customFormat="1" x14ac:dyDescent="0.2">
      <c r="A63" s="37" t="s">
        <v>209</v>
      </c>
      <c r="B63" s="155" t="s">
        <v>335</v>
      </c>
      <c r="C63" s="87">
        <v>1</v>
      </c>
      <c r="D63" s="6" t="s">
        <v>139</v>
      </c>
      <c r="E63" s="26">
        <v>1</v>
      </c>
      <c r="G63" s="24"/>
      <c r="J63" s="57" t="str">
        <f t="shared" si="2"/>
        <v>=</v>
      </c>
      <c r="K63" s="26">
        <f t="shared" si="3"/>
        <v>1</v>
      </c>
      <c r="L63" s="6" t="s">
        <v>133</v>
      </c>
    </row>
    <row r="64" spans="1:13" customFormat="1" x14ac:dyDescent="0.2">
      <c r="A64" s="37" t="s">
        <v>210</v>
      </c>
      <c r="B64" s="18" t="s">
        <v>311</v>
      </c>
      <c r="C64" s="87">
        <v>3</v>
      </c>
      <c r="D64" s="6" t="s">
        <v>139</v>
      </c>
      <c r="E64" s="26">
        <v>1</v>
      </c>
      <c r="G64" s="24"/>
      <c r="J64" s="57" t="str">
        <f t="shared" si="2"/>
        <v>=</v>
      </c>
      <c r="K64" s="26">
        <f t="shared" si="3"/>
        <v>3</v>
      </c>
      <c r="L64" s="6" t="s">
        <v>133</v>
      </c>
    </row>
    <row r="65" spans="1:12" customFormat="1" x14ac:dyDescent="0.2">
      <c r="A65" s="37" t="s">
        <v>211</v>
      </c>
      <c r="B65" s="155" t="s">
        <v>336</v>
      </c>
      <c r="C65" s="87">
        <v>1</v>
      </c>
      <c r="D65" s="6" t="s">
        <v>139</v>
      </c>
      <c r="E65" s="26">
        <v>1</v>
      </c>
      <c r="G65" s="24"/>
      <c r="J65" s="57" t="str">
        <f t="shared" si="2"/>
        <v>=</v>
      </c>
      <c r="K65" s="26">
        <f t="shared" si="3"/>
        <v>1</v>
      </c>
      <c r="L65" s="6" t="s">
        <v>133</v>
      </c>
    </row>
    <row r="66" spans="1:12" x14ac:dyDescent="0.2">
      <c r="A66" s="37" t="s">
        <v>212</v>
      </c>
      <c r="B66" s="155" t="s">
        <v>337</v>
      </c>
      <c r="C66" s="87">
        <v>1</v>
      </c>
      <c r="D66" s="6" t="s">
        <v>139</v>
      </c>
      <c r="E66" s="26">
        <v>1</v>
      </c>
      <c r="F66"/>
      <c r="G66" s="24"/>
      <c r="H66"/>
      <c r="I66"/>
      <c r="J66" s="57" t="str">
        <f t="shared" si="2"/>
        <v>=</v>
      </c>
      <c r="K66" s="26">
        <f t="shared" si="3"/>
        <v>1</v>
      </c>
      <c r="L66" s="6" t="s">
        <v>133</v>
      </c>
    </row>
    <row r="67" spans="1:12" x14ac:dyDescent="0.2">
      <c r="A67" s="37" t="s">
        <v>213</v>
      </c>
      <c r="B67" s="155" t="s">
        <v>338</v>
      </c>
      <c r="C67" s="87">
        <v>1</v>
      </c>
      <c r="D67" s="6" t="s">
        <v>139</v>
      </c>
      <c r="E67" s="26">
        <v>1</v>
      </c>
      <c r="F67"/>
      <c r="G67" s="24"/>
      <c r="H67"/>
      <c r="I67"/>
      <c r="J67" s="57" t="str">
        <f t="shared" si="2"/>
        <v>=</v>
      </c>
      <c r="K67" s="26">
        <f t="shared" si="3"/>
        <v>1</v>
      </c>
      <c r="L67" s="6" t="s">
        <v>133</v>
      </c>
    </row>
    <row r="68" spans="1:12" ht="75" x14ac:dyDescent="0.2">
      <c r="A68" s="37">
        <f>A60+1</f>
        <v>16</v>
      </c>
      <c r="B68" s="155" t="s">
        <v>214</v>
      </c>
      <c r="C68" s="22">
        <v>6</v>
      </c>
      <c r="D68" s="6" t="s">
        <v>139</v>
      </c>
      <c r="E68" s="26">
        <v>1</v>
      </c>
      <c r="F68"/>
      <c r="G68" s="24"/>
      <c r="H68"/>
      <c r="I68"/>
      <c r="J68" s="57" t="str">
        <f t="shared" ref="J68:J83" si="4">IF(K68,"=","")</f>
        <v>=</v>
      </c>
      <c r="K68" s="26">
        <f t="shared" si="3"/>
        <v>6</v>
      </c>
      <c r="L68" s="6" t="s">
        <v>133</v>
      </c>
    </row>
    <row r="69" spans="1:12" ht="150" x14ac:dyDescent="0.2">
      <c r="A69" s="1">
        <v>17</v>
      </c>
      <c r="B69" s="155" t="s">
        <v>361</v>
      </c>
      <c r="C69" s="22"/>
      <c r="E69" s="26"/>
      <c r="F69"/>
      <c r="G69" s="24"/>
      <c r="H69"/>
      <c r="I69"/>
      <c r="J69" s="57" t="str">
        <f t="shared" si="4"/>
        <v/>
      </c>
      <c r="K69" s="26"/>
      <c r="L69" s="6"/>
    </row>
    <row r="70" spans="1:12" customFormat="1" x14ac:dyDescent="0.2">
      <c r="A70" s="1"/>
      <c r="B70" s="18" t="s">
        <v>215</v>
      </c>
      <c r="C70" s="22">
        <v>6</v>
      </c>
      <c r="D70" s="6" t="s">
        <v>362</v>
      </c>
      <c r="E70" s="26">
        <v>1</v>
      </c>
      <c r="G70" s="24"/>
      <c r="J70" s="57" t="str">
        <f t="shared" si="4"/>
        <v>=</v>
      </c>
      <c r="K70" s="26">
        <f>C70*E70</f>
        <v>6</v>
      </c>
      <c r="L70" s="6" t="s">
        <v>133</v>
      </c>
    </row>
    <row r="71" spans="1:12" customFormat="1" x14ac:dyDescent="0.2">
      <c r="A71" s="1"/>
      <c r="B71" s="155" t="s">
        <v>216</v>
      </c>
      <c r="C71" s="22">
        <v>6</v>
      </c>
      <c r="D71" s="6" t="s">
        <v>139</v>
      </c>
      <c r="E71" s="26">
        <v>1</v>
      </c>
      <c r="G71" s="24"/>
      <c r="J71" s="57" t="str">
        <f t="shared" si="4"/>
        <v>=</v>
      </c>
      <c r="K71" s="26">
        <f>C71*E71</f>
        <v>6</v>
      </c>
      <c r="L71" s="6" t="s">
        <v>133</v>
      </c>
    </row>
    <row r="72" spans="1:12" s="48" customFormat="1" ht="30" x14ac:dyDescent="0.2">
      <c r="A72" s="1">
        <f>IF(A69,A69+1,#REF!+1)</f>
        <v>18</v>
      </c>
      <c r="B72" s="169" t="s">
        <v>234</v>
      </c>
      <c r="C72" s="22">
        <v>12</v>
      </c>
      <c r="D72" s="6" t="s">
        <v>139</v>
      </c>
      <c r="E72" s="26">
        <v>25</v>
      </c>
      <c r="F72"/>
      <c r="G72" s="24"/>
      <c r="H72"/>
      <c r="I72"/>
      <c r="J72" s="57" t="str">
        <f t="shared" si="4"/>
        <v>=</v>
      </c>
      <c r="K72" s="26">
        <f>C72*E72</f>
        <v>300</v>
      </c>
      <c r="L72" s="22" t="s">
        <v>218</v>
      </c>
    </row>
    <row r="73" spans="1:12" customFormat="1" x14ac:dyDescent="0.2">
      <c r="A73" s="37"/>
      <c r="B73" s="155"/>
      <c r="C73" s="22"/>
      <c r="D73" s="6"/>
      <c r="E73" s="26"/>
      <c r="G73" s="24"/>
      <c r="J73" s="57" t="str">
        <f t="shared" si="4"/>
        <v/>
      </c>
      <c r="K73" s="26"/>
      <c r="L73" s="6"/>
    </row>
    <row r="74" spans="1:12" customFormat="1" ht="90" x14ac:dyDescent="0.2">
      <c r="A74" s="37">
        <f>A72+1</f>
        <v>19</v>
      </c>
      <c r="B74" s="179" t="s">
        <v>357</v>
      </c>
      <c r="C74" s="86"/>
      <c r="D74" s="39"/>
      <c r="E74" s="5"/>
      <c r="F74" s="38"/>
      <c r="G74" s="57"/>
      <c r="J74" s="57" t="str">
        <f t="shared" si="4"/>
        <v/>
      </c>
      <c r="K74" s="4"/>
      <c r="L74" s="22"/>
    </row>
    <row r="75" spans="1:12" x14ac:dyDescent="0.2">
      <c r="A75" s="84"/>
      <c r="B75" s="172" t="s">
        <v>235</v>
      </c>
      <c r="C75" s="22"/>
      <c r="D75" s="6"/>
      <c r="E75" s="4"/>
      <c r="F75"/>
      <c r="G75" s="24"/>
      <c r="H75"/>
      <c r="I75"/>
      <c r="J75" s="57" t="str">
        <f t="shared" si="4"/>
        <v/>
      </c>
      <c r="K75" s="4"/>
      <c r="L75" s="22"/>
    </row>
    <row r="76" spans="1:12" x14ac:dyDescent="0.2">
      <c r="A76" s="84"/>
      <c r="B76" s="18" t="s">
        <v>339</v>
      </c>
      <c r="C76" s="22">
        <v>2</v>
      </c>
      <c r="D76" s="6" t="s">
        <v>139</v>
      </c>
      <c r="E76" s="4">
        <v>85</v>
      </c>
      <c r="F76"/>
      <c r="G76" s="24"/>
      <c r="H76"/>
      <c r="I76"/>
      <c r="J76" s="57" t="str">
        <f t="shared" si="4"/>
        <v>=</v>
      </c>
      <c r="K76" s="4">
        <f>C76*E76</f>
        <v>170</v>
      </c>
      <c r="L76" s="22" t="s">
        <v>59</v>
      </c>
    </row>
    <row r="77" spans="1:12" x14ac:dyDescent="0.2">
      <c r="A77" s="84"/>
      <c r="B77" s="18" t="s">
        <v>340</v>
      </c>
      <c r="C77" s="22">
        <v>1</v>
      </c>
      <c r="D77" s="6" t="s">
        <v>139</v>
      </c>
      <c r="E77" s="4">
        <v>55</v>
      </c>
      <c r="F77"/>
      <c r="G77" s="24"/>
      <c r="H77"/>
      <c r="I77"/>
      <c r="J77" s="57" t="str">
        <f t="shared" si="4"/>
        <v>=</v>
      </c>
      <c r="K77" s="4">
        <f>C77*E77</f>
        <v>55</v>
      </c>
      <c r="L77" s="22" t="s">
        <v>59</v>
      </c>
    </row>
    <row r="78" spans="1:12" x14ac:dyDescent="0.2">
      <c r="A78" s="84"/>
      <c r="B78" s="18" t="s">
        <v>349</v>
      </c>
      <c r="C78" s="22">
        <v>1</v>
      </c>
      <c r="D78" s="6" t="s">
        <v>139</v>
      </c>
      <c r="E78" s="4">
        <v>18</v>
      </c>
      <c r="F78"/>
      <c r="G78" s="24"/>
      <c r="H78"/>
      <c r="I78"/>
      <c r="J78" s="57" t="str">
        <f t="shared" si="4"/>
        <v>=</v>
      </c>
      <c r="K78" s="4">
        <f>C78*E78</f>
        <v>18</v>
      </c>
      <c r="L78" s="22" t="s">
        <v>59</v>
      </c>
    </row>
    <row r="79" spans="1:12" x14ac:dyDescent="0.2">
      <c r="A79" s="84"/>
      <c r="B79" s="18"/>
      <c r="C79" s="22"/>
      <c r="D79" s="6"/>
      <c r="E79" s="4"/>
      <c r="F79"/>
      <c r="G79" s="24"/>
      <c r="H79" s="134" t="s">
        <v>129</v>
      </c>
      <c r="I79" s="134"/>
      <c r="J79" s="158" t="str">
        <f t="shared" si="4"/>
        <v>=</v>
      </c>
      <c r="K79" s="135">
        <f>SUM(K76:K78)</f>
        <v>243</v>
      </c>
      <c r="L79" s="161" t="s">
        <v>59</v>
      </c>
    </row>
    <row r="80" spans="1:12" s="11" customFormat="1" ht="75" x14ac:dyDescent="0.2">
      <c r="A80" s="85">
        <f>A74+1</f>
        <v>20</v>
      </c>
      <c r="B80" s="170" t="s">
        <v>220</v>
      </c>
      <c r="G80" s="12"/>
      <c r="J80" s="57" t="str">
        <f t="shared" si="4"/>
        <v>=</v>
      </c>
      <c r="K80" s="12">
        <f>K79</f>
        <v>243</v>
      </c>
      <c r="L80" s="11" t="s">
        <v>59</v>
      </c>
    </row>
    <row r="81" spans="1:12" customFormat="1" ht="120" x14ac:dyDescent="0.2">
      <c r="A81" s="55">
        <f>A80+1</f>
        <v>21</v>
      </c>
      <c r="B81" s="180" t="s">
        <v>23</v>
      </c>
      <c r="C81" s="22">
        <v>5</v>
      </c>
      <c r="D81" s="6" t="s">
        <v>139</v>
      </c>
      <c r="E81" s="26">
        <v>1</v>
      </c>
      <c r="G81" s="24"/>
      <c r="J81" s="57" t="str">
        <f>IF(K81,"=","")</f>
        <v>=</v>
      </c>
      <c r="K81" s="26">
        <f>C81*E81</f>
        <v>5</v>
      </c>
      <c r="L81" s="6" t="s">
        <v>133</v>
      </c>
    </row>
    <row r="82" spans="1:12" customFormat="1" x14ac:dyDescent="0.2">
      <c r="A82" s="111"/>
      <c r="B82" s="18"/>
      <c r="C82" s="22"/>
      <c r="D82" s="6"/>
      <c r="E82" s="26"/>
      <c r="G82" s="24"/>
      <c r="J82" s="57" t="str">
        <f t="shared" si="4"/>
        <v/>
      </c>
      <c r="K82" s="26"/>
      <c r="L82" s="6"/>
    </row>
    <row r="83" spans="1:12" customFormat="1" ht="30" x14ac:dyDescent="0.2">
      <c r="A83" s="111">
        <v>22</v>
      </c>
      <c r="B83" s="18" t="s">
        <v>242</v>
      </c>
      <c r="C83" s="22">
        <v>11</v>
      </c>
      <c r="D83" s="6" t="s">
        <v>139</v>
      </c>
      <c r="E83" s="26">
        <v>1</v>
      </c>
      <c r="G83" s="24"/>
      <c r="J83" s="57" t="str">
        <f t="shared" si="4"/>
        <v>=</v>
      </c>
      <c r="K83" s="26">
        <f>C83*E83</f>
        <v>11</v>
      </c>
      <c r="L83" s="6" t="s">
        <v>133</v>
      </c>
    </row>
    <row r="84" spans="1:12" x14ac:dyDescent="0.2">
      <c r="A84" s="1"/>
      <c r="B84"/>
      <c r="C84"/>
      <c r="D84"/>
      <c r="E84"/>
      <c r="F84"/>
      <c r="G84"/>
      <c r="H84"/>
      <c r="I84"/>
      <c r="J84"/>
      <c r="K84"/>
      <c r="L84"/>
    </row>
    <row r="85" spans="1:12" s="68" customFormat="1" ht="15.75" x14ac:dyDescent="0.25">
      <c r="A85" s="78"/>
      <c r="B85" s="157" t="s">
        <v>328</v>
      </c>
      <c r="C85" s="11"/>
      <c r="E85" s="11"/>
      <c r="F85" s="53"/>
      <c r="H85" s="11"/>
      <c r="K85" s="163" t="s">
        <v>327</v>
      </c>
    </row>
    <row r="86" spans="1:12" s="68" customFormat="1" ht="15.75" x14ac:dyDescent="0.25">
      <c r="A86" s="78"/>
      <c r="B86" s="157" t="s">
        <v>16</v>
      </c>
      <c r="C86" s="11"/>
      <c r="E86" s="11"/>
      <c r="F86" s="53"/>
      <c r="H86" s="11"/>
      <c r="K86" s="163" t="s">
        <v>348</v>
      </c>
    </row>
    <row r="87" spans="1:12" ht="15.75" x14ac:dyDescent="0.2">
      <c r="A87" s="1"/>
      <c r="B87"/>
      <c r="C87"/>
      <c r="D87"/>
      <c r="E87"/>
      <c r="F87"/>
      <c r="G87" s="78"/>
      <c r="H87"/>
      <c r="I87"/>
      <c r="J87"/>
      <c r="K87"/>
      <c r="L87"/>
    </row>
  </sheetData>
  <phoneticPr fontId="0" type="noConversion"/>
  <printOptions horizontalCentered="1"/>
  <pageMargins left="0.47244094488188981" right="0.31496062992125984" top="0.39370078740157483" bottom="0.19685039370078741" header="7.874015748031496E-2" footer="0.19685039370078741"/>
  <pageSetup paperSize="9" scale="82" firstPageNumber="29" fitToHeight="3" orientation="portrait" useFirstPageNumber="1" horizontalDpi="180" verticalDpi="180" r:id="rId1"/>
  <headerFooter alignWithMargins="0">
    <oddFooter>&amp;CMes -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tech report</vt:lpstr>
      <vt:lpstr>gen-abstract</vt:lpstr>
      <vt:lpstr>GF1_ABS</vt:lpstr>
      <vt:lpstr>GF1_MES</vt:lpstr>
      <vt:lpstr>sanitary-abs</vt:lpstr>
      <vt:lpstr>sanitary_MEASUR</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2004-05-10T10:55:29Z</cp:lastPrinted>
  <dcterms:created xsi:type="dcterms:W3CDTF">1999-05-10T10:55:35Z</dcterms:created>
  <dcterms:modified xsi:type="dcterms:W3CDTF">2025-11-02T02:17:02Z</dcterms:modified>
</cp:coreProperties>
</file>