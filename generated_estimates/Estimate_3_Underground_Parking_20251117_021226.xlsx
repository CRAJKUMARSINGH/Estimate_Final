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hidden" minimized="0" showHorizontalScroll="1" showVerticalScroll="1" showSheetTabs="1" xWindow="-15" yWindow="1680" windowWidth="9570" windowHeight="3105" tabRatio="880" firstSheet="0" activeTab="2" autoFilterDateGrouping="1"/>
    <workbookView visibility="hidden" minimized="0" showHorizontalScroll="1" showVerticalScroll="1" showSheetTabs="1" xWindow="0" yWindow="210" windowWidth="9720" windowHeight="6345" tabRatio="922" firstSheet="0" activeTab="0" autoFilterDateGrouping="1"/>
  </bookViews>
  <sheets>
    <sheet xmlns:r="http://schemas.openxmlformats.org/officeDocument/2006/relationships" name="gen-abstract" sheetId="1" state="visible" r:id="rId1"/>
    <sheet xmlns:r="http://schemas.openxmlformats.org/officeDocument/2006/relationships" name="GF1_ABS" sheetId="2" state="visible" r:id="rId2"/>
    <sheet xmlns:r="http://schemas.openxmlformats.org/officeDocument/2006/relationships" name="GF1_MES" sheetId="3" state="visible" r:id="rId3"/>
    <sheet xmlns:r="http://schemas.openxmlformats.org/officeDocument/2006/relationships" name="sanitary-abs" sheetId="4" state="visible" r:id="rId4"/>
    <sheet xmlns:r="http://schemas.openxmlformats.org/officeDocument/2006/relationships" name="sanitary_MEASUR" sheetId="5" state="visible" r:id="rId5"/>
    <sheet xmlns:r="http://schemas.openxmlformats.org/officeDocument/2006/relationships" name="tech report" sheetId="6" state="visible" r:id="rId6"/>
    <sheet xmlns:r="http://schemas.openxmlformats.org/officeDocument/2006/relationships" name="joinery shedule" sheetId="7" state="visible" r:id="rId7"/>
    <sheet xmlns:r="http://schemas.openxmlformats.org/officeDocument/2006/relationships" name="Sheet11" sheetId="8" state="visible" r:id="rId8"/>
    <sheet xmlns:r="http://schemas.openxmlformats.org/officeDocument/2006/relationships" name="Sheet12" sheetId="9" state="visible" r:id="rId9"/>
    <sheet xmlns:r="http://schemas.openxmlformats.org/officeDocument/2006/relationships" name="Sheet13" sheetId="10" state="visible" r:id="rId10"/>
    <sheet xmlns:r="http://schemas.openxmlformats.org/officeDocument/2006/relationships" name="Sheet14" sheetId="11" state="visible" r:id="rId11"/>
    <sheet xmlns:r="http://schemas.openxmlformats.org/officeDocument/2006/relationships" name="Sheet15" sheetId="12" state="visible" r:id="rId12"/>
    <sheet xmlns:r="http://schemas.openxmlformats.org/officeDocument/2006/relationships" name="Sheet16" sheetId="13" state="visible" r:id="rId13"/>
  </sheets>
  <definedNames>
    <definedName name="_xlnm.Print_Titles" localSheetId="1">'GF1_ABS'!$4:$4</definedName>
    <definedName name="_xlnm.Print_Titles" localSheetId="2">'GF1_MES'!$5:$5</definedName>
    <definedName name="_xlnm.Print_Titles" localSheetId="3">'sanitary-abs'!$4:$4</definedName>
    <definedName name="_xlnm.Print_Area" localSheetId="3">'sanitary-abs'!$A$1:$G$51</definedName>
    <definedName name="_xlnm.Print_Titles" localSheetId="4">'sanitary_MEASUR'!$4:$4</definedName>
  </definedNames>
  <calcPr calcId="152511" fullCalcOnLoad="1"/>
</workbook>
</file>

<file path=xl/styles.xml><?xml version="1.0" encoding="utf-8"?>
<styleSheet xmlns="http://schemas.openxmlformats.org/spreadsheetml/2006/main">
  <numFmts count="0"/>
  <fonts count="17">
    <font>
      <name val="Arial"/>
      <sz val="12"/>
    </font>
    <font>
      <name val="Arial"/>
      <b val="1"/>
      <sz val="12"/>
    </font>
    <font>
      <name val="Arial"/>
      <i val="1"/>
      <sz val="12"/>
    </font>
    <font>
      <name val="Arial"/>
      <family val="2"/>
      <sz val="12"/>
    </font>
    <font>
      <name val="Arial"/>
      <family val="2"/>
      <sz val="12"/>
    </font>
    <font>
      <name val="Arial"/>
      <family val="2"/>
      <sz val="14"/>
    </font>
    <font>
      <name val="Arial"/>
      <family val="2"/>
      <sz val="10"/>
    </font>
    <font>
      <name val="Arial"/>
      <family val="2"/>
      <b val="1"/>
      <sz val="12"/>
    </font>
    <font>
      <name val="Arial"/>
      <family val="2"/>
      <sz val="14"/>
    </font>
    <font>
      <name val="Arial"/>
      <family val="2"/>
      <b val="1"/>
      <i val="1"/>
      <sz val="12"/>
    </font>
    <font>
      <name val="Arial"/>
      <family val="2"/>
      <sz val="11"/>
    </font>
    <font>
      <name val="Arial"/>
      <family val="2"/>
      <b val="1"/>
      <sz val="11"/>
    </font>
    <font>
      <name val="Arial"/>
      <family val="2"/>
      <b val="1"/>
      <i val="1"/>
      <sz val="11"/>
      <u val="single"/>
    </font>
    <font>
      <name val="Arial"/>
      <family val="2"/>
      <b val="1"/>
      <sz val="11"/>
      <u val="single"/>
    </font>
    <font>
      <name val="Arial"/>
      <family val="2"/>
      <i val="1"/>
      <sz val="11"/>
      <u val="single"/>
    </font>
    <font>
      <name val="Arial"/>
      <family val="2"/>
      <b val="1"/>
      <i val="1"/>
      <sz val="11"/>
    </font>
    <font>
      <name val="Arial"/>
      <family val="2"/>
      <color rgb="FFFF0000"/>
      <sz val="11"/>
    </font>
  </fonts>
  <fills count="2">
    <fill>
      <patternFill/>
    </fill>
    <fill>
      <patternFill patternType="gray125"/>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s>
  <cellStyleXfs count="2">
    <xf numFmtId="0" fontId="0" fillId="0" borderId="0"/>
    <xf numFmtId="43" fontId="4" fillId="0" borderId="0"/>
  </cellStyleXfs>
  <cellXfs count="305">
    <xf numFmtId="0" fontId="0" fillId="0" borderId="0" pivotButton="0" quotePrefix="0" xfId="0"/>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horizontal="centerContinuous"/>
    </xf>
    <xf numFmtId="2" fontId="0" fillId="0" borderId="0" pivotButton="0" quotePrefix="0" xfId="0"/>
    <xf numFmtId="2" fontId="0" fillId="0" borderId="0" pivotButton="0" quotePrefix="0" xfId="0"/>
    <xf numFmtId="0" fontId="0" fillId="0" borderId="0" applyAlignment="1" pivotButton="0" quotePrefix="1" xfId="0">
      <alignment horizontal="left"/>
    </xf>
    <xf numFmtId="0" fontId="0" fillId="0" borderId="1" pivotButton="0" quotePrefix="0" xfId="0"/>
    <xf numFmtId="2" fontId="0" fillId="0" borderId="1" pivotButton="0" quotePrefix="0" xfId="0"/>
    <xf numFmtId="0" fontId="0" fillId="0" borderId="0" pivotButton="0" quotePrefix="0" xfId="0"/>
    <xf numFmtId="0" fontId="4" fillId="0" borderId="0" applyAlignment="1" pivotButton="0" quotePrefix="0" xfId="0">
      <alignment vertical="top"/>
    </xf>
    <xf numFmtId="0" fontId="4" fillId="0" borderId="0" pivotButton="0" quotePrefix="0" xfId="0"/>
    <xf numFmtId="2" fontId="4" fillId="0" borderId="0" pivotButton="0" quotePrefix="0" xfId="0"/>
    <xf numFmtId="0" fontId="4" fillId="0" borderId="0" applyAlignment="1" pivotButton="0" quotePrefix="0" xfId="0">
      <alignment horizontal="centerContinuous"/>
    </xf>
    <xf numFmtId="2" fontId="4" fillId="0" borderId="0" applyAlignment="1" pivotButton="0" quotePrefix="0" xfId="0">
      <alignment horizontal="centerContinuous"/>
    </xf>
    <xf numFmtId="1" fontId="4" fillId="0" borderId="0" applyAlignment="1" pivotButton="0" quotePrefix="0" xfId="0">
      <alignment horizontal="centerContinuous"/>
    </xf>
    <xf numFmtId="0" fontId="1" fillId="0" borderId="0" applyAlignment="1" pivotButton="0" quotePrefix="0" xfId="0">
      <alignment horizontal="centerContinuous"/>
    </xf>
    <xf numFmtId="0" fontId="0" fillId="0" borderId="0" applyAlignment="1" pivotButton="0" quotePrefix="0" xfId="0">
      <alignment horizontal="justify" vertical="top" wrapText="1"/>
    </xf>
    <xf numFmtId="0" fontId="0" fillId="0" borderId="0" applyAlignment="1" pivotButton="0" quotePrefix="1" xfId="0">
      <alignment horizontal="left" vertical="top" wrapText="1"/>
    </xf>
    <xf numFmtId="0" fontId="4" fillId="0" borderId="0" applyAlignment="1" pivotButton="0" quotePrefix="1" xfId="0">
      <alignment horizontal="left" vertical="top" wrapText="1"/>
    </xf>
    <xf numFmtId="0" fontId="0" fillId="0" borderId="0" applyAlignment="1" pivotButton="0" quotePrefix="1" xfId="0">
      <alignment horizontal="left"/>
    </xf>
    <xf numFmtId="0" fontId="0" fillId="0" borderId="0" applyAlignment="1" pivotButton="0" quotePrefix="0" xfId="0">
      <alignment horizontal="left"/>
    </xf>
    <xf numFmtId="0" fontId="0" fillId="0" borderId="0" applyAlignment="1" pivotButton="0" quotePrefix="0" xfId="0">
      <alignment horizontal="left"/>
    </xf>
    <xf numFmtId="2" fontId="0" fillId="0" borderId="0" applyAlignment="1" pivotButton="0" quotePrefix="0" xfId="0">
      <alignment horizontal="right"/>
    </xf>
    <xf numFmtId="2" fontId="0" fillId="0" borderId="0" applyAlignment="1" pivotButton="0" quotePrefix="0" xfId="0">
      <alignment horizontal="right"/>
    </xf>
    <xf numFmtId="1" fontId="0" fillId="0" borderId="0" pivotButton="0" quotePrefix="0" xfId="0"/>
    <xf numFmtId="0" fontId="4" fillId="0" borderId="2" applyAlignment="1" pivotButton="0" quotePrefix="0" xfId="0">
      <alignment horizontal="center" vertical="top" wrapText="1"/>
    </xf>
    <xf numFmtId="0" fontId="4" fillId="0" borderId="2" applyAlignment="1" pivotButton="0" quotePrefix="0" xfId="0">
      <alignment horizontal="center"/>
    </xf>
    <xf numFmtId="2" fontId="4" fillId="0" borderId="2" applyAlignment="1" pivotButton="0" quotePrefix="0" xfId="0">
      <alignment horizontal="center"/>
    </xf>
    <xf numFmtId="0" fontId="4" fillId="0" borderId="0" applyAlignment="1" pivotButton="0" quotePrefix="1" xfId="0">
      <alignment horizontal="centerContinuous" vertical="top"/>
    </xf>
    <xf numFmtId="0" fontId="4" fillId="0" borderId="2" applyAlignment="1" pivotButton="0" quotePrefix="0" xfId="0">
      <alignment horizontal="left"/>
    </xf>
    <xf numFmtId="2" fontId="4" fillId="0" borderId="2" applyAlignment="1" pivotButton="0" quotePrefix="0" xfId="0">
      <alignment horizontal="right"/>
    </xf>
    <xf numFmtId="2" fontId="0" fillId="0" borderId="0" applyAlignment="1" pivotButton="0" quotePrefix="0" xfId="0">
      <alignment horizontal="left"/>
    </xf>
    <xf numFmtId="0" fontId="6" fillId="0" borderId="2" applyAlignment="1" pivotButton="0" quotePrefix="0" xfId="0">
      <alignment horizontal="center" vertical="top"/>
    </xf>
    <xf numFmtId="0" fontId="6" fillId="0" borderId="0" applyAlignment="1" pivotButton="0" quotePrefix="0" xfId="0">
      <alignment horizontal="left" vertical="top"/>
    </xf>
    <xf numFmtId="0" fontId="6" fillId="0" borderId="0" pivotButton="0" quotePrefix="0" xfId="0"/>
    <xf numFmtId="0" fontId="6" fillId="0" borderId="0" applyAlignment="1" pivotButton="0" quotePrefix="0" xfId="0">
      <alignment horizontal="left"/>
    </xf>
    <xf numFmtId="0" fontId="6" fillId="0" borderId="0" applyAlignment="1" pivotButton="0" quotePrefix="0" xfId="0">
      <alignment horizontal="left" vertical="top"/>
    </xf>
    <xf numFmtId="0" fontId="0" fillId="0" borderId="0" applyAlignment="1" pivotButton="0" quotePrefix="0" xfId="0">
      <alignment horizontal="justify" vertical="top" wrapText="1"/>
    </xf>
    <xf numFmtId="0" fontId="6" fillId="0" borderId="0" applyAlignment="1" pivotButton="0" quotePrefix="1" xfId="0">
      <alignment horizontal="left"/>
    </xf>
    <xf numFmtId="0" fontId="6" fillId="0" borderId="0" applyAlignment="1" pivotButton="0" quotePrefix="0" xfId="0">
      <alignment horizontal="centerContinuous"/>
    </xf>
    <xf numFmtId="0" fontId="6" fillId="0" borderId="0" pivotButton="0" quotePrefix="0" xfId="0"/>
    <xf numFmtId="0" fontId="4" fillId="0" borderId="0" applyAlignment="1" pivotButton="0" quotePrefix="0" xfId="0">
      <alignment horizontal="left"/>
    </xf>
    <xf numFmtId="2" fontId="4" fillId="0" borderId="0" applyAlignment="1" pivotButton="0" quotePrefix="0" xfId="0">
      <alignment horizontal="right"/>
    </xf>
    <xf numFmtId="2" fontId="0" fillId="0" borderId="0" applyAlignment="1" pivotButton="0" quotePrefix="0" xfId="0">
      <alignment horizontal="centerContinuous"/>
    </xf>
    <xf numFmtId="0" fontId="4" fillId="0" borderId="0" pivotButton="0" quotePrefix="0" xfId="0"/>
    <xf numFmtId="0" fontId="6" fillId="0" borderId="2" applyAlignment="1" pivotButton="0" quotePrefix="0" xfId="0">
      <alignment horizontal="center"/>
    </xf>
    <xf numFmtId="2" fontId="6" fillId="0" borderId="0" applyAlignment="1" pivotButton="0" quotePrefix="0" xfId="0">
      <alignment horizontal="centerContinuous"/>
    </xf>
    <xf numFmtId="0" fontId="7" fillId="0" borderId="0" applyAlignment="1" pivotButton="0" quotePrefix="0" xfId="0">
      <alignment horizontal="centerContinuous"/>
    </xf>
    <xf numFmtId="0" fontId="4" fillId="0" borderId="0" applyAlignment="1" pivotButton="0" quotePrefix="1" xfId="0">
      <alignment horizontal="left" vertical="top"/>
    </xf>
    <xf numFmtId="0" fontId="4" fillId="0" borderId="0" applyAlignment="1" pivotButton="0" quotePrefix="0" xfId="0">
      <alignment horizontal="left" vertical="top"/>
    </xf>
    <xf numFmtId="0" fontId="4" fillId="0" borderId="0" applyAlignment="1" pivotButton="0" quotePrefix="0" xfId="0">
      <alignment vertical="top" wrapText="1"/>
    </xf>
    <xf numFmtId="2" fontId="4" fillId="0" borderId="0" pivotButton="0" quotePrefix="0" xfId="0"/>
    <xf numFmtId="0" fontId="1" fillId="0" borderId="0" applyAlignment="1" pivotButton="0" quotePrefix="1" xfId="0">
      <alignment horizontal="left" vertical="top"/>
    </xf>
    <xf numFmtId="0" fontId="4" fillId="0" borderId="0" applyAlignment="1" pivotButton="0" quotePrefix="1" xfId="0">
      <alignment horizontal="left"/>
    </xf>
    <xf numFmtId="0" fontId="5" fillId="0" borderId="0" applyAlignment="1" pivotButton="0" quotePrefix="0" xfId="0">
      <alignment horizontal="centerContinuous" vertical="top" wrapText="1"/>
    </xf>
    <xf numFmtId="0" fontId="8" fillId="0" borderId="0" applyAlignment="1" pivotButton="0" quotePrefix="0" xfId="0">
      <alignment horizontal="centerContinuous"/>
    </xf>
    <xf numFmtId="2" fontId="7" fillId="0" borderId="0" applyAlignment="1" pivotButton="0" quotePrefix="0" xfId="0">
      <alignment horizontal="left"/>
    </xf>
    <xf numFmtId="0" fontId="4" fillId="0" borderId="0" applyAlignment="1" pivotButton="0" quotePrefix="0" xfId="0">
      <alignment horizontal="left" vertical="top" wrapText="1"/>
    </xf>
    <xf numFmtId="2" fontId="4" fillId="0" borderId="0" pivotButton="0" quotePrefix="0" xfId="0"/>
    <xf numFmtId="2" fontId="4" fillId="0" borderId="0" applyAlignment="1" pivotButton="0" quotePrefix="0" xfId="0">
      <alignment horizontal="right"/>
    </xf>
    <xf numFmtId="0" fontId="7" fillId="0" borderId="0" pivotButton="0" quotePrefix="0" xfId="0"/>
    <xf numFmtId="0" fontId="7" fillId="0" borderId="0" applyAlignment="1" pivotButton="0" quotePrefix="0" xfId="0">
      <alignment vertical="top"/>
    </xf>
    <xf numFmtId="0" fontId="0" fillId="0" borderId="0" applyAlignment="1" pivotButton="0" quotePrefix="1" xfId="0">
      <alignment horizontal="center"/>
    </xf>
    <xf numFmtId="0" fontId="7" fillId="0" borderId="0" applyAlignment="1" pivotButton="0" quotePrefix="1" xfId="0">
      <alignment horizontal="left" vertical="top"/>
    </xf>
    <xf numFmtId="0" fontId="4" fillId="0" borderId="0" applyAlignment="1" pivotButton="0" quotePrefix="0" xfId="0">
      <alignment horizontal="left" vertical="top"/>
    </xf>
    <xf numFmtId="0" fontId="6" fillId="0" borderId="0" applyAlignment="1" pivotButton="0" quotePrefix="0" xfId="0">
      <alignment horizontal="right" vertical="top"/>
    </xf>
    <xf numFmtId="0" fontId="4" fillId="0" borderId="0" applyAlignment="1" pivotButton="0" quotePrefix="0" xfId="0">
      <alignment horizontal="center" vertical="top"/>
    </xf>
    <xf numFmtId="2" fontId="4" fillId="0" borderId="0" applyAlignment="1" pivotButton="0" quotePrefix="0" xfId="0">
      <alignment horizontal="center"/>
    </xf>
    <xf numFmtId="1" fontId="4" fillId="0" borderId="0" applyAlignment="1" pivotButton="0" quotePrefix="0" xfId="0">
      <alignment horizontal="center"/>
    </xf>
    <xf numFmtId="1" fontId="4" fillId="0" borderId="2" pivotButton="0" quotePrefix="0" xfId="0"/>
    <xf numFmtId="2" fontId="0" fillId="0" borderId="0" pivotButton="0" quotePrefix="0" xfId="0"/>
    <xf numFmtId="0" fontId="0" fillId="0" borderId="0" pivotButton="0" quotePrefix="0" xfId="0"/>
    <xf numFmtId="2" fontId="0" fillId="0" borderId="0" pivotButton="0" quotePrefix="0" xfId="0"/>
    <xf numFmtId="0" fontId="0" fillId="0" borderId="0" applyAlignment="1" pivotButton="0" quotePrefix="0" xfId="0">
      <alignment horizontal="centerContinuous" vertical="top" wrapText="1"/>
    </xf>
    <xf numFmtId="0" fontId="0" fillId="0" borderId="0" applyAlignment="1" pivotButton="0" quotePrefix="0" xfId="0">
      <alignment horizontal="right"/>
    </xf>
    <xf numFmtId="0" fontId="1" fillId="0" borderId="0" applyAlignment="1" pivotButton="0" quotePrefix="0" xfId="0">
      <alignment horizontal="left" vertical="top" wrapText="1"/>
    </xf>
    <xf numFmtId="0" fontId="0" fillId="0" borderId="1" applyAlignment="1" pivotButton="0" quotePrefix="1" xfId="0">
      <alignment horizontal="left"/>
    </xf>
    <xf numFmtId="1" fontId="0" fillId="0" borderId="1" pivotButton="0" quotePrefix="0" xfId="0"/>
    <xf numFmtId="1" fontId="4" fillId="0" borderId="1" applyAlignment="1" pivotButton="0" quotePrefix="0" xfId="0">
      <alignment horizontal="right"/>
    </xf>
    <xf numFmtId="0" fontId="3" fillId="0" borderId="0" applyAlignment="1" pivotButton="0" quotePrefix="0" xfId="0">
      <alignment horizontal="centerContinuous"/>
    </xf>
    <xf numFmtId="1" fontId="0" fillId="0" borderId="0" applyAlignment="1" pivotButton="0" quotePrefix="0" xfId="0">
      <alignment horizontal="left"/>
    </xf>
    <xf numFmtId="1" fontId="0" fillId="0" borderId="0" pivotButton="0" quotePrefix="0" xfId="0"/>
    <xf numFmtId="0" fontId="2" fillId="0" borderId="0" applyAlignment="1" pivotButton="0" quotePrefix="1" xfId="0">
      <alignment horizontal="left" vertical="top" wrapText="1"/>
    </xf>
    <xf numFmtId="0" fontId="4" fillId="0" borderId="0" applyAlignment="1" pivotButton="0" quotePrefix="0" xfId="0">
      <alignment horizontal="left" vertical="top" wrapText="1"/>
    </xf>
    <xf numFmtId="0" fontId="0" fillId="0" borderId="0" applyAlignment="1" pivotButton="0" quotePrefix="0" xfId="0">
      <alignment horizontal="centerContinuous"/>
    </xf>
    <xf numFmtId="2" fontId="7" fillId="0" borderId="0" applyAlignment="1" pivotButton="0" quotePrefix="0" xfId="0">
      <alignment horizontal="right"/>
    </xf>
    <xf numFmtId="0" fontId="7" fillId="0" borderId="0" applyAlignment="1" pivotButton="0" quotePrefix="0" xfId="0">
      <alignment horizontal="left" vertical="top"/>
    </xf>
    <xf numFmtId="0" fontId="4" fillId="0" borderId="0" pivotButton="0" quotePrefix="0" xfId="0"/>
    <xf numFmtId="0" fontId="6" fillId="0" borderId="0" applyAlignment="1" pivotButton="0" quotePrefix="0" xfId="0">
      <alignment horizontal="center" vertical="top"/>
    </xf>
    <xf numFmtId="2" fontId="4" fillId="0" borderId="0" applyAlignment="1" pivotButton="0" quotePrefix="0" xfId="0">
      <alignment horizontal="right" vertical="top" wrapText="1"/>
    </xf>
    <xf numFmtId="2" fontId="4" fillId="0" borderId="0" pivotButton="0" quotePrefix="0" xfId="0"/>
    <xf numFmtId="0" fontId="4" fillId="0" borderId="0" applyAlignment="1" pivotButton="0" quotePrefix="0" xfId="0">
      <alignment horizontal="centerContinuous" vertical="center" wrapText="1"/>
    </xf>
    <xf numFmtId="2" fontId="4" fillId="0" borderId="0" applyAlignment="1" pivotButton="0" quotePrefix="0" xfId="0">
      <alignment horizontal="centerContinuous" vertical="top" wrapText="1"/>
    </xf>
    <xf numFmtId="0" fontId="5" fillId="0" borderId="0" applyAlignment="1" pivotButton="0" quotePrefix="1" xfId="0">
      <alignment vertical="top"/>
    </xf>
    <xf numFmtId="0" fontId="4" fillId="0" borderId="0" applyAlignment="1" pivotButton="0" quotePrefix="0" xfId="0">
      <alignment vertical="center"/>
    </xf>
    <xf numFmtId="0" fontId="4" fillId="0" borderId="0" applyAlignment="1" pivotButton="0" quotePrefix="0" xfId="0">
      <alignment horizontal="centerContinuous" vertical="center"/>
    </xf>
    <xf numFmtId="0" fontId="1" fillId="0" borderId="0" applyAlignment="1" pivotButton="0" quotePrefix="0" xfId="0">
      <alignment horizontal="left" vertical="top"/>
    </xf>
    <xf numFmtId="0" fontId="1" fillId="0" borderId="0" applyAlignment="1" pivotButton="0" quotePrefix="0" xfId="0">
      <alignment vertical="top"/>
    </xf>
    <xf numFmtId="0" fontId="4" fillId="0" borderId="0" applyAlignment="1" pivotButton="0" quotePrefix="1" xfId="0">
      <alignment vertical="top"/>
    </xf>
    <xf numFmtId="0" fontId="4" fillId="0" borderId="0" applyAlignment="1" pivotButton="0" quotePrefix="1" xfId="0">
      <alignment vertical="top" wrapText="1"/>
    </xf>
    <xf numFmtId="0" fontId="4" fillId="0" borderId="0" applyAlignment="1" pivotButton="0" quotePrefix="1" xfId="0">
      <alignment horizontal="center" vertical="top"/>
    </xf>
    <xf numFmtId="0" fontId="1" fillId="0" borderId="0" applyAlignment="1" pivotButton="0" quotePrefix="1" xfId="0">
      <alignment horizontal="left" vertical="top" wrapText="1"/>
    </xf>
    <xf numFmtId="0" fontId="9" fillId="0" borderId="0" applyAlignment="1" pivotButton="0" quotePrefix="0" xfId="0">
      <alignment vertical="top"/>
    </xf>
    <xf numFmtId="0" fontId="4" fillId="0" borderId="0" applyAlignment="1" pivotButton="0" quotePrefix="0" xfId="0">
      <alignment vertical="center"/>
    </xf>
    <xf numFmtId="0" fontId="0" fillId="0" borderId="2" pivotButton="0" quotePrefix="0" xfId="0"/>
    <xf numFmtId="2" fontId="0" fillId="0" borderId="2" pivotButton="0" quotePrefix="0" xfId="0"/>
    <xf numFmtId="2" fontId="4" fillId="0" borderId="2" pivotButton="0" quotePrefix="0" xfId="0"/>
    <xf numFmtId="0" fontId="0" fillId="0" borderId="0" applyAlignment="1" pivotButton="0" quotePrefix="0" xfId="0">
      <alignment vertical="top" wrapText="1"/>
    </xf>
    <xf numFmtId="0" fontId="0" fillId="0" borderId="0" applyAlignment="1" pivotButton="0" quotePrefix="0" xfId="0">
      <alignment horizontal="center"/>
    </xf>
    <xf numFmtId="0" fontId="0" fillId="0" borderId="2" applyAlignment="1" pivotButton="0" quotePrefix="0" xfId="0">
      <alignment horizontal="center" vertical="top" wrapText="1"/>
    </xf>
    <xf numFmtId="0" fontId="0" fillId="0" borderId="2" applyAlignment="1" pivotButton="0" quotePrefix="0" xfId="0">
      <alignment vertical="top" wrapText="1"/>
    </xf>
    <xf numFmtId="0" fontId="0" fillId="0" borderId="2" applyAlignment="1" pivotButton="0" quotePrefix="0" xfId="0">
      <alignment horizontal="right" vertical="top" wrapText="1"/>
    </xf>
    <xf numFmtId="2" fontId="0" fillId="0" borderId="0" applyAlignment="1" pivotButton="0" quotePrefix="0" xfId="0">
      <alignment horizontal="center"/>
    </xf>
    <xf numFmtId="0" fontId="4" fillId="0" borderId="0" applyAlignment="1" pivotButton="0" quotePrefix="0" xfId="0">
      <alignment horizontal="justify" vertical="top" wrapText="1"/>
    </xf>
    <xf numFmtId="0" fontId="4" fillId="0" borderId="0" applyAlignment="1" pivotButton="0" quotePrefix="1" xfId="0">
      <alignment horizontal="justify" vertical="top" wrapText="1"/>
    </xf>
    <xf numFmtId="0" fontId="4" fillId="0" borderId="0" applyAlignment="1" pivotButton="0" quotePrefix="0" xfId="0">
      <alignment horizontal="justify" vertical="top" wrapText="1"/>
    </xf>
    <xf numFmtId="0" fontId="3" fillId="0" borderId="0" applyAlignment="1" pivotButton="0" quotePrefix="0" xfId="0">
      <alignment horizontal="justify" vertical="top" wrapText="1"/>
    </xf>
    <xf numFmtId="0" fontId="0" fillId="0" borderId="0" applyAlignment="1" pivotButton="0" quotePrefix="1" xfId="0">
      <alignment horizontal="justify" vertical="top" wrapText="1"/>
    </xf>
    <xf numFmtId="1" fontId="0" fillId="0" borderId="0" applyAlignment="1" pivotButton="0" quotePrefix="0" xfId="0">
      <alignment horizontal="left" vertical="top"/>
    </xf>
    <xf numFmtId="0" fontId="7" fillId="0" borderId="0" applyAlignment="1" pivotButton="0" quotePrefix="0" xfId="0">
      <alignment horizontal="justify" vertical="top"/>
    </xf>
    <xf numFmtId="2" fontId="4" fillId="0" borderId="2" pivotButton="0" quotePrefix="0" xfId="0"/>
    <xf numFmtId="1" fontId="0" fillId="0" borderId="2" pivotButton="0" quotePrefix="0" xfId="0"/>
    <xf numFmtId="0" fontId="0" fillId="0" borderId="2" applyAlignment="1" pivotButton="0" quotePrefix="1" xfId="0">
      <alignment horizontal="left"/>
    </xf>
    <xf numFmtId="0" fontId="0" fillId="0" borderId="2" applyAlignment="1" pivotButton="0" quotePrefix="0" xfId="0">
      <alignment horizontal="left"/>
    </xf>
    <xf numFmtId="0" fontId="7" fillId="0" borderId="0" pivotButton="0" quotePrefix="0" xfId="0"/>
    <xf numFmtId="0" fontId="7" fillId="0" borderId="0" applyAlignment="1" pivotButton="0" quotePrefix="0" xfId="0">
      <alignment horizontal="right" vertical="top"/>
    </xf>
    <xf numFmtId="2" fontId="0" fillId="0" borderId="2" applyAlignment="1" pivotButton="0" quotePrefix="0" xfId="0">
      <alignment horizontal="right"/>
    </xf>
    <xf numFmtId="2" fontId="0" fillId="0" borderId="2" pivotButton="0" quotePrefix="0" xfId="0"/>
    <xf numFmtId="0" fontId="0" fillId="0" borderId="0" applyAlignment="1" pivotButton="0" quotePrefix="0" xfId="0">
      <alignment horizontal="justify"/>
    </xf>
    <xf numFmtId="0" fontId="4" fillId="0" borderId="2" applyAlignment="1" pivotButton="0" quotePrefix="0" xfId="0">
      <alignment horizontal="justify" vertical="top" wrapText="1"/>
    </xf>
    <xf numFmtId="0" fontId="4" fillId="0" borderId="0" applyAlignment="1" pivotButton="0" quotePrefix="1" xfId="0">
      <alignment horizontal="justify" vertical="top" wrapText="1"/>
    </xf>
    <xf numFmtId="0" fontId="4" fillId="0" borderId="0" applyAlignment="1" pivotButton="0" quotePrefix="0" xfId="0">
      <alignment horizontal="justify" vertical="top" wrapText="1"/>
    </xf>
    <xf numFmtId="2" fontId="0" fillId="0" borderId="0" applyAlignment="1" pivotButton="0" quotePrefix="0" xfId="0">
      <alignment vertical="top" wrapText="1"/>
    </xf>
    <xf numFmtId="2" fontId="4" fillId="0" borderId="0" applyAlignment="1" pivotButton="0" quotePrefix="0" xfId="0">
      <alignment vertical="top" wrapText="1"/>
    </xf>
    <xf numFmtId="0" fontId="0" fillId="0" borderId="0" applyAlignment="1" pivotButton="0" quotePrefix="0" xfId="0">
      <alignment horizontal="center" vertical="top"/>
    </xf>
    <xf numFmtId="0" fontId="4" fillId="0" borderId="0" applyAlignment="1" pivotButton="0" quotePrefix="1" xfId="0">
      <alignment horizontal="left" vertical="top" wrapText="1"/>
    </xf>
    <xf numFmtId="2" fontId="1" fillId="0" borderId="0" applyAlignment="1" pivotButton="0" quotePrefix="0" xfId="0">
      <alignment horizontal="center"/>
    </xf>
    <xf numFmtId="1" fontId="4" fillId="0" borderId="0" applyAlignment="1" pivotButton="0" quotePrefix="0" xfId="0">
      <alignment horizontal="right" vertical="top"/>
    </xf>
    <xf numFmtId="2" fontId="4" fillId="0" borderId="0" applyAlignment="1" pivotButton="0" quotePrefix="0" xfId="0">
      <alignment horizontal="right" vertical="top"/>
    </xf>
    <xf numFmtId="1" fontId="4" fillId="0" borderId="0" applyAlignment="1" pivotButton="0" quotePrefix="0" xfId="0">
      <alignment vertical="top"/>
    </xf>
    <xf numFmtId="1" fontId="4" fillId="0" borderId="0" applyAlignment="1" pivotButton="0" quotePrefix="0" xfId="0">
      <alignment horizontal="right" vertical="top"/>
    </xf>
    <xf numFmtId="0" fontId="0" fillId="0" borderId="2" applyAlignment="1" pivotButton="0" quotePrefix="0" xfId="0">
      <alignment vertical="top"/>
    </xf>
    <xf numFmtId="2" fontId="0" fillId="0" borderId="2" applyAlignment="1" pivotButton="0" quotePrefix="0" xfId="0">
      <alignment vertical="top"/>
    </xf>
    <xf numFmtId="0" fontId="10" fillId="0" borderId="2" applyAlignment="1" pivotButton="0" quotePrefix="0" xfId="0">
      <alignment horizontal="center" vertical="top"/>
    </xf>
    <xf numFmtId="1" fontId="10" fillId="0" borderId="0" applyAlignment="1" pivotButton="0" quotePrefix="0" xfId="0">
      <alignment horizontal="left" vertical="top"/>
    </xf>
    <xf numFmtId="0" fontId="10" fillId="0" borderId="0" applyAlignment="1" pivotButton="0" quotePrefix="1" xfId="0">
      <alignment horizontal="justify" vertical="top" wrapText="1"/>
    </xf>
    <xf numFmtId="0" fontId="10" fillId="0" borderId="0" applyAlignment="1" pivotButton="0" quotePrefix="0" xfId="0">
      <alignment horizontal="justify" vertical="top" wrapText="1"/>
    </xf>
    <xf numFmtId="0" fontId="10" fillId="0" borderId="0" applyAlignment="1" pivotButton="0" quotePrefix="0" xfId="0">
      <alignment horizontal="left" vertical="top"/>
    </xf>
    <xf numFmtId="0" fontId="10" fillId="0" borderId="0" applyAlignment="1" pivotButton="0" quotePrefix="1" xfId="0">
      <alignment horizontal="justify" vertical="top" wrapText="1"/>
    </xf>
    <xf numFmtId="0" fontId="10" fillId="0" borderId="0" applyAlignment="1" pivotButton="0" quotePrefix="0" xfId="0">
      <alignment horizontal="justify" vertical="top" wrapText="1"/>
    </xf>
    <xf numFmtId="0" fontId="10" fillId="0" borderId="2" applyAlignment="1" pivotButton="0" quotePrefix="0" xfId="0">
      <alignment horizontal="center" vertical="top"/>
    </xf>
    <xf numFmtId="0" fontId="10" fillId="0" borderId="2" applyAlignment="1" pivotButton="0" quotePrefix="0" xfId="0">
      <alignment horizontal="center" vertical="top" wrapText="1"/>
    </xf>
    <xf numFmtId="2" fontId="10" fillId="0" borderId="2" applyAlignment="1" pivotButton="0" quotePrefix="0" xfId="0">
      <alignment horizontal="center"/>
    </xf>
    <xf numFmtId="0" fontId="10" fillId="0" borderId="2" applyAlignment="1" pivotButton="0" quotePrefix="0" xfId="0">
      <alignment horizontal="center"/>
    </xf>
    <xf numFmtId="1" fontId="10" fillId="0" borderId="2" applyAlignment="1" pivotButton="0" quotePrefix="0" xfId="0">
      <alignment horizontal="center"/>
    </xf>
    <xf numFmtId="0" fontId="10" fillId="0" borderId="3" applyAlignment="1" pivotButton="0" quotePrefix="0" xfId="0">
      <alignment horizontal="center" vertical="top"/>
    </xf>
    <xf numFmtId="0" fontId="10" fillId="0" borderId="3" applyAlignment="1" pivotButton="0" quotePrefix="0" xfId="0">
      <alignment vertical="top"/>
    </xf>
    <xf numFmtId="49" fontId="10" fillId="0" borderId="3" applyAlignment="1" pivotButton="0" quotePrefix="0" xfId="0">
      <alignment horizontal="center" vertical="top"/>
    </xf>
    <xf numFmtId="2" fontId="10" fillId="0" borderId="3" applyAlignment="1" pivotButton="0" quotePrefix="0" xfId="0">
      <alignment vertical="top"/>
    </xf>
    <xf numFmtId="0" fontId="10" fillId="0" borderId="4" applyAlignment="1" pivotButton="0" quotePrefix="0" xfId="0">
      <alignment vertical="top" wrapText="1"/>
    </xf>
    <xf numFmtId="0" fontId="10" fillId="0" borderId="4" applyAlignment="1" pivotButton="0" quotePrefix="0" xfId="0">
      <alignment horizontal="justify" vertical="top" wrapText="1"/>
    </xf>
    <xf numFmtId="0" fontId="10" fillId="0" borderId="4" applyAlignment="1" pivotButton="0" quotePrefix="0" xfId="0">
      <alignment horizontal="center" vertical="top" wrapText="1"/>
    </xf>
    <xf numFmtId="1" fontId="10" fillId="0" borderId="4" applyAlignment="1" pivotButton="0" quotePrefix="0" xfId="0">
      <alignment horizontal="center" vertical="top" wrapText="1"/>
    </xf>
    <xf numFmtId="2" fontId="10" fillId="0" borderId="4" applyAlignment="1" pivotButton="0" quotePrefix="0" xfId="0">
      <alignment horizontal="center" vertical="top" wrapText="1"/>
    </xf>
    <xf numFmtId="1" fontId="10" fillId="0" borderId="0" applyAlignment="1" pivotButton="0" quotePrefix="0" xfId="0">
      <alignment horizontal="left" vertical="top"/>
    </xf>
    <xf numFmtId="0" fontId="10" fillId="0" borderId="0" applyAlignment="1" pivotButton="0" quotePrefix="1" xfId="0">
      <alignment horizontal="justify" vertical="top" wrapText="1"/>
    </xf>
    <xf numFmtId="2" fontId="10" fillId="0" borderId="0" pivotButton="0" quotePrefix="0" xfId="0"/>
    <xf numFmtId="0" fontId="10" fillId="0" borderId="0" pivotButton="0" quotePrefix="0" xfId="0"/>
    <xf numFmtId="2" fontId="10" fillId="0" borderId="0" applyAlignment="1" pivotButton="0" quotePrefix="0" xfId="0">
      <alignment horizontal="right"/>
    </xf>
    <xf numFmtId="0" fontId="10" fillId="0" borderId="0" applyAlignment="1" pivotButton="0" quotePrefix="1" xfId="0">
      <alignment horizontal="left"/>
    </xf>
    <xf numFmtId="0" fontId="10" fillId="0" borderId="0" applyAlignment="1" pivotButton="0" quotePrefix="0" xfId="0">
      <alignment horizontal="justify" vertical="top" wrapText="1"/>
    </xf>
    <xf numFmtId="0" fontId="10" fillId="0" borderId="0" applyAlignment="1" pivotButton="0" quotePrefix="0" xfId="0">
      <alignment horizontal="left" vertical="top"/>
    </xf>
    <xf numFmtId="0" fontId="10" fillId="0" borderId="0" applyAlignment="1" pivotButton="0" quotePrefix="1" xfId="0">
      <alignment horizontal="justify" vertical="top" wrapText="1"/>
    </xf>
    <xf numFmtId="0" fontId="10" fillId="0" borderId="0" applyAlignment="1" pivotButton="0" quotePrefix="0" xfId="0">
      <alignment horizontal="justify" vertical="top" wrapText="1"/>
    </xf>
    <xf numFmtId="1" fontId="10" fillId="0" borderId="0" pivotButton="0" quotePrefix="0" xfId="0"/>
    <xf numFmtId="0" fontId="10" fillId="0" borderId="3" applyAlignment="1" pivotButton="0" quotePrefix="0" xfId="0">
      <alignment horizontal="justify" vertical="top" wrapText="1"/>
    </xf>
    <xf numFmtId="0" fontId="7" fillId="0" borderId="0" applyAlignment="1" pivotButton="0" quotePrefix="0" xfId="0">
      <alignment horizontal="justify"/>
    </xf>
    <xf numFmtId="2" fontId="4" fillId="0" borderId="0" applyAlignment="1" pivotButton="0" quotePrefix="0" xfId="0">
      <alignment vertical="top"/>
    </xf>
    <xf numFmtId="0" fontId="10" fillId="0" borderId="0" applyAlignment="1" pivotButton="0" quotePrefix="0" xfId="0">
      <alignment vertical="top"/>
    </xf>
    <xf numFmtId="0" fontId="10" fillId="0" borderId="0" applyAlignment="1" pivotButton="0" quotePrefix="0" xfId="0">
      <alignment horizontal="center" vertical="top"/>
    </xf>
    <xf numFmtId="0" fontId="10" fillId="0" borderId="2" applyAlignment="1" pivotButton="0" quotePrefix="0" xfId="0">
      <alignment horizontal="center" vertical="top" wrapText="1"/>
    </xf>
    <xf numFmtId="2" fontId="10" fillId="0" borderId="2" applyAlignment="1" pivotButton="0" quotePrefix="0" xfId="0">
      <alignment horizontal="center" vertical="top"/>
    </xf>
    <xf numFmtId="0" fontId="12" fillId="0" borderId="0" applyAlignment="1" pivotButton="0" quotePrefix="0" xfId="0">
      <alignment horizontal="justify" vertical="top" wrapText="1"/>
    </xf>
    <xf numFmtId="2" fontId="10" fillId="0" borderId="0" applyAlignment="1" pivotButton="0" quotePrefix="0" xfId="0">
      <alignment vertical="top"/>
    </xf>
    <xf numFmtId="2" fontId="10" fillId="0" borderId="0" applyAlignment="1" pivotButton="0" quotePrefix="0" xfId="0">
      <alignment horizontal="right" vertical="top"/>
    </xf>
    <xf numFmtId="0" fontId="13" fillId="0" borderId="0" applyAlignment="1" pivotButton="0" quotePrefix="0" xfId="0">
      <alignment horizontal="justify" vertical="top" wrapText="1"/>
    </xf>
    <xf numFmtId="0" fontId="10" fillId="0" borderId="0" applyAlignment="1" pivotButton="0" quotePrefix="1" xfId="0">
      <alignment horizontal="left" vertical="top"/>
    </xf>
    <xf numFmtId="0" fontId="10" fillId="0" borderId="0" applyAlignment="1" pivotButton="0" quotePrefix="1" xfId="0">
      <alignment vertical="top"/>
    </xf>
    <xf numFmtId="2" fontId="10" fillId="0" borderId="2" applyAlignment="1" pivotButton="0" quotePrefix="0" xfId="0">
      <alignment vertical="top"/>
    </xf>
    <xf numFmtId="0" fontId="10" fillId="0" borderId="2" applyAlignment="1" pivotButton="0" quotePrefix="1" xfId="0">
      <alignment vertical="top"/>
    </xf>
    <xf numFmtId="0" fontId="10" fillId="0" borderId="2" applyAlignment="1" pivotButton="0" quotePrefix="0" xfId="0">
      <alignment horizontal="left" vertical="top"/>
    </xf>
    <xf numFmtId="0" fontId="11" fillId="0" borderId="0" applyAlignment="1" pivotButton="0" quotePrefix="0" xfId="0">
      <alignment horizontal="justify" vertical="top" wrapText="1"/>
    </xf>
    <xf numFmtId="2" fontId="10" fillId="0" borderId="0" applyAlignment="1" pivotButton="0" quotePrefix="1" xfId="0">
      <alignment horizontal="centerContinuous" vertical="top"/>
    </xf>
    <xf numFmtId="2" fontId="10" fillId="0" borderId="0" applyAlignment="1" pivotButton="0" quotePrefix="0" xfId="0">
      <alignment horizontal="centerContinuous" vertical="top"/>
    </xf>
    <xf numFmtId="0" fontId="10" fillId="0" borderId="0" applyAlignment="1" pivotButton="0" quotePrefix="0" xfId="0">
      <alignment horizontal="centerContinuous" vertical="top"/>
    </xf>
    <xf numFmtId="0" fontId="11" fillId="0" borderId="0" applyAlignment="1" pivotButton="0" quotePrefix="1" xfId="0">
      <alignment vertical="top"/>
    </xf>
    <xf numFmtId="2" fontId="11" fillId="0" borderId="0" applyAlignment="1" pivotButton="0" quotePrefix="0" xfId="0">
      <alignment vertical="top"/>
    </xf>
    <xf numFmtId="0" fontId="11" fillId="0" borderId="0" applyAlignment="1" pivotButton="0" quotePrefix="0" xfId="0">
      <alignment horizontal="left" vertical="top"/>
    </xf>
    <xf numFmtId="2" fontId="10" fillId="0" borderId="0" applyAlignment="1" pivotButton="0" quotePrefix="0" xfId="0">
      <alignment vertical="top"/>
    </xf>
    <xf numFmtId="0" fontId="10" fillId="0" borderId="0" applyAlignment="1" pivotButton="0" quotePrefix="1" xfId="0">
      <alignment vertical="top"/>
    </xf>
    <xf numFmtId="0" fontId="10" fillId="0" borderId="0" applyAlignment="1" pivotButton="0" quotePrefix="1" xfId="0">
      <alignment horizontal="left" vertical="top"/>
    </xf>
    <xf numFmtId="0" fontId="10" fillId="0" borderId="2" applyAlignment="1" pivotButton="0" quotePrefix="0" xfId="0">
      <alignment vertical="top"/>
    </xf>
    <xf numFmtId="2" fontId="10" fillId="0" borderId="2" applyAlignment="1" pivotButton="0" quotePrefix="0" xfId="0">
      <alignment horizontal="right" vertical="top"/>
    </xf>
    <xf numFmtId="0" fontId="10" fillId="0" borderId="2" applyAlignment="1" pivotButton="0" quotePrefix="1" xfId="0">
      <alignment horizontal="left" vertical="top"/>
    </xf>
    <xf numFmtId="2" fontId="10" fillId="0" borderId="0" applyAlignment="1" pivotButton="0" quotePrefix="0" xfId="0">
      <alignment horizontal="right" vertical="top"/>
    </xf>
    <xf numFmtId="0" fontId="10" fillId="0" borderId="0" applyAlignment="1" pivotButton="0" quotePrefix="0" xfId="0">
      <alignment vertical="top"/>
    </xf>
    <xf numFmtId="0" fontId="12" fillId="0" borderId="0" applyAlignment="1" pivotButton="0" quotePrefix="1" xfId="0">
      <alignment horizontal="justify" vertical="top" wrapText="1"/>
    </xf>
    <xf numFmtId="0" fontId="11" fillId="0" borderId="0" applyAlignment="1" pivotButton="0" quotePrefix="1" xfId="0">
      <alignment horizontal="left" vertical="top"/>
    </xf>
    <xf numFmtId="0" fontId="11" fillId="0" borderId="0" applyAlignment="1" pivotButton="0" quotePrefix="0" xfId="0">
      <alignment vertical="top"/>
    </xf>
    <xf numFmtId="2" fontId="11" fillId="0" borderId="0" applyAlignment="1" pivotButton="0" quotePrefix="0" xfId="0">
      <alignment horizontal="right" vertical="top"/>
    </xf>
    <xf numFmtId="0" fontId="11" fillId="0" borderId="0" applyAlignment="1" pivotButton="0" quotePrefix="1" xfId="0">
      <alignment horizontal="justify" vertical="top" wrapText="1"/>
    </xf>
    <xf numFmtId="0" fontId="10" fillId="0" borderId="0" applyAlignment="1" pivotButton="0" quotePrefix="0" xfId="0">
      <alignment horizontal="justify" vertical="top" wrapText="1"/>
    </xf>
    <xf numFmtId="0" fontId="14" fillId="0" borderId="0" applyAlignment="1" pivotButton="0" quotePrefix="0" xfId="0">
      <alignment horizontal="justify" vertical="top" wrapText="1"/>
    </xf>
    <xf numFmtId="0" fontId="11" fillId="0" borderId="2" applyAlignment="1" pivotButton="0" quotePrefix="0" xfId="0">
      <alignment vertical="top"/>
    </xf>
    <xf numFmtId="2" fontId="11" fillId="0" borderId="2" applyAlignment="1" pivotButton="0" quotePrefix="0" xfId="0">
      <alignment horizontal="right" vertical="top"/>
    </xf>
    <xf numFmtId="2" fontId="11" fillId="0" borderId="2" applyAlignment="1" pivotButton="0" quotePrefix="0" xfId="0">
      <alignment vertical="top"/>
    </xf>
    <xf numFmtId="0" fontId="11" fillId="0" borderId="2" applyAlignment="1" pivotButton="0" quotePrefix="0" xfId="0">
      <alignment horizontal="left" vertical="top"/>
    </xf>
    <xf numFmtId="2" fontId="10" fillId="0" borderId="0" applyAlignment="1" pivotButton="0" quotePrefix="0" xfId="0">
      <alignment horizontal="right" vertical="top" wrapText="1"/>
    </xf>
    <xf numFmtId="0" fontId="15" fillId="0" borderId="0" applyAlignment="1" pivotButton="0" quotePrefix="0" xfId="0">
      <alignment horizontal="justify" vertical="top" wrapText="1"/>
    </xf>
    <xf numFmtId="0" fontId="10" fillId="0" borderId="0" applyAlignment="1" pivotButton="0" quotePrefix="0" xfId="0">
      <alignment vertical="top" wrapText="1"/>
    </xf>
    <xf numFmtId="0" fontId="14" fillId="0" borderId="0" applyAlignment="1" pivotButton="0" quotePrefix="1" xfId="0">
      <alignment horizontal="justify" vertical="top" wrapText="1"/>
    </xf>
    <xf numFmtId="0" fontId="10" fillId="0" borderId="0" applyAlignment="1" pivotButton="0" quotePrefix="0" xfId="0">
      <alignment horizontal="left" vertical="top" wrapText="1"/>
    </xf>
    <xf numFmtId="2" fontId="10" fillId="0" borderId="0" applyAlignment="1" pivotButton="0" quotePrefix="0" xfId="0">
      <alignment horizontal="justify" vertical="top" wrapText="1"/>
    </xf>
    <xf numFmtId="2" fontId="11" fillId="0" borderId="0" applyAlignment="1" pivotButton="0" quotePrefix="0" xfId="0">
      <alignment horizontal="centerContinuous" vertical="top"/>
    </xf>
    <xf numFmtId="0" fontId="11" fillId="0" borderId="0" applyAlignment="1" pivotButton="0" quotePrefix="0" xfId="0">
      <alignment horizontal="centerContinuous" vertical="top"/>
    </xf>
    <xf numFmtId="2" fontId="11" fillId="0" borderId="0" applyAlignment="1" pivotButton="0" quotePrefix="0" xfId="0">
      <alignment horizontal="right" vertical="top"/>
    </xf>
    <xf numFmtId="0" fontId="11" fillId="0" borderId="0" applyAlignment="1" pivotButton="0" quotePrefix="0" xfId="0">
      <alignment vertical="top"/>
    </xf>
    <xf numFmtId="2" fontId="11" fillId="0" borderId="0" applyAlignment="1" pivotButton="0" quotePrefix="0" xfId="0">
      <alignment vertical="top"/>
    </xf>
    <xf numFmtId="0" fontId="10" fillId="0" borderId="0" applyAlignment="1" pivotButton="0" quotePrefix="1" xfId="0">
      <alignment horizontal="left" vertical="top" wrapText="1"/>
    </xf>
    <xf numFmtId="1" fontId="10" fillId="0" borderId="0" applyAlignment="1" pivotButton="0" quotePrefix="0" xfId="0">
      <alignment horizontal="right" vertical="top"/>
    </xf>
    <xf numFmtId="0" fontId="10" fillId="0" borderId="0" applyAlignment="1" pivotButton="0" quotePrefix="0" xfId="0">
      <alignment horizontal="right" vertical="top"/>
    </xf>
    <xf numFmtId="0" fontId="10" fillId="0" borderId="0" applyAlignment="1" pivotButton="0" quotePrefix="0" xfId="0">
      <alignment horizontal="right" vertical="top"/>
    </xf>
    <xf numFmtId="0" fontId="10" fillId="0" borderId="0" applyAlignment="1" pivotButton="0" quotePrefix="1" xfId="0">
      <alignment horizontal="right" vertical="top"/>
    </xf>
    <xf numFmtId="0" fontId="11" fillId="0" borderId="2" applyAlignment="1" pivotButton="0" quotePrefix="1" xfId="0">
      <alignment horizontal="left" vertical="top"/>
    </xf>
    <xf numFmtId="1" fontId="10" fillId="0" borderId="0" applyAlignment="1" pivotButton="0" quotePrefix="0" xfId="0">
      <alignment vertical="top"/>
    </xf>
    <xf numFmtId="2" fontId="10" fillId="0" borderId="0" applyAlignment="1" pivotButton="0" quotePrefix="0" xfId="0">
      <alignment horizontal="center" vertical="top"/>
    </xf>
    <xf numFmtId="1" fontId="10" fillId="0" borderId="0" applyAlignment="1" pivotButton="0" quotePrefix="0" xfId="0">
      <alignment horizontal="right" vertical="top"/>
    </xf>
    <xf numFmtId="1" fontId="10" fillId="0" borderId="0" applyAlignment="1" pivotButton="0" quotePrefix="0" xfId="0">
      <alignment vertical="top"/>
    </xf>
    <xf numFmtId="1" fontId="10" fillId="0" borderId="2" applyAlignment="1" pivotButton="0" quotePrefix="0" xfId="0">
      <alignment vertical="top"/>
    </xf>
    <xf numFmtId="2" fontId="10" fillId="0" borderId="1" applyAlignment="1" pivotButton="0" quotePrefix="0" xfId="0">
      <alignment vertical="top"/>
    </xf>
    <xf numFmtId="0" fontId="10" fillId="0" borderId="1" applyAlignment="1" pivotButton="0" quotePrefix="0" xfId="0">
      <alignment vertical="top"/>
    </xf>
    <xf numFmtId="0" fontId="10" fillId="0" borderId="1" applyAlignment="1" pivotButton="0" quotePrefix="1" xfId="0">
      <alignment vertical="top"/>
    </xf>
    <xf numFmtId="0" fontId="10" fillId="0" borderId="1" applyAlignment="1" pivotButton="0" quotePrefix="0" xfId="0">
      <alignment horizontal="left" vertical="top"/>
    </xf>
    <xf numFmtId="2" fontId="10" fillId="0" borderId="2" applyAlignment="1" pivotButton="0" quotePrefix="1" xfId="0">
      <alignment horizontal="center" vertical="top"/>
    </xf>
    <xf numFmtId="2" fontId="10" fillId="0" borderId="0" applyAlignment="1" pivotButton="0" quotePrefix="1" xfId="0">
      <alignment horizontal="center" vertical="top"/>
    </xf>
    <xf numFmtId="2" fontId="11" fillId="0" borderId="0" applyAlignment="1" pivotButton="0" quotePrefix="1" xfId="0">
      <alignment horizontal="left" vertical="top"/>
    </xf>
    <xf numFmtId="0" fontId="10" fillId="0" borderId="0" applyAlignment="1" pivotButton="0" quotePrefix="0" xfId="0">
      <alignment horizontal="left" vertical="top"/>
    </xf>
    <xf numFmtId="2" fontId="11" fillId="0" borderId="0" applyAlignment="1" pivotButton="0" quotePrefix="1" xfId="0">
      <alignment horizontal="right" vertical="top"/>
    </xf>
    <xf numFmtId="0" fontId="10" fillId="0" borderId="1" applyAlignment="1" pivotButton="0" quotePrefix="1" xfId="0">
      <alignment horizontal="left" vertical="top"/>
    </xf>
    <xf numFmtId="0" fontId="10" fillId="0" borderId="0" applyAlignment="1" pivotButton="0" quotePrefix="1" xfId="0">
      <alignment horizontal="centerContinuous" vertical="top"/>
    </xf>
    <xf numFmtId="2" fontId="10" fillId="0" borderId="1" applyAlignment="1" pivotButton="0" quotePrefix="0" xfId="0">
      <alignment horizontal="right" vertical="top"/>
    </xf>
    <xf numFmtId="2" fontId="10" fillId="0" borderId="0" applyAlignment="1" pivotButton="0" quotePrefix="1" xfId="0">
      <alignment horizontal="center" vertical="top"/>
    </xf>
    <xf numFmtId="2" fontId="10" fillId="0" borderId="1" applyAlignment="1" pivotButton="0" quotePrefix="1" xfId="0">
      <alignment horizontal="center" vertical="top"/>
    </xf>
    <xf numFmtId="43" fontId="10" fillId="0" borderId="0" applyAlignment="1" pivotButton="0" quotePrefix="1" xfId="1">
      <alignment horizontal="left" vertical="top"/>
    </xf>
    <xf numFmtId="0" fontId="10" fillId="0" borderId="0" applyAlignment="1" pivotButton="0" quotePrefix="0" xfId="0">
      <alignment horizontal="left" vertical="top" wrapText="1"/>
    </xf>
    <xf numFmtId="0" fontId="10" fillId="0" borderId="0" applyAlignment="1" pivotButton="0" quotePrefix="0" xfId="0">
      <alignment horizontal="right" vertical="top" wrapText="1"/>
    </xf>
    <xf numFmtId="0" fontId="10" fillId="0" borderId="0" applyAlignment="1" pivotButton="0" quotePrefix="1" xfId="0">
      <alignment horizontal="center" vertical="top"/>
    </xf>
    <xf numFmtId="0" fontId="10" fillId="0" borderId="0" applyAlignment="1" pivotButton="0" quotePrefix="1" xfId="0">
      <alignment vertical="top"/>
    </xf>
    <xf numFmtId="2" fontId="16" fillId="0" borderId="0" applyAlignment="1" pivotButton="0" quotePrefix="0" xfId="0">
      <alignment horizontal="right" vertical="top"/>
    </xf>
    <xf numFmtId="2" fontId="16" fillId="0" borderId="0" applyAlignment="1" pivotButton="0" quotePrefix="0" xfId="0">
      <alignment horizontal="right" vertical="top"/>
    </xf>
    <xf numFmtId="0" fontId="0" fillId="0" borderId="0" applyAlignment="1" pivotButton="0" quotePrefix="0" xfId="0">
      <alignment wrapText="1"/>
    </xf>
    <xf numFmtId="2" fontId="0" fillId="0" borderId="0" applyAlignment="1" pivotButton="0" quotePrefix="0" xfId="0">
      <alignment wrapText="1"/>
    </xf>
    <xf numFmtId="2" fontId="0" fillId="0" borderId="0" applyAlignment="1" pivotButton="0" quotePrefix="0" xfId="0">
      <alignment vertical="top" wrapText="1"/>
    </xf>
    <xf numFmtId="0" fontId="11" fillId="0" borderId="0" applyAlignment="1" pivotButton="0" quotePrefix="0" xfId="0">
      <alignment horizontal="right" vertical="top"/>
    </xf>
    <xf numFmtId="0" fontId="3" fillId="0" borderId="0" applyAlignment="1" pivotButton="0" quotePrefix="0" xfId="0">
      <alignment wrapText="1"/>
    </xf>
    <xf numFmtId="0" fontId="0" fillId="0" borderId="0" applyAlignment="1" pivotButton="0" quotePrefix="0" xfId="0">
      <alignment horizontal="center" wrapText="1"/>
    </xf>
    <xf numFmtId="0" fontId="3" fillId="0" borderId="0" pivotButton="0" quotePrefix="0" xfId="0"/>
    <xf numFmtId="0" fontId="16" fillId="0" borderId="0" applyAlignment="1" pivotButton="0" quotePrefix="0" xfId="0">
      <alignment horizontal="left" vertical="top"/>
    </xf>
    <xf numFmtId="0" fontId="16" fillId="0" borderId="0" applyAlignment="1" pivotButton="0" quotePrefix="0" xfId="0">
      <alignment horizontal="justify" vertical="top" wrapText="1"/>
    </xf>
    <xf numFmtId="1" fontId="16" fillId="0" borderId="0" applyAlignment="1" pivotButton="0" quotePrefix="0" xfId="0">
      <alignment vertical="top"/>
    </xf>
    <xf numFmtId="0" fontId="16" fillId="0" borderId="0" applyAlignment="1" pivotButton="0" quotePrefix="0" xfId="0">
      <alignment vertical="top"/>
    </xf>
    <xf numFmtId="2" fontId="16" fillId="0" borderId="0" applyAlignment="1" pivotButton="0" quotePrefix="0" xfId="0">
      <alignment vertical="top"/>
    </xf>
    <xf numFmtId="0" fontId="16" fillId="0" borderId="0" applyAlignment="1" pivotButton="0" quotePrefix="1" xfId="0">
      <alignment horizontal="left" vertical="top"/>
    </xf>
    <xf numFmtId="2" fontId="16" fillId="0" borderId="0" applyAlignment="1" pivotButton="0" quotePrefix="0" xfId="0">
      <alignment horizontal="centerContinuous" vertical="top"/>
    </xf>
    <xf numFmtId="1" fontId="16" fillId="0" borderId="0" applyAlignment="1" pivotButton="0" quotePrefix="0" xfId="0">
      <alignment horizontal="right" vertical="top"/>
    </xf>
    <xf numFmtId="0" fontId="16" fillId="0" borderId="0" applyAlignment="1" pivotButton="0" quotePrefix="1" xfId="0">
      <alignment vertical="top"/>
    </xf>
    <xf numFmtId="1" fontId="16" fillId="0" borderId="0" applyAlignment="1" pivotButton="0" quotePrefix="0" xfId="0">
      <alignment horizontal="right" vertical="top"/>
    </xf>
    <xf numFmtId="0" fontId="16" fillId="0" borderId="0" applyAlignment="1" pivotButton="0" quotePrefix="1" xfId="0">
      <alignment horizontal="left" vertical="top"/>
    </xf>
    <xf numFmtId="0" fontId="16" fillId="0" borderId="0" applyAlignment="1" pivotButton="0" quotePrefix="0" xfId="0">
      <alignment vertical="top"/>
    </xf>
    <xf numFmtId="0" fontId="16" fillId="0" borderId="0" applyAlignment="1" pivotButton="0" quotePrefix="1" xfId="0">
      <alignment vertical="top"/>
    </xf>
    <xf numFmtId="1" fontId="16" fillId="0" borderId="0" applyAlignment="1" pivotButton="0" quotePrefix="0" xfId="0">
      <alignment vertical="top"/>
    </xf>
    <xf numFmtId="2" fontId="16" fillId="0" borderId="2" applyAlignment="1" pivotButton="0" quotePrefix="0" xfId="0">
      <alignment horizontal="right" vertical="top"/>
    </xf>
    <xf numFmtId="0" fontId="16" fillId="0" borderId="2" applyAlignment="1" pivotButton="0" quotePrefix="0" xfId="0">
      <alignment vertical="top"/>
    </xf>
    <xf numFmtId="2" fontId="16" fillId="0" borderId="2" applyAlignment="1" pivotButton="0" quotePrefix="0" xfId="0">
      <alignment vertical="top"/>
    </xf>
    <xf numFmtId="1" fontId="16" fillId="0" borderId="2" applyAlignment="1" pivotButton="0" quotePrefix="0" xfId="0">
      <alignment vertical="top"/>
    </xf>
    <xf numFmtId="2" fontId="16" fillId="0" borderId="0" applyAlignment="1" pivotButton="0" quotePrefix="0" xfId="0">
      <alignment horizontal="left" vertical="top"/>
    </xf>
    <xf numFmtId="2" fontId="16" fillId="0" borderId="0" applyAlignment="1" pivotButton="0" quotePrefix="0" xfId="0">
      <alignment vertical="top"/>
    </xf>
    <xf numFmtId="1" fontId="10" fillId="0" borderId="3" applyAlignment="1" pivotButton="0" quotePrefix="0" xfId="0">
      <alignment vertical="top"/>
    </xf>
    <xf numFmtId="0" fontId="0" fillId="0" borderId="2" applyAlignment="1" pivotButton="0" quotePrefix="0" xfId="0">
      <alignment horizontal="right"/>
    </xf>
    <xf numFmtId="0" fontId="7" fillId="0" borderId="0" applyAlignment="1" pivotButton="0" quotePrefix="0" xfId="0">
      <alignment horizontal="center" vertical="top"/>
    </xf>
    <xf numFmtId="0" fontId="3" fillId="0" borderId="0" applyAlignment="1" pivotButton="0" quotePrefix="0" xfId="0">
      <alignment horizontal="left" vertical="top" wrapText="1"/>
    </xf>
    <xf numFmtId="0" fontId="4" fillId="0" borderId="0" applyAlignment="1" pivotButton="0" quotePrefix="1" xfId="0">
      <alignment horizontal="left" vertical="top" wrapText="1"/>
    </xf>
    <xf numFmtId="0" fontId="10" fillId="0" borderId="0" applyAlignment="1" pivotButton="0" quotePrefix="0" xfId="0">
      <alignment horizontal="center" vertical="top" wrapText="1"/>
    </xf>
    <xf numFmtId="0" fontId="10" fillId="0" borderId="0" applyAlignment="1" pivotButton="0" quotePrefix="0" xfId="0">
      <alignment horizontal="center"/>
    </xf>
    <xf numFmtId="0" fontId="11" fillId="0" borderId="0" applyAlignment="1" pivotButton="0" quotePrefix="0" xfId="0">
      <alignment horizontal="center"/>
    </xf>
    <xf numFmtId="2" fontId="16" fillId="0" borderId="0" applyAlignment="1" pivotButton="0" quotePrefix="0" xfId="0">
      <alignment horizontal="center" vertical="top"/>
    </xf>
    <xf numFmtId="2" fontId="10" fillId="0" borderId="0" applyAlignment="1" pivotButton="0" quotePrefix="0" xfId="0">
      <alignment horizontal="center" vertical="top"/>
    </xf>
    <xf numFmtId="2" fontId="11" fillId="0" borderId="0" applyAlignment="1" pivotButton="0" quotePrefix="0" xfId="0">
      <alignment horizontal="center" vertical="top"/>
    </xf>
    <xf numFmtId="0" fontId="10" fillId="0" borderId="0" applyAlignment="1" pivotButton="0" quotePrefix="0" xfId="0">
      <alignment horizontal="center" vertical="top" wrapText="1"/>
    </xf>
    <xf numFmtId="0" fontId="11" fillId="0" borderId="0" applyAlignment="1" pivotButton="0" quotePrefix="0" xfId="0">
      <alignment horizontal="center" vertical="top"/>
    </xf>
    <xf numFmtId="0" fontId="10" fillId="0" borderId="0" applyAlignment="1" pivotButton="0" quotePrefix="0" xfId="0">
      <alignment horizontal="center" vertical="top"/>
    </xf>
    <xf numFmtId="0" fontId="5" fillId="0" borderId="0" applyAlignment="1" pivotButton="0" quotePrefix="0" xfId="0">
      <alignment horizontal="center" vertical="top" wrapText="1"/>
    </xf>
    <xf numFmtId="0" fontId="3" fillId="0" borderId="0" applyAlignment="1" pivotButton="0" quotePrefix="0" xfId="0">
      <alignment horizontal="center"/>
    </xf>
    <xf numFmtId="0" fontId="3" fillId="0" borderId="1" applyAlignment="1" pivotButton="0" quotePrefix="0" xfId="0">
      <alignment horizontal="center"/>
    </xf>
  </cellXfs>
  <cellStyles count="2">
    <cellStyle name="Normal" xfId="0" builtinId="0"/>
    <cellStyle name="Comma" xfId="1" builtin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outlinePr summaryBelow="1" summaryRight="1"/>
    <pageSetUpPr fitToPage="1"/>
  </sheetPr>
  <dimension ref="A2:H26"/>
  <sheetViews>
    <sheetView topLeftCell="A13" zoomScale="75" workbookViewId="0">
      <selection activeCell="E29" sqref="E29"/>
    </sheetView>
    <sheetView tabSelected="1" workbookViewId="1">
      <selection activeCell="A2" sqref="A2"/>
    </sheetView>
  </sheetViews>
  <sheetFormatPr baseColWidth="8" defaultRowHeight="15"/>
  <cols>
    <col width="4.44140625" customWidth="1" style="72" min="1" max="1"/>
    <col width="18.109375" customWidth="1" style="72" min="5" max="5"/>
    <col width="11.44140625" customWidth="1" style="72" min="6" max="6"/>
    <col width="12.5546875" customWidth="1" style="73" min="7" max="7"/>
  </cols>
  <sheetData>
    <row r="2" ht="36" customFormat="1" customHeight="1" s="88">
      <c r="A2" s="55" t="inlineStr">
        <is>
          <t>NAME OF WORK :- CONSTRUCTION OF COMMERCIAL COMPLEX FOR PANCHAYAT SAMITI GIRWA, UDAIPUR</t>
        </is>
      </c>
      <c r="B2" s="13" t="n"/>
      <c r="C2" s="13" t="n"/>
      <c r="D2" s="13" t="n"/>
      <c r="E2" s="14" t="n"/>
      <c r="F2" s="13" t="n"/>
      <c r="G2" s="14" t="n"/>
    </row>
    <row r="3" customFormat="1" s="88">
      <c r="A3" s="29" t="n"/>
      <c r="B3" s="13" t="n"/>
      <c r="C3" s="13" t="n"/>
      <c r="D3" s="13" t="n"/>
      <c r="E3" s="14" t="n"/>
      <c r="F3" s="13" t="n"/>
      <c r="G3" s="14" t="n"/>
    </row>
    <row r="4">
      <c r="A4" s="85" t="n"/>
      <c r="B4" s="85" t="n"/>
      <c r="C4" s="85" t="n"/>
      <c r="D4" s="85" t="n"/>
      <c r="E4" s="85" t="n"/>
      <c r="F4" s="85" t="n"/>
      <c r="G4" s="44" t="n"/>
    </row>
    <row r="5" ht="15.75" customHeight="1" s="72">
      <c r="A5" s="16" t="inlineStr">
        <is>
          <t>GENERAL ABSTRACT OF COST</t>
        </is>
      </c>
      <c r="B5" s="85" t="n"/>
      <c r="C5" s="85" t="n"/>
      <c r="D5" s="85" t="n"/>
      <c r="E5" s="85" t="n"/>
      <c r="F5" s="85" t="n"/>
      <c r="G5" s="44" t="n"/>
    </row>
    <row r="6">
      <c r="A6" s="85" t="n"/>
      <c r="B6" s="85" t="n"/>
      <c r="C6" s="85" t="n"/>
      <c r="D6" s="85" t="n"/>
      <c r="E6" s="85" t="n"/>
      <c r="F6" s="85" t="n"/>
      <c r="G6" s="44" t="n"/>
    </row>
    <row r="7" ht="45" customFormat="1" customHeight="1" s="88">
      <c r="B7" s="291" t="inlineStr">
        <is>
          <t>PART 'A'  CIVIL WORK BASEMENT, GROUND FLOOR AND FIRST FLOOR</t>
        </is>
      </c>
      <c r="F7" s="141" t="inlineStr">
        <is>
          <t>Rs.</t>
        </is>
      </c>
      <c r="G7" s="139">
        <f>GF1_ABS!G263</f>
        <v/>
      </c>
    </row>
    <row r="8" customFormat="1" s="88">
      <c r="F8" s="140" t="n"/>
      <c r="G8" s="139" t="n"/>
    </row>
    <row r="9" customFormat="1" s="88">
      <c r="B9" s="49" t="inlineStr">
        <is>
          <t>PART 'B'  SANITARY &amp; WATER SUPPLY  WORK</t>
        </is>
      </c>
      <c r="C9" s="84" t="n"/>
      <c r="D9" s="84" t="n"/>
      <c r="E9" s="84" t="n"/>
      <c r="F9" s="141" t="inlineStr">
        <is>
          <t>Rs.</t>
        </is>
      </c>
      <c r="G9" s="90">
        <f>'sanitary-abs'!G47</f>
        <v/>
      </c>
    </row>
    <row r="10" customFormat="1" s="88">
      <c r="B10" s="49" t="n"/>
      <c r="C10" s="84" t="n"/>
      <c r="D10" s="84" t="n"/>
      <c r="E10" s="84" t="n"/>
      <c r="F10" s="141" t="n"/>
      <c r="G10" s="90" t="n"/>
    </row>
    <row r="11" customFormat="1" s="88">
      <c r="B11" s="49" t="inlineStr">
        <is>
          <t>PART 'C'  ELECTRIC  WORK @ 12% OF Civil Work</t>
        </is>
      </c>
      <c r="C11" s="84" t="n"/>
      <c r="D11" s="84" t="n"/>
      <c r="E11" s="292" t="n"/>
      <c r="F11" s="141" t="inlineStr">
        <is>
          <t>Rs.</t>
        </is>
      </c>
      <c r="G11" s="90">
        <f>G7*0.12</f>
        <v/>
      </c>
    </row>
    <row r="12" customFormat="1" s="88">
      <c r="B12" s="49" t="n"/>
      <c r="C12" s="84" t="n"/>
      <c r="D12" s="84" t="n"/>
      <c r="E12" s="84" t="n"/>
      <c r="F12" s="141" t="n"/>
      <c r="G12" s="90" t="n"/>
    </row>
    <row r="13">
      <c r="F13" s="142" t="inlineStr">
        <is>
          <t>TOTAL Rs.</t>
        </is>
      </c>
      <c r="G13" s="143">
        <f>SUM(G7:G11)</f>
        <v/>
      </c>
    </row>
    <row r="15">
      <c r="B15" s="22" t="inlineStr">
        <is>
          <t>Add @ 5 % for Electric Fixtures On Civil Work Part 'A'</t>
        </is>
      </c>
    </row>
    <row r="16">
      <c r="C16" s="75" t="inlineStr">
        <is>
          <t>i.e. on Rs.</t>
        </is>
      </c>
      <c r="D16" s="44">
        <f>G7</f>
        <v/>
      </c>
      <c r="E16" s="85" t="n"/>
      <c r="F16" s="79" t="inlineStr">
        <is>
          <t>Rs.</t>
        </is>
      </c>
      <c r="G16" s="8">
        <f>ROUNDUP(D16*0.05,0)</f>
        <v/>
      </c>
    </row>
    <row r="17">
      <c r="C17" s="75" t="n"/>
      <c r="D17" s="44" t="n"/>
      <c r="E17" s="289" t="inlineStr">
        <is>
          <t>GRAND TOTAL Rs.</t>
        </is>
      </c>
      <c r="F17" s="105" t="n"/>
      <c r="G17" s="128">
        <f>SUM(G13:G16)</f>
        <v/>
      </c>
    </row>
    <row r="19" ht="15.75" customHeight="1" s="72">
      <c r="F19" s="75" t="inlineStr">
        <is>
          <t>SAY Rs.</t>
        </is>
      </c>
      <c r="G19" s="137">
        <f>ROUNDUP(G17/1000000,2)*10</f>
        <v/>
      </c>
    </row>
    <row r="20" ht="15.75" customHeight="1" s="72">
      <c r="D20" s="20" t="n"/>
      <c r="E20" s="32" t="n"/>
      <c r="F20" s="63" t="n"/>
      <c r="G20" s="86" t="inlineStr">
        <is>
          <t>Lacs.</t>
        </is>
      </c>
    </row>
    <row r="21" ht="15.75" customHeight="1" s="72">
      <c r="G21" s="57" t="n"/>
    </row>
    <row r="22" ht="15.75" customFormat="1" customHeight="1" s="125">
      <c r="A22" s="62" t="n"/>
      <c r="D22" s="20" t="n"/>
      <c r="E22" s="290" t="inlineStr">
        <is>
          <t>CHARTERED   ENGINEER,</t>
        </is>
      </c>
      <c r="H22" s="88" t="n"/>
    </row>
    <row r="23" ht="15.75" customFormat="1" customHeight="1" s="125">
      <c r="A23" s="62" t="n"/>
      <c r="E23" s="290" t="inlineStr">
        <is>
          <t>TEJHANS INVESTMENTS, UDAIPUR</t>
        </is>
      </c>
      <c r="H23" s="88" t="n"/>
    </row>
    <row r="25" ht="15.75" customHeight="1" s="72">
      <c r="E25" s="64" t="n"/>
    </row>
    <row r="26" ht="15.75" customHeight="1" s="72">
      <c r="E26" s="62" t="n"/>
    </row>
  </sheetData>
  <mergeCells count="4">
    <mergeCell ref="E17:F17"/>
    <mergeCell ref="B7:E7"/>
    <mergeCell ref="E23:G23"/>
    <mergeCell ref="E22:G22"/>
  </mergeCells>
  <printOptions horizontalCentered="1"/>
  <pageMargins left="0.75" right="0.75" top="1" bottom="1" header="0.5" footer="0.5"/>
  <pageSetup orientation="portrait" paperSize="9" fitToHeight="11" horizontalDpi="180" verticalDpi="180"/>
  <headerFooter alignWithMargins="0">
    <oddHeader/>
    <oddFooter>&amp;LGIRLS PHARMACY BNI&amp;R&amp;P&amp;D&amp;T</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J283"/>
  <sheetViews>
    <sheetView topLeftCell="A17" zoomScale="75" zoomScaleNormal="100" workbookViewId="0">
      <selection activeCell="C21" sqref="C21"/>
    </sheetView>
    <sheetView topLeftCell="A2" workbookViewId="1">
      <selection activeCell="G7" sqref="G7"/>
    </sheetView>
  </sheetViews>
  <sheetFormatPr baseColWidth="8" defaultRowHeight="15"/>
  <cols>
    <col width="3.6640625" customWidth="1" style="1" min="1" max="1"/>
    <col width="35" customWidth="1" style="38" min="2" max="2"/>
    <col width="9.5546875" customWidth="1" style="91" min="3" max="3"/>
    <col width="5.109375" customWidth="1" style="88" min="4" max="4"/>
    <col width="8.77734375" customWidth="1" style="91" min="5" max="5"/>
    <col width="6" customWidth="1" style="88" min="6" max="6"/>
    <col width="12.21875" customWidth="1" style="88" min="7" max="7"/>
  </cols>
  <sheetData>
    <row r="1" customFormat="1" s="88">
      <c r="A1" s="299">
        <f>'gen-abstract'!A2</f>
        <v/>
      </c>
    </row>
    <row r="2" customFormat="1" s="88">
      <c r="A2" s="294" t="inlineStr">
        <is>
          <t>PART 'A'  CIVIL WORK BASEMENT, GROUND FLOOR AND FIRST FLOOR</t>
        </is>
      </c>
    </row>
    <row r="3" ht="15.75" customFormat="1" customHeight="1" s="88">
      <c r="A3" s="295" t="inlineStr">
        <is>
          <t>ABSTRACT OF COST</t>
        </is>
      </c>
    </row>
    <row r="4" customFormat="1" s="88">
      <c r="A4" s="151" t="inlineStr">
        <is>
          <t>S.No.</t>
        </is>
      </c>
      <c r="B4" s="181" t="inlineStr">
        <is>
          <t>Particulars.</t>
        </is>
      </c>
      <c r="C4" s="153" t="inlineStr">
        <is>
          <t xml:space="preserve">Quantity </t>
        </is>
      </c>
      <c r="D4" s="154" t="n"/>
      <c r="E4" s="153" t="inlineStr">
        <is>
          <t>Rate</t>
        </is>
      </c>
      <c r="F4" s="154" t="inlineStr">
        <is>
          <t>Unit</t>
        </is>
      </c>
      <c r="G4" s="155" t="inlineStr">
        <is>
          <t>Amount</t>
        </is>
      </c>
    </row>
    <row r="5" ht="108.75" customHeight="1" s="72">
      <c r="A5" s="156" t="n">
        <v>1</v>
      </c>
      <c r="B5" s="176"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is>
      </c>
      <c r="C5" s="159">
        <f>GF1_MES!K51</f>
        <v/>
      </c>
      <c r="D5" s="158" t="inlineStr">
        <is>
          <t>Cum</t>
        </is>
      </c>
      <c r="E5" s="156" t="n">
        <v>105.8</v>
      </c>
      <c r="F5" s="158" t="inlineStr">
        <is>
          <t>P Cum</t>
        </is>
      </c>
      <c r="G5" s="159">
        <f>C5*E5</f>
        <v/>
      </c>
    </row>
    <row r="6" ht="111" customHeight="1" s="72">
      <c r="A6" s="156" t="n">
        <v>2</v>
      </c>
      <c r="B6" s="176" t="inlineStr">
        <is>
          <t>Filling available excavated earth (excluding rock) in trenches, plinth side of foundation etc. in layers not exceeding 20 cm. in depth , consolidating  each deposited layer by ramming and watering including lead upto 50Mtr. and lift upto 1.5Mtr.</t>
        </is>
      </c>
      <c r="C6" s="159">
        <f>GF1_MES!K80</f>
        <v/>
      </c>
      <c r="D6" s="158" t="inlineStr">
        <is>
          <t>Cum</t>
        </is>
      </c>
      <c r="E6" s="156" t="n">
        <v>50.6</v>
      </c>
      <c r="F6" s="158" t="inlineStr">
        <is>
          <t>P Cum</t>
        </is>
      </c>
      <c r="G6" s="159">
        <f>C6*E6</f>
        <v/>
      </c>
    </row>
    <row r="7" ht="205.5" customHeight="1" s="72">
      <c r="A7" s="156" t="n">
        <v>3</v>
      </c>
      <c r="B7" s="176" t="inlineStr">
        <is>
          <t>Providing and injection Chloropyrifous Emulsifiable  concentrate 20 % with 1 % concentration for PRE-CONSGTRUCTIONAL Anti termite treatment as per IS 6313 part III and amended from time to time and creating a continous chemical barrier under and around the column pits, wall trenches, basement excavation, top surface of plinth filling, junction of wall and floor along the external perimeter of building expansion joints, over the top surface of consolidated earth of which aproch is to be laid surrounding of pipes and conduits etc. complete as per specification (Plinth floor area only shall be measured for payment.)</t>
        </is>
      </c>
      <c r="C7" s="159">
        <f>GF1_MES!K84</f>
        <v/>
      </c>
      <c r="D7" s="158" t="inlineStr">
        <is>
          <t>Sqm</t>
        </is>
      </c>
      <c r="E7" s="156" t="n">
        <v>207</v>
      </c>
      <c r="F7" s="156" t="n"/>
      <c r="G7" s="159">
        <f>C7*E7</f>
        <v/>
      </c>
    </row>
    <row r="8" ht="85.5" customHeight="1" s="72">
      <c r="A8" s="156" t="n">
        <v>4</v>
      </c>
      <c r="B8" s="176" t="inlineStr">
        <is>
          <t>Providing and laying in position cement concrete including curing compaction etc. of specified grade excluding the cost of centering and shuttering =All up to plinth leve 1:4:8 (1Cement :4 Coarse  Sand :8 Graded stone aggregate 40 mm nominal size</t>
        </is>
      </c>
      <c r="C8" s="159">
        <f>GF1_MES!K107</f>
        <v/>
      </c>
      <c r="D8" s="158" t="inlineStr">
        <is>
          <t>Cum</t>
        </is>
      </c>
      <c r="E8" s="156" t="n">
        <v>2697.9</v>
      </c>
      <c r="F8" s="158" t="inlineStr">
        <is>
          <t>P Cum</t>
        </is>
      </c>
      <c r="G8" s="159">
        <f>C8*E8</f>
        <v/>
      </c>
    </row>
    <row r="9" ht="114" customHeight="1" s="72">
      <c r="A9" s="156" t="n">
        <v>5</v>
      </c>
      <c r="B9" s="176"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9" s="159">
        <f>GF1_MES!K219</f>
        <v/>
      </c>
      <c r="D9" s="158" t="inlineStr">
        <is>
          <t>Cum</t>
        </is>
      </c>
      <c r="E9" s="156" t="n">
        <v>5648.8</v>
      </c>
      <c r="F9" s="158" t="inlineStr">
        <is>
          <t>P Cum</t>
        </is>
      </c>
      <c r="G9" s="159">
        <f>C9*E9</f>
        <v/>
      </c>
    </row>
    <row r="10" ht="135" customHeight="1" s="72">
      <c r="A10" s="156" t="n">
        <v>6</v>
      </c>
      <c r="B10" s="176" t="inlineStr">
        <is>
          <t xml:space="preserve">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 </t>
        </is>
      </c>
      <c r="C10" s="159">
        <f>GF1_MES!K230</f>
        <v/>
      </c>
      <c r="D10" s="158" t="inlineStr">
        <is>
          <t>Cum</t>
        </is>
      </c>
      <c r="E10" s="156" t="n">
        <v>6026</v>
      </c>
      <c r="F10" s="158" t="inlineStr">
        <is>
          <t>P Cum</t>
        </is>
      </c>
      <c r="G10" s="159">
        <f>C10*E10</f>
        <v/>
      </c>
    </row>
    <row r="11" ht="185.25" customHeight="1" s="72">
      <c r="A11" s="156" t="n">
        <v>7</v>
      </c>
      <c r="B11" s="176" t="inlineStr">
        <is>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Walls (any thickness) including attached pilasters, buttresses, plinth and string courses, fillets, columns,
pillars, piers, abutments, posts and struts etc. M20 grade Nominal Mix</t>
        </is>
      </c>
      <c r="C11" s="157" t="n">
        <v>111.55</v>
      </c>
      <c r="D11" s="158" t="inlineStr">
        <is>
          <t>cum</t>
        </is>
      </c>
      <c r="E11" s="156" t="n">
        <v>4966.85</v>
      </c>
      <c r="F11" s="158" t="inlineStr">
        <is>
          <t>P Cum</t>
        </is>
      </c>
      <c r="G11" s="159">
        <f>C11*E11</f>
        <v/>
      </c>
    </row>
    <row r="12" ht="71.25" customHeight="1" s="72">
      <c r="A12" s="156" t="n">
        <v>9</v>
      </c>
      <c r="B12" s="176" t="inlineStr">
        <is>
          <t>beams suspended floors roofs griders having slopes up to 15 digree C, landings balconies shelves chajjas lintels bands plain window sills staircases and spiral staircases  M20 grade nominal mix</t>
        </is>
      </c>
      <c r="C12" s="157" t="n">
        <v>2291.95</v>
      </c>
      <c r="D12" s="158" t="inlineStr">
        <is>
          <t>Cum</t>
        </is>
      </c>
      <c r="E12" s="156" t="n">
        <v>4945</v>
      </c>
      <c r="F12" s="158" t="inlineStr">
        <is>
          <t>P Cum</t>
        </is>
      </c>
      <c r="G12" s="159">
        <f>C12*E12</f>
        <v/>
      </c>
    </row>
    <row r="13" ht="85.5" customHeight="1" s="72">
      <c r="A13" s="156" t="n">
        <v>8</v>
      </c>
      <c r="B13" s="176" t="inlineStr">
        <is>
          <t>Centering and shuttering with plywood or steel sheets including strutting, propping, bracing both ways and removal of formwork for foundations in basements rafts, footings, strap beams, bases of columns , etc. up to plinth level.</t>
        </is>
      </c>
      <c r="C13" s="157" t="n">
        <v>4137.7</v>
      </c>
      <c r="D13" s="158" t="inlineStr">
        <is>
          <t>Sqm</t>
        </is>
      </c>
      <c r="E13" s="156" t="n">
        <v>97.75</v>
      </c>
      <c r="F13" s="156" t="n"/>
      <c r="G13" s="159">
        <f>C13*E13</f>
        <v/>
      </c>
    </row>
    <row r="14" ht="57" customHeight="1" s="72">
      <c r="A14" s="156" t="n">
        <v>9</v>
      </c>
      <c r="B14" s="176" t="inlineStr">
        <is>
          <t>Centering &amp; shuttering with ply wood or steel sheets including shuttering , propping, barcing both waves with widen members and removal of form work up to floor three level for:</t>
        </is>
      </c>
      <c r="C14" s="157" t="n"/>
      <c r="D14" s="158" t="n"/>
      <c r="E14" s="156" t="n"/>
      <c r="F14" s="156" t="n"/>
      <c r="G14" s="159" t="n"/>
    </row>
    <row r="15" ht="65.25" customHeight="1" s="72">
      <c r="A15" s="156" t="n"/>
      <c r="B15" s="176" t="inlineStr">
        <is>
          <t>(A) Suspended floors, roofs, landings, staircases, balconies, girders, cantilevers, bands , coping, bed plates, anchor blocks, sills, chhajjas lintel, beam etc.</t>
        </is>
      </c>
      <c r="C15" s="157" t="n">
        <v>15648.05</v>
      </c>
      <c r="D15" s="158" t="inlineStr">
        <is>
          <t>Sqm</t>
        </is>
      </c>
      <c r="E15" s="156" t="n">
        <v>188.6</v>
      </c>
      <c r="F15" s="156" t="n"/>
      <c r="G15" s="159">
        <f>C15*E15</f>
        <v/>
      </c>
    </row>
    <row r="16">
      <c r="A16" s="156" t="n"/>
      <c r="B16" s="176" t="inlineStr">
        <is>
          <t xml:space="preserve">(B) Columns, pillars, posts and struts etc.  </t>
        </is>
      </c>
      <c r="C16" s="157" t="n">
        <v>2960.1</v>
      </c>
      <c r="D16" s="158" t="inlineStr">
        <is>
          <t>Sqm</t>
        </is>
      </c>
      <c r="E16" s="156" t="n">
        <v>179.4</v>
      </c>
      <c r="F16" s="156" t="n"/>
      <c r="G16" s="159">
        <f>C16*E16</f>
        <v/>
      </c>
    </row>
    <row r="17" ht="103.5" customHeight="1" s="72">
      <c r="A17" s="156" t="n">
        <v>13.8</v>
      </c>
      <c r="B17" s="176" t="inlineStr">
        <is>
          <t>Providing and fabricating reinforcement for R.C.C. work including straightening, cutting, bending, placing in position and binding (including cost of binding wire) all complete up to floor three level. Tremo Mechanically treated bars</t>
        </is>
      </c>
      <c r="C17" s="288">
        <f>GF1_MES!K247</f>
        <v/>
      </c>
      <c r="D17" s="158" t="inlineStr">
        <is>
          <t>Kg</t>
        </is>
      </c>
      <c r="E17" s="156" t="n">
        <v>64.40000000000001</v>
      </c>
      <c r="F17" s="156" t="n"/>
      <c r="G17" s="159">
        <f>C17*E17</f>
        <v/>
      </c>
    </row>
    <row r="18" ht="142.5" customHeight="1" s="72">
      <c r="A18" s="156" t="n">
        <v>14.95</v>
      </c>
      <c r="B18" s="176" t="inlineStr">
        <is>
          <t>Provinding hoisting and fixing up to floor three level precast reinforced concrte work in nominal M20 grade mix including cost of required centering, shuttering finishing smooth with 6 mm thick cement plastr 1:3 ( 1 cement : 3 fine sand) on exposed surface complete excluding cost of reinforcement.Lintels, beams and bressumers including setting in cement mortar 1:3 (1 cement : 3 course sand) aggregate 20mm nominal size.</t>
        </is>
      </c>
      <c r="C18" s="157" t="n">
        <v>5</v>
      </c>
      <c r="D18" s="158" t="inlineStr">
        <is>
          <t>cum</t>
        </is>
      </c>
      <c r="E18" s="156" t="n">
        <v>4160.7</v>
      </c>
      <c r="F18" s="158" t="inlineStr">
        <is>
          <t>P Cum</t>
        </is>
      </c>
      <c r="G18" s="159">
        <f>C18*E18</f>
        <v/>
      </c>
    </row>
    <row r="19" ht="71.25" customHeight="1" s="72">
      <c r="A19" s="156" t="n">
        <v>16.1</v>
      </c>
      <c r="B19" s="176" t="inlineStr">
        <is>
          <t>Providing and fixing precast R.C.C.  slab in M15 nominal mix per design unto 30mm thick for shelves etc, including cost of reinforcement consisting of wire of mesh 100x100mmx4mm with fine finish.</t>
        </is>
      </c>
      <c r="C19" s="157" t="n">
        <v>40.25</v>
      </c>
      <c r="D19" s="158" t="inlineStr">
        <is>
          <t>Sqm</t>
        </is>
      </c>
      <c r="E19" s="156" t="n">
        <v>326.6</v>
      </c>
      <c r="F19" s="156" t="n"/>
      <c r="G19" s="159">
        <f>C19*E19</f>
        <v/>
      </c>
    </row>
    <row r="20" ht="42.75" customHeight="1" s="72">
      <c r="A20" s="156" t="n">
        <v>17.25</v>
      </c>
      <c r="B20" s="176" t="inlineStr">
        <is>
          <t>Brick masonry in foundation and plinth with bricks of class designation 75 in : Cement mortar 1 : 6 (1 cement : 6 coarse sand)</t>
        </is>
      </c>
      <c r="C20" s="157" t="n">
        <v>1270.75</v>
      </c>
      <c r="D20" s="158" t="inlineStr">
        <is>
          <t>Cum</t>
        </is>
      </c>
      <c r="E20" s="156" t="n">
        <v>2909.5</v>
      </c>
      <c r="F20" s="158" t="inlineStr">
        <is>
          <t>P Cum</t>
        </is>
      </c>
      <c r="G20" s="159">
        <f>C20*E20</f>
        <v/>
      </c>
    </row>
    <row r="21" ht="36.75" customHeight="1" s="72">
      <c r="A21" s="156" t="n">
        <v>18.4</v>
      </c>
      <c r="B21" s="176" t="inlineStr">
        <is>
          <t>Add extra over item No.5.1 for brick work in super structure upto third storey.</t>
        </is>
      </c>
      <c r="C21" s="157" t="n">
        <v>1270.75</v>
      </c>
      <c r="D21" s="158" t="inlineStr">
        <is>
          <t>Cum</t>
        </is>
      </c>
      <c r="E21" s="156" t="n">
        <v>161</v>
      </c>
      <c r="F21" s="158" t="inlineStr">
        <is>
          <t>P Cum</t>
        </is>
      </c>
      <c r="G21" s="159">
        <f>C21*E21</f>
        <v/>
      </c>
    </row>
    <row r="22" ht="42.75" customHeight="1" s="72">
      <c r="A22" s="156" t="n">
        <v>19.55</v>
      </c>
      <c r="B22" s="176" t="inlineStr">
        <is>
          <t>Half brick masonry in foundation &amp; plinth using bricks of designation 75 in Cement mortar 1 : 4 (1 cement : 4 coarse sand)</t>
        </is>
      </c>
      <c r="C22" s="157" t="n">
        <v>4677.05</v>
      </c>
      <c r="D22" s="158" t="inlineStr">
        <is>
          <t>Sqm</t>
        </is>
      </c>
      <c r="E22" s="156" t="n">
        <v>336.95</v>
      </c>
      <c r="F22" s="156" t="n"/>
      <c r="G22" s="159">
        <f>C22*E22</f>
        <v/>
      </c>
    </row>
    <row r="23" ht="57" customHeight="1" s="72">
      <c r="A23" s="156" t="n">
        <v>20.7</v>
      </c>
      <c r="B23" s="176" t="inlineStr">
        <is>
          <t>Add extra over item no 5.8 for half brick masonry in superstructure up to third storey.including cost of hoop reinforcement (2 nos 6 mm dia MS bars at every fourth course</t>
        </is>
      </c>
      <c r="C23" s="157" t="n">
        <v>4677.05</v>
      </c>
      <c r="D23" s="158" t="inlineStr">
        <is>
          <t>Sqm</t>
        </is>
      </c>
      <c r="E23" s="156" t="n">
        <v>55.2</v>
      </c>
      <c r="F23" s="156" t="n"/>
      <c r="G23" s="159">
        <f>C23*E23</f>
        <v/>
      </c>
    </row>
    <row r="24" ht="54.75" customHeight="1" s="72">
      <c r="A24" s="156" t="n">
        <v>21.85</v>
      </c>
      <c r="B24" s="176" t="inlineStr">
        <is>
          <t>Random Rubble stone masonry for foundation and plinth in Cement Sand mortar above 30CM thick wall in: Cement Mortar 1:6 ( 1-Cement : 6-Sand).</t>
        </is>
      </c>
      <c r="C24" s="157" t="n">
        <v>573.85</v>
      </c>
      <c r="D24" s="158" t="inlineStr">
        <is>
          <t>Cum</t>
        </is>
      </c>
      <c r="E24" s="156" t="n">
        <v>1754.9</v>
      </c>
      <c r="F24" s="158" t="inlineStr">
        <is>
          <t>P Cum</t>
        </is>
      </c>
      <c r="G24" s="159">
        <f>C24*E24</f>
        <v/>
      </c>
    </row>
    <row r="25" ht="54.75" customHeight="1" s="72">
      <c r="A25" s="156" t="n">
        <v>23</v>
      </c>
      <c r="B25" s="176" t="inlineStr">
        <is>
          <t>Supplying  and  fixing  dressed  sand  or  other  approved  stone  shelves,  tands  in  cement mortar 1:3 with fine dressed edges :</t>
        </is>
      </c>
      <c r="C25" s="157" t="n"/>
      <c r="D25" s="158" t="n"/>
      <c r="E25" s="156" t="n"/>
      <c r="F25" s="156" t="n"/>
      <c r="G25" s="159">
        <f>C25*E25</f>
        <v/>
      </c>
    </row>
    <row r="26">
      <c r="A26" s="156" t="n">
        <v>23.11</v>
      </c>
      <c r="B26" s="176" t="inlineStr">
        <is>
          <t>35mm thick.</t>
        </is>
      </c>
      <c r="C26" s="157" t="n">
        <v>51.75</v>
      </c>
      <c r="D26" s="158" t="inlineStr">
        <is>
          <t>Sqm</t>
        </is>
      </c>
      <c r="E26" s="156" t="n">
        <v>442.75</v>
      </c>
      <c r="F26" s="156" t="n"/>
      <c r="G26" s="159">
        <f>C26*E26</f>
        <v/>
      </c>
    </row>
    <row r="27">
      <c r="A27" s="156" t="n">
        <v>23.23</v>
      </c>
      <c r="B27" s="176" t="inlineStr">
        <is>
          <t>50mm thick.</t>
        </is>
      </c>
      <c r="C27" s="157" t="n">
        <v>51.75</v>
      </c>
      <c r="D27" s="158" t="inlineStr">
        <is>
          <t>Sqm</t>
        </is>
      </c>
      <c r="E27" s="156" t="n">
        <v>661.25</v>
      </c>
      <c r="F27" s="156" t="n"/>
      <c r="G27" s="159">
        <f>C27*E27</f>
        <v/>
      </c>
    </row>
    <row r="28" ht="57" customHeight="1" s="72">
      <c r="A28" s="156" t="n">
        <v>24.15</v>
      </c>
      <c r="B28" s="176" t="inlineStr">
        <is>
          <t>Supplying and fixing in walls machine cut and polished stone shelves, tands and sills in CM 1:3 with machine cut edges : Kota Stone 25 to 30 mm thick.</t>
        </is>
      </c>
      <c r="C28" s="157" t="n">
        <v>212.75</v>
      </c>
      <c r="D28" s="158" t="inlineStr">
        <is>
          <t>Sqm</t>
        </is>
      </c>
      <c r="E28" s="156" t="n">
        <v>537.05</v>
      </c>
      <c r="F28" s="156" t="n"/>
      <c r="G28" s="159">
        <f>C28*E28</f>
        <v/>
      </c>
    </row>
    <row r="29" ht="60.75" customHeight="1" s="72">
      <c r="A29" s="156" t="n">
        <v>25.3</v>
      </c>
      <c r="B29" s="176" t="inlineStr">
        <is>
          <t>Marble stone flooring table rubbed, 18 mm thick over 20mm (Av.) thick base of CM 1:4 (1 cement : 4 coarse sand) jointing with white cement mortar 1:2 (1 white cement : 2 marble dust) with pigment to match the shade of the marble slab including grinding, rubbing and polishing complete.</t>
        </is>
      </c>
      <c r="C29" s="157" t="n"/>
      <c r="D29" s="158" t="n"/>
      <c r="E29" s="156" t="n"/>
      <c r="F29" s="156" t="n"/>
      <c r="G29" s="159">
        <f>C29*E29</f>
        <v/>
      </c>
    </row>
    <row r="30" ht="28.5" customHeight="1" s="72">
      <c r="A30" s="156" t="n">
        <v>25.41</v>
      </c>
      <c r="B30" s="176" t="inlineStr">
        <is>
          <t>Rajnagar 1st quality with light spots. 1501 Cm2 to 3600 Cm2 Tiles</t>
        </is>
      </c>
      <c r="C30" s="157" t="n">
        <v>3926.1</v>
      </c>
      <c r="D30" s="158" t="inlineStr">
        <is>
          <t>Sqm</t>
        </is>
      </c>
      <c r="E30" s="156" t="n">
        <v>1150</v>
      </c>
      <c r="F30" s="156" t="n"/>
      <c r="G30" s="159">
        <f>C30*E30</f>
        <v/>
      </c>
    </row>
    <row r="31" ht="28.5" customHeight="1" s="72">
      <c r="A31" s="156" t="n">
        <v>25.53</v>
      </c>
      <c r="B31" s="176" t="inlineStr">
        <is>
          <t>Kesriaji (Rikhabdeo).1501 cm2 to 3600 cm2 tiles</t>
        </is>
      </c>
      <c r="C31" s="157" t="n">
        <v>408.25</v>
      </c>
      <c r="D31" s="158" t="inlineStr">
        <is>
          <t>Sqm</t>
        </is>
      </c>
      <c r="E31" s="156" t="n">
        <v>1404.15</v>
      </c>
      <c r="F31" s="156" t="n"/>
      <c r="G31" s="159">
        <f>C31*E31</f>
        <v/>
      </c>
    </row>
    <row r="32" s="72">
      <c r="A32" s="156" t="n">
        <v>26.45</v>
      </c>
      <c r="B32" s="176" t="inlineStr">
        <is>
          <t>Add extra for doing mirror polishing.</t>
        </is>
      </c>
      <c r="C32" s="157" t="n">
        <v>3983.6</v>
      </c>
      <c r="D32" s="158" t="inlineStr">
        <is>
          <t>Sqm</t>
        </is>
      </c>
      <c r="E32" s="156" t="n">
        <v>106.49</v>
      </c>
      <c r="F32" s="156" t="n"/>
      <c r="G32" s="159">
        <f>C32*E32</f>
        <v/>
      </c>
    </row>
    <row r="33" ht="142.5" customHeight="1" s="72">
      <c r="A33" s="156" t="n">
        <v>27.6</v>
      </c>
      <c r="B33" s="176" t="inlineStr">
        <is>
          <t xml:space="preserve">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 Green / Black / Other granite 1501 Cm2 to 3600 Cm2 Tiles. </t>
        </is>
      </c>
      <c r="C33" s="157" t="n">
        <v>129.95</v>
      </c>
      <c r="D33" s="158" t="inlineStr">
        <is>
          <t>Sqm</t>
        </is>
      </c>
      <c r="E33" s="156" t="n">
        <v>2848.55</v>
      </c>
      <c r="F33" s="156" t="n"/>
      <c r="G33" s="159">
        <f>C33*E33</f>
        <v/>
      </c>
    </row>
    <row r="34" ht="128.25" customHeight="1" s="72">
      <c r="A34" s="156" t="n">
        <v>28.75</v>
      </c>
      <c r="B34" s="176" t="inlineStr">
        <is>
          <t xml:space="preserve">Providing and fixing Ist quality standard White 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 </t>
        </is>
      </c>
      <c r="C34" s="157" t="n">
        <v>6465.3</v>
      </c>
      <c r="D34" s="158" t="inlineStr">
        <is>
          <t>Sqm</t>
        </is>
      </c>
      <c r="E34" s="156" t="n">
        <v>1138.5</v>
      </c>
      <c r="F34" s="156" t="n"/>
      <c r="G34" s="159">
        <f>C34*E34</f>
        <v/>
      </c>
    </row>
    <row r="35" ht="171" customFormat="1" customHeight="1" s="88">
      <c r="A35" s="156" t="n">
        <v>29.9</v>
      </c>
      <c r="B35" s="176" t="inlineStr">
        <is>
          <t>Providing and fixing Ist quality MAT finished ceremic tile size 300x300mm confirming to IS : 13753 colour such as white, grey, ivory, fume red brown in walls, floors, steps, pillars etc. laid on a bed of neat cement slsurry including nicely finished joints using water proof joint filler power (Untile or Roffe make) and finishing with flush pointing in white cement mixed with pigment to match the shade of tile complete (excluding the cost of cement plaster).  Category A: Kajaria, Jhonson,Somani make etc.</t>
        </is>
      </c>
      <c r="C35" s="157" t="n">
        <v>624.45</v>
      </c>
      <c r="D35" s="158" t="inlineStr">
        <is>
          <t>sqm</t>
        </is>
      </c>
      <c r="E35" s="156" t="n">
        <v>994.75</v>
      </c>
      <c r="F35" s="156" t="n"/>
      <c r="G35" s="159">
        <f>C35*E35</f>
        <v/>
      </c>
      <c r="H35" s="91" t="n"/>
      <c r="I35" s="42" t="n"/>
    </row>
    <row r="36" ht="57" customHeight="1" s="72">
      <c r="A36" s="156" t="n">
        <v>31.05</v>
      </c>
      <c r="B36" s="176" t="inlineStr">
        <is>
          <t>Extra for providing edge moulding (Full) to      18 mm thick marble stone counters, vantities etc. over item No. 7.1 &amp; 7.2 including machine polishing to edge to give high gloss finish etc. complete as per design approved by Engineer-in-Charge.</t>
        </is>
      </c>
      <c r="C36" s="157" t="n"/>
      <c r="D36" s="158" t="n"/>
      <c r="E36" s="156" t="n"/>
      <c r="F36" s="156" t="n"/>
      <c r="G36" s="159">
        <f>C36*E36</f>
        <v/>
      </c>
      <c r="I36" s="113" t="n"/>
    </row>
    <row r="37">
      <c r="A37" s="156" t="n">
        <v>31.16</v>
      </c>
      <c r="B37" s="176" t="inlineStr">
        <is>
          <t>Marble work</t>
        </is>
      </c>
      <c r="C37" s="157" t="n">
        <v>448.5</v>
      </c>
      <c r="D37" s="158" t="inlineStr">
        <is>
          <t>Mtr</t>
        </is>
      </c>
      <c r="E37" s="156" t="n">
        <v>140.3</v>
      </c>
      <c r="F37" s="156" t="n"/>
      <c r="G37" s="159">
        <f>C37*E37</f>
        <v/>
      </c>
      <c r="H37" s="73" t="n"/>
    </row>
    <row r="38">
      <c r="A38" s="156" t="n">
        <v>31.28</v>
      </c>
      <c r="B38" s="176" t="inlineStr">
        <is>
          <t>Granite work.</t>
        </is>
      </c>
      <c r="C38" s="157" t="n">
        <v>82.8</v>
      </c>
      <c r="D38" s="158" t="inlineStr">
        <is>
          <t>Mtr</t>
        </is>
      </c>
      <c r="E38" s="156" t="n">
        <v>230</v>
      </c>
      <c r="F38" s="156" t="n"/>
      <c r="G38" s="159">
        <f>C38*E38</f>
        <v/>
      </c>
      <c r="H38" s="73" t="n"/>
    </row>
    <row r="39" ht="171" customHeight="1" s="72">
      <c r="A39" s="156" t="n">
        <v>32.2</v>
      </c>
      <c r="B39" s="176" t="inlineStr">
        <is>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is>
      </c>
      <c r="C39" s="157" t="n">
        <v>2950.9</v>
      </c>
      <c r="D39" s="158" t="inlineStr">
        <is>
          <t>Sqm</t>
        </is>
      </c>
      <c r="E39" s="156" t="n">
        <v>1389.2</v>
      </c>
      <c r="F39" s="156" t="n"/>
      <c r="G39" s="159">
        <f>C39*E39</f>
        <v/>
      </c>
    </row>
    <row r="40" ht="28.5" customHeight="1" s="72">
      <c r="A40" s="156" t="n">
        <v>33.35</v>
      </c>
      <c r="B40" s="176" t="inlineStr">
        <is>
          <t>Other Fitting. Providing and Fixing hydraulic door closure ISI marked.</t>
        </is>
      </c>
      <c r="C40" s="157" t="n">
        <v>67.84999999999999</v>
      </c>
      <c r="D40" s="158" t="inlineStr">
        <is>
          <t>Each</t>
        </is>
      </c>
      <c r="E40" s="156" t="n">
        <v>775.1</v>
      </c>
      <c r="F40" s="156" t="n"/>
      <c r="G40" s="159">
        <f>C40*E40</f>
        <v/>
      </c>
    </row>
    <row r="41" ht="85.5" customHeight="1" s="72">
      <c r="A41" s="156" t="n">
        <v>34.5</v>
      </c>
      <c r="B41" s="176" t="inlineStr">
        <is>
          <t>Providing and fixing external grade board solid core single leaf flush door shutters ISI 2202-67 marked using Phenol formal, dehydreresin in glue both sides with approved steel fittings complete as per Annexure ‘A’ 35 mm thick shutter,commercial veneer both side</t>
        </is>
      </c>
      <c r="C41" s="157" t="n">
        <v>382.95</v>
      </c>
      <c r="D41" s="158" t="inlineStr">
        <is>
          <t>Sqm</t>
        </is>
      </c>
      <c r="E41" s="156" t="n">
        <v>1817</v>
      </c>
      <c r="F41" s="156" t="n"/>
      <c r="G41" s="159">
        <f>C41*E41</f>
        <v/>
      </c>
    </row>
    <row r="42" ht="28.5" customHeight="1" s="72">
      <c r="A42" s="156" t="n">
        <v>35.65</v>
      </c>
      <c r="B42" s="176" t="inlineStr">
        <is>
          <t xml:space="preserve">Add extra for Flush doors For External Teak Wood Lipping on flush doors 35mm x6mm </t>
        </is>
      </c>
      <c r="C42" s="157" t="n">
        <v>382.95</v>
      </c>
      <c r="D42" s="158" t="inlineStr">
        <is>
          <t>R mtr</t>
        </is>
      </c>
      <c r="E42" s="156" t="n">
        <v>69</v>
      </c>
      <c r="F42" s="156" t="n"/>
      <c r="G42" s="159">
        <f>C42*E42</f>
        <v/>
      </c>
    </row>
    <row r="43" ht="199.5" customHeight="1" s="72">
      <c r="A43" s="156" t="n">
        <v>36.8</v>
      </c>
      <c r="B43" s="176" t="inlineStr">
        <is>
          <t>Providing and fixing pressed steel mitred door frames manufactured from commercial mild steel sheet of 1.25 mm (16 gauge) thickness including hinges jamb, lock jamb, head and if required angle threshold of mild steel angle of section 50x25mm, or base ties of 1.25 mm pressed mild steel welded or rigidly fixed together by mechanical means, adjustable lugs with split end tail to each jamb including steel butt hinges 2.5 mm thick with mortar guards, lock strike-plate and shock absorbers as specified and applying a coat of approved steel primer after pre-treatment of the surface as directed by Engineer-in-charge. Profile 'C'</t>
        </is>
      </c>
      <c r="C43" s="157" t="n">
        <v>508.3</v>
      </c>
      <c r="D43" s="158" t="inlineStr">
        <is>
          <t>Mtr</t>
        </is>
      </c>
      <c r="E43" s="156" t="n">
        <v>365.7</v>
      </c>
      <c r="F43" s="156" t="n"/>
      <c r="G43" s="159">
        <f>C43*E43</f>
        <v/>
      </c>
    </row>
    <row r="44" ht="85.5" customHeight="1" s="72">
      <c r="A44" s="156" t="n">
        <v>37.95</v>
      </c>
      <c r="B44" s="176" t="inlineStr">
        <is>
          <t>Supply and fixing in cement mortar welded hand railing made out of M.S. round or square bars, flats etc. for staircase or verandah as per design complete in all respect (wooden or PVC hand railing to be paid extra) with priming coat of red oxide.</t>
        </is>
      </c>
      <c r="C44" s="157" t="n">
        <v>5175</v>
      </c>
      <c r="D44" s="158" t="inlineStr">
        <is>
          <t>Kg</t>
        </is>
      </c>
      <c r="E44" s="156" t="n">
        <v>83.95</v>
      </c>
      <c r="F44" s="156" t="n"/>
      <c r="G44" s="159">
        <f>C44*E44</f>
        <v/>
      </c>
    </row>
    <row r="45" ht="270.75" customFormat="1" customHeight="1" s="125">
      <c r="A45" s="156" t="n">
        <v>39.1</v>
      </c>
      <c r="B45" s="176" t="inlineStr">
        <is>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is>
      </c>
      <c r="C45" s="157" t="n">
        <v>28.75</v>
      </c>
      <c r="D45" s="158" t="inlineStr">
        <is>
          <t>Sqm</t>
        </is>
      </c>
      <c r="E45" s="156" t="n">
        <v>2242.5</v>
      </c>
      <c r="F45" s="156" t="n"/>
      <c r="G45" s="159">
        <f>C45*E45</f>
        <v/>
      </c>
    </row>
    <row r="46" ht="71.25" customFormat="1" customHeight="1" s="125">
      <c r="A46" s="156" t="n">
        <v>40.25</v>
      </c>
      <c r="B46" s="176" t="inlineStr">
        <is>
          <t>Supplying and fixing fixed wire gauge of 14 mesh x 24 gauge to the metal frame of rolled section by metal beading 20x3mm with suitable screw at not exceeding 150 mm distance.</t>
        </is>
      </c>
      <c r="C46" s="157" t="n">
        <v>28.75</v>
      </c>
      <c r="D46" s="158" t="inlineStr">
        <is>
          <t>Sqm</t>
        </is>
      </c>
      <c r="E46" s="156" t="n">
        <v>542.8</v>
      </c>
      <c r="F46" s="156" t="n"/>
      <c r="G46" s="159">
        <f>C46*E46</f>
        <v/>
      </c>
    </row>
    <row r="47" ht="28.5" customFormat="1" customHeight="1" s="88">
      <c r="A47" s="156" t="n">
        <v>41.4</v>
      </c>
      <c r="B47" s="176" t="inlineStr">
        <is>
          <t>Providing and fixing Square bars or other flat welded to window, ventilators etc.</t>
        </is>
      </c>
      <c r="C47" s="157" t="n">
        <v>579.6</v>
      </c>
      <c r="D47" s="158" t="inlineStr">
        <is>
          <t>Kg</t>
        </is>
      </c>
      <c r="E47" s="156" t="n">
        <v>73.59999999999999</v>
      </c>
      <c r="F47" s="156" t="n"/>
      <c r="G47" s="159">
        <f>C47*E47</f>
        <v/>
      </c>
      <c r="H47" s="91" t="n"/>
    </row>
    <row r="48" ht="42.75" customFormat="1" customHeight="1" s="88">
      <c r="A48" s="156" t="n">
        <v>42.55</v>
      </c>
      <c r="B48" s="176" t="inlineStr">
        <is>
          <t>Providing batta (gola) 75mm x 75mm in cement concrete (1:2:4) including finished with cement mortar 1:3 as per standard design.</t>
        </is>
      </c>
      <c r="C48" s="157" t="n">
        <v>874</v>
      </c>
      <c r="D48" s="158" t="inlineStr">
        <is>
          <t>Mtr</t>
        </is>
      </c>
      <c r="E48" s="156" t="n">
        <v>35.65</v>
      </c>
      <c r="F48" s="156" t="n"/>
      <c r="G48" s="159">
        <f>C48*E48</f>
        <v/>
      </c>
      <c r="H48" s="91" t="n"/>
    </row>
    <row r="49" ht="99.75" customHeight="1" s="72">
      <c r="A49" s="156" t="n">
        <v>43.7</v>
      </c>
      <c r="B49" s="176" t="inlineStr">
        <is>
          <t>Making khurras 450 x 450mm with average minimum thickness 50 mm cement concrete 1:2:4 over P.V.C. Sheet 1 Mtr. x 1 Mtr. x 40 micron finished with 12 mm cement plaster 1:3 and one coat of neat cement, rounding edges and making and finishing the out let complete.</t>
        </is>
      </c>
      <c r="C49" s="157" t="n">
        <v>144.9</v>
      </c>
      <c r="D49" s="158" t="inlineStr">
        <is>
          <t>Each</t>
        </is>
      </c>
      <c r="E49" s="156" t="n">
        <v>131.1</v>
      </c>
      <c r="F49" s="156" t="n"/>
      <c r="G49" s="159">
        <f>C49*E49</f>
        <v/>
      </c>
    </row>
    <row r="50" ht="128.25" customHeight="1" s="72">
      <c r="A50" s="156" t="n">
        <v>44.85</v>
      </c>
      <c r="B50" s="176" t="inlineStr">
        <is>
          <t>Providing &amp; laying broken glazed titles on roof ( broken glazed tiles  not less than 9 Kg/Sqm) on top of hot bitumen @ 1.7 Kg/Sqm. (1.40 Kg of  VG-40 (30/40 )grade and 0.30 Kg/Sqm. Of  VG-10 (80/100) grade) and joints filled with cement mortar 1 :2 (1 cement:2 marble dust mixed with water proofing compund all complete as per direction of Engineer-in-charge.</t>
        </is>
      </c>
      <c r="C50" s="157" t="n">
        <v>5037</v>
      </c>
      <c r="D50" s="158" t="inlineStr">
        <is>
          <t>Sqm</t>
        </is>
      </c>
      <c r="E50" s="156" t="n">
        <v>265.65</v>
      </c>
      <c r="F50" s="156" t="n"/>
      <c r="G50" s="159">
        <f>C50*E50</f>
        <v/>
      </c>
    </row>
    <row r="51" ht="409.5" customHeight="1" s="72">
      <c r="A51" s="156" t="n">
        <v>46</v>
      </c>
      <c r="B51" s="176" t="inlineStr">
        <is>
          <t>Providing and Fixing at all height all false ceiling of 12.5 mm thick tapered edge Gypsum board conforming to IS : 2095 including providing and fixing of frame work made of special section power pressed from M.S. sheet and galvanized in accordance with zine coating 600 as per IS : 277 and consisting of angle cleats of thick 25 mm wide x 16 mm thick with flanges of 22 mm and 37 mm at 1200 mm center to center one flange fixed to the ceiling with dash fastner 12.5 mm dia x 40 mm long with 6 mm dia bolts to the hangers of 25x25x5mm of required length, and other end of angle hanger being fixed with nut and bolts to G.I. channels 45 mm x 15 mm x 0.9 mm running at the rate of 1200 mm center to center to which the ceiling section 0.5 mm thick bottom wedge of 80 mm with tapered flanges of 26 mm each having clips of 10.5 mm at 450 mm center to center shall be fixed in a direction perpendicular to G.I. channel with connecting clips made out of 2.64mm dia x 230mm long  G.I. wire at every junction including fixing the gypsum board with ceiling section and perimeter channels 0.5mm thick 27 mm high having flanges of 20 mm and 30 mm long, the perimeter of ceiling fixed to wall / partition with the help of rawl plugs at 450 mm center to center with 25 mm long drive-all screws @ 230mm interval including jointing and fixing to a flush finish of tapered and square edges of gypsum board with recommended filler paper tapes, finisher and two coats of primer suitable for gypsum board as per manufactures specifications and also including the cost of making openings for right fittings, grills, diffusers, cutouts made with frame of perimeter channels suitably fixed all complete as per drawing and specifications and direction of the Engineer-in-charge but the excluding the cost of painting.</t>
        </is>
      </c>
      <c r="C51" s="157" t="n">
        <v>1381.15</v>
      </c>
      <c r="D51" s="158" t="inlineStr">
        <is>
          <t>Sqm</t>
        </is>
      </c>
      <c r="E51" s="156" t="n">
        <v>1132.75</v>
      </c>
      <c r="F51" s="156" t="n"/>
      <c r="G51" s="159">
        <f>C51*E51</f>
        <v/>
      </c>
    </row>
    <row r="52" ht="85.5" customHeight="1" s="72">
      <c r="A52" s="156" t="n">
        <v>47.15</v>
      </c>
      <c r="B52" s="176" t="inlineStr">
        <is>
          <t xml:space="preserve">Filling of sunk portion of roof with earthen pots of required height including filling voids with 1:2:4 light concrete, using brick bats complete leveling  and dressing the surface by 50mm thick cement concrete 1:2:4 as per specification. </t>
        </is>
      </c>
      <c r="C52" s="157" t="n">
        <v>124.2</v>
      </c>
      <c r="D52" s="158" t="inlineStr">
        <is>
          <t>Cum</t>
        </is>
      </c>
      <c r="E52" s="156" t="n">
        <v>1035</v>
      </c>
      <c r="F52" s="158" t="inlineStr">
        <is>
          <t>P Cum</t>
        </is>
      </c>
      <c r="G52" s="159">
        <f>C52*E52</f>
        <v/>
      </c>
    </row>
    <row r="53" ht="85.5" customHeight="1" s="72">
      <c r="A53" s="156" t="n">
        <v>48.3</v>
      </c>
      <c r="B53" s="176" t="inlineStr">
        <is>
          <t>Providing and laying Chequerred plain cement concrete embossed specially manufactured non-slipping tiles of approved make 20 mm thick laid on 20 mm thick bed of cement mortar 1:6 jointed with neat cement slurry complete.</t>
        </is>
      </c>
      <c r="C53" s="157" t="n">
        <v>282.9</v>
      </c>
      <c r="D53" s="158" t="inlineStr">
        <is>
          <t>Sqm</t>
        </is>
      </c>
      <c r="E53" s="156" t="n">
        <v>316.25</v>
      </c>
      <c r="F53" s="156" t="n"/>
      <c r="G53" s="159">
        <f>C53*E53</f>
        <v/>
      </c>
    </row>
    <row r="54" ht="85.5" customHeight="1" s="72">
      <c r="A54" s="156" t="n">
        <v>49.45</v>
      </c>
      <c r="B54" s="176" t="inlineStr">
        <is>
          <t>Polished Blue Kota Stone flooring skirting, laid over 20 mm thick base of C.M. 1:4 and jointed with grey cement slurry to match the shade of the slab including rubbing and polishing complete : For area of each slab up to 2001 to 5000  Sq. Cm : (A) 25 mm thick slab.</t>
        </is>
      </c>
      <c r="C54" s="157" t="n">
        <v>3004.95</v>
      </c>
      <c r="D54" s="158" t="inlineStr">
        <is>
          <t>Sqm</t>
        </is>
      </c>
      <c r="E54" s="156" t="n">
        <v>630.2</v>
      </c>
      <c r="F54" s="156" t="n"/>
      <c r="G54" s="159">
        <f>C54*E54</f>
        <v/>
      </c>
    </row>
    <row r="55" ht="99.75" customHeight="1" s="72">
      <c r="A55" s="156" t="n">
        <v>50.6</v>
      </c>
      <c r="B55" s="176" t="inlineStr">
        <is>
          <t>Polished Blue Kota Stone slab in steps, walls, pillars having fine machine cut edges laid on 12mm (Av.) thick cement mortar 1:3 and jointed with grey cement slurry mixed with pigment to match the shade of the slab, including rubbing and polishing complete : 25 mm thick slab area upto 901 to 2000  Sq.Cm.</t>
        </is>
      </c>
      <c r="C55" s="157" t="n">
        <v>80.5</v>
      </c>
      <c r="D55" s="158" t="inlineStr">
        <is>
          <t>Sqm</t>
        </is>
      </c>
      <c r="E55" s="156" t="n">
        <v>664.7</v>
      </c>
      <c r="F55" s="156" t="n"/>
      <c r="G55" s="159">
        <f>C55*E55</f>
        <v/>
      </c>
    </row>
    <row r="56" ht="28.5" customHeight="1" s="72">
      <c r="A56" s="156" t="n">
        <v>51.75</v>
      </c>
      <c r="B56" s="176" t="inlineStr">
        <is>
          <t>Random rubble dry stone Kharanja under floor.</t>
        </is>
      </c>
      <c r="C56" s="157" t="n">
        <v>670.45</v>
      </c>
      <c r="D56" s="158" t="inlineStr">
        <is>
          <t>Cum</t>
        </is>
      </c>
      <c r="E56" s="156" t="n">
        <v>523.25</v>
      </c>
      <c r="F56" s="158" t="inlineStr">
        <is>
          <t>P Cum</t>
        </is>
      </c>
      <c r="G56" s="159">
        <f>C56*E56</f>
        <v/>
      </c>
    </row>
    <row r="57" ht="42.75" customHeight="1" s="72">
      <c r="A57" s="156" t="n">
        <v>52.9</v>
      </c>
      <c r="B57" s="176" t="inlineStr">
        <is>
          <t>Applying plaster of Paris or lime putty sandala (Bhilwara Practice) over cement plaster surface for making even surface.</t>
        </is>
      </c>
      <c r="C57" s="157" t="n">
        <v>7981</v>
      </c>
      <c r="D57" s="158" t="inlineStr">
        <is>
          <t>Sqm</t>
        </is>
      </c>
      <c r="E57" s="156" t="n">
        <v>124.2</v>
      </c>
      <c r="F57" s="156" t="n"/>
      <c r="G57" s="159">
        <f>C57*E57</f>
        <v/>
      </c>
    </row>
    <row r="58" ht="42.75" customHeight="1" s="72">
      <c r="A58" s="156" t="n">
        <v>54.05</v>
      </c>
      <c r="B58" s="176" t="inlineStr">
        <is>
          <t>Plaster on new surface on walls in cement sand mortar 1:6 including racking of joint etc. complete fine finished:  20 mm thick.</t>
        </is>
      </c>
      <c r="C58" s="157" t="n">
        <v>26528.2</v>
      </c>
      <c r="D58" s="158" t="inlineStr">
        <is>
          <t>Sqm</t>
        </is>
      </c>
      <c r="E58" s="156" t="n">
        <v>96.59999999999999</v>
      </c>
      <c r="F58" s="156" t="n"/>
      <c r="G58" s="159">
        <f>C58*E58</f>
        <v/>
      </c>
    </row>
    <row r="59" ht="57" customHeight="1" s="72">
      <c r="A59" s="156" t="n">
        <v>55.2</v>
      </c>
      <c r="B59" s="176" t="inlineStr">
        <is>
          <t>Add extra over item No. 12.1 to 12.12 for plaster work on exterior wall of height more than 4.5M. from plinth level of every additional height of 4.5 Mtr. or part thereof.</t>
        </is>
      </c>
      <c r="C59" s="157" t="n">
        <v>3936.45</v>
      </c>
      <c r="D59" s="158" t="inlineStr">
        <is>
          <t>Sqm</t>
        </is>
      </c>
      <c r="E59" s="156" t="n">
        <v>8.4</v>
      </c>
      <c r="F59" s="156" t="n"/>
      <c r="G59" s="159">
        <f>C59*E59</f>
        <v/>
      </c>
    </row>
    <row r="60" ht="28.5" customHeight="1" s="72">
      <c r="A60" s="156" t="n">
        <v>56.35</v>
      </c>
      <c r="B60" s="176" t="inlineStr">
        <is>
          <t>Making grooves as per design in plaster 10mm to 20mm wide.</t>
        </is>
      </c>
      <c r="C60" s="157" t="n">
        <v>2530</v>
      </c>
      <c r="D60" s="158" t="inlineStr">
        <is>
          <t>rmt</t>
        </is>
      </c>
      <c r="E60" s="156" t="n">
        <v>5</v>
      </c>
      <c r="F60" s="156" t="n"/>
      <c r="G60" s="159">
        <f>C60*E60</f>
        <v/>
      </c>
    </row>
    <row r="61" ht="42.75" customHeight="1" s="72">
      <c r="A61" s="156" t="n">
        <v>57.5</v>
      </c>
      <c r="B61" s="176" t="inlineStr">
        <is>
          <t xml:space="preserve">Providing and applying white cement based putty  over plastered surface to prepare the surface even and smooth complete  </t>
        </is>
      </c>
      <c r="C61" s="157" t="n">
        <v>20542.45</v>
      </c>
      <c r="D61" s="158" t="inlineStr">
        <is>
          <t>Sqm</t>
        </is>
      </c>
      <c r="E61" s="156" t="n">
        <v>82.8</v>
      </c>
      <c r="F61" s="156" t="n"/>
      <c r="G61" s="159">
        <f>C61*E61</f>
        <v/>
      </c>
    </row>
    <row r="62" ht="114" customHeight="1" s="72">
      <c r="A62" s="156" t="n">
        <v>58.65</v>
      </c>
      <c r="B62" s="176" t="inlineStr">
        <is>
          <t xml:space="preserve">Distempering with 1st quality acrylic washable distemper (ready mixed) of approved manufacturer and of required shade and colour completeincluding all scaffolding as per manufacturer's specification. 
Two or more coats on new work  including prepartion of base with primer, putty, lippy etc complete in all respect.  </t>
        </is>
      </c>
      <c r="C62" s="157" t="n">
        <v>20542.45</v>
      </c>
      <c r="D62" s="158" t="inlineStr">
        <is>
          <t>Sqm</t>
        </is>
      </c>
      <c r="E62" s="156" t="n">
        <v>35.65</v>
      </c>
      <c r="F62" s="156" t="n"/>
      <c r="G62" s="159">
        <f>C62*E62</f>
        <v/>
      </c>
    </row>
    <row r="63" ht="85.5" customHeight="1" s="72">
      <c r="A63" s="156" t="n">
        <v>59.8</v>
      </c>
      <c r="B63" s="176" t="inlineStr">
        <is>
          <t>Painting exterior surface of  Wall  with 100% acrylic exterior paint of approved brand and manufacture to give an even shade with two or more coats including prepartion of base with sand papering, primer, putty,  etc complete in all respect. New Work</t>
        </is>
      </c>
      <c r="C63" s="157" t="n">
        <v>7501.45</v>
      </c>
      <c r="D63" s="158" t="inlineStr">
        <is>
          <t>Sqm</t>
        </is>
      </c>
      <c r="E63" s="156" t="n">
        <v>98.90000000000001</v>
      </c>
      <c r="F63" s="156" t="n"/>
      <c r="G63" s="159">
        <f>C63*E63</f>
        <v/>
      </c>
    </row>
    <row r="64" ht="57" customHeight="1" s="72">
      <c r="A64" s="156" t="n">
        <v>60.95</v>
      </c>
      <c r="B64" s="176" t="inlineStr">
        <is>
          <t>Applying priming coat:  With ready mix pink or gray primer of approved brand and manufacture on wood work hard and soft wood.</t>
        </is>
      </c>
      <c r="C64" s="157" t="n">
        <v>874</v>
      </c>
      <c r="D64" s="158" t="inlineStr">
        <is>
          <t>Sqm</t>
        </is>
      </c>
      <c r="E64" s="156" t="n">
        <v>26.45</v>
      </c>
      <c r="F64" s="156" t="n"/>
      <c r="G64" s="159">
        <f>C64*E64</f>
        <v/>
      </c>
    </row>
    <row r="65" ht="42.75" customHeight="1" s="72">
      <c r="A65" s="156" t="n">
        <v>62.1</v>
      </c>
      <c r="B65" s="176" t="inlineStr">
        <is>
          <t>Painting with enamel paint of approved brand and manufacture to give an even shade:  Two or more coats on new work.</t>
        </is>
      </c>
      <c r="C65" s="157" t="n">
        <v>2118.3</v>
      </c>
      <c r="D65" s="158" t="inlineStr">
        <is>
          <t>Sqm</t>
        </is>
      </c>
      <c r="E65" s="156" t="n">
        <v>56.35</v>
      </c>
      <c r="F65" s="156" t="n"/>
      <c r="G65" s="159">
        <f>C65*E65</f>
        <v/>
      </c>
    </row>
    <row r="66" ht="42.75" customHeight="1" s="72">
      <c r="A66" s="156" t="n">
        <v>63.25</v>
      </c>
      <c r="B66" s="176" t="inlineStr">
        <is>
          <t>Providing &amp; fixing precast cement concrete coping 1:2:4 mix 50 mm thick complete as per specification :   --50mm--</t>
        </is>
      </c>
      <c r="C66" s="157" t="n">
        <v>936.1</v>
      </c>
      <c r="D66" s="158" t="inlineStr">
        <is>
          <t>Sqm</t>
        </is>
      </c>
      <c r="E66" s="156" t="n">
        <v>186.3</v>
      </c>
      <c r="F66" s="156" t="n"/>
      <c r="G66" s="159">
        <f>C66*E66</f>
        <v/>
      </c>
    </row>
    <row r="67" ht="71.25" customHeight="1" s="72">
      <c r="A67" s="156" t="n">
        <v>64.40000000000001</v>
      </c>
      <c r="B67" s="176" t="inlineStr">
        <is>
          <t>Grading roof water proofing treatment with : Cement concrete 1:2:4 (1-Cement:2-coarse sand :4-graded stone aggregate 20mm nominal size).with water proofing compound as per manufacturers specification</t>
        </is>
      </c>
      <c r="C67" s="157" t="n">
        <v>388.7</v>
      </c>
      <c r="D67" s="158" t="inlineStr">
        <is>
          <t>Cum</t>
        </is>
      </c>
      <c r="E67" s="156" t="n">
        <v>3869.75</v>
      </c>
      <c r="F67" s="158" t="inlineStr">
        <is>
          <t>P Cum</t>
        </is>
      </c>
      <c r="G67" s="159">
        <f>C67*E67</f>
        <v/>
      </c>
    </row>
    <row r="68" ht="57" customHeight="1" s="72">
      <c r="A68" s="156" t="n">
        <v>65.55</v>
      </c>
      <c r="B68" s="176" t="inlineStr">
        <is>
          <t xml:space="preserve">Providing and fixing expansion joint board for building RCC column beams, walls, slab of Polyethylene foam of density 30 to 35 Kg/m3 of Armour Board. 40 mm Thick </t>
        </is>
      </c>
      <c r="C68" s="157" t="n">
        <v>342.7</v>
      </c>
      <c r="D68" s="158" t="inlineStr">
        <is>
          <t>Sqm</t>
        </is>
      </c>
      <c r="E68" s="156" t="n">
        <v>868.25</v>
      </c>
      <c r="F68" s="156" t="n"/>
      <c r="G68" s="159">
        <f>C68*E68</f>
        <v/>
      </c>
    </row>
    <row r="69" ht="71.25" customHeight="1" s="72">
      <c r="A69" s="156" t="n">
        <v>66.7</v>
      </c>
      <c r="B69" s="176" t="inlineStr">
        <is>
          <t xml:space="preserve">Providing and fixing 150 mm wide sheet covering over expansion joints with iron screws as per design to match the colour / shade  of  wall treatment.       Aluminum fluted strips 2 mm thick       </t>
        </is>
      </c>
      <c r="C69" s="157" t="n">
        <v>97.75</v>
      </c>
      <c r="D69" s="158" t="inlineStr">
        <is>
          <t>Mtr</t>
        </is>
      </c>
      <c r="E69" s="156" t="n">
        <v>264.5</v>
      </c>
      <c r="F69" s="156" t="n"/>
      <c r="G69" s="159">
        <f>C69*E69</f>
        <v/>
      </c>
    </row>
    <row r="70" ht="42.75" customHeight="1" s="72">
      <c r="A70" s="156" t="n">
        <v>67.84999999999999</v>
      </c>
      <c r="B70" s="176" t="inlineStr">
        <is>
          <t>Providing and fixing in CM 1:4 double paitam (rebated) stone door window and ventilator frames of approved quarry : Size 125 x 75mm.</t>
        </is>
      </c>
      <c r="C70" s="157" t="n">
        <v>533.6</v>
      </c>
      <c r="D70" s="158" t="inlineStr">
        <is>
          <t>Mtr</t>
        </is>
      </c>
      <c r="E70" s="156" t="n">
        <v>141.45</v>
      </c>
      <c r="F70" s="156" t="n"/>
      <c r="G70" s="159">
        <f>C70*E70</f>
        <v/>
      </c>
    </row>
    <row r="71" ht="313.5" customHeight="1" s="72">
      <c r="A71" s="156" t="n">
        <v>69</v>
      </c>
      <c r="B71" s="176" t="inlineStr">
        <is>
          <t>Providing and laying water proofing treatment to vertical and horizontal surface of depressed portions of W.C. kitchen and the like consisting of.
1st course of applying cement slurry @ 4.4 Kg./sqm' mixed with water proofing compound 'Impermo' of Snowcem or equivalent conforming to IS : 2645 in recommended proportions.
IInd course of 20mm cement plaster 1:3 (1-Cement:3-coarse sand) mixed with water proofing compound in recommended proportion.
IIIrd course of applying blown or residual bitumen applied hot a 1.7 Kg. Sqm. of area.
Ivth course of 400 micron thick PVC sheet (Overlaps at joints of PVC sheet should be 100mm wide and pasted to each other with bitumen @ Kg/Sam.).</t>
        </is>
      </c>
      <c r="C71" s="157" t="n">
        <v>449.65</v>
      </c>
      <c r="D71" s="158" t="inlineStr">
        <is>
          <t>Sqm</t>
        </is>
      </c>
      <c r="E71" s="156" t="n">
        <v>311.65</v>
      </c>
      <c r="F71" s="156" t="n"/>
      <c r="G71" s="159">
        <f>C71*E71</f>
        <v/>
      </c>
    </row>
    <row r="72" ht="342" customHeight="1" s="72">
      <c r="A72" s="156" t="n">
        <v>70.15000000000001</v>
      </c>
      <c r="B72" s="176" t="inlineStr">
        <is>
          <t>P&amp;F APP (Atactic Polypropylene Polymer) modified free fabricated five layer 2mm thick water proofing membrance, black finished reinforced with glass fibre matt manufactured by Bitumat Company Ltd. Soprema or Tamkoj, consisting of a coat of bitumen primer for bitumen mebrance @ 0.40 Qtl/ sqm by the sub-membrance manufactured of density of 25 degree C, 0.87-0.89Kg/ ltr and viscosity 70-160 CPS over the primer coat the layer of membrance shall be laid using butancetorch also sealing all joints etc. and preparing the surface complete. The vital physically and chemical parameters of the mebrance shall be as under- Joint strength in longitudinal and transverse direction at 23 degree C as 350/300 N/5cm. Tear strength in longitudinal and transverse direction as 60/80N. Softening point of membrane not less than 150 Degree C. Cold flexibility shall be upto 2 C when tested in accordance with ASTM, D-5147 (The laying of mebrane shall be got done through the authorized applicator of the manufacture of membrane). 2mm (for corrugated roof sheets)</t>
        </is>
      </c>
      <c r="C72" s="157" t="n">
        <v>5037</v>
      </c>
      <c r="D72" s="158" t="inlineStr">
        <is>
          <t>Sqm</t>
        </is>
      </c>
      <c r="E72" s="156" t="n">
        <v>356.5</v>
      </c>
      <c r="F72" s="156" t="n"/>
      <c r="G72" s="159">
        <f>C72*E72</f>
        <v/>
      </c>
    </row>
    <row r="73" ht="99.75" customHeight="1" s="72">
      <c r="A73" s="156" t="n">
        <v>71.3</v>
      </c>
      <c r="B73" s="176" t="inlineStr">
        <is>
          <t>Extra for covering top membrane with Geotextile, 120gsm non woven, 100 % polyester of thickness 1 to 1.25mm bonded to the membrane with intermittent touch by heating the membrane by Butane Torch as per manufactures recommendation [for Item No. 15.53 to 15.55].</t>
        </is>
      </c>
      <c r="C73" s="157" t="n">
        <v>5037</v>
      </c>
      <c r="D73" s="158" t="inlineStr">
        <is>
          <t>Sqm</t>
        </is>
      </c>
      <c r="E73" s="156" t="n">
        <v>50.6</v>
      </c>
      <c r="F73" s="156" t="n"/>
      <c r="G73" s="159">
        <f>C73*E73</f>
        <v/>
      </c>
    </row>
    <row r="74" ht="313.5" customHeight="1" s="72">
      <c r="A74" s="156" t="n">
        <v>72.45</v>
      </c>
      <c r="B74" s="176" t="inlineStr">
        <is>
          <t xml:space="preserve">Providing &amp; fixing anodizing alumium work (Anodizing to be got done from approved Anodizer) for doors, windows, ventilators and partition with extruded built up standard tubular and other sections of approved make confirming to IS : 733 and IS : 1285 anodised transparent 81 dyed to required shade according to IS : 1868 (Minimum anodic coating of grade AC 15), fixed with rawl plugs and screws or with fixing clips or with expansion hold fasteners including necessary filling up of gas at junctions, at top, bottom and sides with required PVC/neoprene felt etc. Aluminium section shall be smooth, rust free, straight, mitred and jointed mechanically wherever required inlcuding cleat angle Aluminum snap beading for glazing/paneling, C.P. Brass/ Stainless Steel screws, Al. Tower bolt &amp; Al. handle &amp; Al. Aldrop etc. all complete as per architectural drawings and the directions of Engineer-in-charge. (Glazing and peneling to be paid for separately).  </t>
        </is>
      </c>
      <c r="C74" s="157" t="n"/>
      <c r="D74" s="158" t="n"/>
      <c r="E74" s="156" t="n"/>
      <c r="F74" s="156" t="n"/>
      <c r="G74" s="159">
        <f>C74*E74</f>
        <v/>
      </c>
    </row>
    <row r="75">
      <c r="A75" s="156" t="n">
        <v>72.56</v>
      </c>
      <c r="B75" s="176" t="inlineStr">
        <is>
          <t xml:space="preserve">For Fixed portion </t>
        </is>
      </c>
      <c r="C75" s="157" t="n">
        <v>696.9</v>
      </c>
      <c r="D75" s="158" t="inlineStr">
        <is>
          <t>Kg</t>
        </is>
      </c>
      <c r="E75" s="156" t="n">
        <v>415.15</v>
      </c>
      <c r="F75" s="156" t="n"/>
      <c r="G75" s="159">
        <f>C75*E75</f>
        <v/>
      </c>
    </row>
    <row r="76" ht="71.25" customHeight="1" s="72">
      <c r="A76" s="156" t="n">
        <v>72.68000000000001</v>
      </c>
      <c r="B76" s="176" t="inlineStr">
        <is>
          <t>For shutters of doors, windows &amp; ventilators incl. providing and fixing hinges/ rollers etc. and making provision for fixing of fittings wherever reqd. (lockes shall be paid for separately).</t>
        </is>
      </c>
      <c r="C76" s="157" t="n">
        <v>5224.45</v>
      </c>
      <c r="D76" s="158" t="inlineStr">
        <is>
          <t>Kg</t>
        </is>
      </c>
      <c r="E76" s="156" t="n">
        <v>477.25</v>
      </c>
      <c r="F76" s="156" t="n"/>
      <c r="G76" s="159">
        <f>C76*E76</f>
        <v/>
      </c>
    </row>
    <row r="77" ht="128.25" customHeight="1" s="72">
      <c r="A77" s="156" t="n">
        <v>73.59999999999999</v>
      </c>
      <c r="B77" s="176" t="inlineStr">
        <is>
          <t>Providing and Fixing 12mm thick prelaminated three layer medium density (exterior grade) particle bonded formaldehyde synthetic resin of approved brand and manufacture in paneling fixed in aluminium doors, windows/ stainless steel screws etc. complete as per architectural drawings and direction of engineer-in-charge. Pre-laminated particle board with decorative lamination on both side.</t>
        </is>
      </c>
      <c r="C77" s="157" t="n">
        <v>128.8</v>
      </c>
      <c r="D77" s="158" t="inlineStr">
        <is>
          <t>Sqm</t>
        </is>
      </c>
      <c r="E77" s="156" t="n">
        <v>1131.6</v>
      </c>
      <c r="F77" s="156" t="n"/>
      <c r="G77" s="159">
        <f>C77*E77</f>
        <v/>
      </c>
    </row>
    <row r="78" ht="128.25" customHeight="1" s="72">
      <c r="A78" s="156" t="n">
        <v>74.75</v>
      </c>
      <c r="B78" s="176" t="inlineStr">
        <is>
          <t>Providing and fixing glazing in aluminium door, window, vintilator shutters and partitions etc. with PVS/ neoprene gasket etc. complete as per the architectural drawings and the directions of engineer-in-charge (Cost. of aluminium snap beading shall be paid in basic item.) with glass panes of 5.0mm thickness (weight not less than 13.75 Kg/Sqm) as per IS : 2835</t>
        </is>
      </c>
      <c r="C78" s="157" t="n">
        <v>860.2</v>
      </c>
      <c r="D78" s="158" t="inlineStr">
        <is>
          <t>Sqm</t>
        </is>
      </c>
      <c r="E78" s="156" t="n">
        <v>772.8</v>
      </c>
      <c r="F78" s="156" t="n"/>
      <c r="G78" s="159">
        <f>C78*E78</f>
        <v/>
      </c>
    </row>
    <row r="79" ht="114" customHeight="1" s="72">
      <c r="A79" s="156" t="n">
        <v>75.90000000000001</v>
      </c>
      <c r="B79" s="176" t="inlineStr">
        <is>
          <t>P&amp;F double action hydraulic floor spring of approved brand and manufacture to aluminium door shutter confirming to IS : 6315 incl. costof cutting floors as reqd. embedding in floor and cover plate etc. complte as per direction of Engineer in charge. Approved brand like Hardwin Euro superior quality or equivalent for extra heavy doors.</t>
        </is>
      </c>
      <c r="C79" s="157" t="n">
        <v>62.1</v>
      </c>
      <c r="D79" s="158" t="inlineStr">
        <is>
          <t>Each</t>
        </is>
      </c>
      <c r="E79" s="156" t="n">
        <v>2336.8</v>
      </c>
      <c r="F79" s="156" t="n"/>
      <c r="G79" s="159">
        <f>C79*E79</f>
        <v/>
      </c>
    </row>
    <row r="80" ht="114" customHeight="1" s="72">
      <c r="A80" s="156" t="n">
        <v>77.05</v>
      </c>
      <c r="B80" s="176" t="inlineStr">
        <is>
          <t>P&amp;F expanded grill made of anodised aluminium as per desing and drawing having members section of size 7.5mm x 6.0mm and opening of size 102mm x 99mm to aluminium window/ vent with reqd. screws, Y and H aluminium sec (as per drawing) at the ends and middle joints respectively complete in all respect as per direction of engineer in charge.</t>
        </is>
      </c>
      <c r="C80" s="157" t="n">
        <v>570.4</v>
      </c>
      <c r="D80" s="158" t="inlineStr">
        <is>
          <t>Sqm</t>
        </is>
      </c>
      <c r="E80" s="156" t="n">
        <v>2001</v>
      </c>
      <c r="F80" s="156" t="n"/>
      <c r="G80" s="159">
        <f>C80*E80</f>
        <v/>
      </c>
    </row>
    <row r="81" ht="42.75" customHeight="1" s="72">
      <c r="A81" s="156" t="n">
        <v>78.2</v>
      </c>
      <c r="B81" s="176" t="inlineStr">
        <is>
          <t>Providing and fixing brass lock without handle for aluminium door, or approved quality, make &amp; design as directed by Engineer inc harge</t>
        </is>
      </c>
      <c r="C81" s="157" t="n">
        <v>62.1</v>
      </c>
      <c r="D81" s="158" t="inlineStr">
        <is>
          <t>Each</t>
        </is>
      </c>
      <c r="E81" s="156" t="n">
        <v>394.45</v>
      </c>
      <c r="F81" s="156" t="n"/>
      <c r="G81" s="159">
        <f>C81*E81</f>
        <v/>
      </c>
    </row>
    <row r="82" ht="57" customHeight="1" s="72">
      <c r="A82" s="156" t="n">
        <v>79.34999999999999</v>
      </c>
      <c r="B82" s="176" t="inlineStr">
        <is>
          <t>Polyester powder coating and electro colouring in various colour and shade approved by Engineer incharge (for item No.16.1.1) Section 63.00 x 38.00mm</t>
        </is>
      </c>
      <c r="C82" s="157" t="n">
        <v>696.9</v>
      </c>
      <c r="D82" s="158" t="inlineStr">
        <is>
          <t>Rmt</t>
        </is>
      </c>
      <c r="E82" s="156" t="n">
        <v>55.2</v>
      </c>
      <c r="F82" s="156" t="n"/>
      <c r="G82" s="159">
        <f>C82*E82</f>
        <v/>
      </c>
    </row>
    <row r="83" ht="42.75" customHeight="1" s="72">
      <c r="A83" s="156" t="n">
        <v>80.5</v>
      </c>
      <c r="B83" s="176" t="inlineStr">
        <is>
          <t xml:space="preserve">Polyster powder coating and electro colouring in various and shade approved by Engineer-in-charge </t>
        </is>
      </c>
      <c r="C83" s="157" t="n">
        <v>860.2</v>
      </c>
      <c r="D83" s="158" t="inlineStr">
        <is>
          <t>Sqm</t>
        </is>
      </c>
      <c r="E83" s="156" t="n">
        <v>356.5</v>
      </c>
      <c r="F83" s="156" t="n"/>
      <c r="G83" s="159">
        <f>C83*E83</f>
        <v/>
      </c>
    </row>
    <row r="84" ht="71.25" customHeight="1" s="72">
      <c r="A84" s="156" t="n">
        <v>81.65000000000001</v>
      </c>
      <c r="B84" s="176" t="inlineStr">
        <is>
          <t>S &amp; F fixed wire gauge of stainless steel of 14 mesh x 24 gauge to the aluminimum window by Aluminium beading 20x3mm with suitable screws at not exceeding 150 mm distance at all heights with all lead and left with scafolding</t>
        </is>
      </c>
      <c r="C84" s="157" t="n">
        <v>860.2</v>
      </c>
      <c r="D84" s="158" t="inlineStr">
        <is>
          <t>Sqm</t>
        </is>
      </c>
      <c r="E84" s="156" t="n">
        <v>680.8</v>
      </c>
      <c r="F84" s="156" t="n"/>
      <c r="G84" s="159">
        <f>C84*E84</f>
        <v/>
      </c>
    </row>
    <row r="85" ht="57" customHeight="1" s="72">
      <c r="A85" s="156" t="n">
        <v>82.8</v>
      </c>
      <c r="B85" s="176" t="inlineStr">
        <is>
          <t>Providing and fixing expansion joint board for building RCC column beams, walls, slab of Polyethylene foam of density 30 to 35 Kg/m3 of Armour Board. 20 mm thick</t>
        </is>
      </c>
      <c r="C85" s="157" t="n">
        <v>9</v>
      </c>
      <c r="D85" s="158" t="inlineStr">
        <is>
          <t>Sqm</t>
        </is>
      </c>
      <c r="E85" s="156" t="n">
        <v>515.2</v>
      </c>
      <c r="F85" s="156" t="n"/>
      <c r="G85" s="159">
        <f>C85*E85</f>
        <v/>
      </c>
    </row>
    <row r="86" ht="28.5" customHeight="1" s="72">
      <c r="A86" s="156" t="n">
        <v>83.95</v>
      </c>
      <c r="B86" s="176" t="inlineStr">
        <is>
          <t>Providing and fixing in position copper plate as per design for expansion joints.</t>
        </is>
      </c>
      <c r="C86" s="157" t="n">
        <v>138</v>
      </c>
      <c r="D86" s="158" t="inlineStr">
        <is>
          <t>Kg</t>
        </is>
      </c>
      <c r="E86" s="156" t="n">
        <v>584.2</v>
      </c>
      <c r="F86" s="156" t="n"/>
      <c r="G86" s="159">
        <f>C86*E86</f>
        <v/>
      </c>
    </row>
    <row r="87" ht="71.25" customHeight="1" s="72">
      <c r="A87" s="156" t="n">
        <v>85.09999999999999</v>
      </c>
      <c r="B87" s="176" t="inlineStr">
        <is>
          <t>Providing and fixing Aluminium sheet 2.00 mm thick and 150 mm wide over expansion joint with fixing rowl plug and aluminium screws as per designs to match the colour shade of the distemper or wall treatment.</t>
        </is>
      </c>
      <c r="C87" s="157" t="n">
        <v>46.69</v>
      </c>
      <c r="D87" s="158" t="inlineStr">
        <is>
          <t>Mtr</t>
        </is>
      </c>
      <c r="E87" s="156" t="n">
        <v>264.5</v>
      </c>
      <c r="F87" s="156" t="n"/>
      <c r="G87" s="159">
        <f>C87*E87</f>
        <v/>
      </c>
    </row>
    <row r="88" ht="28.5" customHeight="1" s="72">
      <c r="A88" s="156" t="n">
        <v>86.25</v>
      </c>
      <c r="B88" s="176" t="inlineStr">
        <is>
          <t>6 mm cement plaster to ceiling of mix 1 : 3 ( 1 cement : 3 fine - sand )</t>
        </is>
      </c>
      <c r="C88" s="157" t="n">
        <v>4137.7</v>
      </c>
      <c r="D88" s="158" t="inlineStr">
        <is>
          <t>Sqm</t>
        </is>
      </c>
      <c r="E88" s="156" t="n">
        <v>103.5</v>
      </c>
      <c r="F88" s="156" t="n"/>
      <c r="G88" s="159">
        <f>C88*E88</f>
        <v/>
      </c>
    </row>
    <row r="89" ht="71.25" customHeight="1" s="72">
      <c r="A89" s="156" t="n">
        <v>87.40000000000001</v>
      </c>
      <c r="B89" s="176" t="inlineStr">
        <is>
          <t>P &amp; F Indian type white glazed vitreous china Ist quality W.C. orissa pan (IS:2556 Mark) with 100 mm vitreous china P or S trap including cutting and making good the wall and floor : Size 580x440 mm.</t>
        </is>
      </c>
      <c r="C89" s="157" t="n">
        <v>14.95</v>
      </c>
      <c r="D89" s="158" t="inlineStr">
        <is>
          <t>Each</t>
        </is>
      </c>
      <c r="E89" s="156" t="n">
        <v>1657.15</v>
      </c>
      <c r="F89" s="156" t="n"/>
      <c r="G89" s="159">
        <f>C89*E89</f>
        <v/>
      </c>
    </row>
    <row r="90" ht="57" customHeight="1" s="72">
      <c r="A90" s="156" t="n">
        <v>88.55</v>
      </c>
      <c r="B90" s="176" t="inlineStr">
        <is>
          <t>P&amp;F European type white glazed vitreous china 1st quality WC pan (IS:2556 Mark) with P or S trap including cutting and making good the wall and floor.</t>
        </is>
      </c>
      <c r="C90" s="157" t="n">
        <v>42.55</v>
      </c>
      <c r="D90" s="158" t="inlineStr">
        <is>
          <t>Each</t>
        </is>
      </c>
      <c r="E90" s="156" t="n">
        <v>1403</v>
      </c>
      <c r="F90" s="156" t="n"/>
      <c r="G90" s="159">
        <f>C90*E90</f>
        <v/>
      </c>
    </row>
    <row r="91" ht="42.75" customHeight="1" s="72">
      <c r="A91" s="156" t="n">
        <v>89.7</v>
      </c>
      <c r="B91" s="176" t="inlineStr">
        <is>
          <t>P&amp;F water closet Seat Covers with brass hinges complete : Solid PVC (ISM marked) grade-I White for EWC.</t>
        </is>
      </c>
      <c r="C91" s="157" t="n">
        <v>42.55</v>
      </c>
      <c r="D91" s="158" t="inlineStr">
        <is>
          <t>Each</t>
        </is>
      </c>
      <c r="E91" s="156" t="n">
        <v>759</v>
      </c>
      <c r="F91" s="156" t="n"/>
      <c r="G91" s="159">
        <f>C91*E91</f>
        <v/>
      </c>
    </row>
    <row r="92" ht="71.25" customHeight="1" s="72">
      <c r="A92" s="156" t="n">
        <v>90.84999999999999</v>
      </c>
      <c r="B92" s="176" t="inlineStr">
        <is>
          <t>P &amp; F Ist quality WVC Urinal (IS:2556 mark) with 25 mm dia G.I. waste pipe, dome couplings, concealed iron brackets or screws etc. complete. Flat Back (large) or half stall size 610x400x80mm.</t>
        </is>
      </c>
      <c r="C92" s="157" t="n">
        <v>12.65</v>
      </c>
      <c r="D92" s="158" t="inlineStr">
        <is>
          <t>Each</t>
        </is>
      </c>
      <c r="E92" s="156" t="n">
        <v>2894.55</v>
      </c>
      <c r="F92" s="156" t="n"/>
      <c r="G92" s="159">
        <f>C92*E92</f>
        <v/>
      </c>
    </row>
    <row r="93" ht="42.75" customHeight="1" s="72">
      <c r="A93" s="156" t="n">
        <v>92</v>
      </c>
      <c r="B93" s="176" t="inlineStr">
        <is>
          <t>P &amp; F W.V.C. Urinal Partition plate of approved standard make of size 630x315 mm including making good the wall.</t>
        </is>
      </c>
      <c r="C93" s="157" t="n">
        <v>7</v>
      </c>
      <c r="D93" s="158" t="inlineStr">
        <is>
          <t>Each</t>
        </is>
      </c>
      <c r="E93" s="156" t="n">
        <v>828</v>
      </c>
      <c r="F93" s="156" t="n"/>
      <c r="G93" s="159">
        <f>C93*E93</f>
        <v/>
      </c>
    </row>
    <row r="94" ht="42.75" customHeight="1" s="72">
      <c r="A94" s="156" t="n">
        <v>93.15000000000001</v>
      </c>
      <c r="B94" s="176" t="inlineStr">
        <is>
          <t>P &amp; F W.V.C. Half-Round Channel of approved make in C.M.1:3 joints finished in white cement of : Size 100 mm dia.</t>
        </is>
      </c>
      <c r="C94" s="157" t="n">
        <v>8</v>
      </c>
      <c r="D94" s="158" t="inlineStr">
        <is>
          <t>Mtr</t>
        </is>
      </c>
      <c r="E94" s="156" t="n">
        <v>644</v>
      </c>
      <c r="F94" s="156" t="n"/>
      <c r="G94" s="159">
        <f>C94*E94</f>
        <v/>
      </c>
    </row>
    <row r="95" ht="99.75" customHeight="1" s="72">
      <c r="A95" s="156" t="n">
        <v>94.3</v>
      </c>
      <c r="B95" s="176" t="inlineStr">
        <is>
          <t>P&amp;F Low level Flushing Cistern of 10 liters capacity (IS:2556 mark) of approved make with complete fittings C.I. brackets duly painted, brass ball cock with ball (IS: 1703 mark) complete including cutting and making good the wall. PVC with PVC bend as per IS:7231</t>
        </is>
      </c>
      <c r="C95" s="157" t="n">
        <v>55.2</v>
      </c>
      <c r="D95" s="158" t="inlineStr">
        <is>
          <t>Each</t>
        </is>
      </c>
      <c r="E95" s="156" t="n">
        <v>1380</v>
      </c>
      <c r="F95" s="156" t="n"/>
      <c r="G95" s="159">
        <f>C95*E95</f>
        <v/>
      </c>
    </row>
    <row r="96" ht="42.75" customHeight="1" s="72">
      <c r="A96" s="156" t="n">
        <v>95.45</v>
      </c>
      <c r="B96" s="176" t="inlineStr">
        <is>
          <t>P &amp; F C.P. brass Urinal Flush pipe set complete with flanged brackets of approved make. For 3 Urinals.</t>
        </is>
      </c>
      <c r="C96" s="157" t="n">
        <v>4</v>
      </c>
      <c r="D96" s="158" t="inlineStr">
        <is>
          <t>Each</t>
        </is>
      </c>
      <c r="E96" s="156" t="n">
        <v>1288</v>
      </c>
      <c r="F96" s="156" t="n"/>
      <c r="G96" s="159">
        <f>C96*E96</f>
        <v/>
      </c>
    </row>
    <row r="97" ht="28.5" customHeight="1" s="72">
      <c r="A97" s="156" t="n">
        <v>96.59999999999999</v>
      </c>
      <c r="B97" s="176" t="inlineStr">
        <is>
          <t xml:space="preserve">P &amp; F C.I. brackets duly painted including cutting &amp; making good the wall. </t>
        </is>
      </c>
      <c r="C97" s="157" t="n">
        <v>69</v>
      </c>
      <c r="D97" s="158" t="inlineStr">
        <is>
          <t>Each</t>
        </is>
      </c>
      <c r="E97" s="156" t="n">
        <v>161</v>
      </c>
      <c r="F97" s="156" t="n"/>
      <c r="G97" s="159">
        <f>C97*E97</f>
        <v/>
      </c>
    </row>
    <row r="98" ht="99.75" customHeight="1" s="72">
      <c r="A98" s="156" t="n">
        <v>97.75</v>
      </c>
      <c r="B98" s="176" t="inlineStr">
        <is>
          <t>P&amp;F WVC wash basin (1st quality IS:2556 Mark) of approved make with C.I. brackets duly painted, I No. 15mm C.P. Pillar cock (IS:8934 Mark) &amp; 32 mm C.P. brass waste coupling of approved make, 25mmG.I. waste pipe complete including cutting &amp; making good the wall: Size 550mm x 400mm</t>
        </is>
      </c>
      <c r="C98" s="157" t="n">
        <v>69</v>
      </c>
      <c r="D98" s="158" t="inlineStr">
        <is>
          <t>Each</t>
        </is>
      </c>
      <c r="E98" s="156" t="n">
        <v>2018.25</v>
      </c>
      <c r="F98" s="156" t="n"/>
      <c r="G98" s="159">
        <f>C98*E98</f>
        <v/>
      </c>
    </row>
    <row r="99" ht="99.75" customHeight="1" s="72">
      <c r="A99" s="156" t="n">
        <v>98.90000000000001</v>
      </c>
      <c r="B99" s="176" t="inlineStr">
        <is>
          <t>P&amp;F Kitchen &amp; Lab. Sink of approved make with C.I. brackets duly painted, 40mm C.P. waste coupling, C.P. Brass chain with rubber plug, 40mm G.I. waste pipe up-to floor level complete including cutting and making good the wall &amp; floor. Fire clay glazed kitchen sink (IS Marked) size 600x450x250 mm.</t>
        </is>
      </c>
      <c r="C99" s="157" t="n">
        <v>3</v>
      </c>
      <c r="D99" s="158" t="inlineStr">
        <is>
          <t>Each</t>
        </is>
      </c>
      <c r="E99" s="156" t="n">
        <v>4121.6</v>
      </c>
      <c r="F99" s="156" t="n"/>
      <c r="G99" s="159">
        <f>C99*E99</f>
        <v/>
      </c>
    </row>
    <row r="100" ht="28.5" customHeight="1" s="72">
      <c r="A100" s="156" t="n">
        <v>100.05</v>
      </c>
      <c r="B100" s="176" t="inlineStr">
        <is>
          <t>P&amp; F waste Coulping with fittings of approved quality /make: C.P Brass 40 mm dia</t>
        </is>
      </c>
      <c r="C100" s="157" t="n">
        <v>70.15000000000001</v>
      </c>
      <c r="D100" s="158" t="inlineStr">
        <is>
          <t>Each</t>
        </is>
      </c>
      <c r="E100" s="156" t="n">
        <v>230</v>
      </c>
      <c r="F100" s="156" t="n"/>
      <c r="G100" s="159">
        <f>C100*E100</f>
        <v/>
      </c>
    </row>
    <row r="101" ht="71.25" customHeight="1" s="72">
      <c r="A101" s="156" t="n">
        <v>101.2</v>
      </c>
      <c r="B101" s="176" t="inlineStr">
        <is>
          <t>P&amp;F Beveled edge Mirror of special glass of approved make  (Atul/equivalent) complete with 6mm thick asbestos cement sheet ground fixed to wooden screws &amp; washers. Size 600x450x4mm thick</t>
        </is>
      </c>
      <c r="C101" s="157" t="n">
        <v>69</v>
      </c>
      <c r="D101" s="158" t="inlineStr">
        <is>
          <t>Each</t>
        </is>
      </c>
      <c r="E101" s="156" t="n">
        <v>371.45</v>
      </c>
      <c r="F101" s="156" t="n"/>
      <c r="G101" s="159">
        <f>C101*E101</f>
        <v/>
      </c>
    </row>
    <row r="102" ht="42.75" customHeight="1" s="72">
      <c r="A102" s="156" t="n">
        <v>102.35</v>
      </c>
      <c r="B102" s="176" t="inlineStr">
        <is>
          <t>P&amp;F Towel Rail or Ring of approved quality/make:- C.P. Brass Towel Ring revolving type.</t>
        </is>
      </c>
      <c r="C102" s="157" t="n">
        <v>74.75</v>
      </c>
      <c r="D102" s="158" t="inlineStr">
        <is>
          <t>Each</t>
        </is>
      </c>
      <c r="E102" s="156" t="n">
        <v>270.25</v>
      </c>
      <c r="F102" s="156" t="n"/>
      <c r="G102" s="159">
        <f>C102*E102</f>
        <v/>
      </c>
    </row>
    <row r="103" ht="57" customHeight="1" s="72">
      <c r="A103" s="156" t="n">
        <v>103.5</v>
      </c>
      <c r="B103" s="176" t="inlineStr">
        <is>
          <t>P &amp; F G.I. Pipes (Internal work) with G.I. fittings (IS:1239 Mark) &amp; M.S. clamps including cutting and making good the walls and floors : 'B' Class 15 mm dia nominal bore.</t>
        </is>
      </c>
      <c r="C103" s="157" t="n">
        <v>230</v>
      </c>
      <c r="D103" s="158" t="inlineStr">
        <is>
          <t>Rmt</t>
        </is>
      </c>
      <c r="E103" s="156" t="n">
        <v>185.15</v>
      </c>
      <c r="F103" s="156" t="n"/>
      <c r="G103" s="159">
        <f>C103*E103</f>
        <v/>
      </c>
    </row>
    <row r="104" ht="57" customHeight="1" s="72">
      <c r="A104" s="156" t="n">
        <v>104.65</v>
      </c>
      <c r="B104" s="176" t="inlineStr">
        <is>
          <t>P &amp; F G.I. Pipes (Internal work) with G.I. fittings (IS:1239 Mark) &amp; M.S. clamps including cutting and making good the walls and floors : 'B' Class        25 mm dia nominal bore.</t>
        </is>
      </c>
      <c r="C104" s="157" t="n">
        <v>345</v>
      </c>
      <c r="D104" s="158" t="inlineStr">
        <is>
          <t>Rmt</t>
        </is>
      </c>
      <c r="E104" s="156" t="n">
        <v>308.2</v>
      </c>
      <c r="F104" s="156" t="n"/>
      <c r="G104" s="159">
        <f>C104*E104</f>
        <v/>
      </c>
    </row>
    <row r="105" ht="42.75" customHeight="1" s="72">
      <c r="A105" s="156" t="n">
        <v>105.8</v>
      </c>
      <c r="B105" s="176" t="inlineStr">
        <is>
          <t>P&amp;F G.I. Pipes (External work) with G.I. fittings (IS:1239 Mark) including trenching &amp;refilling earth etc.' B ' Class</t>
        </is>
      </c>
      <c r="C105" s="157" t="n"/>
      <c r="D105" s="158" t="n"/>
      <c r="E105" s="156" t="n"/>
      <c r="F105" s="156" t="n"/>
      <c r="G105" s="159">
        <f>C105*E105</f>
        <v/>
      </c>
    </row>
    <row r="106">
      <c r="A106" s="156" t="n">
        <v>105.91</v>
      </c>
      <c r="B106" s="176" t="inlineStr">
        <is>
          <t>15mm dia nominal bore</t>
        </is>
      </c>
      <c r="C106" s="157" t="n">
        <v>115</v>
      </c>
      <c r="D106" s="158" t="inlineStr">
        <is>
          <t>Rmt</t>
        </is>
      </c>
      <c r="E106" s="156" t="n">
        <v>185.15</v>
      </c>
      <c r="F106" s="156" t="n"/>
      <c r="G106" s="159">
        <f>C106*E106</f>
        <v/>
      </c>
    </row>
    <row r="107">
      <c r="A107" s="156" t="n">
        <v>106.03</v>
      </c>
      <c r="B107" s="176" t="inlineStr">
        <is>
          <t>25mm dia nominal bore</t>
        </is>
      </c>
      <c r="C107" s="157" t="n">
        <v>575</v>
      </c>
      <c r="D107" s="158" t="inlineStr">
        <is>
          <t>Rmt</t>
        </is>
      </c>
      <c r="E107" s="156" t="n">
        <v>288.65</v>
      </c>
      <c r="F107" s="156" t="n"/>
      <c r="G107" s="159">
        <f>C107*E107</f>
        <v/>
      </c>
    </row>
    <row r="108">
      <c r="A108" s="156" t="n">
        <v>106.14</v>
      </c>
      <c r="B108" s="176" t="inlineStr">
        <is>
          <t>32mm dia nominal bore</t>
        </is>
      </c>
      <c r="C108" s="157" t="n">
        <v>920</v>
      </c>
      <c r="D108" s="158" t="inlineStr">
        <is>
          <t>Rmt</t>
        </is>
      </c>
      <c r="E108" s="156" t="n">
        <v>371.45</v>
      </c>
      <c r="F108" s="156" t="n"/>
      <c r="G108" s="159">
        <f>C108*E108</f>
        <v/>
      </c>
    </row>
    <row r="109">
      <c r="A109" s="156" t="n">
        <v>106.26</v>
      </c>
      <c r="B109" s="176" t="inlineStr">
        <is>
          <t>40mm dia nominal bore</t>
        </is>
      </c>
      <c r="C109" s="157" t="n">
        <v>1150</v>
      </c>
      <c r="D109" s="158" t="inlineStr">
        <is>
          <t>Rmt</t>
        </is>
      </c>
      <c r="E109" s="156" t="n">
        <v>519.8</v>
      </c>
      <c r="F109" s="156" t="n"/>
      <c r="G109" s="159">
        <f>C109*E109</f>
        <v/>
      </c>
    </row>
    <row r="110" ht="42.75" customHeight="1" s="72">
      <c r="A110" s="156" t="n">
        <v>106.95</v>
      </c>
      <c r="B110" s="176" t="inlineStr">
        <is>
          <t>Making connection of G.I. distribution branch with G.I. main including all fitting. Upto 25mm dia</t>
        </is>
      </c>
      <c r="C110" s="157" t="n">
        <v>4</v>
      </c>
      <c r="D110" s="158" t="inlineStr">
        <is>
          <t>Each</t>
        </is>
      </c>
      <c r="E110" s="156" t="n">
        <v>204.7</v>
      </c>
      <c r="F110" s="156" t="n"/>
      <c r="G110" s="159">
        <f>C110*E110</f>
        <v/>
      </c>
    </row>
    <row r="111" ht="42.75" customHeight="1" s="72">
      <c r="A111" s="156" t="n">
        <v>108.1</v>
      </c>
      <c r="B111" s="176" t="inlineStr">
        <is>
          <t>P&amp;F Bib Cock (IS:8931 Mark), Superior quality of approved make : C.P. Brass bib cock, 15mm nominal bore.</t>
        </is>
      </c>
      <c r="C111" s="157" t="n">
        <v>59.8</v>
      </c>
      <c r="D111" s="158" t="inlineStr">
        <is>
          <t>Each</t>
        </is>
      </c>
      <c r="E111" s="156" t="n">
        <v>648.6</v>
      </c>
      <c r="F111" s="156" t="n"/>
      <c r="G111" s="159">
        <f>C111*E111</f>
        <v/>
      </c>
    </row>
    <row r="112" ht="42.75" customHeight="1" s="72">
      <c r="A112" s="156" t="n">
        <v>109.25</v>
      </c>
      <c r="B112" s="176" t="inlineStr">
        <is>
          <t>C.P. Brass swan neck, 15mm nominal bore long body, 15mm nominal bore weight not less than 690 gm.</t>
        </is>
      </c>
      <c r="C112" s="157" t="n">
        <v>39.1</v>
      </c>
      <c r="D112" s="158" t="inlineStr">
        <is>
          <t>Each</t>
        </is>
      </c>
      <c r="E112" s="156" t="n">
        <v>895.85</v>
      </c>
      <c r="F112" s="156" t="n"/>
      <c r="G112" s="159">
        <f>C112*E112</f>
        <v/>
      </c>
    </row>
    <row r="113" ht="28.5" customHeight="1" s="72">
      <c r="A113" s="156" t="n">
        <v>110.4</v>
      </c>
      <c r="B113" s="176" t="inlineStr">
        <is>
          <t>P&amp;F Sink Cocks of superior quality &amp; approved made : C.P. Casted spout 15mm.</t>
        </is>
      </c>
      <c r="C113" s="157" t="n">
        <v>72.45</v>
      </c>
      <c r="D113" s="158" t="inlineStr">
        <is>
          <t>Each</t>
        </is>
      </c>
      <c r="E113" s="156" t="n">
        <v>987.85</v>
      </c>
      <c r="F113" s="156" t="n"/>
      <c r="G113" s="159">
        <f>C113*E113</f>
        <v/>
      </c>
    </row>
    <row r="114" ht="42.75" customHeight="1" s="72">
      <c r="A114" s="156" t="n">
        <v>111.55</v>
      </c>
      <c r="B114" s="176" t="inlineStr">
        <is>
          <t>P&amp;F Ball Cock (IS: 1703 Mark) with Rod &amp; PVC Ball complete. Brass wt. 1000 gm, 25mm</t>
        </is>
      </c>
      <c r="C114" s="157" t="n">
        <v>23</v>
      </c>
      <c r="D114" s="158" t="inlineStr">
        <is>
          <t>Each</t>
        </is>
      </c>
      <c r="E114" s="156" t="n">
        <v>433.55</v>
      </c>
      <c r="F114" s="156" t="n"/>
      <c r="G114" s="159">
        <f>C114*E114</f>
        <v/>
      </c>
    </row>
    <row r="115" ht="57" customHeight="1" s="72">
      <c r="A115" s="156" t="n">
        <v>112.7</v>
      </c>
      <c r="B115" s="176" t="inlineStr">
        <is>
          <t>P&amp;F  Inlet Connection (Angle Valves) Superior quality, of approved make ,for Wash basin, Geyser etc. C.P. Inlet connection 15mm Brass (IS: 8931 Marked).</t>
        </is>
      </c>
      <c r="C115" s="157" t="n">
        <v>140.3</v>
      </c>
      <c r="D115" s="158" t="inlineStr">
        <is>
          <t>Each</t>
        </is>
      </c>
      <c r="E115" s="156" t="n">
        <v>566.95</v>
      </c>
      <c r="F115" s="156" t="n"/>
      <c r="G115" s="159">
        <f>C115*E115</f>
        <v/>
      </c>
    </row>
    <row r="116" ht="42.75" customHeight="1" s="72">
      <c r="A116" s="156" t="n">
        <v>113.85</v>
      </c>
      <c r="B116" s="176" t="inlineStr">
        <is>
          <t>P&amp;F 15mm. Dia Connection Pipe of approved quality/make : PVC pipe with C.P. Brass nuts upto length 450mm.</t>
        </is>
      </c>
      <c r="C116" s="157" t="n">
        <v>90.84999999999999</v>
      </c>
      <c r="D116" s="158" t="inlineStr">
        <is>
          <t>Each</t>
        </is>
      </c>
      <c r="E116" s="156" t="n">
        <v>97.75</v>
      </c>
      <c r="F116" s="156" t="n"/>
      <c r="G116" s="159">
        <f>C116*E116</f>
        <v/>
      </c>
    </row>
    <row r="117" ht="28.5" customHeight="1" s="72">
      <c r="A117" s="156" t="n">
        <v>115</v>
      </c>
      <c r="B117" s="176" t="inlineStr">
        <is>
          <t>P&amp;F Full-way valve (IS:778 Mark) or wheel valve of approved make :</t>
        </is>
      </c>
      <c r="C117" s="157" t="n"/>
      <c r="D117" s="158" t="n"/>
      <c r="E117" s="156" t="n"/>
      <c r="F117" s="156" t="n"/>
      <c r="G117" s="159">
        <f>C117*E117</f>
        <v/>
      </c>
    </row>
    <row r="118">
      <c r="A118" s="156" t="n">
        <v>115.11</v>
      </c>
      <c r="B118" s="176" t="inlineStr">
        <is>
          <t>Gun-metal 25mm nominal bore</t>
        </is>
      </c>
      <c r="C118" s="157" t="n">
        <v>23</v>
      </c>
      <c r="D118" s="158" t="inlineStr">
        <is>
          <t>Each</t>
        </is>
      </c>
      <c r="E118" s="156" t="n">
        <v>622.15</v>
      </c>
      <c r="F118" s="156" t="n"/>
      <c r="G118" s="159">
        <f>C118*E118</f>
        <v/>
      </c>
    </row>
    <row r="119">
      <c r="A119" s="156" t="n">
        <v>115.23</v>
      </c>
      <c r="B119" s="176" t="inlineStr">
        <is>
          <t>Gun-metal 50mm nominal bore</t>
        </is>
      </c>
      <c r="C119" s="157" t="n">
        <v>10</v>
      </c>
      <c r="D119" s="158" t="inlineStr">
        <is>
          <t>Each</t>
        </is>
      </c>
      <c r="E119" s="156" t="n">
        <v>1532.95</v>
      </c>
      <c r="F119" s="156" t="n"/>
      <c r="G119" s="159">
        <f>C119*E119</f>
        <v/>
      </c>
    </row>
    <row r="120" ht="99.75" customHeight="1" s="72">
      <c r="A120" s="156" t="n">
        <v>116.15</v>
      </c>
      <c r="B120" s="176" t="inlineStr">
        <is>
          <t>P&amp;F PVC Storage Tank (IS:1270 marked indicating the BIS license no), of approved make with cover, 25mm dia 1M long G.I. over-flow pipe &amp; 25 Cm long wash out pipe with plug &amp;socket, including making connection etc., complete of approved design : 500 litres capacity.</t>
        </is>
      </c>
      <c r="C120" s="157" t="n">
        <v>34.5</v>
      </c>
      <c r="D120" s="158" t="inlineStr">
        <is>
          <t>Each</t>
        </is>
      </c>
      <c r="E120" s="156" t="n">
        <v>4314.8</v>
      </c>
      <c r="F120" s="156" t="n"/>
      <c r="G120" s="159">
        <f>C120*E120</f>
        <v/>
      </c>
    </row>
    <row r="121" ht="28.5" customHeight="1" s="72">
      <c r="A121" s="156" t="n">
        <v>117.3</v>
      </c>
      <c r="B121" s="176" t="inlineStr">
        <is>
          <t>Hoisting Charges for each floor : For items 2.26.1 to 2.26.4</t>
        </is>
      </c>
      <c r="C121" s="157" t="n">
        <v>16.1</v>
      </c>
      <c r="D121" s="158" t="inlineStr">
        <is>
          <t>Each</t>
        </is>
      </c>
      <c r="E121" s="156" t="n">
        <v>74.75</v>
      </c>
      <c r="F121" s="156" t="n"/>
      <c r="G121" s="159">
        <f>C121*E121</f>
        <v/>
      </c>
    </row>
    <row r="122" ht="85.5" customHeight="1" s="72">
      <c r="A122" s="156" t="n">
        <v>118.45</v>
      </c>
      <c r="B122" s="176" t="inlineStr">
        <is>
          <t>Providing Laying &amp; jointing glazed S.W. pipes grade ‘A’ (IS:651 marked) of approved make with spunyarn &amp; stiff mixture of cement mortar 1:1, excavation &amp; refilling of earth inall types of soil upto1.2m depth,S.W. fittings, including testing of joints etc. complete. 150mm dia</t>
        </is>
      </c>
      <c r="C122" s="157" t="n">
        <v>1150</v>
      </c>
      <c r="D122" s="158" t="inlineStr">
        <is>
          <t>Rmt</t>
        </is>
      </c>
      <c r="E122" s="156" t="n">
        <v>323.15</v>
      </c>
      <c r="F122" s="156" t="n"/>
      <c r="G122" s="159">
        <f>C122*E122</f>
        <v/>
      </c>
    </row>
    <row r="123" ht="114" customHeight="1" s="72">
      <c r="A123" s="156" t="n">
        <v>119.6</v>
      </c>
      <c r="B123" s="176" t="inlineStr">
        <is>
          <t>Providing &amp; Laying C.C. 1:5:10 (Stone aggregate 40mm nominal size) upto haunches of S.W. pipes including 150mm thickbed concrete as per RajasthanPWD specifications : (Width W=Dia of pipe inCm+ 40 Cm.) concrete width to be reduced from width W at center of pipe to ‘O’ at top of pipe. (Excluding cost of pipe) 150mm dia S.W. pipe</t>
        </is>
      </c>
      <c r="C123" s="157" t="n">
        <v>1150</v>
      </c>
      <c r="D123" s="158" t="inlineStr">
        <is>
          <t>Rmt</t>
        </is>
      </c>
      <c r="E123" s="156" t="n">
        <v>309.35</v>
      </c>
      <c r="F123" s="156" t="n"/>
      <c r="G123" s="159">
        <f>C123*E123</f>
        <v/>
      </c>
    </row>
    <row r="124" ht="128.25" customHeight="1" s="72">
      <c r="A124" s="156" t="n">
        <v>120.75</v>
      </c>
      <c r="B124" s="176" t="inlineStr">
        <is>
          <t>P&amp;F Square-mouth gully trap ‘A’ grade (IS : marked ) of approved make complete with C.I. grating, frame &amp; Cover masonry chamber in C.M. 1:6, 100mm thick C.C. 1:5:10 base concrete, 40mm thick C.C. M-15 grade coping, 12mm thick cement plaster in CM 1:3 complete as per approved design &amp; type. Trap size 150x100mm, 7.2 Kg. C.I. cover with frame. Internal Chamber size 300x300mm</t>
        </is>
      </c>
      <c r="C124" s="157" t="n">
        <v>57.5</v>
      </c>
      <c r="D124" s="158" t="inlineStr">
        <is>
          <t>Each</t>
        </is>
      </c>
      <c r="E124" s="156" t="n">
        <v>842.95</v>
      </c>
      <c r="F124" s="156" t="n"/>
      <c r="G124" s="159">
        <f>C124*E124</f>
        <v/>
      </c>
    </row>
    <row r="125" ht="42.75" customHeight="1" s="72">
      <c r="A125" s="156" t="n">
        <v>121.9</v>
      </c>
      <c r="B125" s="176" t="inlineStr">
        <is>
          <t>P&amp;F S.W. Master Trap (Inter-cepting) ‘A’ grade (IS:651 marked) of approved quality/make. 150mm dia</t>
        </is>
      </c>
      <c r="C125" s="157" t="n">
        <v>10</v>
      </c>
      <c r="D125" s="158" t="inlineStr">
        <is>
          <t>Each</t>
        </is>
      </c>
      <c r="E125" s="156" t="n">
        <v>461.15</v>
      </c>
      <c r="F125" s="156" t="n"/>
      <c r="G125" s="159">
        <f>C125*E125</f>
        <v/>
      </c>
    </row>
    <row r="126" ht="171" customHeight="1" s="72">
      <c r="A126" s="156" t="n">
        <v>123.05</v>
      </c>
      <c r="B126" s="176" t="inlineStr">
        <is>
          <t>Construction of manhole in all type of soil inner size 90x60 Cm thick masonry inCM1:6, 10 Cm. thick cement concrete 1:5 10 in foundation, 20mm thick inside plaster in CM 1:6, finished with floating neat cement, 50mm thick M-15 grade C.C. flooring, making channels, 80mm thick stone slab covering with 40mm thick M-15 grade C.C. flooring, 25 Kg. CI cover with frame of 450mm dia, earthwork etc. complete as per design including disposal of surplus earth within 50 mtr. lead. Depth upto 0.5 M</t>
        </is>
      </c>
      <c r="C126" s="157" t="n">
        <v>57.5</v>
      </c>
      <c r="D126" s="158" t="inlineStr">
        <is>
          <t>Each</t>
        </is>
      </c>
      <c r="E126" s="156" t="n">
        <v>3234.95</v>
      </c>
      <c r="F126" s="156" t="n"/>
      <c r="G126" s="159">
        <f>C126*E126</f>
        <v/>
      </c>
    </row>
    <row r="127" ht="28.5" customHeight="1" s="72">
      <c r="A127" s="156" t="n">
        <v>124.2</v>
      </c>
      <c r="B127" s="176" t="inlineStr">
        <is>
          <t>Add extra over item 3.21.1 for every additional 0.10m depth above 0.5m depth.</t>
        </is>
      </c>
      <c r="C127" s="157" t="n">
        <v>57.5</v>
      </c>
      <c r="D127" s="158" t="inlineStr">
        <is>
          <t>Each</t>
        </is>
      </c>
      <c r="E127" s="156" t="n">
        <v>280.6</v>
      </c>
      <c r="F127" s="156" t="n"/>
      <c r="G127" s="159">
        <f>C127*E127</f>
        <v/>
      </c>
    </row>
    <row r="128" ht="142.5" customHeight="1" s="72">
      <c r="A128" s="156" t="n">
        <v>125.35</v>
      </c>
      <c r="B128" s="176" t="inlineStr">
        <is>
          <t>Construction of chamber in all type of soil with 300 mm thick masonry in CM 1:6m 100mm thick C.C. 1:5:10 in foundation, 20mm thick insider plaster in CM 1:6, finished with floating neat cement, 50mm thick M-15 grade C.C. flooring, earthwork etc. complete as per design including disposal of surplus earth within a lead of 50 mtr. Inside size 300x300mm depth upto 0.5 M &amp; 5 Kg. CI cover with frame.</t>
        </is>
      </c>
      <c r="C128" s="157" t="n">
        <v>57.5</v>
      </c>
      <c r="D128" s="158" t="inlineStr">
        <is>
          <t>Each</t>
        </is>
      </c>
      <c r="E128" s="156" t="n">
        <v>1278.8</v>
      </c>
      <c r="F128" s="156" t="n"/>
      <c r="G128" s="159">
        <f>C128*E128</f>
        <v/>
      </c>
    </row>
    <row r="129" ht="128.25" customHeight="1" s="72">
      <c r="A129" s="156" t="n">
        <v>126.5</v>
      </c>
      <c r="B129" s="176" t="inlineStr">
        <is>
          <t>Construction of soakage well in all type of soil 300mm thickdry masonry, top and bottom 300mm course in CM 1:6 80mm thick stone slab, jointing of slab in CM 1:3, Ralthal, Kharanja, 40mm thick M-15 grade c.c. flooring, earthwork complete as per approved drawing including disposal of earth within a lead of 50 mtr. : Size 300 Cm . Dia outside &amp; 300 Cm. Depth.</t>
        </is>
      </c>
      <c r="C129" s="157" t="n">
        <v>10</v>
      </c>
      <c r="D129" s="158" t="inlineStr">
        <is>
          <t>Each</t>
        </is>
      </c>
      <c r="E129" s="156" t="n">
        <v>12537.3</v>
      </c>
      <c r="F129" s="156" t="n"/>
      <c r="G129" s="159">
        <f>C129*E129</f>
        <v/>
      </c>
    </row>
    <row r="130" ht="185.25" customHeight="1" s="72">
      <c r="A130" s="156" t="n">
        <v>127.65</v>
      </c>
      <c r="B130" s="176" t="inlineStr">
        <is>
          <t>Construction of septic tank in all type sof soil with 40cm thick masonry in CM 1:6 15cm thick CC bed of 1:5:10 M-15 grade CC flooring &amp; over stone slab covering, 80mm thick slab jointing of slab in CM 1:3, Ralthal, Kharanja, 50mm thick stone partiton walls, 20mm thick plaster in CM 1:6 finished with neat floating cement, 4Nos C.I. foot rests of approved design, two No. 450mm dia 25Kg each C.I. cover with frame, earth work etc. complete as per approed drawing incl. disposal of surplus earth wtihin a lead of 50mtr. Size 400x140x150cm (for 50users)</t>
        </is>
      </c>
      <c r="C130" s="157" t="n">
        <v>6</v>
      </c>
      <c r="D130" s="158" t="inlineStr">
        <is>
          <t>Each</t>
        </is>
      </c>
      <c r="E130" s="156" t="n">
        <v>28553.35</v>
      </c>
      <c r="F130" s="156" t="n"/>
      <c r="G130" s="159">
        <f>C130*E130</f>
        <v/>
      </c>
    </row>
    <row r="131" ht="57" customHeight="1" s="72">
      <c r="A131" s="156" t="n">
        <v>128.8</v>
      </c>
      <c r="B131" s="176" t="inlineStr">
        <is>
          <t>P &amp; F M.S. Foot Rests in with CM 1:3, standard design in 20mm square M.S. bar 50mm embedded in wall &amp; 10 cms. Projected out complete.</t>
        </is>
      </c>
      <c r="C131" s="157" t="n">
        <v>34.5</v>
      </c>
      <c r="D131" s="158" t="inlineStr">
        <is>
          <t>Each</t>
        </is>
      </c>
      <c r="E131" s="156" t="n">
        <v>180.55</v>
      </c>
      <c r="F131" s="156" t="n"/>
      <c r="G131" s="159">
        <f>C131*E131</f>
        <v/>
      </c>
    </row>
    <row r="132" ht="71.25" customHeight="1" s="72">
      <c r="A132" s="156" t="n">
        <v>129.95</v>
      </c>
      <c r="B132" s="176" t="inlineStr">
        <is>
          <t>Supplying and fixing Ferro-cement cover with CI frame for chambers &amp; man holes of size 450mm dia, 5 Kg. CI frame to with stand 3 MT center point load &amp; minimum unfractured load of 1 MT (Light duty).</t>
        </is>
      </c>
      <c r="C132" s="157" t="n">
        <v>115</v>
      </c>
      <c r="D132" s="158" t="inlineStr">
        <is>
          <t>Each</t>
        </is>
      </c>
      <c r="E132" s="156" t="n">
        <v>1047.65</v>
      </c>
      <c r="F132" s="156" t="n"/>
      <c r="G132" s="159">
        <f>C132*E132</f>
        <v/>
      </c>
    </row>
    <row r="133" ht="28.5" customHeight="1" s="72">
      <c r="A133" s="156" t="n">
        <v>131.1</v>
      </c>
      <c r="B133" s="176" t="inlineStr">
        <is>
          <t>Construction of Cement Concrete Chamebr 125mm dia. with C.I. Grating.</t>
        </is>
      </c>
      <c r="C133" s="157" t="n">
        <v>230</v>
      </c>
      <c r="D133" s="158" t="inlineStr">
        <is>
          <t>Each</t>
        </is>
      </c>
      <c r="E133" s="156" t="n">
        <v>133.4</v>
      </c>
      <c r="F133" s="156" t="n"/>
      <c r="G133" s="159">
        <f>C133*E133</f>
        <v/>
      </c>
    </row>
    <row r="134" ht="57" customHeight="1" s="72">
      <c r="A134" s="156" t="n">
        <v>132.25</v>
      </c>
      <c r="B134" s="176" t="inlineStr">
        <is>
          <t>P&amp;F unplasticized Poly Vinyl Chloride UPVC) SWR Pipes Type B for sciland waste discharge system(IS:13592 : 1992 Marked) of approved quality/make.</t>
        </is>
      </c>
      <c r="C134" s="157" t="n"/>
      <c r="D134" s="158" t="n"/>
      <c r="E134" s="156" t="n"/>
      <c r="F134" s="156" t="n"/>
      <c r="G134" s="159">
        <f>C134*E134</f>
        <v/>
      </c>
    </row>
    <row r="135">
      <c r="A135" s="156" t="n">
        <v>132.36</v>
      </c>
      <c r="B135" s="176" t="inlineStr">
        <is>
          <t>75mm dia</t>
        </is>
      </c>
      <c r="C135" s="157" t="n">
        <v>115</v>
      </c>
      <c r="D135" s="158" t="inlineStr">
        <is>
          <t>Rmt</t>
        </is>
      </c>
      <c r="E135" s="156" t="n">
        <v>166.75</v>
      </c>
      <c r="F135" s="156" t="n"/>
      <c r="G135" s="159">
        <f>C135*E135</f>
        <v/>
      </c>
    </row>
    <row r="136">
      <c r="A136" s="156" t="n">
        <v>132.48</v>
      </c>
      <c r="B136" s="176" t="inlineStr">
        <is>
          <t>110mm dia</t>
        </is>
      </c>
      <c r="C136" s="157" t="n">
        <v>690</v>
      </c>
      <c r="D136" s="158" t="inlineStr">
        <is>
          <t>Rmt</t>
        </is>
      </c>
      <c r="E136" s="156" t="n">
        <v>336.95</v>
      </c>
      <c r="F136" s="156" t="n"/>
      <c r="G136" s="159">
        <f>C136*E136</f>
        <v/>
      </c>
    </row>
    <row r="137" ht="57" customHeight="1" s="72">
      <c r="A137" s="156" t="n">
        <v>133.4</v>
      </c>
      <c r="B137" s="176" t="inlineStr">
        <is>
          <t>Providing and fixing unplasticized poly vinyl chloride (UPVC) SWR Pipes fittings type B for sciland waste discharge system (IS : 13592 : 1992 Marked) of approved quality / make.</t>
        </is>
      </c>
      <c r="C137" s="157" t="n"/>
      <c r="D137" s="158" t="n"/>
      <c r="E137" s="156" t="n"/>
      <c r="F137" s="156" t="n"/>
      <c r="G137" s="159">
        <f>C137*E137</f>
        <v/>
      </c>
    </row>
    <row r="138">
      <c r="A138" s="156" t="n">
        <v>133.51</v>
      </c>
      <c r="B138" s="176" t="inlineStr">
        <is>
          <t xml:space="preserve">Coupler 110mm   </t>
        </is>
      </c>
      <c r="C138" s="157" t="n">
        <v>46</v>
      </c>
      <c r="D138" s="158" t="inlineStr">
        <is>
          <t>Each</t>
        </is>
      </c>
      <c r="E138" s="156" t="n">
        <v>100.05</v>
      </c>
      <c r="F138" s="156" t="n"/>
      <c r="G138" s="159">
        <f>C138*E138</f>
        <v/>
      </c>
    </row>
    <row r="139">
      <c r="A139" s="156" t="n">
        <v>133.63</v>
      </c>
      <c r="B139" s="176" t="inlineStr">
        <is>
          <t xml:space="preserve">Bend 87.5 Dg. 110mm   </t>
        </is>
      </c>
      <c r="C139" s="157" t="n">
        <v>79.34999999999999</v>
      </c>
      <c r="D139" s="158" t="inlineStr">
        <is>
          <t>Each</t>
        </is>
      </c>
      <c r="E139" s="156" t="n">
        <v>147.2</v>
      </c>
      <c r="F139" s="156" t="n"/>
      <c r="G139" s="159">
        <f>C139*E139</f>
        <v/>
      </c>
    </row>
    <row r="140">
      <c r="A140" s="156" t="n">
        <v>133.74</v>
      </c>
      <c r="B140" s="176" t="inlineStr">
        <is>
          <t xml:space="preserve">Door Bend 87.5 Dg. 110mm   </t>
        </is>
      </c>
      <c r="C140" s="157" t="n">
        <v>85.09999999999999</v>
      </c>
      <c r="D140" s="158" t="inlineStr">
        <is>
          <t>Each</t>
        </is>
      </c>
      <c r="E140" s="156" t="n">
        <v>184</v>
      </c>
      <c r="F140" s="156" t="n"/>
      <c r="G140" s="159">
        <f>C140*E140</f>
        <v/>
      </c>
    </row>
    <row r="141">
      <c r="A141" s="156" t="n">
        <v>133.86</v>
      </c>
      <c r="B141" s="176" t="inlineStr">
        <is>
          <t xml:space="preserve">Pipe Clip 110mm   </t>
        </is>
      </c>
      <c r="C141" s="157" t="n">
        <v>32.2</v>
      </c>
      <c r="D141" s="158" t="inlineStr">
        <is>
          <t>Each</t>
        </is>
      </c>
      <c r="E141" s="156" t="n">
        <v>28.75</v>
      </c>
      <c r="F141" s="156" t="n"/>
      <c r="G141" s="159">
        <f>C141*E141</f>
        <v/>
      </c>
    </row>
    <row r="142">
      <c r="A142" s="156" t="n">
        <v>133.97</v>
      </c>
      <c r="B142" s="176" t="inlineStr">
        <is>
          <t xml:space="preserve">W.C. Connector  (Bend) with ring 110mm   </t>
        </is>
      </c>
      <c r="C142" s="157" t="n">
        <v>41.4</v>
      </c>
      <c r="D142" s="158" t="inlineStr">
        <is>
          <t>Each</t>
        </is>
      </c>
      <c r="E142" s="156" t="n">
        <v>215.05</v>
      </c>
      <c r="F142" s="156" t="n"/>
      <c r="G142" s="159">
        <f>C142*E142</f>
        <v/>
      </c>
    </row>
    <row r="143">
      <c r="A143" s="156" t="n">
        <v>134.09</v>
      </c>
      <c r="B143" s="176" t="inlineStr">
        <is>
          <t xml:space="preserve">Single Tee with Door 110mm   </t>
        </is>
      </c>
      <c r="C143" s="157" t="n">
        <v>57.5</v>
      </c>
      <c r="D143" s="158" t="inlineStr">
        <is>
          <t>Each</t>
        </is>
      </c>
      <c r="E143" s="156" t="n">
        <v>232.3</v>
      </c>
      <c r="F143" s="156" t="n"/>
      <c r="G143" s="159">
        <f>C143*E143</f>
        <v/>
      </c>
    </row>
    <row r="144">
      <c r="A144" s="156" t="n">
        <v>134.2</v>
      </c>
      <c r="B144" s="176" t="inlineStr">
        <is>
          <t xml:space="preserve">Nahni Trap with Jali 4" 110mm   </t>
        </is>
      </c>
      <c r="C144" s="157" t="n">
        <v>180.55</v>
      </c>
      <c r="D144" s="158" t="inlineStr">
        <is>
          <t>Each</t>
        </is>
      </c>
      <c r="E144" s="156" t="n">
        <v>167.9</v>
      </c>
      <c r="F144" s="156" t="n"/>
      <c r="G144" s="159">
        <f>C144*E144</f>
        <v/>
      </c>
    </row>
    <row r="145">
      <c r="A145" s="156" t="n">
        <v>134.32</v>
      </c>
      <c r="B145" s="176" t="inlineStr">
        <is>
          <t xml:space="preserve">Vent Cowel  110mm   </t>
        </is>
      </c>
      <c r="C145" s="157" t="n">
        <v>39.1</v>
      </c>
      <c r="D145" s="158" t="inlineStr">
        <is>
          <t>Each</t>
        </is>
      </c>
      <c r="E145" s="156" t="n">
        <v>55.2</v>
      </c>
      <c r="F145" s="156" t="n"/>
      <c r="G145" s="159">
        <f>C145*E145</f>
        <v/>
      </c>
    </row>
    <row r="146" ht="199.5" customHeight="1" s="72">
      <c r="A146" s="160" t="n">
        <v>1</v>
      </c>
      <c r="B146" s="161"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Ordinary rock</t>
        </is>
      </c>
      <c r="C146" s="162" t="n">
        <v>97.98</v>
      </c>
      <c r="D146" s="162" t="inlineStr">
        <is>
          <t>Cum</t>
        </is>
      </c>
      <c r="E146" s="162" t="n">
        <v>250.7</v>
      </c>
      <c r="F146" s="158" t="inlineStr">
        <is>
          <t>P Cum</t>
        </is>
      </c>
      <c r="G146" s="159">
        <f>C146*E146</f>
        <v/>
      </c>
    </row>
    <row r="147" ht="199.5" customHeight="1" s="72">
      <c r="A147" s="160" t="n">
        <v>2</v>
      </c>
      <c r="B147" s="161" t="inlineStr">
        <is>
          <t xml:space="preserve">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Hard rock (requiring blasting) useful material </t>
        </is>
      </c>
      <c r="C147" s="162" t="n">
        <v>228.62</v>
      </c>
      <c r="D147" s="162" t="inlineStr">
        <is>
          <t>Cum</t>
        </is>
      </c>
      <c r="E147" s="162" t="n">
        <v>330.05</v>
      </c>
      <c r="F147" s="158" t="inlineStr">
        <is>
          <t>P Cum</t>
        </is>
      </c>
      <c r="G147" s="159">
        <f>C147*E147</f>
        <v/>
      </c>
    </row>
    <row r="148" ht="114" customHeight="1" s="72">
      <c r="A148" s="160">
        <f>+A147+1</f>
        <v/>
      </c>
      <c r="B148" s="161" t="inlineStr">
        <is>
          <t>Filling available excavated earth (excluding rock) in
trenches, plinth side of foundation etc. in layers not
exceeding 20 cm. in depth, consolidating each
deposited layer by ramming and watering including
lead up to 50 meter and with all lift.</t>
        </is>
      </c>
      <c r="C148" s="162" t="n">
        <v>300.08</v>
      </c>
      <c r="D148" s="162" t="inlineStr">
        <is>
          <t>Cum</t>
        </is>
      </c>
      <c r="E148" s="162" t="n">
        <v>50.6</v>
      </c>
      <c r="F148" s="158" t="inlineStr">
        <is>
          <t>P Cum</t>
        </is>
      </c>
      <c r="G148" s="159">
        <f>C148*E148</f>
        <v/>
      </c>
    </row>
    <row r="149" ht="114" customHeight="1" s="72">
      <c r="A149" s="160">
        <f>+A148+1</f>
        <v/>
      </c>
      <c r="B149" s="161" t="inlineStr">
        <is>
          <t>Providing and laying in position cement concrete
including curing, compaction etc. complete in
specified grade excluding the cost of centering and
shuttering - All work up to plinth level. 1:4:8 (1 cement : 4 coarse sand : 8 graded stone
aggregate 40 mm nominal size).</t>
        </is>
      </c>
      <c r="C149" s="162" t="n">
        <v>71.3</v>
      </c>
      <c r="D149" s="162" t="inlineStr">
        <is>
          <t>Cum</t>
        </is>
      </c>
      <c r="E149" s="162" t="n">
        <v>2697.9</v>
      </c>
      <c r="F149" s="158" t="inlineStr">
        <is>
          <t>P Cum</t>
        </is>
      </c>
      <c r="G149" s="159">
        <f>C149*E149</f>
        <v/>
      </c>
    </row>
    <row r="150" ht="156.75" customHeight="1" s="72">
      <c r="A150" s="160">
        <f>+A149+1</f>
        <v/>
      </c>
      <c r="B150" s="161" t="inlineStr">
        <is>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M25 grade Design mix</t>
        </is>
      </c>
      <c r="C150" s="162" t="n">
        <v>71.3</v>
      </c>
      <c r="D150" s="162" t="inlineStr">
        <is>
          <t>Cum</t>
        </is>
      </c>
      <c r="E150" s="162" t="n">
        <v>5648.8</v>
      </c>
      <c r="F150" s="158" t="inlineStr">
        <is>
          <t>P Cum</t>
        </is>
      </c>
      <c r="G150" s="159">
        <f>C150*E150</f>
        <v/>
      </c>
    </row>
    <row r="151" ht="171" customHeight="1" s="72">
      <c r="A151" s="160">
        <f>+A150+1</f>
        <v/>
      </c>
      <c r="B151" s="161" t="inlineStr">
        <is>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M20 Grade nominal mix (with graded stone aggregate 20mm nominal size)</t>
        </is>
      </c>
      <c r="C151" s="162" t="n">
        <v>10</v>
      </c>
      <c r="D151" s="162" t="inlineStr">
        <is>
          <t>Cum</t>
        </is>
      </c>
      <c r="E151" s="162" t="n">
        <v>4658.65</v>
      </c>
      <c r="F151" s="158" t="inlineStr">
        <is>
          <t>P Cum</t>
        </is>
      </c>
      <c r="G151" s="159">
        <f>C151*E151</f>
        <v/>
      </c>
    </row>
    <row r="152" ht="213.75" customHeight="1" s="72">
      <c r="A152" s="160">
        <f>+A151+1</f>
        <v/>
      </c>
      <c r="B152" s="161" t="inlineStr">
        <is>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Walls (any thickness) including attached pilasters, buttresses, plinth and string courses, fillets, columns, pillars, piers, abutments, posts and struts etc. M25 grade Design Mix</t>
        </is>
      </c>
      <c r="C152" s="162" t="n">
        <v>18.4</v>
      </c>
      <c r="D152" s="162" t="inlineStr">
        <is>
          <t>Cum</t>
        </is>
      </c>
      <c r="E152" s="162" t="n">
        <v>6026</v>
      </c>
      <c r="F152" s="158" t="inlineStr">
        <is>
          <t>P Cum</t>
        </is>
      </c>
      <c r="G152" s="159">
        <f>C152*E152</f>
        <v/>
      </c>
    </row>
    <row r="153" ht="213.75" customHeight="1" s="72">
      <c r="A153" s="160">
        <f>+A152+1</f>
        <v/>
      </c>
      <c r="B153" s="161" t="inlineStr">
        <is>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Beams, suspended floors, roofs, griders having slopes up to 15º, landings, balconies, shelves, chajjas, lintels, bands, plain windows sills, staircases and spiral staircases M20 grade Nominal Mix</t>
        </is>
      </c>
      <c r="C153" s="162" t="n">
        <v>88.55</v>
      </c>
      <c r="D153" s="162" t="inlineStr">
        <is>
          <t>Cum</t>
        </is>
      </c>
      <c r="E153" s="162" t="n">
        <v>4945</v>
      </c>
      <c r="F153" s="158" t="inlineStr">
        <is>
          <t>P Cum</t>
        </is>
      </c>
      <c r="G153" s="159">
        <f>C153*E153</f>
        <v/>
      </c>
    </row>
    <row r="154" ht="128.25" customHeight="1" s="72">
      <c r="A154" s="160">
        <f>+A153+1</f>
        <v/>
      </c>
      <c r="B154" s="161" t="inlineStr">
        <is>
          <t>Centering and Shuttering with plywood or steel sheets
including strutting, propping bracing both ways and
removal of formwork for foundation in basements
rafts, footings, straps beams, bases of columns etc. up
to plinth level.</t>
        </is>
      </c>
      <c r="C154" s="162" t="n">
        <v>276</v>
      </c>
      <c r="D154" s="162" t="inlineStr">
        <is>
          <t>Sqm</t>
        </is>
      </c>
      <c r="E154" s="162" t="n">
        <v>97.75</v>
      </c>
      <c r="F154" s="162" t="n"/>
      <c r="G154" s="159">
        <f>C154*E154</f>
        <v/>
      </c>
    </row>
    <row r="155" ht="114" customHeight="1" s="72">
      <c r="A155" s="160">
        <f>+A154+1</f>
        <v/>
      </c>
      <c r="B155" s="161" t="inlineStr">
        <is>
          <t>Centering &amp; shuttering with plywood or steel sheets
including strutting, propping bracing both ways with
wooden members and removal of formwork for upto
floor three level for :  Columns, pillars, posts and struts etc.</t>
        </is>
      </c>
      <c r="C155" s="162" t="n">
        <v>202.4</v>
      </c>
      <c r="D155" s="162" t="inlineStr">
        <is>
          <t>Sqm</t>
        </is>
      </c>
      <c r="E155" s="162" t="n">
        <v>179.4</v>
      </c>
      <c r="F155" s="162" t="n"/>
      <c r="G155" s="159">
        <f>C155*E155</f>
        <v/>
      </c>
    </row>
    <row r="156" ht="142.5" customHeight="1" s="72">
      <c r="A156" s="160">
        <f>+A155+1</f>
        <v/>
      </c>
      <c r="B156" s="161" t="inlineStr">
        <is>
          <t>Centering &amp; shuttering with plywood or steel sheets
including strutting, propping bracing both ways with
wooden members and removal of formwork for upto
floor three level for :  Suspended floors, roofs landings staircases, balconies, girders, cantilevers, bands, coping bed plates, anchor blocks, sills, chhajjas, lintel, beam etc.</t>
        </is>
      </c>
      <c r="C156" s="162" t="n">
        <v>596.85</v>
      </c>
      <c r="D156" s="162" t="inlineStr">
        <is>
          <t>Sqm</t>
        </is>
      </c>
      <c r="E156" s="162" t="n">
        <v>188.6</v>
      </c>
      <c r="F156" s="162" t="n"/>
      <c r="G156" s="159">
        <f>C156*E156</f>
        <v/>
      </c>
    </row>
    <row r="157" ht="114" customHeight="1" s="72">
      <c r="A157" s="160">
        <f>+A156+1</f>
        <v/>
      </c>
      <c r="B157" s="161" t="inlineStr">
        <is>
          <t>Providing and fabricating reinforcement for R.C.C.
work including straightening, cutting, bending, placing
in position and binding (including cost of binding
wire) all complete up to floor three level. Mild steel and medium tensile bars (IS : 432).</t>
        </is>
      </c>
      <c r="C157" s="162" t="n">
        <v>18842.75</v>
      </c>
      <c r="D157" s="162" t="inlineStr">
        <is>
          <t>Kg</t>
        </is>
      </c>
      <c r="E157" s="162" t="n">
        <v>69</v>
      </c>
      <c r="F157" s="162" t="n"/>
      <c r="G157" s="159">
        <f>C157*E157</f>
        <v/>
      </c>
    </row>
    <row r="158" ht="57" customHeight="1" s="72">
      <c r="A158" s="160">
        <f>+A157+1</f>
        <v/>
      </c>
      <c r="B158" s="161" t="inlineStr">
        <is>
          <t xml:space="preserve">Brick masonry in Super structure  and plinth with bricks of
class designation 75 in : Cement mortar 1 : 6 (1 cement : 6 coarse sand) </t>
        </is>
      </c>
      <c r="C158" s="162" t="n">
        <v>134.55</v>
      </c>
      <c r="D158" s="162" t="inlineStr">
        <is>
          <t>Cum</t>
        </is>
      </c>
      <c r="E158" s="162" t="n">
        <v>3070.5</v>
      </c>
      <c r="F158" s="162" t="n"/>
      <c r="G158" s="159">
        <f>C158*E158</f>
        <v/>
      </c>
    </row>
    <row r="159" ht="57" customHeight="1" s="72">
      <c r="A159" s="160">
        <f>+A158+1</f>
        <v/>
      </c>
      <c r="B159" s="161" t="inlineStr">
        <is>
          <t>Half brick masonry in foundation &amp; plinth using bricks
of designation 75 Cement mortar 1 : 4 (1 cement : 4 coarse sand)</t>
        </is>
      </c>
      <c r="C159" s="162" t="n">
        <v>17.25</v>
      </c>
      <c r="D159" s="162" t="inlineStr">
        <is>
          <t>Sqm</t>
        </is>
      </c>
      <c r="E159" s="162" t="n">
        <v>392.15</v>
      </c>
      <c r="F159" s="162" t="n"/>
      <c r="G159" s="159">
        <f>C159*E159</f>
        <v/>
      </c>
    </row>
    <row r="160" ht="71.25" customHeight="1" s="72">
      <c r="A160" s="160">
        <f>+A159+1</f>
        <v/>
      </c>
      <c r="B160" s="161" t="inlineStr">
        <is>
          <t>Random Rubble stone masonry for foundation and
plinth in Cement Sand mortar above 30CM thick wall Cement Mortar 1:6 ( 1-Cement : 4-Sand).</t>
        </is>
      </c>
      <c r="C160" s="162" t="n">
        <v>193.2</v>
      </c>
      <c r="D160" s="162" t="inlineStr">
        <is>
          <t>Cum</t>
        </is>
      </c>
      <c r="E160" s="162" t="n">
        <v>1754.9</v>
      </c>
      <c r="F160" s="162" t="n"/>
      <c r="G160" s="159">
        <f>C160*E160</f>
        <v/>
      </c>
    </row>
    <row r="161" ht="28.5" customHeight="1" s="72">
      <c r="A161" s="160">
        <f>+A160+1</f>
        <v/>
      </c>
      <c r="B161" s="161" t="inlineStr">
        <is>
          <t>Random rubble dry stone Kharanja under floor.</t>
        </is>
      </c>
      <c r="C161" s="162" t="n">
        <v>98.90000000000001</v>
      </c>
      <c r="D161" s="162" t="inlineStr">
        <is>
          <t>Cum</t>
        </is>
      </c>
      <c r="E161" s="162" t="n">
        <v>523.25</v>
      </c>
      <c r="F161" s="162" t="n"/>
      <c r="G161" s="159">
        <f>C161*E161</f>
        <v/>
      </c>
    </row>
    <row r="162" ht="128.25" customHeight="1" s="72">
      <c r="A162" s="160">
        <f>+A161+1</f>
        <v/>
      </c>
      <c r="B162" s="161" t="inlineStr">
        <is>
          <t>Filling of sunk portion of roof with earthen pots of
required height including filling voids with 1:2:4 light
concrete, using brick bats complete levelling and
dressing the surface by 50mm thick cement concrete
1:2:4 as per specification.</t>
        </is>
      </c>
      <c r="C162" s="162" t="n">
        <v>6</v>
      </c>
      <c r="D162" s="162" t="inlineStr">
        <is>
          <t>Cum</t>
        </is>
      </c>
      <c r="E162" s="162" t="n">
        <v>1035</v>
      </c>
      <c r="F162" s="162" t="n"/>
      <c r="G162" s="159">
        <f>C162*E162</f>
        <v/>
      </c>
    </row>
    <row r="163" ht="114" customHeight="1" s="72">
      <c r="A163" s="160">
        <f>+A162+1</f>
        <v/>
      </c>
      <c r="B163" s="161" t="inlineStr">
        <is>
          <t>Grading for roof water proofing treatment with Cement concrete 1 : 2 : 4 (1 cement : 2 coarse
sand : 4 graded stone aggregate 20mm nominal
size) with water proof compound as per manufacture's
specification.</t>
        </is>
      </c>
      <c r="C163" s="162" t="n">
        <v>26.45</v>
      </c>
      <c r="D163" s="162" t="inlineStr">
        <is>
          <t>Cum</t>
        </is>
      </c>
      <c r="E163" s="162" t="n">
        <v>3869.75</v>
      </c>
      <c r="F163" s="162" t="n"/>
      <c r="G163" s="159">
        <f>C163*E163</f>
        <v/>
      </c>
    </row>
    <row r="164" ht="57" customHeight="1" s="72">
      <c r="A164" s="160">
        <f>+A163+1</f>
        <v/>
      </c>
      <c r="B164" s="161" t="inlineStr">
        <is>
          <t>P/F tiles over roof fixed in 25 mm thick cement mortar 1 : 4 bed complete
20mm thick terrazo tile over roofing including cutting, grinding with mechine complete</t>
        </is>
      </c>
      <c r="C164" s="162" t="n">
        <v>343.85</v>
      </c>
      <c r="D164" s="162" t="inlineStr">
        <is>
          <t>Sqm</t>
        </is>
      </c>
      <c r="E164" s="162" t="n">
        <v>501.4</v>
      </c>
      <c r="F164" s="162" t="n"/>
      <c r="G164" s="159">
        <f>C164*E164</f>
        <v/>
      </c>
    </row>
    <row r="165" ht="71.25" customHeight="1" s="72">
      <c r="A165" s="160">
        <f>+A164+1</f>
        <v/>
      </c>
      <c r="B165" s="161" t="inlineStr">
        <is>
          <t>Providing batta (gola) 75mm x 75mm in cement
concrete (1 : 2 : 4) including finishing with cement
mortar 1 : 3 as per standard design.</t>
        </is>
      </c>
      <c r="C165" s="162" t="n">
        <v>166.75</v>
      </c>
      <c r="D165" s="162" t="inlineStr">
        <is>
          <t>Mtr</t>
        </is>
      </c>
      <c r="E165" s="162" t="n">
        <v>35.65</v>
      </c>
      <c r="F165" s="162" t="n"/>
      <c r="G165" s="159">
        <f>C165*E165</f>
        <v/>
      </c>
    </row>
    <row r="166" ht="71.25" customHeight="1" s="72">
      <c r="A166" s="160">
        <f>+A165+1</f>
        <v/>
      </c>
      <c r="B166" s="161" t="inlineStr">
        <is>
          <t>Plaster on new surface on walls in cement sand mortar
1:6 including racking of joints etc. complete fine
finish :  25 mm thick.</t>
        </is>
      </c>
      <c r="C166" s="162" t="n">
        <v>146.05</v>
      </c>
      <c r="D166" s="162" t="inlineStr">
        <is>
          <t>Sqm</t>
        </is>
      </c>
      <c r="E166" s="162" t="n">
        <v>124.2</v>
      </c>
      <c r="F166" s="162" t="n"/>
      <c r="G166" s="159">
        <f>C166*E166</f>
        <v/>
      </c>
    </row>
    <row r="167" ht="71.25" customHeight="1" s="72">
      <c r="A167" s="160" t="n">
        <v>25.3</v>
      </c>
      <c r="B167" s="161" t="inlineStr">
        <is>
          <t>Plaster on new surface on walls in cement sand mortar
1:6 including racking of joints etc. complete fine
finish :  20mm thick .</t>
        </is>
      </c>
      <c r="C167" s="162" t="n">
        <v>1547.9</v>
      </c>
      <c r="D167" s="162" t="inlineStr">
        <is>
          <t>Sqm</t>
        </is>
      </c>
      <c r="E167" s="162" t="n">
        <v>96.59999999999999</v>
      </c>
      <c r="F167" s="162" t="n"/>
      <c r="G167" s="159">
        <f>C167*E167</f>
        <v/>
      </c>
    </row>
    <row r="168" ht="28.5" customHeight="1" s="72">
      <c r="A168" s="160">
        <f>+A167+1</f>
        <v/>
      </c>
      <c r="B168" s="161" t="inlineStr">
        <is>
          <t>6 mm thick cement plaster to ceiling of mix 1:3
(1cement : 3-fine sand)</t>
        </is>
      </c>
      <c r="C168" s="162" t="n">
        <v>353.05</v>
      </c>
      <c r="D168" s="162" t="inlineStr">
        <is>
          <t>Sqm</t>
        </is>
      </c>
      <c r="E168" s="162" t="n">
        <v>103.5</v>
      </c>
      <c r="F168" s="162" t="n"/>
      <c r="G168" s="159">
        <f>C168*E168</f>
        <v/>
      </c>
    </row>
    <row r="169" ht="156.75" customHeight="1" s="72">
      <c r="A169" s="160">
        <f>+A168+1</f>
        <v/>
      </c>
      <c r="B169" s="161" t="inlineStr">
        <is>
          <t>Making khurras 450 x 450mm with average minimum
thickness 50mm cement concrete 1 : 2:4 over P.V.C.
Sheet 1 Mtr. x 1 Mtr. x 40micron finished with 12mm
cement plaster 1 : 3 and one coat of neat cement,
rounding edges and making and finishing the out let
complete.</t>
        </is>
      </c>
      <c r="C169" s="162" t="n">
        <v>18.4</v>
      </c>
      <c r="D169" s="162" t="inlineStr">
        <is>
          <t>Nos</t>
        </is>
      </c>
      <c r="E169" s="162" t="n">
        <v>131.1</v>
      </c>
      <c r="F169" s="162" t="n"/>
      <c r="G169" s="159">
        <f>C169*E169</f>
        <v/>
      </c>
    </row>
    <row r="170" ht="57" customHeight="1" s="72">
      <c r="A170" s="160">
        <f>+A169+1</f>
        <v/>
      </c>
      <c r="B170" s="161" t="inlineStr">
        <is>
          <t>Providing &amp; fixing precast cement concrete coping
1 : 2 : 4 mix 50mm thick complete as per
specification : -- 50 mm—</t>
        </is>
      </c>
      <c r="C170" s="162" t="n">
        <v>37.95</v>
      </c>
      <c r="D170" s="162" t="inlineStr">
        <is>
          <t>Sqm</t>
        </is>
      </c>
      <c r="E170" s="162" t="n">
        <v>186.3</v>
      </c>
      <c r="F170" s="162" t="n"/>
      <c r="G170" s="159">
        <f>C170*E170</f>
        <v/>
      </c>
    </row>
    <row r="171" ht="114" customHeight="1" s="72">
      <c r="A171" s="160">
        <f>+A170+1</f>
        <v/>
      </c>
      <c r="B171" s="161" t="inlineStr">
        <is>
          <t>Distempering with oil bound washable distemper of
approved brand and manufacture to give an even shade
including all scaffolding: New work (two or more coats) over and including
scrapping and priming coat with cement primer.</t>
        </is>
      </c>
      <c r="C171" s="162" t="n">
        <v>1236.25</v>
      </c>
      <c r="D171" s="162" t="inlineStr">
        <is>
          <t>Sqm</t>
        </is>
      </c>
      <c r="E171" s="162" t="n">
        <v>50.6</v>
      </c>
      <c r="F171" s="162" t="n"/>
      <c r="G171" s="159">
        <f>C171*E171</f>
        <v/>
      </c>
    </row>
    <row r="172" ht="85.5" customHeight="1" s="72">
      <c r="A172" s="160">
        <f>+A171+1</f>
        <v/>
      </c>
      <c r="B172" s="161" t="inlineStr">
        <is>
          <t>Finishing wall with water proofing cement paint of
approved brand and manufacture and or required shade
to give an even shade including all scaffolding: New Work (Three or more coats).</t>
        </is>
      </c>
      <c r="C172" s="162" t="n">
        <v>809.6</v>
      </c>
      <c r="D172" s="162" t="inlineStr">
        <is>
          <t>Sqm</t>
        </is>
      </c>
      <c r="E172" s="162" t="n">
        <v>33.92</v>
      </c>
      <c r="F172" s="162" t="n"/>
      <c r="G172" s="159">
        <f>C172*E172</f>
        <v/>
      </c>
    </row>
    <row r="173" ht="57" customHeight="1" s="72">
      <c r="A173" s="160">
        <f>+A172+1</f>
        <v/>
      </c>
      <c r="B173" s="161" t="inlineStr">
        <is>
          <t>Painting with enamel paint of approved brand and
manufacture to give an even shade : Two or more coats on new work.</t>
        </is>
      </c>
      <c r="C173" s="162" t="n">
        <v>201.25</v>
      </c>
      <c r="D173" s="162" t="inlineStr">
        <is>
          <t>Sqm</t>
        </is>
      </c>
      <c r="E173" s="162" t="n">
        <v>56.35</v>
      </c>
      <c r="F173" s="162" t="n"/>
      <c r="G173" s="159">
        <f>C173*E173</f>
        <v/>
      </c>
    </row>
    <row r="174" ht="409.5" customHeight="1" s="72">
      <c r="A174" s="160">
        <f>+A173+1</f>
        <v/>
      </c>
      <c r="B174" s="161" t="inlineStr">
        <is>
          <t>Providing and fixing steel glazed doors windows and
ventilator shutters of standard rolled steel section joints
mitred and welded with steel lugs 13x3mm, 10cm.
long embedded in cement concrete block
15x10x10cm. of 1:3:6 (1cement : 3 coarse sand : 6
graded stone aggregate 20mm nominal size) or with
wooden plugs and screws or rawl plugs and screws
with fixing clips or with bolts and nuts as required
including providing and fixing of plain glass panes
4mm thick with cooper glazing clips and special metal
sash putty of approved make or metal beading with
screws complete including priming coat of approval
steel primer, excluding the cost of metal beading and
other fitting except necessary hinges of pivots steel
handles peg stay etc. as required : Partly fixed and partly openable [ fixed area not to
exceed 33%]</t>
        </is>
      </c>
      <c r="C174" s="162" t="n">
        <v>42.55</v>
      </c>
      <c r="D174" s="162" t="inlineStr">
        <is>
          <t>Sqm</t>
        </is>
      </c>
      <c r="E174" s="162" t="n">
        <v>2242.5</v>
      </c>
      <c r="F174" s="162" t="n"/>
      <c r="G174" s="159">
        <f>C174*E174</f>
        <v/>
      </c>
    </row>
    <row r="175" ht="42.75" customHeight="1" s="72">
      <c r="A175" s="160">
        <f>+A174+1</f>
        <v/>
      </c>
      <c r="B175" s="161" t="inlineStr">
        <is>
          <t>Providing brass handles/peg stays and fittings in place
of oxidized fitting</t>
        </is>
      </c>
      <c r="C175" s="162" t="n">
        <v>42.55</v>
      </c>
      <c r="D175" s="162" t="inlineStr">
        <is>
          <t>Sqm</t>
        </is>
      </c>
      <c r="E175" s="162" t="n">
        <v>77.05</v>
      </c>
      <c r="F175" s="162" t="n"/>
      <c r="G175" s="159">
        <f>C175*E175</f>
        <v/>
      </c>
    </row>
    <row r="176" ht="99.75" customHeight="1" s="72">
      <c r="A176" s="160">
        <f>+A175+1</f>
        <v/>
      </c>
      <c r="B176" s="161" t="inlineStr">
        <is>
          <t>Supplying and fixing fixed wire gauge of 14 mesh x
24 gauge to the metal frame of rolled section by metal
beading 20x3mm with suitable screw at not exceeding
150mm distance.</t>
        </is>
      </c>
      <c r="C176" s="162" t="n">
        <v>42.55</v>
      </c>
      <c r="D176" s="162" t="inlineStr">
        <is>
          <t>Sqm</t>
        </is>
      </c>
      <c r="E176" s="162" t="n">
        <v>542.8</v>
      </c>
      <c r="F176" s="162" t="n"/>
      <c r="G176" s="159">
        <f>C176*E176</f>
        <v/>
      </c>
    </row>
    <row r="177" ht="42.75" customHeight="1" s="72">
      <c r="A177" s="160">
        <f>+A176+1</f>
        <v/>
      </c>
      <c r="B177" s="161" t="inlineStr">
        <is>
          <t>Providing and fixing Square bars or other flat welded
to window, ventilatiors etc.</t>
        </is>
      </c>
      <c r="C177" s="162" t="n">
        <v>276</v>
      </c>
      <c r="D177" s="162" t="inlineStr">
        <is>
          <t>Kg</t>
        </is>
      </c>
      <c r="E177" s="162" t="n">
        <v>73.59999999999999</v>
      </c>
      <c r="F177" s="162" t="n"/>
      <c r="G177" s="159">
        <f>C177*E177</f>
        <v/>
      </c>
    </row>
    <row r="178" ht="171" customHeight="1" s="72">
      <c r="A178" s="160">
        <f>+A177+1</f>
        <v/>
      </c>
      <c r="B178" s="161" t="inlineStr">
        <is>
          <t>Providing and fixing T -iron frames for doors,
windows and ventilators of mild steel Tee-sections, joints mitred and welded with 15x3 mm lugs 10cm long embedded in cement concrete blocks 15x10x10 cm of 1 :3:6 (1 cement: 3 coarse sand: 6 graded stone aggregate 20 mm nominal size) or with wooden plugs and screws or rawl plugs and screws or with fixing clips or with bolts and nuts as require including fixing of necessary butt hinges and screws and applying a priming coat of approved steel primer</t>
        </is>
      </c>
      <c r="C178" s="162" t="n">
        <v>414</v>
      </c>
      <c r="D178" s="162" t="inlineStr">
        <is>
          <t xml:space="preserve">Kg </t>
        </is>
      </c>
      <c r="E178" s="162" t="n">
        <v>92</v>
      </c>
      <c r="F178" s="162" t="n"/>
      <c r="G178" s="159">
        <f>C178*E178</f>
        <v/>
      </c>
    </row>
    <row r="179" ht="185.25" customHeight="1" s="72">
      <c r="A179" s="160">
        <f>+A178+1</f>
        <v/>
      </c>
      <c r="B179" s="161" t="inlineStr">
        <is>
          <t>Marble stone flooring table rubbed, 18 mm thick over
20mm (Av.) thick base of CM 1:4 (1 cement : 4 coarse
sand) jointing with white cement mortar 1:2 (1 white
cement : 2 marble dust) with pigment to match the
shade of the marble slab including grinding, rubbing
and polishing complete.GREEN MARBLE Kesriaji (Rikhabdeo).1501 Cm2 to 3600 Cm2 Tiles</t>
        </is>
      </c>
      <c r="C179" s="162" t="n">
        <v>120.75</v>
      </c>
      <c r="D179" s="162" t="inlineStr">
        <is>
          <t>Sqm</t>
        </is>
      </c>
      <c r="E179" s="162" t="n">
        <v>1404.15</v>
      </c>
      <c r="F179" s="162" t="n"/>
      <c r="G179" s="159">
        <f>C179*E179</f>
        <v/>
      </c>
    </row>
    <row r="180" ht="213.75" customHeight="1" s="72">
      <c r="A180" s="160">
        <f>+A179+1</f>
        <v/>
      </c>
      <c r="B180" s="161" t="inlineStr">
        <is>
          <t>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Green / Black / Other granite Above 3601 Cm2 Slabs</t>
        </is>
      </c>
      <c r="C180" s="162" t="n">
        <v>14.95</v>
      </c>
      <c r="D180" s="162" t="inlineStr">
        <is>
          <t>Sqm</t>
        </is>
      </c>
      <c r="E180" s="162" t="n">
        <v>4061.8</v>
      </c>
      <c r="F180" s="162" t="n"/>
      <c r="G180" s="159">
        <f>C180*E180</f>
        <v/>
      </c>
    </row>
    <row r="181" ht="256.5" customHeight="1" s="72">
      <c r="A181" s="160">
        <f>+A180+1</f>
        <v/>
      </c>
      <c r="B181" s="161" t="inlineStr">
        <is>
          <t>Providing and fixing 1st quality MAT finished ceremic
tile size 300x300mm comfirming to IS : 13753 colour
such as white, grey, ivory, fume red brown, light
green, light blue and other light shades in floors, steps,
pillars etc. laid on a bed of neat cement slurry
including nicely finished joints using water proof joint
filler powder (Untile or Roffe make) and finishing
with flush pointing in white cement mixed with
pigment to match the shade of tile complete (including
the cost of cement mortar bed 1:4) Category-A : Kajaria, Jhonson, Somani make</t>
        </is>
      </c>
      <c r="C181" s="162" t="n">
        <v>55.2</v>
      </c>
      <c r="D181" s="162" t="inlineStr">
        <is>
          <t>Sqm</t>
        </is>
      </c>
      <c r="E181" s="162" t="n">
        <v>994.75</v>
      </c>
      <c r="F181" s="162" t="n"/>
      <c r="G181" s="159">
        <f>C181*E181</f>
        <v/>
      </c>
    </row>
    <row r="182" ht="199.5" customHeight="1" s="72">
      <c r="A182" s="160">
        <f>+A181+1</f>
        <v/>
      </c>
      <c r="B182" s="161" t="inlineStr">
        <is>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is>
      </c>
      <c r="C182" s="162" t="n">
        <v>108.1</v>
      </c>
      <c r="D182" s="162" t="inlineStr">
        <is>
          <t>Sqm</t>
        </is>
      </c>
      <c r="E182" s="162" t="n">
        <v>1389.2</v>
      </c>
      <c r="F182" s="162" t="n"/>
      <c r="G182" s="159">
        <f>C182*E182</f>
        <v/>
      </c>
    </row>
    <row r="183" ht="128.25" customHeight="1" s="72">
      <c r="A183" s="160">
        <f>+A182+1</f>
        <v/>
      </c>
      <c r="B183" s="161" t="inlineStr">
        <is>
          <t>Extra for providing edge moulding to 18mm thick
marble stone counters, vantities etc. over item No. 7.1
&amp; 7.2 including machine polishing to edge to give high
gloss finish etc. complete as per design approved by
Engineer - in - Charge. Granite work</t>
        </is>
      </c>
      <c r="C183" s="162" t="n">
        <v>31.05</v>
      </c>
      <c r="D183" s="162" t="inlineStr">
        <is>
          <t>Mtr</t>
        </is>
      </c>
      <c r="E183" s="162" t="n">
        <v>230</v>
      </c>
      <c r="F183" s="162" t="n"/>
      <c r="G183" s="159">
        <f>C183*E183</f>
        <v/>
      </c>
    </row>
    <row r="184" ht="142.5" customHeight="1" s="72">
      <c r="A184" s="160">
        <f>+A183+1</f>
        <v/>
      </c>
      <c r="B184" s="161" t="inlineStr">
        <is>
          <t>Providing and fixing external grade board solid core
single leaf flush door shutters ISI 2202-67 marked
using Phenol formal dehyderesin in glue both sides
with approved steel fittings complete as per annexure
'A' : 30 mm thick . Decorative teak veneer both side</t>
        </is>
      </c>
      <c r="C184" s="162" t="n">
        <v>28.75</v>
      </c>
      <c r="D184" s="162" t="inlineStr">
        <is>
          <t>Sqm</t>
        </is>
      </c>
      <c r="E184" s="162" t="n">
        <v>2375.9</v>
      </c>
      <c r="F184" s="162" t="n"/>
      <c r="G184" s="159">
        <f>C184*E184</f>
        <v/>
      </c>
    </row>
    <row r="185" ht="28.5" customHeight="1" s="72">
      <c r="A185" s="160">
        <f>+A184+1</f>
        <v/>
      </c>
      <c r="B185" s="161" t="inlineStr">
        <is>
          <t>Add extra in Flush doors : For external teak wood lipping on flush door. 35mm x 6 mm</t>
        </is>
      </c>
      <c r="C185" s="162" t="n">
        <v>109.25</v>
      </c>
      <c r="D185" s="162" t="inlineStr">
        <is>
          <t>Mtr</t>
        </is>
      </c>
      <c r="E185" s="162" t="n">
        <v>69</v>
      </c>
      <c r="F185" s="162" t="n"/>
      <c r="G185" s="159">
        <f>C185*E185</f>
        <v/>
      </c>
    </row>
    <row r="186" ht="71.25" customHeight="1" s="72">
      <c r="A186" s="160">
        <f>+A185+1</f>
        <v/>
      </c>
      <c r="B186" s="161" t="inlineStr">
        <is>
          <t>Supplying and fixing in walls machine cut and
polished stone shelves, tands and sills in CM 1:3 with
machine cut edges : Kota stone 25 to 30mm thick.</t>
        </is>
      </c>
      <c r="C186" s="162" t="n">
        <v>28.75</v>
      </c>
      <c r="D186" s="162" t="inlineStr">
        <is>
          <t>Sqm</t>
        </is>
      </c>
      <c r="E186" s="162" t="n">
        <v>537.05</v>
      </c>
      <c r="F186" s="162" t="n"/>
      <c r="G186" s="159">
        <f>C186*E186</f>
        <v/>
      </c>
    </row>
    <row r="187" ht="128.25" customHeight="1" s="72">
      <c r="A187" s="160">
        <f>+A186+1</f>
        <v/>
      </c>
      <c r="B187" s="161" t="inlineStr">
        <is>
          <t>Polished Blue Kota Stone flooring skirting, laid over
20mm thick base of C.M. 1:4 and jointed with grey
cement slurry to match the shade of the slab including
rubbing and polishing complete : For area of each slab from 901 to 2000 Sq.Cm : 25mm thick slab.</t>
        </is>
      </c>
      <c r="C187" s="162" t="n">
        <v>83.95</v>
      </c>
      <c r="D187" s="162" t="inlineStr">
        <is>
          <t>Sqm</t>
        </is>
      </c>
      <c r="E187" s="162" t="n">
        <v>638.25</v>
      </c>
      <c r="F187" s="162" t="n"/>
      <c r="G187" s="159">
        <f>C187*E187</f>
        <v/>
      </c>
    </row>
    <row r="188" ht="57" customHeight="1" s="72">
      <c r="A188" s="160">
        <f>+A187+1</f>
        <v/>
      </c>
      <c r="B188" s="161" t="inlineStr">
        <is>
          <t>Applying Birla / JK white cement based putty over
cement plaster surface for making even surface.</t>
        </is>
      </c>
      <c r="C188" s="162" t="n">
        <v>1236.25</v>
      </c>
      <c r="D188" s="162" t="inlineStr">
        <is>
          <t>Sqm</t>
        </is>
      </c>
      <c r="E188" s="162" t="n">
        <v>161</v>
      </c>
      <c r="F188" s="162" t="n"/>
      <c r="G188" s="159">
        <f>C188*E188</f>
        <v/>
      </c>
    </row>
    <row r="189" ht="71.25" customHeight="1" s="72">
      <c r="A189" s="160">
        <f>+A188+1</f>
        <v/>
      </c>
      <c r="B189" s="161" t="inlineStr">
        <is>
          <t>Providing &amp; Laying POP moulding &amp; beading in
ceiling including nailing &amp; scafollding etc. complete of
size : 25mm x 25 mm</t>
        </is>
      </c>
      <c r="C189" s="162" t="n">
        <v>267.95</v>
      </c>
      <c r="D189" s="162" t="inlineStr">
        <is>
          <t>Rmt</t>
        </is>
      </c>
      <c r="E189" s="162" t="n">
        <v>48.3</v>
      </c>
      <c r="F189" s="162" t="n"/>
      <c r="G189" s="159">
        <f>C189*E189</f>
        <v/>
      </c>
    </row>
    <row r="190" ht="57" customHeight="1" s="72">
      <c r="A190" s="160">
        <f>+A189+1</f>
        <v/>
      </c>
      <c r="B190" s="161" t="inlineStr">
        <is>
          <t>Providing &amp; Laying POP Cornice of required
design &amp; pattern in ceiling including nailing &amp;
scafollding etc. complete with fine finishing of size: 75mm x 75mm</t>
        </is>
      </c>
      <c r="C190" s="162" t="n">
        <v>166.75</v>
      </c>
      <c r="D190" s="162" t="inlineStr">
        <is>
          <t xml:space="preserve">Rmt </t>
        </is>
      </c>
      <c r="E190" s="162" t="n">
        <v>93.15000000000001</v>
      </c>
      <c r="F190" s="162" t="n"/>
      <c r="G190" s="159">
        <f>C190*E190</f>
        <v/>
      </c>
    </row>
    <row r="191" ht="142.5" customHeight="1" s="72">
      <c r="A191" s="160">
        <f>+A190+1</f>
        <v/>
      </c>
      <c r="B191" s="161" t="inlineStr">
        <is>
          <t>Supplying &amp; fixing door, window, chowkhats and
other frames, including antitermite treatment, M.S.
flat, hold fasts of size 250 x 40 x 3mm fixed with M.S.
bolt 5mm dia 50mm long duly embedded in cement
concrete M-15 grade : Ghana teak wood Grade - I.</t>
        </is>
      </c>
      <c r="C191" s="162" t="n">
        <v>0.34</v>
      </c>
      <c r="D191" s="162" t="inlineStr">
        <is>
          <t>Cum</t>
        </is>
      </c>
      <c r="E191" s="162" t="n">
        <v>83196.75</v>
      </c>
      <c r="F191" s="162" t="n"/>
      <c r="G191" s="159">
        <f>C191*E191</f>
        <v/>
      </c>
    </row>
    <row r="192" ht="213.75" customHeight="1" s="72">
      <c r="A192" s="160">
        <f>+A191+1</f>
        <v/>
      </c>
      <c r="B192" s="161" t="inlineStr">
        <is>
          <t>Providing and fixing fully panelled double leaf shutter
for doors as per approved design and drawings with
approved ordinary C.P./ oxidised steel fittings as per
Annexure - 'A' and width of styles &amp; top rails of
100mm and lock rails width of 150mm and bottom
rails of 200mm width including teak wood beading of
size 19mm x 12mm on both faces complete : 25mm thick : Ghana teak wood grade-I 9mm thick
teak ply(bothfaces) panels</t>
        </is>
      </c>
      <c r="C192" s="162" t="n">
        <v>26.57</v>
      </c>
      <c r="D192" s="162" t="inlineStr">
        <is>
          <t>Sqm</t>
        </is>
      </c>
      <c r="E192" s="162" t="n">
        <v>3923.8</v>
      </c>
      <c r="F192" s="162" t="n"/>
      <c r="G192" s="159">
        <f>C192*E192</f>
        <v/>
      </c>
    </row>
    <row r="193" ht="42.75" customHeight="1" s="72">
      <c r="A193" s="160">
        <f>+A192+1</f>
        <v/>
      </c>
      <c r="B193" s="161" t="inlineStr">
        <is>
          <t>French sprit polishing : Two or more coats on new work including a coat of
wood filler.</t>
        </is>
      </c>
      <c r="C193" s="162" t="n">
        <v>75.98</v>
      </c>
      <c r="D193" s="162" t="inlineStr">
        <is>
          <t>Sqm</t>
        </is>
      </c>
      <c r="E193" s="162" t="n">
        <v>147.2</v>
      </c>
      <c r="F193" s="162" t="n"/>
      <c r="G193" s="159">
        <f>C193*E193</f>
        <v/>
      </c>
    </row>
    <row r="194" ht="28.5" customHeight="1" s="72">
      <c r="A194" s="160">
        <f>+A193+1</f>
        <v/>
      </c>
      <c r="B194" s="161" t="inlineStr">
        <is>
          <t>Providing and Fixing Bearing Base door closure</t>
        </is>
      </c>
      <c r="C194" s="162" t="n">
        <v>5</v>
      </c>
      <c r="D194" s="162" t="inlineStr">
        <is>
          <t>Nos</t>
        </is>
      </c>
      <c r="E194" s="162" t="n">
        <v>1567.45</v>
      </c>
      <c r="F194" s="162" t="n"/>
      <c r="G194" s="159">
        <f>C194*E194</f>
        <v/>
      </c>
    </row>
    <row r="195" ht="57" customHeight="1" s="72">
      <c r="A195" s="160">
        <f>+A194+1</f>
        <v/>
      </c>
      <c r="B195" s="161" t="inlineStr">
        <is>
          <t>P&amp;FIndiantypewhiteglazedvitreouschina1stqualityW.C.orissapan(IS:2556Mark)with100mmvitreouschinaPorStrapincludingcuttingandmakinggood the wall and floor:Size 530x410mm.</t>
        </is>
      </c>
      <c r="C195" s="162" t="n">
        <v>1</v>
      </c>
      <c r="D195" s="162" t="inlineStr">
        <is>
          <t>Nos</t>
        </is>
      </c>
      <c r="E195" s="162" t="n">
        <v>1657.15</v>
      </c>
      <c r="F195" s="162" t="n"/>
      <c r="G195" s="159">
        <f>C195*E195</f>
        <v/>
      </c>
    </row>
    <row r="196" ht="57" customHeight="1" s="72">
      <c r="A196" s="162">
        <f>+A195+1</f>
        <v/>
      </c>
      <c r="B196" s="161" t="inlineStr">
        <is>
          <t>P&amp;FEuropeantypewhiteglazedvitreouschina1stqualityDoublesyphonicW.C(IS:2556Mark)withPorStrapincludingcuttingandmakinggoodthewalland floor</t>
        </is>
      </c>
      <c r="C196" s="162" t="n">
        <v>1</v>
      </c>
      <c r="D196" s="162" t="inlineStr">
        <is>
          <t>Nos</t>
        </is>
      </c>
      <c r="E196" s="162" t="n">
        <v>4066.4</v>
      </c>
      <c r="F196" s="162" t="n"/>
      <c r="G196" s="159">
        <f>C196*E196</f>
        <v/>
      </c>
    </row>
    <row r="197" ht="85.5" customHeight="1" s="72">
      <c r="A197" s="162">
        <f>+A196+1</f>
        <v/>
      </c>
      <c r="B197" s="161" t="inlineStr">
        <is>
          <t>P&amp;FWVCwashbasin(1stquality,I.S.:2556Mark)ofapprovedmakewithC.I.bracketsdulypainted,1No.15mmC.P.Pillarcock(IS:8934Mark)&amp;32mmC.P.brasswastecouplingofapprovedmake,25mmG.I.wastepipecompleteincludingcutting&amp;makinggood</t>
        </is>
      </c>
      <c r="C197" s="163" t="n">
        <v>2</v>
      </c>
      <c r="D197" s="162" t="inlineStr">
        <is>
          <t>Nos</t>
        </is>
      </c>
      <c r="E197" s="162" t="n">
        <v>2296.55</v>
      </c>
      <c r="F197" s="162" t="n"/>
      <c r="G197" s="159">
        <f>C197*E197</f>
        <v/>
      </c>
    </row>
    <row r="198" ht="57" customHeight="1" s="72">
      <c r="A198" s="162">
        <f>+A197+1</f>
        <v/>
      </c>
      <c r="B198" s="161" t="inlineStr">
        <is>
          <t>1.0mmthickSalemstainlesssteelAISI-304kitchensinkofapprovedmake(Nirali,Neel–kanth,Jaina,Faber-Castell ) with large waste coupling.</t>
        </is>
      </c>
      <c r="C198" s="163" t="n">
        <v>2</v>
      </c>
      <c r="D198" s="162" t="inlineStr">
        <is>
          <t>Nos</t>
        </is>
      </c>
      <c r="E198" s="162" t="n">
        <v>4818.5</v>
      </c>
      <c r="F198" s="162" t="n"/>
      <c r="G198" s="159">
        <f>C198*E198</f>
        <v/>
      </c>
    </row>
    <row r="199" ht="71.25" customHeight="1" s="72">
      <c r="A199" s="162">
        <f>+A198+1</f>
        <v/>
      </c>
      <c r="B199" s="161" t="inlineStr">
        <is>
          <t>P&amp;FBevellededgeMirrorofspecialglassofapprovedmake(Atul,ModiGuard,SaintGobinorequivalent)completewith6mmthickasbestoscementsheet ground fixed to wooden screws &amp; washers. Other sizes</t>
        </is>
      </c>
      <c r="C199" s="163" t="n">
        <v>2</v>
      </c>
      <c r="D199" s="162" t="inlineStr">
        <is>
          <t>Nos</t>
        </is>
      </c>
      <c r="E199" s="162" t="n">
        <v>1158.05</v>
      </c>
      <c r="F199" s="162" t="n"/>
      <c r="G199" s="159">
        <f>C199*E199</f>
        <v/>
      </c>
    </row>
    <row r="200" ht="42.75" customHeight="1" s="72">
      <c r="A200" s="162">
        <f>+A199+1</f>
        <v/>
      </c>
      <c r="B200" s="161" t="inlineStr">
        <is>
          <t>C.P.brassTowelRailelbowtypewithconcealedscrews size 600 mm (Heavy duty). C.P. brass towel rail with brackets 450 x 20mm.</t>
        </is>
      </c>
      <c r="C200" s="163" t="n">
        <v>2</v>
      </c>
      <c r="D200" s="162" t="inlineStr">
        <is>
          <t>Nos</t>
        </is>
      </c>
      <c r="E200" s="162" t="n">
        <v>578.45</v>
      </c>
      <c r="F200" s="162" t="n"/>
      <c r="G200" s="159">
        <f>C200*E200</f>
        <v/>
      </c>
    </row>
    <row r="201" ht="42.75" customHeight="1" s="72">
      <c r="A201" s="162">
        <f>+A200+1</f>
        <v/>
      </c>
      <c r="B201" s="161" t="inlineStr">
        <is>
          <t>P &amp; F Grating of approved quality/make: StainlessSteelSheetsize125mmdia.HeavyQualityofapproved make</t>
        </is>
      </c>
      <c r="C201" s="163" t="n">
        <v>6</v>
      </c>
      <c r="D201" s="162" t="inlineStr">
        <is>
          <t>Nos</t>
        </is>
      </c>
      <c r="E201" s="162" t="n">
        <v>73.59999999999999</v>
      </c>
      <c r="F201" s="162" t="n"/>
      <c r="G201" s="159">
        <f>C201*E201</f>
        <v/>
      </c>
    </row>
    <row r="202" ht="42.75" customHeight="1" s="72">
      <c r="A202" s="162">
        <f>+A201+1</f>
        <v/>
      </c>
      <c r="B202" s="161" t="inlineStr">
        <is>
          <t>P &amp; F Soap Dish or Tray of approved quality/make C.P. brass heavy and superior quality.</t>
        </is>
      </c>
      <c r="C202" s="163" t="n">
        <v>2</v>
      </c>
      <c r="D202" s="162" t="inlineStr">
        <is>
          <t>Nos</t>
        </is>
      </c>
      <c r="E202" s="162" t="n">
        <v>105.8</v>
      </c>
      <c r="F202" s="162" t="n"/>
      <c r="G202" s="159">
        <f>C202*E202</f>
        <v/>
      </c>
    </row>
    <row r="203" ht="42.75" customHeight="1" s="72">
      <c r="A203" s="162">
        <f>+A202+1</f>
        <v/>
      </c>
      <c r="B203" s="161" t="inlineStr">
        <is>
          <t>P &amp; F Shower arm 15mm dia of approved C.P.brass heavy &amp; superior quality 300mm Projection.</t>
        </is>
      </c>
      <c r="C203" s="163" t="n">
        <v>1</v>
      </c>
      <c r="D203" s="162" t="inlineStr">
        <is>
          <t>Nos</t>
        </is>
      </c>
      <c r="E203" s="162" t="n">
        <v>264.5</v>
      </c>
      <c r="F203" s="162" t="n"/>
      <c r="G203" s="159">
        <f>C203*E203</f>
        <v/>
      </c>
    </row>
    <row r="204" ht="42.75" customHeight="1" s="72">
      <c r="A204" s="162">
        <f>+A203+1</f>
        <v/>
      </c>
      <c r="B204" s="161" t="inlineStr">
        <is>
          <t>P &amp; F Bath Shower of approved quality/make. C.P.brassofHeavy&amp;superiorquality,revolvingwithadjustable key 150mm.</t>
        </is>
      </c>
      <c r="C204" s="163" t="n">
        <v>1</v>
      </c>
      <c r="D204" s="162" t="inlineStr">
        <is>
          <t>Nos</t>
        </is>
      </c>
      <c r="E204" s="162" t="n">
        <v>471.5</v>
      </c>
      <c r="F204" s="162" t="n"/>
      <c r="G204" s="159">
        <f>C204*E204</f>
        <v/>
      </c>
    </row>
    <row r="205" ht="57" customHeight="1" s="72">
      <c r="A205" s="162">
        <f>+A204+1</f>
        <v/>
      </c>
      <c r="B205" s="161" t="inlineStr">
        <is>
          <t>P&amp;FG.I.pipes(InternalWork)withG.I.Fittingsexcludingunion(IS:1239Mark)&amp;MSclampsincluding cutting and making good the walls and floors: 15 mm dia nominal bore 'B' Class</t>
        </is>
      </c>
      <c r="C205" s="164" t="n">
        <v>57.5</v>
      </c>
      <c r="D205" s="162" t="inlineStr">
        <is>
          <t>Mtr</t>
        </is>
      </c>
      <c r="E205" s="162" t="n">
        <v>185.15</v>
      </c>
      <c r="F205" s="162" t="n"/>
      <c r="G205" s="159">
        <f>C205*E205</f>
        <v/>
      </c>
    </row>
    <row r="206" ht="57" customHeight="1" s="72">
      <c r="A206" s="162">
        <f>+A205+1</f>
        <v/>
      </c>
      <c r="B206" s="161" t="inlineStr">
        <is>
          <t>P&amp;FG.I.pipes(InternalWork)withG.I.Fittingsexcludingunion(IS:1239Mark)&amp;MSclampsincluding cutting and making good the walls and floors:  25mm dia nominal bore 'B' Class</t>
        </is>
      </c>
      <c r="C206" s="164" t="n">
        <v>69</v>
      </c>
      <c r="D206" s="162" t="inlineStr">
        <is>
          <t>Mtr</t>
        </is>
      </c>
      <c r="E206" s="162" t="n">
        <v>308.2</v>
      </c>
      <c r="F206" s="162" t="n"/>
      <c r="G206" s="159">
        <f>C206*E206</f>
        <v/>
      </c>
    </row>
    <row r="207" ht="42.75" customHeight="1" s="72">
      <c r="A207" s="162">
        <f>+A206+1</f>
        <v/>
      </c>
      <c r="B207" s="161" t="inlineStr">
        <is>
          <t>P&amp;FBibCock(IS:8931Mark),Superiorqualityofapproved make: C. P. Brass swan - neck, 15mm nominal bore.</t>
        </is>
      </c>
      <c r="C207" s="163" t="n">
        <v>8</v>
      </c>
      <c r="D207" s="162" t="inlineStr">
        <is>
          <t>Nos</t>
        </is>
      </c>
      <c r="E207" s="162" t="n">
        <v>701.5</v>
      </c>
      <c r="F207" s="162" t="n"/>
      <c r="G207" s="159">
        <f>C207*E207</f>
        <v/>
      </c>
    </row>
    <row r="208" ht="28.5" customHeight="1" s="72">
      <c r="A208" s="162">
        <f>+A207+1</f>
        <v/>
      </c>
      <c r="B208" s="161" t="inlineStr">
        <is>
          <t>P &amp; F Push Cock superior quality, of approved make C.P. Brass 15 mm.</t>
        </is>
      </c>
      <c r="C208" s="163" t="n">
        <v>1</v>
      </c>
      <c r="D208" s="162" t="inlineStr">
        <is>
          <t>Nos</t>
        </is>
      </c>
      <c r="E208" s="162" t="n">
        <v>645.15</v>
      </c>
      <c r="F208" s="162" t="n"/>
      <c r="G208" s="159">
        <f>C208*E208</f>
        <v/>
      </c>
    </row>
    <row r="209" ht="28.5" customHeight="1" s="72">
      <c r="A209" s="162">
        <f>+A208+1</f>
        <v/>
      </c>
      <c r="B209" s="161" t="inlineStr">
        <is>
          <t>P&amp;FBallCock(IS:1703Mark)withRod&amp;P.V.C.Ball complete : Brass wt.1000 gm, 25mm.</t>
        </is>
      </c>
      <c r="C209" s="163" t="n">
        <v>2</v>
      </c>
      <c r="D209" s="162" t="inlineStr">
        <is>
          <t>Nos</t>
        </is>
      </c>
      <c r="E209" s="162" t="n">
        <v>433.55</v>
      </c>
      <c r="F209" s="162" t="n"/>
      <c r="G209" s="159">
        <f>C209*E209</f>
        <v/>
      </c>
    </row>
    <row r="210" ht="57" customHeight="1" s="72">
      <c r="A210" s="162">
        <f>+A209+1</f>
        <v/>
      </c>
      <c r="B210" s="161" t="inlineStr">
        <is>
          <t>P&amp;FInletConnection(AngleValves)Superiorquality, of approved make, for Wash basin, Gyser etc. C.P. Inlet connection 15mm.Brass (IS : 8931 marked)</t>
        </is>
      </c>
      <c r="C210" s="163" t="n">
        <v>4</v>
      </c>
      <c r="D210" s="162" t="inlineStr">
        <is>
          <t>Nos</t>
        </is>
      </c>
      <c r="E210" s="162" t="n">
        <v>566.95</v>
      </c>
      <c r="F210" s="162" t="n"/>
      <c r="G210" s="159">
        <f>C210*E210</f>
        <v/>
      </c>
    </row>
    <row r="211" ht="42.75" customHeight="1" s="72">
      <c r="A211" s="162">
        <f>+A210+1</f>
        <v/>
      </c>
      <c r="B211" s="161" t="inlineStr">
        <is>
          <t>P&amp;FFlushCock/FlushValve(IS: 9758 Mark) for WC of approved quality make : CP brass push type 25mm nominal bore.</t>
        </is>
      </c>
      <c r="C211" s="163" t="n">
        <v>1</v>
      </c>
      <c r="D211" s="162" t="inlineStr">
        <is>
          <t>Nos</t>
        </is>
      </c>
      <c r="E211" s="162" t="n">
        <v>1025.8</v>
      </c>
      <c r="F211" s="162" t="n"/>
      <c r="G211" s="159">
        <f>C211*E211</f>
        <v/>
      </c>
    </row>
    <row r="212" ht="42.75" customHeight="1" s="72">
      <c r="A212" s="162">
        <f>+A211+1</f>
        <v/>
      </c>
      <c r="B212" s="161" t="inlineStr">
        <is>
          <t>P&amp;F 
FullwayValve(IS:778Mark)orwheelvalveofapproved make : Gun-metal 15mm nominal bore.</t>
        </is>
      </c>
      <c r="C212" s="163" t="n">
        <v>2</v>
      </c>
      <c r="D212" s="162" t="inlineStr">
        <is>
          <t>Nos</t>
        </is>
      </c>
      <c r="E212" s="162" t="n">
        <v>316.25</v>
      </c>
      <c r="F212" s="162" t="n"/>
      <c r="G212" s="159">
        <f>C212*E212</f>
        <v/>
      </c>
    </row>
    <row r="213" ht="85.5" customHeight="1" s="72">
      <c r="A213" s="162">
        <f>+A212+1</f>
        <v/>
      </c>
      <c r="B213" s="161" t="inlineStr">
        <is>
          <t>P&amp;FPVCStorageTank(IS:12701markedindicatingtheBISlicenseNo),ofapprovedmakewithcover,25mmdia1MlongG.I.over-flowpipe&amp;25Cm.longwashoutpipewithplug&amp;socket,includingmakingconnection etc., complete of approved design: 500 litres capacity.</t>
        </is>
      </c>
      <c r="C213" s="163" t="n">
        <v>2</v>
      </c>
      <c r="D213" s="162" t="inlineStr">
        <is>
          <t>Nos</t>
        </is>
      </c>
      <c r="E213" s="162" t="n">
        <v>4314.8</v>
      </c>
      <c r="F213" s="162" t="n"/>
      <c r="G213" s="159">
        <f>C213*E213</f>
        <v/>
      </c>
    </row>
    <row r="214" ht="57" customHeight="1" s="72">
      <c r="A214" s="162">
        <f>+A213+1</f>
        <v/>
      </c>
      <c r="B214" s="161" t="inlineStr">
        <is>
          <t>P&amp;FrigidPVCPipe(IS:4985mark)classII/(4Kg./Cm2.)approvedquality/makeincludingjoiningthepipe with solvent cement rubber ring and lubricant. 110 mm dia</t>
        </is>
      </c>
      <c r="C214" s="164" t="n">
        <v>92</v>
      </c>
      <c r="D214" s="162" t="inlineStr">
        <is>
          <t>Mtr</t>
        </is>
      </c>
      <c r="E214" s="162" t="n">
        <v>200.1</v>
      </c>
      <c r="F214" s="162" t="n"/>
      <c r="G214" s="159">
        <f>C214*E214</f>
        <v/>
      </c>
    </row>
    <row r="215" ht="57" customHeight="1" s="72">
      <c r="A215" s="162">
        <f>+A214+1</f>
        <v/>
      </c>
      <c r="B215" s="161" t="inlineStr">
        <is>
          <t>P&amp;FrigidPVCpipefittings(IS:4985mark)ofapprovedquality/makeincludingjoiningthepipewithsolvent cement rubber ring and lubricant: Bend 87 .5 110mm dia</t>
        </is>
      </c>
      <c r="C215" s="163" t="n">
        <v>23</v>
      </c>
      <c r="D215" s="162" t="inlineStr">
        <is>
          <t>Nos</t>
        </is>
      </c>
      <c r="E215" s="162" t="n">
        <v>131.1</v>
      </c>
      <c r="F215" s="162" t="n"/>
      <c r="G215" s="159">
        <f>C215*E215</f>
        <v/>
      </c>
    </row>
    <row r="216" ht="57" customHeight="1" s="72">
      <c r="A216" s="162">
        <f>+A215+1</f>
        <v/>
      </c>
      <c r="B216" s="161" t="inlineStr">
        <is>
          <t>P&amp;FrigidPVCpipefittings(IS:4985mark)ofapprovedquality/makeincludingjoiningthepipewithsolvent cement rubber ring and lubricant: Pipe Clip 110mm dia</t>
        </is>
      </c>
      <c r="C216" s="163" t="n">
        <v>57.5</v>
      </c>
      <c r="D216" s="162" t="inlineStr">
        <is>
          <t>Nos</t>
        </is>
      </c>
      <c r="E216" s="162" t="n">
        <v>37.95</v>
      </c>
      <c r="F216" s="162" t="n"/>
      <c r="G216" s="159">
        <f>C216*E216</f>
        <v/>
      </c>
    </row>
    <row r="217" ht="42.75" customHeight="1" s="72">
      <c r="A217" s="162">
        <f>+A216+1</f>
        <v/>
      </c>
      <c r="B217" s="161" t="inlineStr">
        <is>
          <t>P&amp;FFull-wayValve(IS:778Mark)orwheelvalveofapproved make : 25mm nominal bore.</t>
        </is>
      </c>
      <c r="C217" s="163" t="n">
        <v>2</v>
      </c>
      <c r="D217" s="162" t="inlineStr">
        <is>
          <t>Nos</t>
        </is>
      </c>
      <c r="E217" s="162" t="n">
        <v>622.15</v>
      </c>
      <c r="F217" s="162" t="n"/>
      <c r="G217" s="159">
        <f>C217*E217</f>
        <v/>
      </c>
    </row>
    <row r="218" ht="99.75" customHeight="1" s="72">
      <c r="A218" s="162">
        <f>+A217+1</f>
        <v/>
      </c>
      <c r="B218" s="161" t="inlineStr">
        <is>
          <t>ConstructionofsepticTankinalltypesofsoilwith40Cm.thickmasonryinCM1:6,15CmthickC.Cbedof1:5:10,M-15gradeC.Cflooring&amp;overstoneslabcovering,80mmthickslab,jointingofslabinCM1:3.Ralthal,Kharanja,50mmthickstonepartitionwalls,20mmthickplasterinCM1:6finishedwithne</t>
        </is>
      </c>
      <c r="C218" s="163" t="n">
        <v>1</v>
      </c>
      <c r="D218" s="162" t="inlineStr">
        <is>
          <t>Nos</t>
        </is>
      </c>
      <c r="E218" s="162" t="n">
        <v>19363.7</v>
      </c>
      <c r="F218" s="162" t="n"/>
      <c r="G218" s="159">
        <f>C218*E218</f>
        <v/>
      </c>
    </row>
    <row r="219" ht="128.25" customHeight="1" s="72">
      <c r="A219" s="162">
        <f>+A218+1</f>
        <v/>
      </c>
      <c r="B219" s="161" t="inlineStr">
        <is>
          <t>Construction of chamber in all type of soil with 300 mm thickmasonryinCM1:6m10cmthickC.C.1:5:10infoundation,20mmthickinsiderplasterinCm1:6,finishedwithfloatingneatcement,50mmthickM-15gradeC.C.flooring,earthworketc.completeasperdesignincludingdisposalofsur Insidesize300X300mmdepthupto0.5MCementcover with frame.</t>
        </is>
      </c>
      <c r="C219" s="163" t="n">
        <v>6</v>
      </c>
      <c r="D219" s="162" t="inlineStr">
        <is>
          <t>Nos</t>
        </is>
      </c>
      <c r="E219" s="162" t="n">
        <v>1278.8</v>
      </c>
      <c r="F219" s="162" t="n"/>
      <c r="G219" s="159">
        <f>C219*E219</f>
        <v/>
      </c>
    </row>
    <row r="220" ht="171" customHeight="1" s="72">
      <c r="A220" s="162">
        <f>+A219+1</f>
        <v/>
      </c>
      <c r="B220" s="161" t="inlineStr">
        <is>
          <t>Construction of man hole,in all types of soil, inner size1.5x1.2M, with 450mm thick masonry in CM1:6,10Cm.thick cement concrete1:5:10 infoundation,20mm thick inside plaster inCM1:6, finished with floating neat cement, 50mm thickM-15grade C.C.flooring making channels, 80mm thick stone slab  covering with 40mm thick M15 grade CC flooring ferro cement cover with frame of 450mm dia earth work etc. complete including disposal of surplus earth within 50m lead.as per design. Depth up to 1.50 M</t>
        </is>
      </c>
      <c r="C220" s="163" t="n">
        <v>2</v>
      </c>
      <c r="D220" s="162" t="inlineStr">
        <is>
          <t>Nos</t>
        </is>
      </c>
      <c r="E220" s="162" t="n">
        <v>13366.45</v>
      </c>
      <c r="F220" s="162" t="n"/>
      <c r="G220" s="159">
        <f>C220*E220</f>
        <v/>
      </c>
    </row>
    <row r="221" ht="85.5" customHeight="1" s="72">
      <c r="A221" s="162">
        <f>+A220+1</f>
        <v/>
      </c>
      <c r="B221" s="161" t="inlineStr">
        <is>
          <t>ProvidingLaying&amp;jointingglazedS.W.pipesgrade`A`(IS;651marked)ofapprovedmakewithspunyarn&amp;stiffmixtureofcementmortar1:1,excavation&amp;refillingofearthinalltypesofsoilupto1.2mdepth,S.W. fittings, including testing of joints etc, complete. 150mm dia</t>
        </is>
      </c>
      <c r="C221" s="164" t="n">
        <v>34.5</v>
      </c>
      <c r="D221" s="162" t="inlineStr">
        <is>
          <t>Mtr</t>
        </is>
      </c>
      <c r="E221" s="162" t="n">
        <v>323.15</v>
      </c>
      <c r="F221" s="162" t="n"/>
      <c r="G221" s="159">
        <f>C221*E221</f>
        <v/>
      </c>
    </row>
    <row r="222" ht="85.5" customHeight="1" s="72">
      <c r="A222" s="162">
        <f>+A221+1</f>
        <v/>
      </c>
      <c r="B222" s="161" t="inlineStr">
        <is>
          <t>Providing&amp;LayingC.C.1:5:10(Stoneaggregate40mmnominalsize)uptohaunchesofS.W.pipesincluding150mmthickbedconcrete(WidthW=DiaofpipeinCm+30Cm.)concretewidthtobereducedfromwidthWatcenterofpipeto`0`attopofpipe.(Excluding cost of pipe) 150mm dia S.W. pipe</t>
        </is>
      </c>
      <c r="C222" s="164" t="n">
        <v>34.5</v>
      </c>
      <c r="D222" s="162" t="inlineStr">
        <is>
          <t>Mtr</t>
        </is>
      </c>
      <c r="E222" s="162" t="n">
        <v>309.35</v>
      </c>
      <c r="F222" s="162" t="n"/>
      <c r="G222" s="159">
        <f>C222*E222</f>
        <v/>
      </c>
    </row>
    <row r="223" ht="128.25" customHeight="1" s="72">
      <c r="A223" s="162">
        <f>+A222+1</f>
        <v/>
      </c>
      <c r="B223" s="161" t="inlineStr">
        <is>
          <t>P&amp;F Square-mouth gully trap`A` grade (IS:marked) of approved make complete with C.I. grating, frame &amp; Cover masonary chamber inC.M.1:6,100mmthick C.C.1:5:10 baseconcrete,40mmthickC.C.M-15 grade coping,12mm thick cement plaster in CM 1:3 complete as per approved design &amp; type. Trap size 150x100mm 7.2kg CI cover with frame internal chamber size 300x300mm</t>
        </is>
      </c>
      <c r="C223" s="163" t="n">
        <v>2</v>
      </c>
      <c r="D223" s="162" t="inlineStr">
        <is>
          <t>Nos</t>
        </is>
      </c>
      <c r="E223" s="162" t="n">
        <v>842.95</v>
      </c>
      <c r="F223" s="162" t="n"/>
      <c r="G223" s="159">
        <f>C223*E223</f>
        <v/>
      </c>
    </row>
    <row r="224" ht="28.5" customHeight="1" s="72">
      <c r="A224" s="162">
        <f>+A223+1</f>
        <v/>
      </c>
      <c r="B224" s="161" t="inlineStr">
        <is>
          <t>P &amp; F Grating of approved quality/make: Stainless Steel Sheet size 125mm dia.</t>
        </is>
      </c>
      <c r="C224" s="163" t="n">
        <v>6</v>
      </c>
      <c r="D224" s="162" t="inlineStr">
        <is>
          <t>Nos</t>
        </is>
      </c>
      <c r="E224" s="162" t="n">
        <v>67.84999999999999</v>
      </c>
      <c r="F224" s="162" t="n"/>
      <c r="G224" s="159">
        <f>C224*E224</f>
        <v/>
      </c>
    </row>
    <row r="225" ht="42.75" customHeight="1" s="72">
      <c r="A225" s="165" t="n">
        <v>1</v>
      </c>
      <c r="B225" s="173" t="inlineStr">
        <is>
          <t>Brick work in superstructure upto 4.5 metre height  above plinth level Cement Mortar 1:6 with bricks are class designation 75.</t>
        </is>
      </c>
      <c r="C225" s="167">
        <f>GF1_MES!K267</f>
        <v/>
      </c>
      <c r="D225" s="168" t="inlineStr">
        <is>
          <t>Cum</t>
        </is>
      </c>
      <c r="E225" s="167">
        <f>1010+32+27</f>
        <v/>
      </c>
      <c r="F225" s="168" t="inlineStr">
        <is>
          <t>P Cum</t>
        </is>
      </c>
      <c r="G225" s="169">
        <f>IF(C225,ROUNDUP(C225*E225,0),"")</f>
        <v/>
      </c>
    </row>
    <row r="226" ht="42.75" customHeight="1" s="72">
      <c r="A226" s="165" t="n">
        <v>2</v>
      </c>
      <c r="B226" s="173" t="inlineStr">
        <is>
          <t>Half brick masonry in super structure using bricks of class designation 75 in  Cement Mortar 1:4  ( 1 cement : 4 coarse sand)</t>
        </is>
      </c>
      <c r="C226" s="167">
        <f>GF1_MES!K278</f>
        <v/>
      </c>
      <c r="D226" s="168" t="inlineStr">
        <is>
          <t>Sqm</t>
        </is>
      </c>
      <c r="E226" s="167">
        <f>140+4+3</f>
        <v/>
      </c>
      <c r="F226" s="170" t="inlineStr">
        <is>
          <t>P Sqm</t>
        </is>
      </c>
      <c r="G226" s="169">
        <f>IF(C226,ROUNDUP(C226*E226,0),"")</f>
        <v/>
      </c>
    </row>
    <row r="227" ht="85.5" customHeight="1" s="72">
      <c r="A227" s="165" t="n">
        <v>3</v>
      </c>
      <c r="B227" s="212">
        <f>GF1_MES!B280</f>
        <v/>
      </c>
      <c r="C227" s="167">
        <f>GF1_MES!K283</f>
        <v/>
      </c>
      <c r="D227" s="170" t="inlineStr">
        <is>
          <t>Sqm</t>
        </is>
      </c>
      <c r="E227" s="167" t="n">
        <v>92</v>
      </c>
      <c r="F227" s="170" t="inlineStr">
        <is>
          <t>P Sqm</t>
        </is>
      </c>
      <c r="G227" s="169">
        <f>IF(C227,ROUNDUP(C227*E227,0),"")</f>
        <v/>
      </c>
    </row>
    <row r="228" ht="57" customHeight="1" s="72">
      <c r="A228" s="247" t="n"/>
      <c r="B228" s="173">
        <f>GF1_MES!B284</f>
        <v/>
      </c>
      <c r="C228" s="167">
        <f>GF1_MES!K331</f>
        <v/>
      </c>
      <c r="D228" s="170" t="inlineStr">
        <is>
          <t>Sqm</t>
        </is>
      </c>
      <c r="E228" s="167" t="n">
        <v>86.25</v>
      </c>
      <c r="F228" s="170" t="inlineStr">
        <is>
          <t>P Sqm</t>
        </is>
      </c>
      <c r="G228" s="169">
        <f>IF(C228,ROUNDUP(C228*E228,0),"")</f>
        <v/>
      </c>
    </row>
    <row r="229" ht="171" customHeight="1" s="72">
      <c r="A229" s="165">
        <f>A227+1</f>
        <v/>
      </c>
      <c r="B229" s="173" t="inlineStr">
        <is>
          <t>Providing and laying cement concrete and RCC work  including curing, compaction, finishing with rendering in cement sand mortar 1:3 (1 cement , 3 : coarse sand) and making good the joints excluding cost of centering and shuttering and reinforcement. 'M-20 grade mix 1:1.5:3(1:cement, :1.5 coarse Sand: 3 graded stone aggregate 20 mm nominal size). (A) In suspended floors, roofs, girders, cantilevers,  staircases, landings,  balconies,   bands, copings, bed plates, anchor blocks, sill, and beams etc. In First Floor</t>
        </is>
      </c>
      <c r="C229" s="167">
        <f>GF1_MES!K352</f>
        <v/>
      </c>
      <c r="D229" s="168" t="inlineStr">
        <is>
          <t>Cum</t>
        </is>
      </c>
      <c r="E229" s="167">
        <f>1860+21+19</f>
        <v/>
      </c>
      <c r="F229" s="168" t="inlineStr">
        <is>
          <t>P Cum</t>
        </is>
      </c>
      <c r="G229" s="169">
        <f>IF(C229,ROUNDUP(C229*E229,0),"")</f>
        <v/>
      </c>
    </row>
    <row r="230" ht="42.75" customHeight="1" s="72">
      <c r="A230" s="247" t="n"/>
      <c r="B230" s="212" t="inlineStr">
        <is>
          <t>(B) In Lintels,  chajjas, Shelves, vertical and horizontal individually or forming  box louvers, bands and facias and fins etc. In First Floor</t>
        </is>
      </c>
      <c r="C230" s="167">
        <f>GF1_MES!K365</f>
        <v/>
      </c>
      <c r="D230" s="168" t="inlineStr">
        <is>
          <t>Cum</t>
        </is>
      </c>
      <c r="E230" s="167">
        <f>1860+60+19</f>
        <v/>
      </c>
      <c r="F230" s="168" t="inlineStr">
        <is>
          <t>P Cum</t>
        </is>
      </c>
      <c r="G230" s="169">
        <f>IF(C230,ROUNDUP(C230*E230,0),"")</f>
        <v/>
      </c>
    </row>
    <row r="231">
      <c r="A231" s="247" t="n"/>
      <c r="B231" s="212" t="inlineStr">
        <is>
          <t>(C) In Pillars and Columns in First floor</t>
        </is>
      </c>
      <c r="C231" s="167">
        <f>GF1_MES!K370</f>
        <v/>
      </c>
      <c r="D231" s="168" t="inlineStr">
        <is>
          <t>Cum</t>
        </is>
      </c>
      <c r="E231" s="167">
        <f>1860+55+19</f>
        <v/>
      </c>
      <c r="F231" s="168" t="inlineStr">
        <is>
          <t>P Cum</t>
        </is>
      </c>
      <c r="G231" s="169">
        <f>IF(C231,ROUNDUP(C231*E231,0),"")</f>
        <v/>
      </c>
    </row>
    <row r="232" ht="99.75" customHeight="1" s="72">
      <c r="A232" s="165">
        <f>A229+1</f>
        <v/>
      </c>
      <c r="B232" s="212"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232" s="175">
        <f>GF1_MES!K375</f>
        <v/>
      </c>
      <c r="D232" s="168" t="inlineStr">
        <is>
          <t>Kg</t>
        </is>
      </c>
      <c r="E232" s="167" t="n">
        <v>21.62</v>
      </c>
      <c r="F232" s="170" t="inlineStr">
        <is>
          <t>P Kg</t>
        </is>
      </c>
      <c r="G232" s="169">
        <f>IF(C232,ROUNDUP(C232*E232,0),"")</f>
        <v/>
      </c>
    </row>
    <row r="233" ht="42.75" customHeight="1" s="72">
      <c r="A233" s="165" t="n">
        <v>6</v>
      </c>
      <c r="B233" s="173" t="inlineStr">
        <is>
          <t>Plaster on new surface on walls in cement sand mortar 1:6 including raking of joints etc. complete fine finished : 20 mm thick.</t>
        </is>
      </c>
      <c r="C233" s="167">
        <f>GF1_MES!K412</f>
        <v/>
      </c>
      <c r="D233" s="168" t="inlineStr">
        <is>
          <t>Sqm</t>
        </is>
      </c>
      <c r="E233" s="167" t="n">
        <v>42.55</v>
      </c>
      <c r="F233" s="170" t="inlineStr">
        <is>
          <t>P Sqm</t>
        </is>
      </c>
      <c r="G233" s="169">
        <f>IF(C233,ROUNDUP(C233*E233,0),"")</f>
        <v/>
      </c>
    </row>
    <row r="234" ht="185.25" customHeight="1" s="72">
      <c r="A234" s="247" t="n">
        <v>7</v>
      </c>
      <c r="B234" s="212"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234" s="167">
        <f>GF1_MES!K418</f>
        <v/>
      </c>
      <c r="D234" s="168" t="inlineStr">
        <is>
          <t>Kg</t>
        </is>
      </c>
      <c r="E234" s="167" t="n">
        <v>29.9</v>
      </c>
      <c r="F234" s="170" t="inlineStr">
        <is>
          <t>P Kg</t>
        </is>
      </c>
      <c r="G234" s="169">
        <f>IF(C234,C234*E234,"")</f>
        <v/>
      </c>
    </row>
    <row r="235" ht="270.75" customHeight="1" s="72">
      <c r="A235" s="165" t="n">
        <v>8</v>
      </c>
      <c r="B235" s="212"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and Partly Openable (Fixed area not to exceed 33%).</t>
        </is>
      </c>
      <c r="C235" s="167">
        <f>GF1_MES!K424</f>
        <v/>
      </c>
      <c r="D235" s="168" t="inlineStr">
        <is>
          <t>Sqm</t>
        </is>
      </c>
      <c r="E235" s="167" t="n">
        <v>805</v>
      </c>
      <c r="F235" s="170" t="inlineStr">
        <is>
          <t>P Sqm</t>
        </is>
      </c>
      <c r="G235" s="169">
        <f>IF(C235,ROUNDUP(C235*E235,0),"")</f>
        <v/>
      </c>
    </row>
    <row r="236" ht="28.5" customHeight="1" s="72">
      <c r="A236" s="165">
        <f>A235+1</f>
        <v/>
      </c>
      <c r="B236" s="212" t="inlineStr">
        <is>
          <t>Providing and fixing square bars or other flat welded to window, ventilators etc.</t>
        </is>
      </c>
      <c r="C236" s="167">
        <f>GF1_MES!K430</f>
        <v/>
      </c>
      <c r="D236" s="168" t="inlineStr">
        <is>
          <t>Kg</t>
        </is>
      </c>
      <c r="E236" s="167" t="n">
        <v>21.85</v>
      </c>
      <c r="F236" s="170" t="inlineStr">
        <is>
          <t>P Kg</t>
        </is>
      </c>
      <c r="G236" s="169">
        <f>IF(C236,ROUNDUP(C236*E236,0),"")</f>
        <v/>
      </c>
    </row>
    <row r="237" ht="57" customHeight="1" s="72">
      <c r="A237" s="165">
        <f>A236+1</f>
        <v/>
      </c>
      <c r="B237" s="212" t="inlineStr">
        <is>
          <t>Supplying and fixing wire gauge of 14 mesh x 24 gauge to the metal frame of rolled section by metal beading 20 x 3 mm with suitable screw at not exceeding 150 mm distance.</t>
        </is>
      </c>
      <c r="C237" s="167">
        <f>GF1_MES!K433</f>
        <v/>
      </c>
      <c r="D237" s="168" t="inlineStr">
        <is>
          <t>Sqm</t>
        </is>
      </c>
      <c r="E237" s="167" t="n">
        <v>212.75</v>
      </c>
      <c r="F237" s="170" t="inlineStr">
        <is>
          <t>P Sqm</t>
        </is>
      </c>
      <c r="G237" s="169">
        <f>IF(C237,ROUNDUP(C237*E237,0),"")</f>
        <v/>
      </c>
    </row>
    <row r="238" ht="85.5" customHeight="1" s="72">
      <c r="A238" s="165">
        <f>A237+1</f>
        <v/>
      </c>
      <c r="B238" s="173" t="inlineStr">
        <is>
          <t>Supplying and fixing in cement mortar welded hand railing made out of MS round or square bars flats. etc. for staircase or verandah as per design complete in all respect (wooden or PVC hand railing to be paid extra) with priming coat of red oxide.</t>
        </is>
      </c>
      <c r="C238" s="167">
        <f>GF1_MES!K439</f>
        <v/>
      </c>
      <c r="D238" s="168" t="inlineStr">
        <is>
          <t>Kg</t>
        </is>
      </c>
      <c r="E238" s="167" t="n">
        <v>34.5</v>
      </c>
      <c r="F238" s="170" t="inlineStr">
        <is>
          <t>P Kg</t>
        </is>
      </c>
      <c r="G238" s="169">
        <f>IF(C238,ROUNDUP(C238*E238,0),"")</f>
        <v/>
      </c>
    </row>
    <row r="239" ht="57" customHeight="1" s="72">
      <c r="A239" s="247" t="n">
        <v>13.8</v>
      </c>
      <c r="B239" s="212" t="inlineStr">
        <is>
          <t xml:space="preserve">Polished Blue Kota stone flooring skirting laid over 20 mm thick base CM 1:4 and jointed with Grey cement slurry to match the shade of the slab including rubbing and polishing complete </t>
        </is>
      </c>
      <c r="C239" s="167" t="n"/>
      <c r="D239" s="168" t="n"/>
      <c r="E239" s="167" t="n"/>
      <c r="F239" s="168" t="n"/>
      <c r="G239" s="168" t="n"/>
    </row>
    <row r="240" ht="28.5" customHeight="1" s="72">
      <c r="A240" s="247" t="n"/>
      <c r="B240" s="212" t="inlineStr">
        <is>
          <t>(a) for area of each slab from 901  to 2000 sq. cm 25 mm thick  slab.</t>
        </is>
      </c>
      <c r="C240" s="167">
        <f>GF1_MES!K448</f>
        <v/>
      </c>
      <c r="D240" s="168" t="inlineStr">
        <is>
          <t>Sqm</t>
        </is>
      </c>
      <c r="E240" s="167" t="n">
        <v>345</v>
      </c>
      <c r="F240" s="170" t="inlineStr">
        <is>
          <t>P Sqm</t>
        </is>
      </c>
      <c r="G240" s="169">
        <f>IF(C240,C240*E240,"")</f>
        <v/>
      </c>
    </row>
    <row r="241">
      <c r="F241" s="54" t="n"/>
      <c r="G241" s="60" t="n"/>
    </row>
    <row r="242" ht="30" customHeight="1" s="72">
      <c r="B242" s="38" t="inlineStr">
        <is>
          <t>(b) for area of each slab from 2001  to 5000 sq. cm 25 mm thick  slab.</t>
        </is>
      </c>
      <c r="C242" s="91">
        <f>GF1_MES!K455</f>
        <v/>
      </c>
      <c r="D242" s="88" t="inlineStr">
        <is>
          <t>Sqm</t>
        </is>
      </c>
      <c r="E242" s="91" t="n">
        <v>385.25</v>
      </c>
      <c r="F242" s="54" t="inlineStr">
        <is>
          <t>P Sqm</t>
        </is>
      </c>
      <c r="G242" s="60">
        <f>IF(C242,C242*E242,"")</f>
        <v/>
      </c>
    </row>
    <row r="243" ht="180" customHeight="1" s="72">
      <c r="A243" s="119" t="n">
        <v>14.95</v>
      </c>
      <c r="B243" s="117"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243" s="91">
        <f>GF1_MES!K459</f>
        <v/>
      </c>
      <c r="D243" s="88" t="inlineStr">
        <is>
          <t>Sqm</t>
        </is>
      </c>
      <c r="E243" s="91" t="n">
        <v>1426</v>
      </c>
      <c r="F243" s="54" t="inlineStr">
        <is>
          <t>P Sqm</t>
        </is>
      </c>
      <c r="G243" s="60">
        <f>IF(C243,ROUNDUP(C243*E243,0),"")</f>
        <v/>
      </c>
    </row>
    <row r="244" ht="180" customHeight="1" s="72">
      <c r="A244" s="119">
        <f>A243+1</f>
        <v/>
      </c>
      <c r="B244" s="132" t="inlineStr">
        <is>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244" s="91">
        <f>GF1_MES!K463</f>
        <v/>
      </c>
      <c r="D244" s="88" t="inlineStr">
        <is>
          <t>Sqm</t>
        </is>
      </c>
      <c r="E244" s="91">
        <f>0.8*1240</f>
        <v/>
      </c>
      <c r="F244" s="54" t="inlineStr">
        <is>
          <t>P Sqm</t>
        </is>
      </c>
      <c r="G244" s="60">
        <f>IF(C244,ROUNDUP(C244*E244,0),"")</f>
        <v/>
      </c>
    </row>
    <row r="245" ht="45" customHeight="1" s="72">
      <c r="A245" s="119" t="n">
        <v>17.25</v>
      </c>
      <c r="B245" s="117" t="inlineStr">
        <is>
          <t>White washing with lime to give an even shade including all scaffolding: New work (two or more coats).</t>
        </is>
      </c>
      <c r="C245" s="91">
        <f>GF1_MES!K470</f>
        <v/>
      </c>
      <c r="D245" s="88" t="inlineStr">
        <is>
          <t>Sqm</t>
        </is>
      </c>
      <c r="E245" s="91" t="n">
        <v>4</v>
      </c>
      <c r="F245" s="54" t="inlineStr">
        <is>
          <t>P Sqm</t>
        </is>
      </c>
      <c r="G245" s="60">
        <f>IF(C245,ROUNDUP(C245*E245,0),"")</f>
        <v/>
      </c>
    </row>
    <row r="246" ht="60" customHeight="1" s="72">
      <c r="A246" s="119">
        <f>A245+1</f>
        <v/>
      </c>
      <c r="B246" s="118" t="inlineStr">
        <is>
          <t>Colour  washing of all shades to give an even shade including all scaffolding: New work (two or more coats) with a base coat of white washing with lime.</t>
        </is>
      </c>
      <c r="C246" s="91">
        <f>GF1_MES!K474</f>
        <v/>
      </c>
      <c r="D246" s="88" t="inlineStr">
        <is>
          <t>Sqm</t>
        </is>
      </c>
      <c r="E246" s="91" t="n">
        <v>4.5</v>
      </c>
      <c r="F246" s="54" t="inlineStr">
        <is>
          <t>P Sqm</t>
        </is>
      </c>
      <c r="G246" s="60">
        <f>IF(C246,ROUNDUP(C246*E246,0),"")</f>
        <v/>
      </c>
    </row>
    <row r="247" ht="60" customHeight="1" s="72">
      <c r="A247" s="119">
        <f>A246+1</f>
        <v/>
      </c>
      <c r="B247" s="38" t="inlineStr">
        <is>
          <t>Applying priming coat with ready mix pink or Grey primer of approved brand and manufacture on wood work hard and soft wood.</t>
        </is>
      </c>
      <c r="C247" s="91">
        <f>GF1_MES!K482</f>
        <v/>
      </c>
      <c r="D247" s="88" t="inlineStr">
        <is>
          <t>Sqm</t>
        </is>
      </c>
      <c r="E247" s="91" t="n">
        <v>9</v>
      </c>
      <c r="F247" s="54" t="inlineStr">
        <is>
          <t>P Sqm</t>
        </is>
      </c>
      <c r="G247" s="60">
        <f>IF(C247,ROUNDUP(C247*E247,0),"")</f>
        <v/>
      </c>
    </row>
    <row r="248" ht="45" customHeight="1" s="72">
      <c r="A248" s="119">
        <f>A247+1</f>
        <v/>
      </c>
      <c r="B248" s="118" t="inlineStr">
        <is>
          <t>Painting with enamel paint of approved brand and manufacture to give an even shade two or more coats on new work.</t>
        </is>
      </c>
      <c r="C248" s="91">
        <f>GF1_MES!K485</f>
        <v/>
      </c>
      <c r="D248" s="88" t="inlineStr">
        <is>
          <t>Sqm</t>
        </is>
      </c>
      <c r="E248" s="91" t="n">
        <v>27.6</v>
      </c>
      <c r="F248" s="54" t="inlineStr">
        <is>
          <t>P Sqm</t>
        </is>
      </c>
      <c r="G248" s="60">
        <f>IF(C248,ROUNDUP(C248*E248,0),"")</f>
        <v/>
      </c>
    </row>
    <row r="249" ht="195" customHeight="1" s="72">
      <c r="A249" s="119">
        <f>A248+1</f>
        <v/>
      </c>
      <c r="B249" s="131" t="inlineStr">
        <is>
          <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 With 75 mm opening when closed.</t>
        </is>
      </c>
      <c r="C249" s="91">
        <f>GF1_MES!K489</f>
        <v/>
      </c>
      <c r="D249" s="88" t="inlineStr">
        <is>
          <t>Sqm</t>
        </is>
      </c>
      <c r="E249" s="91" t="n">
        <v>1012</v>
      </c>
      <c r="F249" s="54" t="inlineStr">
        <is>
          <t>P Sqm</t>
        </is>
      </c>
      <c r="G249" s="60">
        <f>IF(C249,ROUNDUP(C249*E249,0),"")</f>
        <v/>
      </c>
    </row>
    <row r="250" ht="45" customHeight="1" s="72">
      <c r="A250" s="1" t="n">
        <v>23</v>
      </c>
      <c r="B250" s="118" t="inlineStr">
        <is>
          <t xml:space="preserve">Providing brick kharanja in cement sand mortar 1 : 4 in square pattern over roof of ground  floor  75 to 100 mm thick average. </t>
        </is>
      </c>
      <c r="C250" s="73">
        <f>GF1_MES!K495</f>
        <v/>
      </c>
      <c r="D250" s="41" t="inlineStr">
        <is>
          <t>Sqm</t>
        </is>
      </c>
      <c r="E250" s="73" t="n">
        <v>104.65</v>
      </c>
      <c r="F250" s="39" t="inlineStr">
        <is>
          <t>P Sqm</t>
        </is>
      </c>
      <c r="G250" s="60">
        <f>IF(C250,ROUNDUP(C250*E250,0),"")</f>
        <v/>
      </c>
    </row>
    <row r="251" ht="60" customHeight="1" s="72">
      <c r="A251" s="1" t="n">
        <v>24.15</v>
      </c>
      <c r="B251" s="118" t="inlineStr">
        <is>
          <t>Spreading of hot blown bitumen (IS grade 85/25, 90/25 industrial grade) applied at 175 to 180 C @ rate of 1.75 Kg. per Sqm. complete.</t>
        </is>
      </c>
      <c r="C251" s="73">
        <f>GF1_MES!K497</f>
        <v/>
      </c>
      <c r="D251" s="41" t="inlineStr">
        <is>
          <t>Sqm</t>
        </is>
      </c>
      <c r="E251" s="73" t="n">
        <v>23</v>
      </c>
      <c r="F251" s="39" t="inlineStr">
        <is>
          <t>P Sqm</t>
        </is>
      </c>
      <c r="G251" s="24">
        <f>IF(C251,C251*E251,"")</f>
        <v/>
      </c>
    </row>
    <row r="252" ht="60" customHeight="1" s="72">
      <c r="A252" s="1" t="n">
        <v>25.3</v>
      </c>
      <c r="B252" s="118" t="inlineStr">
        <is>
          <t>Providing batta (gola) 75 mm x 75 mm in cement concrete (1 :2 :4) including finishing with cement mortar 1 : 3 as per standard design.</t>
        </is>
      </c>
      <c r="C252" s="73">
        <f>GF1_MES!K500</f>
        <v/>
      </c>
      <c r="D252" s="41" t="inlineStr">
        <is>
          <t>RM</t>
        </is>
      </c>
      <c r="E252" s="73" t="n">
        <v>20.7</v>
      </c>
      <c r="F252" s="39" t="inlineStr">
        <is>
          <t>P RM</t>
        </is>
      </c>
      <c r="G252" s="60">
        <f>IF(C252,ROUNDUP(C252*E252,0),"")</f>
        <v/>
      </c>
    </row>
    <row r="253" ht="75" customHeight="1" s="72">
      <c r="A253" s="1">
        <f>IF(A252,A252+1,#REF!+1)</f>
        <v/>
      </c>
      <c r="B253" s="118" t="inlineStr">
        <is>
          <t xml:space="preserve">Finishing with  25 mm thick cement plaster on roofs in cement sand mortar 1:4 mix including water proofing compound @ 2% of cement used with neat cement finishing, curing etc. complete in all respects. </t>
        </is>
      </c>
      <c r="C253" s="73">
        <f>GF1_MES!K502</f>
        <v/>
      </c>
      <c r="D253" s="41" t="inlineStr">
        <is>
          <t>Sqm</t>
        </is>
      </c>
      <c r="E253" s="73" t="n">
        <v>69</v>
      </c>
      <c r="F253" s="39" t="inlineStr">
        <is>
          <t>P Sqm</t>
        </is>
      </c>
      <c r="G253" s="60">
        <f>IF(C253,ROUNDUP(C253*E253,0),"")</f>
        <v/>
      </c>
    </row>
    <row r="254" ht="45" customHeight="1" s="72">
      <c r="A254" s="1" t="n">
        <v>27.6</v>
      </c>
      <c r="B254" s="38" t="inlineStr">
        <is>
          <t>Providing  and fixing 20 mm thick terrazzo tile over roofing fixed in cement       mortar 1 : 4.</t>
        </is>
      </c>
      <c r="C254" s="73">
        <f>GF1_MES!K504</f>
        <v/>
      </c>
      <c r="D254" s="41" t="inlineStr">
        <is>
          <t>Sqm</t>
        </is>
      </c>
      <c r="E254" s="73" t="n">
        <v>155.25</v>
      </c>
      <c r="F254" s="39" t="inlineStr">
        <is>
          <t>P Sqm</t>
        </is>
      </c>
      <c r="G254" s="24">
        <f>IF(C254,C254*E254,"")</f>
        <v/>
      </c>
    </row>
    <row r="255" ht="90" customHeight="1" s="72">
      <c r="A255" s="119" t="n">
        <v>28.75</v>
      </c>
      <c r="B255" s="38" t="inlineStr">
        <is>
          <t>P&amp;F 1st quality white glazed tiles of approved make and size (Somani, Johnson etc.) 5 mm thick in wall, floors, steps, pillars etc. laid on bed of neat cement slurry finished with flush pointing in white cement (excluding the cost of cement plaster).</t>
        </is>
      </c>
      <c r="C255" s="73">
        <f>GF1_MES!K511</f>
        <v/>
      </c>
      <c r="D255" s="41" t="inlineStr">
        <is>
          <t>Sqm</t>
        </is>
      </c>
      <c r="E255" s="73" t="n">
        <v>488.75</v>
      </c>
      <c r="F255" s="39" t="inlineStr">
        <is>
          <t>P Sqm</t>
        </is>
      </c>
      <c r="G255" s="60">
        <f>IF(C255,ROUNDUP(C255*E255,0),"")</f>
        <v/>
      </c>
    </row>
    <row r="256" ht="90" customHeight="1" s="72">
      <c r="A256" s="119">
        <f>A255+1</f>
        <v/>
      </c>
      <c r="B256" s="132" t="inlineStr">
        <is>
          <t>Providing and fixing on wall face Asbestos Cement rain water pipe including jointing with spun yarn soaked in Bitumen and Cement Mortar 1 : 2 ( 1 Cement : 2 Coarse Sand) complete including MS clamp:  100 mm dia.</t>
        </is>
      </c>
      <c r="C256" s="73">
        <f>GF1_MES!K514</f>
        <v/>
      </c>
      <c r="D256" s="41" t="inlineStr">
        <is>
          <t>RM</t>
        </is>
      </c>
      <c r="E256" s="73" t="n">
        <v>71.3</v>
      </c>
      <c r="F256" s="39" t="inlineStr">
        <is>
          <t>P RM</t>
        </is>
      </c>
      <c r="G256" s="60">
        <f>IF(C256,ROUNDUP(C256*E256,0),"")</f>
        <v/>
      </c>
    </row>
    <row r="257" ht="45" customHeight="1" s="72">
      <c r="A257" s="119" t="n">
        <v>31.05</v>
      </c>
      <c r="B257" s="38" t="inlineStr">
        <is>
          <t>Providing and fixing precast cement concrete coping 1:2:4 mix 50 mm thick complete as per specification .</t>
        </is>
      </c>
      <c r="C257" s="73">
        <f>GF1_MES!K518</f>
        <v/>
      </c>
      <c r="D257" s="41" t="inlineStr">
        <is>
          <t>Sqm</t>
        </is>
      </c>
      <c r="E257" s="73" t="n">
        <v>97.75</v>
      </c>
      <c r="F257" s="39" t="inlineStr">
        <is>
          <t>P Sqm</t>
        </is>
      </c>
      <c r="G257" s="60">
        <f>IF(C257,ROUNDUP(C257*E257,0),"")</f>
        <v/>
      </c>
    </row>
    <row r="258" ht="60" customHeight="1" s="72">
      <c r="A258" s="119" t="n">
        <v>32.2</v>
      </c>
      <c r="B258" s="132" t="inlineStr">
        <is>
          <t>Dismantling stone rubble masonry including stacking of serviceable material and disposal of unserviceable material within 50 m lead; In lime mortar</t>
        </is>
      </c>
      <c r="C258" s="24">
        <f>GF1_MES!K521</f>
        <v/>
      </c>
      <c r="D258" t="inlineStr">
        <is>
          <t>Cum</t>
        </is>
      </c>
      <c r="E258" s="73" t="n">
        <v>46</v>
      </c>
      <c r="F258" t="inlineStr">
        <is>
          <t>P Cum</t>
        </is>
      </c>
      <c r="G258" s="60">
        <f>IF(C258,ROUNDUP(C258*E258,0),"")</f>
        <v/>
      </c>
    </row>
    <row r="259" ht="120" customHeight="1" s="72">
      <c r="A259" s="1" t="n">
        <v>33.35</v>
      </c>
      <c r="B259" s="38" t="inlineStr">
        <is>
          <t>Providing, laying and fixing in position RCC Spun or Hume pipe ISI marked with proper joints in required slope, packed in the gasket of hume pipe or spun yarn and neatly finished with rich grout of  cement mortar 1 : 3 ( 1 cement : 3  sand )  and made perfectly air and water tight including testing of joints, for 150 mm Dia. NP3 pipe</t>
        </is>
      </c>
      <c r="C259" s="24" t="n">
        <v>34.5</v>
      </c>
      <c r="D259" t="inlineStr">
        <is>
          <t>RM</t>
        </is>
      </c>
      <c r="E259" s="73" t="n">
        <v>247.25</v>
      </c>
      <c r="F259" t="inlineStr">
        <is>
          <t>P RM</t>
        </is>
      </c>
      <c r="G259" s="24">
        <f>IF(C259,C259*E259,"")</f>
        <v/>
      </c>
    </row>
    <row r="260" ht="15.75" customHeight="1" s="72">
      <c r="B260" s="177" t="inlineStr">
        <is>
          <t>NON BSR ITEM</t>
        </is>
      </c>
    </row>
    <row r="261">
      <c r="A261" s="135" t="n">
        <v>34.5</v>
      </c>
      <c r="B261" s="38" t="inlineStr">
        <is>
          <t>P &amp; F glass boards</t>
        </is>
      </c>
      <c r="C261" s="24" t="n">
        <v>31.05</v>
      </c>
      <c r="D261" t="inlineStr">
        <is>
          <t>Nos.</t>
        </is>
      </c>
      <c r="E261" s="73" t="n">
        <v>17250</v>
      </c>
      <c r="F261" t="inlineStr">
        <is>
          <t>Each</t>
        </is>
      </c>
      <c r="G261" s="24">
        <f>IF(C261,C261*E261,"")</f>
        <v/>
      </c>
    </row>
    <row r="262">
      <c r="A262" s="135" t="n"/>
      <c r="C262" s="24" t="n"/>
      <c r="E262" s="73" t="n"/>
      <c r="G262" s="24" t="n"/>
    </row>
    <row r="263">
      <c r="C263" s="88" t="n"/>
      <c r="E263" s="121" t="inlineStr">
        <is>
          <t xml:space="preserve">Total </t>
        </is>
      </c>
      <c r="F263" s="31" t="inlineStr">
        <is>
          <t>Rs.</t>
        </is>
      </c>
      <c r="G263" s="31">
        <f>SUM(G225:G261)</f>
        <v/>
      </c>
    </row>
    <row r="264">
      <c r="C264" s="88" t="n"/>
      <c r="F264" s="60" t="n"/>
      <c r="G264" s="60" t="n"/>
    </row>
    <row r="265">
      <c r="C265" s="88" t="n"/>
      <c r="F265" s="60" t="n"/>
      <c r="G265" s="60" t="n"/>
    </row>
    <row r="266" ht="15.75" customHeight="1" s="72">
      <c r="A266" s="62" t="n"/>
      <c r="B266" s="120" t="n"/>
      <c r="C266" s="88" t="n"/>
      <c r="D266" s="87" t="inlineStr">
        <is>
          <t>CHARTERED   ENGINEER,</t>
        </is>
      </c>
      <c r="E266" s="88" t="n"/>
      <c r="F266" s="48" t="n"/>
      <c r="G266" s="125" t="n"/>
    </row>
    <row r="267" ht="15.75" customHeight="1" s="72">
      <c r="A267" s="62" t="n"/>
      <c r="B267" s="120" t="n"/>
      <c r="C267" s="88" t="n"/>
      <c r="D267" s="62" t="inlineStr">
        <is>
          <t>TEJHANS INVESTMENTS, UDAIPUR</t>
        </is>
      </c>
      <c r="E267" s="88" t="n"/>
      <c r="F267" s="48" t="n"/>
      <c r="G267" s="125" t="n"/>
    </row>
    <row r="268">
      <c r="A268" s="65" t="n"/>
      <c r="B268" s="132" t="n"/>
      <c r="C268" s="42" t="n"/>
      <c r="D268" s="88" t="n"/>
      <c r="E268" s="91" t="n"/>
      <c r="F268" s="88" t="n"/>
      <c r="G268" s="60" t="n"/>
    </row>
    <row r="269">
      <c r="A269" s="65" t="n"/>
      <c r="B269" s="132" t="n"/>
      <c r="C269" s="42" t="n"/>
      <c r="D269" s="88" t="n"/>
      <c r="E269" s="91" t="n"/>
      <c r="F269" s="88" t="n"/>
      <c r="G269" s="60" t="n"/>
    </row>
    <row r="270">
      <c r="C270" s="88" t="n"/>
      <c r="E270" s="88" t="n"/>
    </row>
    <row r="271" ht="15.75" customHeight="1" s="72">
      <c r="C271" s="64" t="n"/>
      <c r="E271" s="88" t="n"/>
    </row>
    <row r="272" ht="15.75" customHeight="1" s="72">
      <c r="C272" s="62" t="n"/>
      <c r="E272" s="88" t="n"/>
    </row>
    <row r="273">
      <c r="C273" s="88" t="n"/>
      <c r="E273" s="88" t="n"/>
    </row>
    <row r="274">
      <c r="C274" s="88" t="n"/>
      <c r="E274" s="88" t="n"/>
    </row>
    <row r="275">
      <c r="C275" s="88" t="n"/>
      <c r="E275" s="88" t="n"/>
    </row>
    <row r="276">
      <c r="C276" s="88" t="n"/>
      <c r="E276" s="88" t="n"/>
    </row>
    <row r="277">
      <c r="C277" s="88" t="n"/>
      <c r="E277" s="88" t="n"/>
    </row>
    <row r="278">
      <c r="C278" s="88" t="n"/>
      <c r="E278" s="88" t="n"/>
    </row>
    <row r="279">
      <c r="C279" s="88" t="n"/>
      <c r="E279" s="88" t="n"/>
    </row>
    <row r="280">
      <c r="C280" s="88" t="n"/>
      <c r="E280" s="88" t="n"/>
    </row>
    <row r="281">
      <c r="C281" s="88" t="n"/>
      <c r="E281" s="88" t="n"/>
    </row>
    <row r="282">
      <c r="C282" s="88" t="n"/>
      <c r="E282" s="88" t="n"/>
    </row>
    <row r="283">
      <c r="C283" s="88" t="n"/>
      <c r="E283" s="88" t="n"/>
    </row>
  </sheetData>
  <mergeCells count="3">
    <mergeCell ref="A3:G3"/>
    <mergeCell ref="A2:G2"/>
    <mergeCell ref="A1:G1"/>
  </mergeCells>
  <dataValidations count="4">
    <dataValidation sqref="C5 C7:C20 C22:C27 C29:C42 C44:C49 C51:C63 C65:C81 C83:C88 C90:C103 C105:C110 C112:C125 C127:C132 C134:C136 C138:C145" showDropDown="0" showInputMessage="1" showErrorMessage="1" allowBlank="1" errorTitle="Invalid Entry" error="Only Numeric Values are allowed. " promptTitle="Quantity" prompt="Please enter the Quantity for this item. " type="decimal">
      <formula1>0</formula1>
      <formula2>999999999999999</formula2>
    </dataValidation>
    <dataValidation sqref="C6 C21 C28 C43 C50 C64 C82 C89 C104 C111 C126 C133 C137 E6 E21 E28:F28 E43:F43 E50:F50 E64:F64 E82:F82 E89:F89 E104:F104 E111:F111 E126:F126 E133:F133 E137:F137" showDropDown="0" showInputMessage="1" showErrorMessage="1" allowBlank="1" errorTitle="Invalid Entry" error="Only Numeric Values are allowed. " type="decimal">
      <formula1>0</formula1>
      <formula2>999999999999999</formula2>
    </dataValidation>
    <dataValidation sqref="E5 E7:E20 E22:E27 E29:F42 E44:F49 E51:E63 E65:E81 E83:F88 E90:F103 E105:F110 E112:F125 E127:F132 E134:F136 E138:F145 F7 F13:F17 F19 F22:F23 F25:F27 F51 F53:F55 F57:F63 F65:F66 F68:F81" showDropDown="0" showInputMessage="1" showErrorMessage="1" allowBlank="1" errorTitle="Invalid Entry" error="Only Numeric Values are allowed. " promptTitle="Estimated Rate" prompt="Please enter the Estimated Rate for this item. " type="decimal">
      <formula1>0</formula1>
      <formula2>999999999999999</formula2>
    </dataValidation>
    <dataValidation sqref="A5:A145" showDropDown="0" showInputMessage="1" showErrorMessage="1" allowBlank="1" errorTitle="Invalid Entry" error="Only Numeric Values are allowed." type="decimal">
      <formula1>0</formula1>
      <formula2>999999999999999</formula2>
    </dataValidation>
  </dataValidations>
  <printOptions horizontalCentered="1"/>
  <pageMargins left="0.75" right="0.75" top="0.76" bottom="1" header="0.5" footer="0.5"/>
  <pageSetup orientation="portrait" paperSize="9" scale="90" fitToHeight="22" horizontalDpi="180" verticalDpi="180"/>
  <headerFooter alignWithMargins="0">
    <oddHeader/>
    <oddFooter>&amp;LGIRLS PHARMACY BNI&amp;R&amp;D&amp;'  Page-&amp;P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AC543"/>
  <sheetViews>
    <sheetView tabSelected="1" topLeftCell="A144" zoomScaleNormal="75" zoomScaleSheetLayoutView="75" workbookViewId="0">
      <selection activeCell="E146" sqref="E146"/>
    </sheetView>
    <sheetView topLeftCell="A165" workbookViewId="1">
      <selection activeCell="A173" sqref="A173"/>
    </sheetView>
  </sheetViews>
  <sheetFormatPr baseColWidth="8" defaultRowHeight="14.25"/>
  <cols>
    <col width="3.44140625" customWidth="1" style="247" min="1" max="1"/>
    <col width="33" customWidth="1" style="212" min="2" max="2"/>
    <col width="5.44140625" customWidth="1" style="247" min="3" max="3"/>
    <col width="2.5546875" customWidth="1" style="206" min="4" max="4"/>
    <col width="9" customWidth="1" style="199" min="5" max="5"/>
    <col width="2.21875" customWidth="1" style="206" min="6" max="6"/>
    <col width="6.5546875" customWidth="1" style="205" min="7" max="7"/>
    <col width="2" customWidth="1" style="206" min="8" max="8"/>
    <col width="6.33203125" customWidth="1" style="199" min="9" max="9"/>
    <col width="2" customWidth="1" style="206" min="10" max="10"/>
    <col width="10.33203125" customWidth="1" style="199" min="11" max="11"/>
    <col width="5.33203125" customWidth="1" style="206" min="12" max="12"/>
    <col width="8.88671875" customWidth="1" style="206" min="13" max="16384"/>
  </cols>
  <sheetData>
    <row r="1" customFormat="1" s="206">
      <c r="A1" s="299">
        <f>'gen-abstract'!A2</f>
        <v/>
      </c>
    </row>
    <row r="2" ht="15" customFormat="1" customHeight="1" s="206">
      <c r="A2" s="300" t="n"/>
    </row>
    <row r="3" ht="15" customFormat="1" customHeight="1" s="206">
      <c r="A3" s="300" t="inlineStr">
        <is>
          <t xml:space="preserve">PART 'A'  CIVIL WORK FIRST  FLOOR </t>
        </is>
      </c>
    </row>
    <row r="4" customFormat="1" s="206">
      <c r="A4" s="301" t="inlineStr">
        <is>
          <t>DETAILS OF MEASUREMENTS</t>
        </is>
      </c>
    </row>
    <row r="5" customFormat="1" s="301">
      <c r="A5" s="151" t="inlineStr">
        <is>
          <t>S.N.</t>
        </is>
      </c>
      <c r="B5" s="181" t="inlineStr">
        <is>
          <t>Particulars</t>
        </is>
      </c>
      <c r="C5" s="151" t="inlineStr">
        <is>
          <t>Nos.</t>
        </is>
      </c>
      <c r="D5" s="151" t="n"/>
      <c r="E5" s="182" t="inlineStr">
        <is>
          <t>Length</t>
        </is>
      </c>
      <c r="F5" s="151" t="n"/>
      <c r="G5" s="182" t="inlineStr">
        <is>
          <t xml:space="preserve">Breadth </t>
        </is>
      </c>
      <c r="H5" s="182" t="n"/>
      <c r="I5" s="182" t="inlineStr">
        <is>
          <t>Height</t>
        </is>
      </c>
      <c r="J5" s="182" t="n"/>
      <c r="K5" s="182" t="inlineStr">
        <is>
          <t>Qty.</t>
        </is>
      </c>
      <c r="L5" s="182" t="inlineStr">
        <is>
          <t>Units</t>
        </is>
      </c>
    </row>
    <row r="6" ht="15.75" customFormat="1" customHeight="1" s="206">
      <c r="A6" s="247" t="n"/>
      <c r="B6" s="183" t="inlineStr">
        <is>
          <t>Center to center distances</t>
        </is>
      </c>
      <c r="C6" s="199" t="n"/>
      <c r="E6" s="199" t="n"/>
      <c r="G6" s="205" t="n"/>
    </row>
    <row r="7" ht="15.75" customFormat="1" customHeight="1" s="206">
      <c r="A7" s="247" t="n"/>
      <c r="B7" s="186" t="inlineStr">
        <is>
          <t xml:space="preserve">Ground Floor </t>
        </is>
      </c>
      <c r="C7" s="199" t="n"/>
      <c r="E7" s="199" t="n"/>
      <c r="G7" s="205" t="n"/>
    </row>
    <row r="8" ht="15.75" customFormat="1" customHeight="1" s="206">
      <c r="A8" s="247" t="n"/>
      <c r="B8" s="186" t="inlineStr">
        <is>
          <t xml:space="preserve"> Main walls 230 mm th. in x and Y Direction</t>
        </is>
      </c>
      <c r="C8" s="199" t="n"/>
      <c r="E8" s="199" t="n"/>
      <c r="G8" s="205" t="n"/>
    </row>
    <row r="9" customFormat="1" s="206">
      <c r="A9" s="201" t="n"/>
      <c r="B9" s="212" t="inlineStr">
        <is>
          <t>Back Side</t>
        </is>
      </c>
      <c r="C9" s="247" t="n">
        <v>1</v>
      </c>
      <c r="D9" s="206" t="inlineStr">
        <is>
          <t>x</t>
        </is>
      </c>
      <c r="E9" s="199" t="n">
        <v>3.58</v>
      </c>
      <c r="G9" s="205" t="n"/>
      <c r="I9" s="199" t="n"/>
      <c r="J9" s="258" t="inlineStr">
        <is>
          <t>=</t>
        </is>
      </c>
      <c r="K9" s="199">
        <f>IF(C9,C9*E9,"")</f>
        <v/>
      </c>
      <c r="L9" s="247" t="inlineStr">
        <is>
          <t>RM</t>
        </is>
      </c>
      <c r="O9" s="247" t="n"/>
      <c r="Q9" s="199" t="n"/>
    </row>
    <row r="10" customFormat="1" s="206">
      <c r="A10" s="247" t="n"/>
      <c r="B10" s="212" t="inlineStr">
        <is>
          <t>Back Side - Var1</t>
        </is>
      </c>
      <c r="C10" s="247" t="n">
        <v>1</v>
      </c>
      <c r="D10" s="206" t="inlineStr">
        <is>
          <t>x</t>
        </is>
      </c>
      <c r="E10" s="199" t="n">
        <v>3.04</v>
      </c>
      <c r="G10" s="205" t="n"/>
      <c r="I10" s="199" t="n"/>
      <c r="J10" s="206" t="inlineStr">
        <is>
          <t>=</t>
        </is>
      </c>
      <c r="K10" s="199">
        <f>IF(C9,C9*E9,"")</f>
        <v/>
      </c>
      <c r="L10" s="247" t="inlineStr">
        <is>
          <t>RM</t>
        </is>
      </c>
      <c r="O10" s="247" t="n"/>
      <c r="Q10" s="199" t="n"/>
    </row>
    <row r="11" customFormat="1" s="206">
      <c r="A11" s="247" t="n"/>
      <c r="B11" s="212" t="inlineStr">
        <is>
          <t>Back Side - Var2</t>
        </is>
      </c>
      <c r="C11" s="247" t="n">
        <v>1</v>
      </c>
      <c r="D11" s="206" t="inlineStr">
        <is>
          <t>x</t>
        </is>
      </c>
      <c r="E11" s="199" t="n">
        <v>3.58</v>
      </c>
      <c r="G11" s="205" t="n"/>
      <c r="I11" s="199" t="n"/>
      <c r="J11" s="206" t="inlineStr">
        <is>
          <t>=</t>
        </is>
      </c>
      <c r="K11" s="199">
        <f>IF(C9,C9*E9,"")</f>
        <v/>
      </c>
      <c r="L11" s="247" t="inlineStr">
        <is>
          <t>RM</t>
        </is>
      </c>
      <c r="O11" s="247" t="n"/>
      <c r="Q11" s="199" t="n"/>
    </row>
    <row r="12" customFormat="1" s="206">
      <c r="A12" s="247" t="n"/>
      <c r="B12" s="212" t="inlineStr">
        <is>
          <t>Back Side - Var3</t>
        </is>
      </c>
      <c r="C12" s="247" t="n">
        <v>1</v>
      </c>
      <c r="D12" s="206" t="inlineStr">
        <is>
          <t>x</t>
        </is>
      </c>
      <c r="E12" s="199" t="n">
        <v>4.12</v>
      </c>
      <c r="G12" s="205" t="n"/>
      <c r="I12" s="199" t="n"/>
      <c r="J12" s="206" t="inlineStr">
        <is>
          <t>=</t>
        </is>
      </c>
      <c r="K12" s="199">
        <f>IF(C9,C9*E9,"")</f>
        <v/>
      </c>
      <c r="L12" s="247" t="inlineStr">
        <is>
          <t>RM</t>
        </is>
      </c>
      <c r="O12" s="247" t="n"/>
      <c r="Q12" s="199" t="n"/>
    </row>
    <row r="13" customFormat="1" s="206">
      <c r="A13" s="201" t="n"/>
      <c r="C13" s="247" t="n">
        <v>1</v>
      </c>
      <c r="D13" s="206" t="inlineStr">
        <is>
          <t>x</t>
        </is>
      </c>
      <c r="E13" s="199" t="n">
        <v>6.4</v>
      </c>
      <c r="G13" s="205" t="n"/>
      <c r="I13" s="199" t="n"/>
      <c r="J13" s="258" t="inlineStr">
        <is>
          <t>=</t>
        </is>
      </c>
      <c r="K13" s="199">
        <f>IF(C10,C10*E10,"")</f>
        <v/>
      </c>
      <c r="L13" s="247" t="inlineStr">
        <is>
          <t>RM</t>
        </is>
      </c>
      <c r="O13" s="247" t="n"/>
      <c r="Q13" s="199" t="n"/>
    </row>
    <row r="14" customFormat="1" s="206">
      <c r="A14" s="247" t="n"/>
      <c r="B14" s="212" t="inlineStr">
        <is>
          <t>Back Side - Var1 - Var1</t>
        </is>
      </c>
      <c r="C14" s="247" t="n">
        <v>1</v>
      </c>
      <c r="D14" s="206" t="inlineStr">
        <is>
          <t>x</t>
        </is>
      </c>
      <c r="E14" s="199" t="n">
        <v>2.58</v>
      </c>
      <c r="G14" s="205" t="n"/>
      <c r="I14" s="199" t="n"/>
      <c r="J14" s="206" t="inlineStr">
        <is>
          <t>=</t>
        </is>
      </c>
      <c r="K14" s="199">
        <f>IF(C9,C9*E9,"")</f>
        <v/>
      </c>
      <c r="L14" s="247" t="inlineStr">
        <is>
          <t>RM</t>
        </is>
      </c>
      <c r="O14" s="247" t="n"/>
      <c r="Q14" s="199" t="n"/>
    </row>
    <row r="15" customFormat="1" s="206">
      <c r="A15" s="247" t="n"/>
      <c r="B15" s="212" t="inlineStr">
        <is>
          <t>Back Side - Var1 - Var2</t>
        </is>
      </c>
      <c r="C15" s="247" t="n">
        <v>1</v>
      </c>
      <c r="D15" s="206" t="inlineStr">
        <is>
          <t>x</t>
        </is>
      </c>
      <c r="E15" s="199" t="n">
        <v>3.04</v>
      </c>
      <c r="G15" s="205" t="n"/>
      <c r="I15" s="199" t="n"/>
      <c r="J15" s="206" t="inlineStr">
        <is>
          <t>=</t>
        </is>
      </c>
      <c r="K15" s="199">
        <f>IF(C9,C9*E9,"")</f>
        <v/>
      </c>
      <c r="L15" s="247" t="inlineStr">
        <is>
          <t>RM</t>
        </is>
      </c>
      <c r="O15" s="247" t="n"/>
      <c r="Q15" s="199" t="n"/>
    </row>
    <row r="16" customFormat="1" s="206">
      <c r="A16" s="247" t="n"/>
      <c r="B16" s="212" t="inlineStr">
        <is>
          <t>Back Side - Var1 - Var3</t>
        </is>
      </c>
      <c r="C16" s="247" t="n">
        <v>1</v>
      </c>
      <c r="D16" s="206" t="inlineStr">
        <is>
          <t>x</t>
        </is>
      </c>
      <c r="E16" s="199" t="n">
        <v>3.5</v>
      </c>
      <c r="G16" s="205" t="n"/>
      <c r="I16" s="199" t="n"/>
      <c r="J16" s="206" t="inlineStr">
        <is>
          <t>=</t>
        </is>
      </c>
      <c r="K16" s="199">
        <f>IF(C9,C9*E9,"")</f>
        <v/>
      </c>
      <c r="L16" s="247" t="inlineStr">
        <is>
          <t>RM</t>
        </is>
      </c>
      <c r="O16" s="247" t="n"/>
      <c r="Q16" s="199" t="n"/>
    </row>
    <row r="17" customFormat="1" s="206">
      <c r="A17" s="201" t="n"/>
      <c r="C17" s="247" t="n">
        <v>1</v>
      </c>
      <c r="D17" s="206" t="inlineStr">
        <is>
          <t>x</t>
        </is>
      </c>
      <c r="E17" s="199" t="n">
        <v>3.2</v>
      </c>
      <c r="G17" s="205" t="n"/>
      <c r="I17" s="199" t="n"/>
      <c r="J17" s="258" t="inlineStr">
        <is>
          <t>=</t>
        </is>
      </c>
      <c r="K17" s="199">
        <f>IF(C11,C11*E11,"")</f>
        <v/>
      </c>
      <c r="L17" s="247" t="inlineStr">
        <is>
          <t>RM</t>
        </is>
      </c>
      <c r="O17" s="247" t="n"/>
      <c r="Q17" s="199" t="n"/>
    </row>
    <row r="18" customFormat="1" s="206">
      <c r="A18" s="247" t="n"/>
      <c r="B18" s="212" t="inlineStr">
        <is>
          <t>Back Side - Var2 - Var1</t>
        </is>
      </c>
      <c r="C18" s="247" t="n">
        <v>1</v>
      </c>
      <c r="D18" s="206" t="inlineStr">
        <is>
          <t>x</t>
        </is>
      </c>
      <c r="E18" s="199" t="n">
        <v>3.04</v>
      </c>
      <c r="G18" s="205" t="n"/>
      <c r="I18" s="199" t="n"/>
      <c r="J18" s="206" t="inlineStr">
        <is>
          <t>=</t>
        </is>
      </c>
      <c r="K18" s="199">
        <f>IF(C9,C9*E9,"")</f>
        <v/>
      </c>
      <c r="L18" s="247" t="inlineStr">
        <is>
          <t>RM</t>
        </is>
      </c>
      <c r="O18" s="247" t="n"/>
      <c r="Q18" s="199" t="n"/>
    </row>
    <row r="19" customFormat="1" s="206">
      <c r="A19" s="247" t="n"/>
      <c r="B19" s="212" t="inlineStr">
        <is>
          <t>Back Side - Var2 - Var2</t>
        </is>
      </c>
      <c r="C19" s="247" t="n">
        <v>1</v>
      </c>
      <c r="D19" s="206" t="inlineStr">
        <is>
          <t>x</t>
        </is>
      </c>
      <c r="E19" s="199" t="n">
        <v>3.58</v>
      </c>
      <c r="G19" s="205" t="n"/>
      <c r="I19" s="199" t="n"/>
      <c r="J19" s="206" t="inlineStr">
        <is>
          <t>=</t>
        </is>
      </c>
      <c r="K19" s="199">
        <f>IF(C9,C9*E9,"")</f>
        <v/>
      </c>
      <c r="L19" s="247" t="inlineStr">
        <is>
          <t>RM</t>
        </is>
      </c>
      <c r="O19" s="247" t="n"/>
      <c r="Q19" s="199" t="n"/>
    </row>
    <row r="20" customFormat="1" s="206">
      <c r="A20" s="247" t="n"/>
      <c r="B20" s="212" t="inlineStr">
        <is>
          <t>Back Side - Var2 - Var3</t>
        </is>
      </c>
      <c r="C20" s="247" t="n">
        <v>1</v>
      </c>
      <c r="D20" s="206" t="inlineStr">
        <is>
          <t>x</t>
        </is>
      </c>
      <c r="E20" s="199" t="n">
        <v>4.12</v>
      </c>
      <c r="G20" s="205" t="n"/>
      <c r="I20" s="199" t="n"/>
      <c r="J20" s="206" t="inlineStr">
        <is>
          <t>=</t>
        </is>
      </c>
      <c r="K20" s="199">
        <f>IF(C9,C9*E9,"")</f>
        <v/>
      </c>
      <c r="L20" s="247" t="inlineStr">
        <is>
          <t>RM</t>
        </is>
      </c>
      <c r="O20" s="247" t="n"/>
      <c r="Q20" s="199" t="n"/>
    </row>
    <row r="21" customFormat="1" s="206">
      <c r="A21" s="201" t="n"/>
      <c r="C21" s="247" t="n">
        <v>1</v>
      </c>
      <c r="D21" s="206" t="inlineStr">
        <is>
          <t>x</t>
        </is>
      </c>
      <c r="E21" s="199" t="n">
        <v>3.2</v>
      </c>
      <c r="G21" s="205" t="n"/>
      <c r="I21" s="199" t="n"/>
      <c r="J21" s="258" t="inlineStr">
        <is>
          <t>=</t>
        </is>
      </c>
      <c r="K21" s="199">
        <f>IF(C12,C12*E12,"")</f>
        <v/>
      </c>
      <c r="L21" s="247" t="inlineStr">
        <is>
          <t>RM</t>
        </is>
      </c>
      <c r="O21" s="247" t="n"/>
      <c r="Q21" s="199" t="n"/>
    </row>
    <row r="22" customFormat="1" s="206">
      <c r="A22" s="247" t="n"/>
      <c r="B22" s="212" t="inlineStr">
        <is>
          <t>Back Side - Var3 - Var1</t>
        </is>
      </c>
      <c r="C22" s="247" t="n">
        <v>1</v>
      </c>
      <c r="D22" s="206" t="inlineStr">
        <is>
          <t>x</t>
        </is>
      </c>
      <c r="E22" s="199" t="n">
        <v>3.5</v>
      </c>
      <c r="G22" s="205" t="n"/>
      <c r="I22" s="199" t="n"/>
      <c r="J22" s="206" t="inlineStr">
        <is>
          <t>=</t>
        </is>
      </c>
      <c r="K22" s="199">
        <f>IF(C9,C9*E9,"")</f>
        <v/>
      </c>
      <c r="L22" s="247" t="inlineStr">
        <is>
          <t>RM</t>
        </is>
      </c>
      <c r="O22" s="247" t="n"/>
      <c r="Q22" s="199" t="n"/>
    </row>
    <row r="23" customFormat="1" s="206">
      <c r="A23" s="247" t="n"/>
      <c r="B23" s="212" t="inlineStr">
        <is>
          <t>Back Side - Var3 - Var2</t>
        </is>
      </c>
      <c r="C23" s="247" t="n">
        <v>1</v>
      </c>
      <c r="D23" s="206" t="inlineStr">
        <is>
          <t>x</t>
        </is>
      </c>
      <c r="E23" s="199" t="n">
        <v>4.12</v>
      </c>
      <c r="G23" s="205" t="n"/>
      <c r="I23" s="199" t="n"/>
      <c r="J23" s="206" t="inlineStr">
        <is>
          <t>=</t>
        </is>
      </c>
      <c r="K23" s="199">
        <f>IF(C9,C9*E9,"")</f>
        <v/>
      </c>
      <c r="L23" s="247" t="inlineStr">
        <is>
          <t>RM</t>
        </is>
      </c>
      <c r="O23" s="247" t="n"/>
      <c r="Q23" s="199" t="n"/>
    </row>
    <row r="24" ht="13.5" customFormat="1" customHeight="1" s="206">
      <c r="A24" s="247" t="n"/>
      <c r="B24" s="212" t="inlineStr">
        <is>
          <t>Back Side - Var3 - Var3</t>
        </is>
      </c>
      <c r="C24" s="247" t="n">
        <v>1</v>
      </c>
      <c r="D24" s="206" t="inlineStr">
        <is>
          <t>x</t>
        </is>
      </c>
      <c r="E24" s="199" t="n">
        <v>4.74</v>
      </c>
      <c r="G24" s="205" t="n"/>
      <c r="I24" s="199" t="n"/>
      <c r="J24" s="206" t="inlineStr">
        <is>
          <t>=</t>
        </is>
      </c>
      <c r="K24" s="199">
        <f>IF(C9,C9*E9,"")</f>
        <v/>
      </c>
      <c r="L24" s="247" t="inlineStr">
        <is>
          <t>RM</t>
        </is>
      </c>
      <c r="O24" s="247" t="n"/>
      <c r="Q24" s="199" t="n"/>
    </row>
    <row r="25" customFormat="1" s="206">
      <c r="A25" s="201" t="n"/>
      <c r="C25" s="247" t="n">
        <v>1</v>
      </c>
      <c r="D25" s="206" t="inlineStr">
        <is>
          <t>x</t>
        </is>
      </c>
      <c r="E25" s="199" t="n">
        <v>5.33</v>
      </c>
      <c r="G25" s="205" t="n"/>
      <c r="I25" s="199" t="n"/>
      <c r="J25" s="258" t="inlineStr">
        <is>
          <t>=</t>
        </is>
      </c>
      <c r="K25" s="199">
        <f>IF(C13,C13*E13,"")</f>
        <v/>
      </c>
      <c r="L25" s="247" t="inlineStr">
        <is>
          <t>RM</t>
        </is>
      </c>
      <c r="O25" s="247" t="n"/>
      <c r="Q25" s="199" t="n"/>
      <c r="V25" s="212" t="n"/>
    </row>
    <row r="26" customFormat="1" s="206">
      <c r="A26" s="247" t="n"/>
      <c r="C26" s="247" t="n">
        <v>1</v>
      </c>
      <c r="D26" s="206" t="inlineStr">
        <is>
          <t>x</t>
        </is>
      </c>
      <c r="E26" s="199" t="n">
        <v>5.44</v>
      </c>
      <c r="G26" s="205" t="n"/>
      <c r="I26" s="199" t="n"/>
      <c r="J26" s="206" t="inlineStr">
        <is>
          <t>=</t>
        </is>
      </c>
      <c r="K26" s="199">
        <f>IF(C10,C10*E10,"")</f>
        <v/>
      </c>
      <c r="L26" s="247" t="inlineStr">
        <is>
          <t>RM</t>
        </is>
      </c>
      <c r="O26" s="247" t="n"/>
      <c r="Q26" s="199" t="n"/>
    </row>
    <row r="27" customFormat="1" s="206">
      <c r="A27" s="247" t="n"/>
      <c r="C27" s="247" t="n">
        <v>1</v>
      </c>
      <c r="D27" s="206" t="inlineStr">
        <is>
          <t>x</t>
        </is>
      </c>
      <c r="E27" s="199" t="n">
        <v>6.4</v>
      </c>
      <c r="G27" s="205" t="n"/>
      <c r="I27" s="199" t="n"/>
      <c r="J27" s="206" t="inlineStr">
        <is>
          <t>=</t>
        </is>
      </c>
      <c r="K27" s="199">
        <f>IF(C10,C10*E10,"")</f>
        <v/>
      </c>
      <c r="L27" s="247" t="inlineStr">
        <is>
          <t>RM</t>
        </is>
      </c>
      <c r="O27" s="247" t="n"/>
      <c r="Q27" s="199" t="n"/>
    </row>
    <row r="28" customFormat="1" s="206">
      <c r="A28" s="247" t="n"/>
      <c r="C28" s="247" t="n">
        <v>1</v>
      </c>
      <c r="D28" s="206" t="inlineStr">
        <is>
          <t>x</t>
        </is>
      </c>
      <c r="E28" s="199" t="n">
        <v>7.36</v>
      </c>
      <c r="G28" s="205" t="n"/>
      <c r="I28" s="199" t="n"/>
      <c r="J28" s="206" t="inlineStr">
        <is>
          <t>=</t>
        </is>
      </c>
      <c r="K28" s="199">
        <f>IF(C10,C10*E10,"")</f>
        <v/>
      </c>
      <c r="L28" s="247" t="inlineStr">
        <is>
          <t>RM</t>
        </is>
      </c>
      <c r="O28" s="247" t="n"/>
      <c r="Q28" s="199" t="n"/>
    </row>
    <row r="29" customFormat="1" s="206">
      <c r="A29" s="201" t="n"/>
      <c r="B29" s="212" t="inlineStr">
        <is>
          <t>Left Side</t>
        </is>
      </c>
      <c r="C29" s="247" t="n">
        <v>1</v>
      </c>
      <c r="D29" s="206" t="inlineStr">
        <is>
          <t>x</t>
        </is>
      </c>
      <c r="E29" s="199" t="n">
        <v>7.62</v>
      </c>
      <c r="G29" s="205" t="n"/>
      <c r="I29" s="199" t="n"/>
      <c r="J29" s="258" t="inlineStr">
        <is>
          <t>=</t>
        </is>
      </c>
      <c r="K29" s="199">
        <f>IF(C14,C14*E14,"")</f>
        <v/>
      </c>
      <c r="L29" s="247" t="inlineStr">
        <is>
          <t>RM</t>
        </is>
      </c>
      <c r="O29" s="247" t="n"/>
      <c r="Q29" s="199" t="n"/>
      <c r="V29" s="212" t="n"/>
    </row>
    <row r="30" customFormat="1" s="206">
      <c r="A30" s="201" t="n"/>
      <c r="B30" s="212" t="n"/>
      <c r="C30" s="247" t="n">
        <v>1</v>
      </c>
      <c r="D30" s="206" t="inlineStr">
        <is>
          <t>x</t>
        </is>
      </c>
      <c r="E30" s="199" t="n">
        <v>4.27</v>
      </c>
      <c r="G30" s="205" t="n"/>
      <c r="I30" s="199" t="n"/>
      <c r="J30" s="258" t="inlineStr">
        <is>
          <t>=</t>
        </is>
      </c>
      <c r="K30" s="199">
        <f>IF(C15,C15*E15,"")</f>
        <v/>
      </c>
      <c r="L30" s="247" t="inlineStr">
        <is>
          <t>RM</t>
        </is>
      </c>
      <c r="O30" s="247" t="n"/>
      <c r="Q30" s="199" t="n"/>
      <c r="V30" s="212" t="n"/>
    </row>
    <row r="31" customFormat="1" s="206">
      <c r="A31" s="201" t="n"/>
      <c r="B31" s="212" t="n"/>
      <c r="C31" s="247" t="n">
        <v>1</v>
      </c>
      <c r="D31" s="206" t="inlineStr">
        <is>
          <t>x</t>
        </is>
      </c>
      <c r="E31" s="199" t="n">
        <v>7.62</v>
      </c>
      <c r="G31" s="205" t="n"/>
      <c r="I31" s="199" t="n"/>
      <c r="J31" s="258" t="inlineStr">
        <is>
          <t>=</t>
        </is>
      </c>
      <c r="K31" s="199">
        <f>IF(C16,C16*E16,"")</f>
        <v/>
      </c>
      <c r="L31" s="247" t="inlineStr">
        <is>
          <t>RM</t>
        </is>
      </c>
      <c r="O31" s="247" t="n"/>
      <c r="Q31" s="199" t="n"/>
      <c r="V31" s="212" t="n"/>
    </row>
    <row r="32" customFormat="1" s="206">
      <c r="A32" s="201" t="n"/>
      <c r="B32" s="212" t="inlineStr">
        <is>
          <t>Front Side</t>
        </is>
      </c>
      <c r="C32" s="247" t="n">
        <v>1</v>
      </c>
      <c r="D32" s="206" t="inlineStr">
        <is>
          <t>x</t>
        </is>
      </c>
      <c r="E32" s="199" t="n">
        <v>3.58</v>
      </c>
      <c r="G32" s="205" t="n"/>
      <c r="I32" s="199" t="n"/>
      <c r="J32" s="258" t="inlineStr">
        <is>
          <t>=</t>
        </is>
      </c>
      <c r="K32" s="199">
        <f>IF(C17,C17*E17,"")</f>
        <v/>
      </c>
      <c r="L32" s="247" t="inlineStr">
        <is>
          <t>RM</t>
        </is>
      </c>
      <c r="O32" s="247" t="n"/>
      <c r="Q32" s="199" t="n"/>
    </row>
    <row r="33" customFormat="1" s="206">
      <c r="A33" s="201" t="n"/>
      <c r="B33" s="212" t="n"/>
      <c r="C33" s="247" t="n">
        <v>1</v>
      </c>
      <c r="D33" s="206" t="inlineStr">
        <is>
          <t>x</t>
        </is>
      </c>
      <c r="E33" s="199" t="n">
        <v>3.2</v>
      </c>
      <c r="G33" s="205" t="n"/>
      <c r="I33" s="199" t="n"/>
      <c r="J33" s="258" t="inlineStr">
        <is>
          <t>=</t>
        </is>
      </c>
      <c r="K33" s="199">
        <f>IF(C18,C18*E18,"")</f>
        <v/>
      </c>
      <c r="L33" s="247" t="inlineStr">
        <is>
          <t>RM</t>
        </is>
      </c>
      <c r="O33" s="247" t="n"/>
      <c r="Q33" s="199" t="n"/>
    </row>
    <row r="34" customFormat="1" s="206">
      <c r="A34" s="201" t="n"/>
      <c r="B34" s="212" t="inlineStr">
        <is>
          <t>Right Side</t>
        </is>
      </c>
      <c r="C34" s="247" t="n">
        <v>1</v>
      </c>
      <c r="D34" s="206" t="inlineStr">
        <is>
          <t>x</t>
        </is>
      </c>
      <c r="E34" s="199" t="n">
        <v>25.6</v>
      </c>
      <c r="G34" s="205" t="n"/>
      <c r="I34" s="199" t="n"/>
      <c r="J34" s="258" t="inlineStr">
        <is>
          <t>=</t>
        </is>
      </c>
      <c r="K34" s="199">
        <f>IF(C19,C19*E19,"")</f>
        <v/>
      </c>
      <c r="L34" s="247" t="inlineStr">
        <is>
          <t>RM</t>
        </is>
      </c>
      <c r="O34" s="247" t="n"/>
      <c r="Q34" s="199" t="n"/>
    </row>
    <row r="35" customFormat="1" s="206">
      <c r="A35" s="201" t="n"/>
      <c r="B35" s="212" t="inlineStr">
        <is>
          <t>Staircase</t>
        </is>
      </c>
      <c r="C35" s="247" t="n">
        <v>2</v>
      </c>
      <c r="D35" s="206" t="inlineStr">
        <is>
          <t>x</t>
        </is>
      </c>
      <c r="E35" s="199" t="n">
        <v>3.35</v>
      </c>
      <c r="G35" s="205" t="n"/>
      <c r="I35" s="199" t="n"/>
      <c r="J35" s="258" t="inlineStr">
        <is>
          <t>=</t>
        </is>
      </c>
      <c r="K35" s="199">
        <f>IF(C20,C20*E20,"")</f>
        <v/>
      </c>
      <c r="L35" s="247" t="inlineStr">
        <is>
          <t>RM</t>
        </is>
      </c>
      <c r="O35" s="247" t="n"/>
      <c r="Q35" s="199" t="n"/>
    </row>
    <row r="36" customFormat="1" s="206">
      <c r="A36" s="201" t="n"/>
      <c r="B36" s="212" t="inlineStr">
        <is>
          <t>Lobby/ Shop</t>
        </is>
      </c>
      <c r="C36" s="247" t="n">
        <v>1</v>
      </c>
      <c r="D36" s="206" t="inlineStr">
        <is>
          <t>x</t>
        </is>
      </c>
      <c r="E36" s="199" t="n">
        <v>5.49</v>
      </c>
      <c r="G36" s="205" t="n"/>
      <c r="I36" s="199" t="n"/>
      <c r="J36" s="258" t="inlineStr">
        <is>
          <t>=</t>
        </is>
      </c>
      <c r="K36" s="199">
        <f>IF(C21,C21*E21,"")</f>
        <v/>
      </c>
      <c r="L36" s="247" t="inlineStr">
        <is>
          <t>RM</t>
        </is>
      </c>
      <c r="O36" s="247" t="n"/>
      <c r="Q36" s="199" t="n"/>
    </row>
    <row r="37" ht="15.75" customFormat="1" customHeight="1" s="206">
      <c r="A37" s="201" t="n"/>
      <c r="B37" s="212" t="n"/>
      <c r="C37" s="247" t="n"/>
      <c r="E37" s="199" t="n"/>
      <c r="G37" s="205" t="n"/>
      <c r="I37" s="189" t="inlineStr">
        <is>
          <t>TOTAL</t>
        </is>
      </c>
      <c r="J37" s="190" t="inlineStr">
        <is>
          <t>=</t>
        </is>
      </c>
      <c r="K37" s="189">
        <f>SUM(K9:K21)</f>
        <v/>
      </c>
      <c r="L37" s="191" t="inlineStr">
        <is>
          <t>RM</t>
        </is>
      </c>
    </row>
    <row r="38" ht="15" customFormat="1" customHeight="1" s="206">
      <c r="A38" s="201" t="n"/>
      <c r="B38" s="212" t="n"/>
      <c r="C38" s="247" t="n"/>
      <c r="E38" s="199" t="n"/>
      <c r="G38" s="205" t="n"/>
      <c r="I38" s="199" t="n"/>
      <c r="J38" s="258" t="n"/>
      <c r="K38" s="199" t="n"/>
      <c r="L38" s="247" t="n"/>
    </row>
    <row r="39" ht="16.5" customFormat="1" customHeight="1" s="206">
      <c r="A39" s="247" t="n"/>
      <c r="B39" s="186" t="inlineStr">
        <is>
          <t>PARAPET WALL 230 MM</t>
        </is>
      </c>
      <c r="C39" s="199" t="n"/>
      <c r="E39" s="199" t="n"/>
      <c r="G39" s="205" t="n"/>
    </row>
    <row r="40" ht="15" customFormat="1" customHeight="1" s="206">
      <c r="A40" s="201" t="n"/>
      <c r="B40" s="212" t="inlineStr">
        <is>
          <t>Back Side</t>
        </is>
      </c>
      <c r="C40" s="247" t="n">
        <v>1</v>
      </c>
      <c r="D40" s="206" t="inlineStr">
        <is>
          <t>x</t>
        </is>
      </c>
      <c r="E40" s="199" t="n">
        <v>3.58</v>
      </c>
      <c r="G40" s="205" t="n"/>
      <c r="I40" s="199" t="n"/>
      <c r="J40" s="258" t="inlineStr">
        <is>
          <t>=</t>
        </is>
      </c>
      <c r="K40" s="199">
        <f>IF(C25,C25*E25,"")</f>
        <v/>
      </c>
      <c r="L40" s="247" t="inlineStr">
        <is>
          <t>RM</t>
        </is>
      </c>
    </row>
    <row r="41" ht="16.5" customFormat="1" customHeight="1" s="206">
      <c r="A41" s="201" t="n"/>
      <c r="C41" s="247" t="n">
        <v>1</v>
      </c>
      <c r="D41" s="206" t="inlineStr">
        <is>
          <t>x</t>
        </is>
      </c>
      <c r="E41" s="199" t="n">
        <v>6.4</v>
      </c>
      <c r="G41" s="205" t="n"/>
      <c r="I41" s="199" t="n"/>
      <c r="J41" s="258" t="inlineStr">
        <is>
          <t>=</t>
        </is>
      </c>
      <c r="K41" s="199">
        <f>IF(C26,C26*E26,"")</f>
        <v/>
      </c>
      <c r="L41" s="247" t="inlineStr">
        <is>
          <t>RM</t>
        </is>
      </c>
      <c r="O41" s="247" t="n"/>
      <c r="Q41" s="199" t="n"/>
    </row>
    <row r="42" ht="16.5" customFormat="1" customHeight="1" s="206">
      <c r="A42" s="201" t="n"/>
      <c r="C42" s="247" t="n">
        <v>1</v>
      </c>
      <c r="D42" s="206" t="inlineStr">
        <is>
          <t>x</t>
        </is>
      </c>
      <c r="E42" s="199" t="n">
        <v>3.2</v>
      </c>
      <c r="G42" s="205" t="n"/>
      <c r="I42" s="199" t="n"/>
      <c r="J42" s="258" t="inlineStr">
        <is>
          <t>=</t>
        </is>
      </c>
      <c r="K42" s="199">
        <f>IF(C27,C27*E27,"")</f>
        <v/>
      </c>
      <c r="L42" s="247" t="inlineStr">
        <is>
          <t>RM</t>
        </is>
      </c>
      <c r="O42" s="247" t="n"/>
      <c r="Q42" s="199" t="n"/>
    </row>
    <row r="43" ht="15" customFormat="1" customHeight="1" s="206">
      <c r="A43" s="201" t="n"/>
      <c r="C43" s="247" t="n">
        <v>1</v>
      </c>
      <c r="D43" s="206" t="inlineStr">
        <is>
          <t>x</t>
        </is>
      </c>
      <c r="E43" s="199" t="n">
        <v>3.2</v>
      </c>
      <c r="G43" s="205" t="n"/>
      <c r="I43" s="199" t="n"/>
      <c r="J43" s="258" t="inlineStr">
        <is>
          <t>=</t>
        </is>
      </c>
      <c r="K43" s="199">
        <f>IF(C28,C28*E28,"")</f>
        <v/>
      </c>
      <c r="L43" s="247" t="inlineStr">
        <is>
          <t>RM</t>
        </is>
      </c>
      <c r="O43" s="247" t="n"/>
      <c r="Q43" s="199" t="n"/>
    </row>
    <row r="44" ht="16.5" customFormat="1" customHeight="1" s="206">
      <c r="A44" s="201" t="n"/>
      <c r="C44" s="247" t="n">
        <v>1</v>
      </c>
      <c r="D44" s="206" t="inlineStr">
        <is>
          <t>x</t>
        </is>
      </c>
      <c r="E44" s="199" t="n">
        <v>5.33</v>
      </c>
      <c r="G44" s="205" t="n"/>
      <c r="I44" s="199" t="n"/>
      <c r="J44" s="258" t="inlineStr">
        <is>
          <t>=</t>
        </is>
      </c>
      <c r="K44" s="199">
        <f>IF(C29,C29*E29,"")</f>
        <v/>
      </c>
      <c r="L44" s="247" t="inlineStr">
        <is>
          <t>RM</t>
        </is>
      </c>
      <c r="O44" s="247" t="n"/>
      <c r="Q44" s="199" t="n"/>
      <c r="V44" s="212" t="n"/>
    </row>
    <row r="45" ht="15" customFormat="1" customHeight="1" s="206">
      <c r="A45" s="201" t="n"/>
      <c r="B45" s="212" t="inlineStr">
        <is>
          <t>Left Side</t>
        </is>
      </c>
      <c r="C45" s="247" t="n">
        <v>1</v>
      </c>
      <c r="D45" s="206" t="inlineStr">
        <is>
          <t>x</t>
        </is>
      </c>
      <c r="E45" s="199" t="n">
        <v>7.62</v>
      </c>
      <c r="G45" s="205" t="n"/>
      <c r="I45" s="199" t="n"/>
      <c r="J45" s="258" t="inlineStr">
        <is>
          <t>=</t>
        </is>
      </c>
      <c r="K45" s="199">
        <f>IF(C30,C30*E30,"")</f>
        <v/>
      </c>
      <c r="L45" s="247" t="inlineStr">
        <is>
          <t>RM</t>
        </is>
      </c>
      <c r="O45" s="247" t="n"/>
      <c r="Q45" s="199" t="n"/>
      <c r="V45" s="212" t="n"/>
    </row>
    <row r="46" customFormat="1" s="206">
      <c r="A46" s="201" t="n"/>
      <c r="B46" s="212" t="n"/>
      <c r="C46" s="247" t="n">
        <v>1</v>
      </c>
      <c r="D46" s="206" t="inlineStr">
        <is>
          <t>x</t>
        </is>
      </c>
      <c r="E46" s="199" t="n">
        <v>4.27</v>
      </c>
      <c r="G46" s="205" t="n"/>
      <c r="I46" s="199" t="n"/>
      <c r="J46" s="258" t="inlineStr">
        <is>
          <t>=</t>
        </is>
      </c>
      <c r="K46" s="199">
        <f>IF(C31,C31*E31,"")</f>
        <v/>
      </c>
      <c r="L46" s="247" t="inlineStr">
        <is>
          <t>RM</t>
        </is>
      </c>
      <c r="O46" s="247" t="n"/>
      <c r="Q46" s="199" t="n"/>
      <c r="V46" s="212" t="n"/>
    </row>
    <row r="47" ht="15" customFormat="1" customHeight="1" s="206">
      <c r="A47" s="201" t="n"/>
      <c r="B47" s="212" t="n"/>
      <c r="C47" s="247" t="n">
        <v>1</v>
      </c>
      <c r="D47" s="206" t="inlineStr">
        <is>
          <t>x</t>
        </is>
      </c>
      <c r="E47" s="199" t="n">
        <v>7.62</v>
      </c>
      <c r="G47" s="205" t="n"/>
      <c r="I47" s="199" t="n"/>
      <c r="J47" s="258" t="inlineStr">
        <is>
          <t>=</t>
        </is>
      </c>
      <c r="K47" s="199">
        <f>IF(C32,C32*E32,"")</f>
        <v/>
      </c>
      <c r="L47" s="247" t="inlineStr">
        <is>
          <t>RM</t>
        </is>
      </c>
      <c r="O47" s="247" t="n"/>
      <c r="Q47" s="199" t="n"/>
      <c r="V47" s="212" t="n"/>
    </row>
    <row r="48" ht="123" customFormat="1" customHeight="1" s="206">
      <c r="A48" s="201" t="n"/>
      <c r="B48" s="212" t="inlineStr">
        <is>
          <t>Front Side</t>
        </is>
      </c>
      <c r="C48" s="247" t="n">
        <v>1</v>
      </c>
      <c r="D48" s="206" t="inlineStr">
        <is>
          <t>x</t>
        </is>
      </c>
      <c r="E48" s="199" t="n">
        <v>3.58</v>
      </c>
      <c r="G48" s="205" t="n"/>
      <c r="I48" s="199" t="n"/>
      <c r="J48" s="258" t="inlineStr">
        <is>
          <t>=</t>
        </is>
      </c>
      <c r="K48" s="199">
        <f>IF(C33,C33*E33,"")</f>
        <v/>
      </c>
      <c r="L48" s="247" t="inlineStr">
        <is>
          <t>RM</t>
        </is>
      </c>
      <c r="O48" s="247" t="n"/>
      <c r="Q48" s="199" t="n"/>
    </row>
    <row r="49" ht="15.75" customFormat="1" customHeight="1" s="206">
      <c r="A49" s="201" t="n"/>
      <c r="B49" s="212" t="n"/>
      <c r="C49" s="247" t="n">
        <v>1</v>
      </c>
      <c r="D49" s="206" t="inlineStr">
        <is>
          <t>x</t>
        </is>
      </c>
      <c r="E49" s="199" t="n">
        <v>3.2</v>
      </c>
      <c r="G49" s="205" t="n"/>
      <c r="I49" s="199" t="n"/>
      <c r="J49" s="258" t="inlineStr">
        <is>
          <t>=</t>
        </is>
      </c>
      <c r="K49" s="199">
        <f>IF(C34,C34*E34,"")</f>
        <v/>
      </c>
      <c r="L49" s="247" t="inlineStr">
        <is>
          <t>RM</t>
        </is>
      </c>
      <c r="O49" s="247" t="n"/>
      <c r="Q49" s="199" t="n"/>
    </row>
    <row r="50" ht="15" customFormat="1" customHeight="1" s="206">
      <c r="A50" s="201" t="n"/>
      <c r="B50" s="212" t="inlineStr">
        <is>
          <t>Right Side</t>
        </is>
      </c>
      <c r="C50" s="247" t="n">
        <v>1</v>
      </c>
      <c r="D50" s="206" t="inlineStr">
        <is>
          <t>x</t>
        </is>
      </c>
      <c r="E50" s="199" t="n">
        <v>25.6</v>
      </c>
      <c r="G50" s="205" t="n"/>
      <c r="I50" s="199" t="n"/>
      <c r="J50" s="258" t="inlineStr">
        <is>
          <t>=</t>
        </is>
      </c>
      <c r="K50" s="199">
        <f>IF(C35,C35*E35,"")</f>
        <v/>
      </c>
      <c r="L50" s="247" t="inlineStr">
        <is>
          <t>RM</t>
        </is>
      </c>
      <c r="O50" s="247" t="n"/>
      <c r="Q50" s="199" t="n"/>
    </row>
    <row r="51" ht="15" customFormat="1" customHeight="1" s="206">
      <c r="A51" s="201" t="n"/>
      <c r="B51" s="212" t="n"/>
      <c r="C51" s="247" t="n"/>
      <c r="E51" s="199" t="n"/>
      <c r="G51" s="205" t="n"/>
      <c r="I51" s="189" t="inlineStr">
        <is>
          <t>TOTAL</t>
        </is>
      </c>
      <c r="J51" s="190" t="inlineStr">
        <is>
          <t>=</t>
        </is>
      </c>
      <c r="K51" s="189">
        <f>SUM(K25:K35)</f>
        <v/>
      </c>
      <c r="L51" s="191" t="inlineStr">
        <is>
          <t>RM</t>
        </is>
      </c>
    </row>
    <row r="52" ht="123" customFormat="1" customHeight="1" s="206">
      <c r="A52" s="247" t="n"/>
      <c r="B52" s="186" t="inlineStr">
        <is>
          <t xml:space="preserve"> Brick Partition walls in X and Y Direction</t>
        </is>
      </c>
      <c r="C52" s="199" t="n"/>
      <c r="E52" s="199" t="n"/>
      <c r="G52" s="205" t="n"/>
    </row>
    <row r="53" ht="15.75" customFormat="1" customHeight="1" s="206">
      <c r="A53" s="201" t="n"/>
      <c r="B53" s="212" t="inlineStr">
        <is>
          <t>Shops 2,3</t>
        </is>
      </c>
      <c r="C53" s="247" t="n">
        <v>3</v>
      </c>
      <c r="D53" s="206" t="inlineStr">
        <is>
          <t>x</t>
        </is>
      </c>
      <c r="E53" s="199" t="n">
        <v>7.39</v>
      </c>
      <c r="F53" s="10" t="n"/>
      <c r="G53" s="205" t="n"/>
      <c r="I53" s="199" t="n"/>
      <c r="J53" s="258" t="inlineStr">
        <is>
          <t>=</t>
        </is>
      </c>
      <c r="K53" s="199">
        <f>IF(C38,C38*E38,"")</f>
        <v/>
      </c>
      <c r="L53" s="247" t="inlineStr">
        <is>
          <t>RM</t>
        </is>
      </c>
    </row>
    <row r="54" ht="30.75" customFormat="1" customHeight="1" s="206">
      <c r="A54" s="201" t="n"/>
      <c r="B54" s="212" t="inlineStr">
        <is>
          <t>Shops 6,7 in Y Direction</t>
        </is>
      </c>
      <c r="C54" s="247" t="n">
        <v>2</v>
      </c>
      <c r="D54" s="206" t="inlineStr">
        <is>
          <t>x</t>
        </is>
      </c>
      <c r="E54" s="199" t="n">
        <v>5.49</v>
      </c>
      <c r="F54" s="10" t="n"/>
      <c r="G54" s="205" t="n"/>
      <c r="I54" s="199" t="n"/>
      <c r="J54" s="258" t="inlineStr">
        <is>
          <t>=</t>
        </is>
      </c>
      <c r="K54" s="199">
        <f>IF(C39,C39*E39,"")</f>
        <v/>
      </c>
      <c r="L54" s="247" t="inlineStr">
        <is>
          <t>RM</t>
        </is>
      </c>
    </row>
    <row r="55" ht="15" customFormat="1" customHeight="1" s="206">
      <c r="A55" s="201" t="n"/>
      <c r="B55" s="212" t="inlineStr">
        <is>
          <t>Shops 6,1 in X Direction</t>
        </is>
      </c>
      <c r="C55" s="247" t="n">
        <v>2</v>
      </c>
      <c r="D55" s="206" t="inlineStr">
        <is>
          <t>x</t>
        </is>
      </c>
      <c r="E55" s="199" t="n">
        <v>3.35</v>
      </c>
      <c r="F55" s="10" t="n"/>
      <c r="G55" s="205" t="n"/>
      <c r="I55" s="199" t="n"/>
      <c r="J55" s="258" t="inlineStr">
        <is>
          <t>=</t>
        </is>
      </c>
      <c r="K55" s="199">
        <f>IF(C40,C40*E40,"")</f>
        <v/>
      </c>
      <c r="L55" s="247" t="inlineStr">
        <is>
          <t>RM</t>
        </is>
      </c>
    </row>
    <row r="56" customFormat="1" s="206">
      <c r="A56" s="201" t="n"/>
      <c r="B56" s="212" t="inlineStr">
        <is>
          <t>Shop 7 in X Direction</t>
        </is>
      </c>
      <c r="C56" s="247" t="n">
        <v>1</v>
      </c>
      <c r="D56" s="206" t="inlineStr">
        <is>
          <t>x</t>
        </is>
      </c>
      <c r="E56" s="199" t="n">
        <v>3.05</v>
      </c>
      <c r="F56" s="10" t="n"/>
      <c r="G56" s="205" t="n"/>
      <c r="I56" s="199" t="n"/>
      <c r="J56" s="258" t="inlineStr">
        <is>
          <t>=</t>
        </is>
      </c>
      <c r="K56" s="199">
        <f>IF(C41,C41*E41,"")</f>
        <v/>
      </c>
      <c r="L56" s="247" t="inlineStr">
        <is>
          <t>RM</t>
        </is>
      </c>
    </row>
    <row r="57" ht="15" customFormat="1" customHeight="1" s="206">
      <c r="A57" s="201" t="n"/>
      <c r="B57" s="212" t="inlineStr">
        <is>
          <t>Shop 4 in X Direction</t>
        </is>
      </c>
      <c r="C57" s="247" t="n">
        <v>1</v>
      </c>
      <c r="D57" s="206" t="inlineStr">
        <is>
          <t>x</t>
        </is>
      </c>
      <c r="E57" s="199" t="n">
        <v>5.26</v>
      </c>
      <c r="F57" s="10" t="n"/>
      <c r="G57" s="205" t="n"/>
      <c r="I57" s="199" t="n"/>
      <c r="J57" s="258" t="inlineStr">
        <is>
          <t>=</t>
        </is>
      </c>
      <c r="K57" s="199">
        <f>IF(C42,C42*E42,"")</f>
        <v/>
      </c>
      <c r="L57" s="247" t="inlineStr">
        <is>
          <t>RM</t>
        </is>
      </c>
    </row>
    <row r="58" ht="15" customFormat="1" customHeight="1" s="206">
      <c r="A58" s="201" t="n"/>
      <c r="B58" s="212" t="inlineStr">
        <is>
          <t>Shop 5 in X Direction</t>
        </is>
      </c>
      <c r="C58" s="247" t="n">
        <v>1</v>
      </c>
      <c r="D58" s="206" t="inlineStr">
        <is>
          <t>x</t>
        </is>
      </c>
      <c r="E58" s="199" t="n">
        <v>3.66</v>
      </c>
      <c r="F58" s="10" t="n"/>
      <c r="G58" s="205" t="n"/>
      <c r="I58" s="199" t="n"/>
      <c r="J58" s="258" t="inlineStr">
        <is>
          <t>=</t>
        </is>
      </c>
      <c r="K58" s="199">
        <f>IF(C43,C43*E43,"")</f>
        <v/>
      </c>
      <c r="L58" s="247" t="inlineStr">
        <is>
          <t>RM</t>
        </is>
      </c>
    </row>
    <row r="59" ht="15" customFormat="1" customHeight="1" s="206">
      <c r="A59" s="201" t="n"/>
      <c r="B59" s="212" t="inlineStr">
        <is>
          <t>Shop 8 in Y Direction</t>
        </is>
      </c>
      <c r="C59" s="247" t="n">
        <v>1</v>
      </c>
      <c r="D59" s="206" t="inlineStr">
        <is>
          <t>x</t>
        </is>
      </c>
      <c r="E59" s="199" t="n">
        <v>5.49</v>
      </c>
      <c r="F59" s="10" t="n"/>
      <c r="G59" s="205" t="n"/>
      <c r="I59" s="199" t="n"/>
      <c r="J59" s="258" t="inlineStr">
        <is>
          <t>=</t>
        </is>
      </c>
      <c r="K59" s="199">
        <f>IF(C44,C44*E44,"")</f>
        <v/>
      </c>
      <c r="L59" s="247" t="inlineStr">
        <is>
          <t>RM</t>
        </is>
      </c>
    </row>
    <row r="60" ht="15" customFormat="1" customHeight="1" s="206">
      <c r="A60" s="201" t="n"/>
      <c r="B60" s="212" t="inlineStr">
        <is>
          <t>Toilets in Y Direction</t>
        </is>
      </c>
      <c r="C60" s="247" t="n">
        <v>2</v>
      </c>
      <c r="D60" s="206" t="inlineStr">
        <is>
          <t>x</t>
        </is>
      </c>
      <c r="E60" s="199" t="n">
        <v>2.13</v>
      </c>
      <c r="F60" s="10" t="n"/>
      <c r="G60" s="205" t="n"/>
      <c r="I60" s="199" t="n"/>
      <c r="J60" s="258" t="inlineStr">
        <is>
          <t>=</t>
        </is>
      </c>
      <c r="K60" s="199">
        <f>IF(C45,C45*E45,"")</f>
        <v/>
      </c>
      <c r="L60" s="247" t="inlineStr">
        <is>
          <t>RM</t>
        </is>
      </c>
    </row>
    <row r="61" ht="15" customFormat="1" customHeight="1" s="206">
      <c r="A61" s="201" t="n"/>
      <c r="B61" s="212" t="n"/>
      <c r="C61" s="247" t="n"/>
      <c r="E61" s="199" t="n"/>
      <c r="G61" s="205" t="n"/>
      <c r="I61" s="189" t="inlineStr">
        <is>
          <t>TOTAL</t>
        </is>
      </c>
      <c r="J61" s="190" t="inlineStr">
        <is>
          <t>=</t>
        </is>
      </c>
      <c r="K61" s="189">
        <f>SUM(K38:K45)</f>
        <v/>
      </c>
      <c r="L61" s="191" t="inlineStr">
        <is>
          <t>RM</t>
        </is>
      </c>
    </row>
    <row r="62" ht="15" customFormat="1" customHeight="1" s="206">
      <c r="A62" s="247" t="n"/>
      <c r="B62" s="192" t="n"/>
      <c r="D62" s="193" t="n"/>
      <c r="E62" s="194" t="n"/>
      <c r="F62" s="201" t="n"/>
      <c r="G62" s="194" t="n"/>
      <c r="H62" s="195" t="n"/>
      <c r="J62" s="196" t="n"/>
      <c r="K62" s="228" t="n"/>
      <c r="L62" s="198" t="n"/>
    </row>
    <row r="63" ht="15" customFormat="1" customHeight="1" s="206">
      <c r="A63" s="247" t="n">
        <v>1</v>
      </c>
      <c r="B63" s="173"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is>
      </c>
      <c r="C63" s="199" t="n"/>
      <c r="E63" s="199" t="n"/>
      <c r="G63" s="205" t="n"/>
    </row>
    <row r="64" ht="15" customFormat="1" customHeight="1" s="206">
      <c r="A64" s="201" t="n"/>
      <c r="B64" s="212" t="inlineStr">
        <is>
          <t>Average Width (49.83+18.44)/2=34.14</t>
        </is>
      </c>
      <c r="C64" s="232" t="n">
        <v>1</v>
      </c>
      <c r="D64" s="232" t="inlineStr">
        <is>
          <t>x</t>
        </is>
      </c>
      <c r="E64" s="205" t="n">
        <v>34.14</v>
      </c>
      <c r="F64" s="232" t="inlineStr">
        <is>
          <t>x</t>
        </is>
      </c>
      <c r="G64" s="205" t="n">
        <v>37.8</v>
      </c>
      <c r="H64" s="232" t="inlineStr">
        <is>
          <t>x</t>
        </is>
      </c>
      <c r="I64" s="260" t="n">
        <v>1.2</v>
      </c>
      <c r="J64" s="233" t="inlineStr">
        <is>
          <t>=</t>
        </is>
      </c>
      <c r="K64" s="205">
        <f>IF(C49,C49*E49*G49*I49,"")</f>
        <v/>
      </c>
      <c r="L64" s="201" t="inlineStr">
        <is>
          <t>Cum</t>
        </is>
      </c>
      <c r="M64" s="232" t="n"/>
    </row>
    <row r="65" ht="15" customFormat="1" customHeight="1" s="206">
      <c r="A65" s="247" t="n"/>
      <c r="B65" s="186" t="n"/>
      <c r="C65" s="199" t="n"/>
      <c r="D65" s="201" t="n"/>
      <c r="E65" s="199" t="n"/>
      <c r="F65" s="201" t="n"/>
      <c r="G65" s="205" t="n"/>
    </row>
    <row r="66" ht="15" customFormat="1" customHeight="1" s="206">
      <c r="A66" s="201" t="n"/>
      <c r="B66" s="212" t="n"/>
      <c r="C66" s="247" t="n"/>
      <c r="E66" s="216" t="n"/>
      <c r="F66" s="214" t="n"/>
      <c r="G66" s="215" t="inlineStr">
        <is>
          <t xml:space="preserve">Total </t>
        </is>
      </c>
      <c r="H66" s="214" t="n"/>
      <c r="I66" s="216" t="n"/>
      <c r="J66" s="214" t="n"/>
      <c r="K66" s="216">
        <f>SUM(K49:K50)</f>
        <v/>
      </c>
      <c r="L66" s="234" t="inlineStr">
        <is>
          <t>Cum</t>
        </is>
      </c>
    </row>
    <row r="67" ht="15" customFormat="1" customHeight="1" s="206">
      <c r="A67" s="247" t="n">
        <v>2</v>
      </c>
      <c r="B67" s="173" t="inlineStr">
        <is>
          <t>Filling available excavated earth (excluding rock) in trenches, plinth side of foundation etc. in layers not exceeding 20 cm. in depth , consolidating  each deposited layer by ramming and watering including lead upto 50Mtr. and lift upto 1.5Mtr.</t>
        </is>
      </c>
      <c r="C67" s="199" t="n"/>
      <c r="E67" s="199" t="n"/>
      <c r="G67" s="205" t="n"/>
      <c r="I67" s="206">
        <f>E53*G53</f>
        <v/>
      </c>
    </row>
    <row r="68" ht="15" customFormat="1" customHeight="1" s="206">
      <c r="A68" s="201" t="n"/>
      <c r="B68" s="212" t="inlineStr">
        <is>
          <t>Average Width (49.83+18.44)/2=34.14</t>
        </is>
      </c>
      <c r="C68" s="232" t="n"/>
      <c r="D68" s="232" t="n"/>
      <c r="E68" s="205" t="n"/>
      <c r="F68" s="232" t="n"/>
      <c r="G68" s="205" t="n"/>
      <c r="H68" s="232" t="n"/>
      <c r="I68" s="260" t="n"/>
      <c r="J68" s="233" t="n"/>
      <c r="K68" s="205" t="n"/>
      <c r="L68" s="201" t="n"/>
      <c r="M68" s="232" t="n"/>
    </row>
    <row r="69" ht="15" customFormat="1" customHeight="1" s="206">
      <c r="A69" s="201" t="n"/>
      <c r="B69" s="212" t="inlineStr">
        <is>
          <t xml:space="preserve">Area of Open Excavation </t>
        </is>
      </c>
      <c r="C69" s="232" t="n">
        <v>1</v>
      </c>
      <c r="D69" s="232" t="inlineStr">
        <is>
          <t>x</t>
        </is>
      </c>
      <c r="E69" s="205" t="n">
        <v>34.14</v>
      </c>
      <c r="F69" s="232" t="inlineStr">
        <is>
          <t>x</t>
        </is>
      </c>
      <c r="G69" s="205" t="n">
        <v>37.8</v>
      </c>
      <c r="H69" s="232" t="n"/>
      <c r="I69" s="260" t="n"/>
      <c r="J69" s="233" t="inlineStr">
        <is>
          <t>=</t>
        </is>
      </c>
      <c r="K69" s="205">
        <f>IF(C54,C54*E54*G54,"")</f>
        <v/>
      </c>
      <c r="L69" s="247" t="inlineStr">
        <is>
          <t>Sqm</t>
        </is>
      </c>
      <c r="M69" s="232" t="n"/>
    </row>
    <row r="70" ht="15" customFormat="1" customHeight="1" s="206">
      <c r="A70" s="201" t="n"/>
      <c r="B70" s="186" t="inlineStr">
        <is>
          <t>Deductions</t>
        </is>
      </c>
      <c r="C70" s="247" t="n"/>
      <c r="E70" s="199" t="n"/>
      <c r="G70" s="205" t="n"/>
      <c r="H70" s="206" t="n"/>
      <c r="I70" s="199" t="n"/>
      <c r="J70" s="201" t="n"/>
      <c r="K70" s="199" t="n"/>
      <c r="L70" s="247" t="n"/>
    </row>
    <row r="71" ht="15" customFormat="1" customHeight="1" s="206">
      <c r="A71" s="201" t="n"/>
      <c r="B71" s="212" t="inlineStr">
        <is>
          <t>Footing Area</t>
        </is>
      </c>
      <c r="C71" s="247" t="n"/>
      <c r="E71" s="199" t="n"/>
      <c r="G71" s="199" t="n"/>
      <c r="I71" s="199" t="n"/>
      <c r="J71" s="258" t="n"/>
      <c r="K71" s="199" t="n"/>
      <c r="L71" s="247" t="n"/>
    </row>
    <row r="72" ht="15" customFormat="1" customHeight="1" s="206">
      <c r="A72" s="201" t="n"/>
      <c r="B72" s="261" t="inlineStr">
        <is>
          <t>C1</t>
        </is>
      </c>
      <c r="C72" s="247" t="n">
        <v>1</v>
      </c>
      <c r="D72" s="206" t="inlineStr">
        <is>
          <t>x</t>
        </is>
      </c>
      <c r="E72" s="262" t="n">
        <v>2</v>
      </c>
      <c r="F72" s="199" t="inlineStr">
        <is>
          <t>x</t>
        </is>
      </c>
      <c r="G72" s="262" t="n">
        <v>2.3</v>
      </c>
      <c r="I72" s="199" t="n"/>
      <c r="J72" s="258" t="inlineStr">
        <is>
          <t>=</t>
        </is>
      </c>
      <c r="K72" s="199">
        <f>IF(C57,C57*E57*G57,"")</f>
        <v/>
      </c>
      <c r="L72" s="247" t="inlineStr">
        <is>
          <t>Sqm</t>
        </is>
      </c>
    </row>
    <row r="73" ht="15" customFormat="1" customHeight="1" s="206">
      <c r="A73" s="201" t="n"/>
      <c r="B73" s="261" t="inlineStr">
        <is>
          <t>C2</t>
        </is>
      </c>
      <c r="C73" s="247" t="n">
        <v>1</v>
      </c>
      <c r="D73" s="206" t="inlineStr">
        <is>
          <t>x</t>
        </is>
      </c>
      <c r="E73" s="262" t="n">
        <v>2.4</v>
      </c>
      <c r="F73" s="199" t="inlineStr">
        <is>
          <t>x</t>
        </is>
      </c>
      <c r="G73" s="262" t="n">
        <v>2.7</v>
      </c>
      <c r="I73" s="199" t="n"/>
      <c r="J73" s="258" t="inlineStr">
        <is>
          <t>=</t>
        </is>
      </c>
      <c r="K73" s="199">
        <f>IF(C58,C58*E58*G58,"")</f>
        <v/>
      </c>
      <c r="L73" s="247" t="inlineStr">
        <is>
          <t>Sqm</t>
        </is>
      </c>
    </row>
    <row r="74" ht="15" customFormat="1" customHeight="1" s="206">
      <c r="A74" s="201" t="n"/>
      <c r="B74" s="261" t="inlineStr">
        <is>
          <t>C3</t>
        </is>
      </c>
      <c r="C74" s="247" t="n">
        <v>1</v>
      </c>
      <c r="D74" s="206" t="inlineStr">
        <is>
          <t>x</t>
        </is>
      </c>
      <c r="E74" s="262" t="n">
        <v>2.9</v>
      </c>
      <c r="F74" s="199" t="inlineStr">
        <is>
          <t>x</t>
        </is>
      </c>
      <c r="G74" s="262" t="n">
        <v>3.1</v>
      </c>
      <c r="I74" s="199" t="n"/>
      <c r="J74" s="258" t="inlineStr">
        <is>
          <t>=</t>
        </is>
      </c>
      <c r="K74" s="199">
        <f>IF(C59,C59*E59*G59,"")</f>
        <v/>
      </c>
      <c r="L74" s="247" t="inlineStr">
        <is>
          <t>Sqm</t>
        </is>
      </c>
    </row>
    <row r="75" customFormat="1" s="206">
      <c r="A75" s="201" t="n"/>
      <c r="B75" s="261" t="inlineStr">
        <is>
          <t>C4</t>
        </is>
      </c>
      <c r="C75" s="247" t="n">
        <v>1</v>
      </c>
      <c r="D75" s="206" t="inlineStr">
        <is>
          <t>x</t>
        </is>
      </c>
      <c r="E75" s="262" t="n">
        <v>2.1</v>
      </c>
      <c r="F75" s="199" t="inlineStr">
        <is>
          <t>x</t>
        </is>
      </c>
      <c r="G75" s="262" t="n">
        <v>2.3</v>
      </c>
      <c r="I75" s="199" t="n"/>
      <c r="J75" s="258" t="inlineStr">
        <is>
          <t>=</t>
        </is>
      </c>
      <c r="K75" s="199">
        <f>IF(C60,C60*E60*G60,"")</f>
        <v/>
      </c>
      <c r="L75" s="247" t="inlineStr">
        <is>
          <t>Sqm</t>
        </is>
      </c>
    </row>
    <row r="76" ht="15" customFormat="1" customHeight="1" s="206">
      <c r="A76" s="201" t="n"/>
      <c r="B76" s="261" t="inlineStr">
        <is>
          <t>C5</t>
        </is>
      </c>
      <c r="C76" s="247" t="n">
        <v>1</v>
      </c>
      <c r="D76" s="206" t="inlineStr">
        <is>
          <t>x</t>
        </is>
      </c>
      <c r="E76" s="262" t="n">
        <v>2.9</v>
      </c>
      <c r="F76" s="199" t="inlineStr">
        <is>
          <t>x</t>
        </is>
      </c>
      <c r="G76" s="262" t="n">
        <v>3.1</v>
      </c>
      <c r="I76" s="199" t="n"/>
      <c r="J76" s="258" t="inlineStr">
        <is>
          <t>=</t>
        </is>
      </c>
      <c r="K76" s="199">
        <f>IF(C61,C61*E61*G61,"")</f>
        <v/>
      </c>
      <c r="L76" s="247" t="inlineStr">
        <is>
          <t>Sqm</t>
        </is>
      </c>
    </row>
    <row r="77" ht="15" customFormat="1" customHeight="1" s="206">
      <c r="A77" s="201" t="n"/>
      <c r="B77" s="261" t="inlineStr">
        <is>
          <t>C6</t>
        </is>
      </c>
      <c r="C77" s="247" t="n">
        <v>1</v>
      </c>
      <c r="D77" s="206" t="inlineStr">
        <is>
          <t>x</t>
        </is>
      </c>
      <c r="E77" s="262" t="n">
        <v>2.7</v>
      </c>
      <c r="F77" s="199" t="inlineStr">
        <is>
          <t>x</t>
        </is>
      </c>
      <c r="G77" s="262" t="n">
        <v>2.9</v>
      </c>
      <c r="I77" s="199" t="n"/>
      <c r="J77" s="258" t="inlineStr">
        <is>
          <t>=</t>
        </is>
      </c>
      <c r="K77" s="199">
        <f>IF(C62,C62*E62*G62,"")</f>
        <v/>
      </c>
      <c r="L77" s="247" t="inlineStr">
        <is>
          <t>Sqm</t>
        </is>
      </c>
    </row>
    <row r="78" ht="15" customFormat="1" customHeight="1" s="206">
      <c r="A78" s="201" t="n"/>
      <c r="B78" s="261" t="inlineStr">
        <is>
          <t>C7</t>
        </is>
      </c>
      <c r="C78" s="247" t="n">
        <v>1</v>
      </c>
      <c r="D78" s="206" t="inlineStr">
        <is>
          <t>x</t>
        </is>
      </c>
      <c r="E78" s="262" t="n">
        <v>2.7</v>
      </c>
      <c r="F78" s="199" t="inlineStr">
        <is>
          <t>x</t>
        </is>
      </c>
      <c r="G78" s="262" t="n">
        <v>2.9</v>
      </c>
      <c r="I78" s="199" t="n"/>
      <c r="J78" s="258" t="inlineStr">
        <is>
          <t>=</t>
        </is>
      </c>
      <c r="K78" s="199">
        <f>IF(C63,C63*E63*G63,"")</f>
        <v/>
      </c>
      <c r="L78" s="247" t="inlineStr">
        <is>
          <t>Sqm</t>
        </is>
      </c>
    </row>
    <row r="79" ht="15.75" customFormat="1" customHeight="1" s="206">
      <c r="A79" s="201" t="n"/>
      <c r="B79" s="261" t="inlineStr">
        <is>
          <t>C8</t>
        </is>
      </c>
      <c r="C79" s="247" t="n">
        <v>1</v>
      </c>
      <c r="D79" s="206" t="inlineStr">
        <is>
          <t>x</t>
        </is>
      </c>
      <c r="E79" s="262" t="n">
        <v>2.1</v>
      </c>
      <c r="F79" s="199" t="inlineStr">
        <is>
          <t>x</t>
        </is>
      </c>
      <c r="G79" s="262" t="n">
        <v>2.3</v>
      </c>
      <c r="I79" s="199" t="n"/>
      <c r="J79" s="258" t="inlineStr">
        <is>
          <t>=</t>
        </is>
      </c>
      <c r="K79" s="199">
        <f>IF(C64,C64*E64*G64,"")</f>
        <v/>
      </c>
      <c r="L79" s="247" t="inlineStr">
        <is>
          <t>Sqm</t>
        </is>
      </c>
    </row>
    <row r="80" ht="15" customFormat="1" customHeight="1" s="206">
      <c r="A80" s="201" t="n"/>
      <c r="B80" s="261" t="inlineStr">
        <is>
          <t>C9</t>
        </is>
      </c>
      <c r="C80" s="247" t="n">
        <v>1</v>
      </c>
      <c r="D80" s="206" t="inlineStr">
        <is>
          <t>x</t>
        </is>
      </c>
      <c r="E80" s="262" t="n">
        <v>2.9</v>
      </c>
      <c r="F80" s="199" t="inlineStr">
        <is>
          <t>x</t>
        </is>
      </c>
      <c r="G80" s="262" t="n">
        <v>3.1</v>
      </c>
      <c r="I80" s="199" t="n"/>
      <c r="J80" s="258" t="inlineStr">
        <is>
          <t>=</t>
        </is>
      </c>
      <c r="K80" s="199">
        <f>IF(C65,C65*E65*G65,"")</f>
        <v/>
      </c>
      <c r="L80" s="247" t="inlineStr">
        <is>
          <t>Sqm</t>
        </is>
      </c>
    </row>
    <row r="81" ht="228" customFormat="1" customHeight="1" s="206">
      <c r="A81" s="201" t="n"/>
      <c r="B81" s="261" t="inlineStr">
        <is>
          <t>C10</t>
        </is>
      </c>
      <c r="C81" s="247" t="n">
        <v>1</v>
      </c>
      <c r="D81" s="206" t="inlineStr">
        <is>
          <t>x</t>
        </is>
      </c>
      <c r="E81" s="262" t="n">
        <v>2.9</v>
      </c>
      <c r="F81" s="199" t="inlineStr">
        <is>
          <t>x</t>
        </is>
      </c>
      <c r="G81" s="262" t="n">
        <v>3.1</v>
      </c>
      <c r="I81" s="199" t="n"/>
      <c r="J81" s="258" t="inlineStr">
        <is>
          <t>=</t>
        </is>
      </c>
      <c r="K81" s="199">
        <f>IF(C66,C66*E66*G66,"")</f>
        <v/>
      </c>
      <c r="L81" s="247" t="inlineStr">
        <is>
          <t>Sqm</t>
        </is>
      </c>
    </row>
    <row r="82" ht="15.75" customFormat="1" customHeight="1" s="206">
      <c r="A82" s="201" t="n"/>
      <c r="B82" s="261" t="inlineStr">
        <is>
          <t>C11</t>
        </is>
      </c>
      <c r="C82" s="247" t="n">
        <v>1</v>
      </c>
      <c r="D82" s="206" t="inlineStr">
        <is>
          <t>x</t>
        </is>
      </c>
      <c r="E82" s="262" t="n">
        <v>2.4</v>
      </c>
      <c r="F82" s="199" t="inlineStr">
        <is>
          <t>x</t>
        </is>
      </c>
      <c r="G82" s="262" t="n">
        <v>2.6</v>
      </c>
      <c r="I82" s="199" t="n"/>
      <c r="J82" s="258" t="inlineStr">
        <is>
          <t>=</t>
        </is>
      </c>
      <c r="K82" s="199">
        <f>IF(C67,C67*E67*G67,"")</f>
        <v/>
      </c>
      <c r="L82" s="247" t="inlineStr">
        <is>
          <t>Sqm</t>
        </is>
      </c>
    </row>
    <row r="83" ht="30.75" customFormat="1" customHeight="1" s="206">
      <c r="A83" s="201" t="n"/>
      <c r="B83" s="261" t="inlineStr">
        <is>
          <t>C12</t>
        </is>
      </c>
      <c r="C83" s="247" t="n">
        <v>1</v>
      </c>
      <c r="D83" s="206" t="inlineStr">
        <is>
          <t>x</t>
        </is>
      </c>
      <c r="E83" s="262" t="n">
        <v>3</v>
      </c>
      <c r="F83" s="199" t="inlineStr">
        <is>
          <t>x</t>
        </is>
      </c>
      <c r="G83" s="262" t="n">
        <v>3.2</v>
      </c>
      <c r="I83" s="199" t="n"/>
      <c r="J83" s="258" t="inlineStr">
        <is>
          <t>=</t>
        </is>
      </c>
      <c r="K83" s="199">
        <f>IF(C68,C68*E68*G68,"")</f>
        <v/>
      </c>
      <c r="L83" s="247" t="inlineStr">
        <is>
          <t>Sqm</t>
        </is>
      </c>
    </row>
    <row r="84" ht="15" customFormat="1" customHeight="1" s="206">
      <c r="A84" s="201" t="n"/>
      <c r="B84" s="261" t="inlineStr">
        <is>
          <t>C13</t>
        </is>
      </c>
      <c r="C84" s="247" t="n">
        <v>1</v>
      </c>
      <c r="D84" s="206" t="inlineStr">
        <is>
          <t>x</t>
        </is>
      </c>
      <c r="E84" s="262" t="n">
        <v>1.8</v>
      </c>
      <c r="F84" s="199" t="inlineStr">
        <is>
          <t>x</t>
        </is>
      </c>
      <c r="G84" s="262" t="n">
        <v>2</v>
      </c>
      <c r="I84" s="199" t="n"/>
      <c r="J84" s="258" t="inlineStr">
        <is>
          <t>=</t>
        </is>
      </c>
      <c r="K84" s="199">
        <f>IF(C69,C69*E69*G69,"")</f>
        <v/>
      </c>
      <c r="L84" s="247" t="inlineStr">
        <is>
          <t>Sqm</t>
        </is>
      </c>
    </row>
    <row r="85" ht="97.5" customFormat="1" customHeight="1" s="206">
      <c r="A85" s="201" t="n"/>
      <c r="B85" s="261" t="inlineStr">
        <is>
          <t>C14</t>
        </is>
      </c>
      <c r="C85" s="247" t="n">
        <v>1</v>
      </c>
      <c r="D85" s="206" t="inlineStr">
        <is>
          <t>x</t>
        </is>
      </c>
      <c r="E85" s="262" t="n">
        <v>2.6</v>
      </c>
      <c r="F85" s="199" t="inlineStr">
        <is>
          <t>x</t>
        </is>
      </c>
      <c r="G85" s="199" t="n">
        <v>2.8</v>
      </c>
      <c r="I85" s="199" t="n"/>
      <c r="J85" s="258" t="inlineStr">
        <is>
          <t>=</t>
        </is>
      </c>
      <c r="K85" s="199">
        <f>IF(C70,C70*E70*G70,"")</f>
        <v/>
      </c>
      <c r="L85" s="247" t="inlineStr">
        <is>
          <t>Sqm</t>
        </is>
      </c>
    </row>
    <row r="86" customFormat="1" s="206">
      <c r="A86" s="201" t="n"/>
      <c r="B86" s="261" t="inlineStr">
        <is>
          <t>C15</t>
        </is>
      </c>
      <c r="C86" s="247" t="n">
        <v>1</v>
      </c>
      <c r="D86" s="206" t="inlineStr">
        <is>
          <t>x</t>
        </is>
      </c>
      <c r="E86" s="262" t="n">
        <v>2.5</v>
      </c>
      <c r="F86" s="199" t="inlineStr">
        <is>
          <t>x</t>
        </is>
      </c>
      <c r="G86" s="199" t="n">
        <v>2.7</v>
      </c>
      <c r="I86" s="199" t="n"/>
      <c r="J86" s="258" t="inlineStr">
        <is>
          <t>=</t>
        </is>
      </c>
      <c r="K86" s="199">
        <f>IF(C71,C71*E71*G71,"")</f>
        <v/>
      </c>
      <c r="L86" s="247" t="inlineStr">
        <is>
          <t>Sqm</t>
        </is>
      </c>
    </row>
    <row r="87" ht="15" customFormat="1" customHeight="1" s="206">
      <c r="A87" s="201" t="n"/>
      <c r="B87" s="261" t="inlineStr">
        <is>
          <t>C16</t>
        </is>
      </c>
      <c r="C87" s="247" t="n">
        <v>1</v>
      </c>
      <c r="D87" s="206" t="inlineStr">
        <is>
          <t>x</t>
        </is>
      </c>
      <c r="E87" s="262" t="n">
        <v>2.1</v>
      </c>
      <c r="F87" s="199" t="inlineStr">
        <is>
          <t>x</t>
        </is>
      </c>
      <c r="G87" s="199" t="n">
        <v>2.3</v>
      </c>
      <c r="I87" s="199" t="n"/>
      <c r="J87" s="258" t="inlineStr">
        <is>
          <t>=</t>
        </is>
      </c>
      <c r="K87" s="199">
        <f>IF(C72,C72*E72*G72,"")</f>
        <v/>
      </c>
      <c r="L87" s="247" t="inlineStr">
        <is>
          <t>Sqm</t>
        </is>
      </c>
    </row>
    <row r="88" ht="15" customFormat="1" customHeight="1" s="206">
      <c r="A88" s="201" t="n"/>
      <c r="B88" s="261" t="inlineStr">
        <is>
          <t>C17</t>
        </is>
      </c>
      <c r="C88" s="247" t="n">
        <v>1</v>
      </c>
      <c r="D88" s="206" t="inlineStr">
        <is>
          <t>x</t>
        </is>
      </c>
      <c r="E88" s="262" t="n">
        <v>2.2</v>
      </c>
      <c r="F88" s="199" t="inlineStr">
        <is>
          <t>x</t>
        </is>
      </c>
      <c r="G88" s="199" t="n">
        <v>2.5</v>
      </c>
      <c r="I88" s="199" t="n"/>
      <c r="J88" s="258" t="inlineStr">
        <is>
          <t>=</t>
        </is>
      </c>
      <c r="K88" s="199">
        <f>IF(C73,C73*E73*G73,"")</f>
        <v/>
      </c>
      <c r="L88" s="247" t="inlineStr">
        <is>
          <t>Sqm</t>
        </is>
      </c>
    </row>
    <row r="89" ht="15" customFormat="1" customHeight="1" s="206">
      <c r="A89" s="201" t="n"/>
      <c r="B89" s="261" t="inlineStr">
        <is>
          <t>C18</t>
        </is>
      </c>
      <c r="C89" s="247" t="n">
        <v>1</v>
      </c>
      <c r="D89" s="206" t="inlineStr">
        <is>
          <t>x</t>
        </is>
      </c>
      <c r="E89" s="262" t="n">
        <v>2.3</v>
      </c>
      <c r="F89" s="199" t="inlineStr">
        <is>
          <t>x</t>
        </is>
      </c>
      <c r="G89" s="199" t="n">
        <v>2.5</v>
      </c>
      <c r="I89" s="199" t="n"/>
      <c r="J89" s="258" t="inlineStr">
        <is>
          <t>=</t>
        </is>
      </c>
      <c r="K89" s="199">
        <f>IF(C74,C74*E74*G74,"")</f>
        <v/>
      </c>
      <c r="L89" s="247" t="inlineStr">
        <is>
          <t>Sqm</t>
        </is>
      </c>
    </row>
    <row r="90" ht="15" customFormat="1" customHeight="1" s="206">
      <c r="A90" s="201" t="n"/>
      <c r="B90" s="212" t="n"/>
      <c r="C90" s="247" t="n"/>
      <c r="E90" s="240" t="n"/>
      <c r="F90" s="241" t="n"/>
      <c r="G90" s="251" t="inlineStr">
        <is>
          <t>Total Deductions</t>
        </is>
      </c>
      <c r="H90" s="202" t="n"/>
      <c r="I90" s="189" t="n"/>
      <c r="J90" s="204" t="inlineStr">
        <is>
          <t>-</t>
        </is>
      </c>
      <c r="K90" s="189">
        <f>SUM(K57:K74)</f>
        <v/>
      </c>
      <c r="L90" s="204" t="inlineStr">
        <is>
          <t>Sqm</t>
        </is>
      </c>
    </row>
    <row r="91" ht="15" customFormat="1" customHeight="1" s="206">
      <c r="A91" s="247" t="n"/>
      <c r="B91" s="186" t="n"/>
      <c r="C91" s="199" t="n"/>
      <c r="D91" s="201" t="n"/>
      <c r="E91" s="199" t="n"/>
      <c r="F91" s="201" t="n"/>
      <c r="G91" s="205" t="n"/>
    </row>
    <row r="92" ht="15" customFormat="1" customHeight="1" s="206">
      <c r="A92" s="247" t="n"/>
      <c r="B92" s="192" t="inlineStr">
        <is>
          <t>Net earth Filling Area</t>
        </is>
      </c>
      <c r="D92" s="193" t="n"/>
      <c r="E92" s="194">
        <f>K54</f>
        <v/>
      </c>
      <c r="F92" s="201" t="inlineStr">
        <is>
          <t>-</t>
        </is>
      </c>
      <c r="G92" s="194">
        <f>K75</f>
        <v/>
      </c>
      <c r="H92" s="195" t="n"/>
      <c r="J92" s="196" t="inlineStr">
        <is>
          <t>=</t>
        </is>
      </c>
      <c r="K92" s="228">
        <f>E77-G77</f>
        <v/>
      </c>
      <c r="L92" s="247" t="inlineStr">
        <is>
          <t>Sqm</t>
        </is>
      </c>
    </row>
    <row r="93" ht="15.75" customFormat="1" customHeight="1" s="206">
      <c r="A93" s="247" t="n"/>
      <c r="B93" s="192" t="n"/>
      <c r="D93" s="193" t="n"/>
      <c r="E93" s="194" t="n"/>
      <c r="F93" s="201" t="n"/>
      <c r="G93" s="194" t="n"/>
      <c r="H93" s="195" t="n"/>
      <c r="J93" s="196" t="n"/>
      <c r="K93" s="228" t="n"/>
      <c r="L93" s="247" t="n"/>
    </row>
    <row r="94" ht="15.75" customFormat="1" customHeight="1" s="206">
      <c r="A94" s="201" t="n"/>
      <c r="B94" s="212" t="inlineStr">
        <is>
          <t>Qty. in Filling</t>
        </is>
      </c>
      <c r="C94" s="232" t="n"/>
      <c r="D94" s="232" t="n"/>
      <c r="E94" s="205">
        <f>K77</f>
        <v/>
      </c>
      <c r="F94" s="232" t="inlineStr">
        <is>
          <t>x</t>
        </is>
      </c>
      <c r="G94" s="260" t="n">
        <v>1</v>
      </c>
      <c r="H94" s="232" t="n"/>
      <c r="I94" s="260" t="n"/>
      <c r="J94" s="233" t="inlineStr">
        <is>
          <t>=</t>
        </is>
      </c>
      <c r="K94" s="205">
        <f>E79*G79</f>
        <v/>
      </c>
      <c r="L94" s="201" t="inlineStr">
        <is>
          <t>Cum</t>
        </is>
      </c>
      <c r="M94" s="232" t="n"/>
    </row>
    <row r="95" ht="15.75" customFormat="1" customHeight="1" s="206">
      <c r="A95" s="201" t="n"/>
      <c r="B95" s="212" t="n"/>
      <c r="C95" s="247" t="n"/>
      <c r="E95" s="216" t="n"/>
      <c r="F95" s="214" t="n"/>
      <c r="G95" s="215" t="inlineStr">
        <is>
          <t xml:space="preserve">Total </t>
        </is>
      </c>
      <c r="H95" s="214" t="n"/>
      <c r="I95" s="216" t="n"/>
      <c r="J95" s="214" t="n"/>
      <c r="K95" s="216">
        <f>SUM(K79)</f>
        <v/>
      </c>
      <c r="L95" s="234" t="inlineStr">
        <is>
          <t>Cum</t>
        </is>
      </c>
    </row>
    <row r="96" ht="15.75" customFormat="1" customHeight="1" s="206">
      <c r="A96" s="247" t="n">
        <v>3</v>
      </c>
      <c r="B96" s="173" t="inlineStr">
        <is>
          <t>Providing and injection Chloropyrifous Emulsifiable  concentrate 20 % with 1 % concentration for PRE-CONSGTRUCTIONAL Anti termite treatment as per IS 6313 part III and amended from time to time and creating a continous chemical barrier under and around the column pits, wall trenches, basement excavation, top surface of plinth filling, junction of wall and floor along the external perimeter of building expansion joints, over the top surface of consolidated earth of which aproch is to be laid surrounding of pipes and conduits etc. complete as per specification (Plinth floor area only shall be measured for payment.)</t>
        </is>
      </c>
      <c r="C96" s="199" t="n"/>
      <c r="E96" s="199" t="n"/>
      <c r="G96" s="205" t="n"/>
    </row>
    <row r="97" ht="16.5" customFormat="1" customHeight="1" s="206">
      <c r="A97" s="201" t="n"/>
      <c r="B97" s="212" t="inlineStr">
        <is>
          <t>Average Width (49.83+18.44)/2=34.14</t>
        </is>
      </c>
      <c r="C97" s="232" t="n"/>
      <c r="D97" s="232" t="n"/>
      <c r="E97" s="205" t="n"/>
      <c r="F97" s="232" t="n"/>
      <c r="G97" s="205" t="n"/>
      <c r="H97" s="232" t="n"/>
      <c r="I97" s="260" t="n"/>
      <c r="J97" s="233" t="n"/>
      <c r="K97" s="205" t="n"/>
      <c r="L97" s="201" t="n"/>
      <c r="M97" s="232" t="n"/>
    </row>
    <row r="98" ht="24" customFormat="1" customHeight="1" s="206">
      <c r="A98" s="201" t="n"/>
      <c r="B98" s="212" t="inlineStr">
        <is>
          <t xml:space="preserve">Area of Open Excavation </t>
        </is>
      </c>
      <c r="C98" s="232" t="n">
        <v>1</v>
      </c>
      <c r="D98" s="232" t="inlineStr">
        <is>
          <t>x</t>
        </is>
      </c>
      <c r="E98" s="205" t="n">
        <v>34.14</v>
      </c>
      <c r="F98" s="232" t="inlineStr">
        <is>
          <t>x</t>
        </is>
      </c>
      <c r="G98" s="205" t="n">
        <v>37.8</v>
      </c>
      <c r="H98" s="232" t="n"/>
      <c r="I98" s="260" t="n"/>
      <c r="J98" s="233" t="inlineStr">
        <is>
          <t>=</t>
        </is>
      </c>
      <c r="K98" s="205">
        <f>IF(C83,C83*E83*G83,"")</f>
        <v/>
      </c>
      <c r="L98" s="247" t="inlineStr">
        <is>
          <t>Sqm</t>
        </is>
      </c>
      <c r="M98" s="232" t="n"/>
    </row>
    <row r="99" ht="15" customFormat="1" customHeight="1" s="206">
      <c r="A99" s="201" t="n"/>
      <c r="B99" s="212" t="n"/>
      <c r="C99" s="247" t="n"/>
      <c r="E99" s="216" t="n"/>
      <c r="F99" s="214" t="n"/>
      <c r="G99" s="215" t="inlineStr">
        <is>
          <t xml:space="preserve">Total </t>
        </is>
      </c>
      <c r="H99" s="214" t="n"/>
      <c r="I99" s="216" t="n"/>
      <c r="J99" s="214" t="n"/>
      <c r="K99" s="216">
        <f>SUM(K83)</f>
        <v/>
      </c>
      <c r="L99" s="234" t="inlineStr">
        <is>
          <t>Sqm</t>
        </is>
      </c>
    </row>
    <row r="100" ht="15" customFormat="1" customHeight="1" s="206">
      <c r="A100" s="247" t="n">
        <v>4</v>
      </c>
      <c r="B100" s="173" t="inlineStr">
        <is>
          <t>Providing and laying in position cement concrete including curing compaction etc. of specified grade excluding the cost of centering and shuttering =All up to plinth leve 1:4:8 (1Cement :4 Coarse  Sand :8 Graded stone aggregate 40 mm nominal size</t>
        </is>
      </c>
      <c r="C100" s="247" t="n"/>
      <c r="D100" s="229" t="n"/>
      <c r="E100" s="199" t="n"/>
      <c r="G100" s="205" t="n"/>
    </row>
    <row r="101" ht="15" customFormat="1" customHeight="1" s="206">
      <c r="A101" s="247" t="n"/>
      <c r="B101" s="213" t="inlineStr">
        <is>
          <t>FOOTING</t>
        </is>
      </c>
      <c r="C101" s="199" t="n"/>
      <c r="E101" s="199" t="n"/>
      <c r="G101" s="205" t="n"/>
    </row>
    <row r="102" ht="15" customFormat="1" customHeight="1" s="206">
      <c r="A102" s="247" t="n"/>
      <c r="B102" s="261" t="inlineStr">
        <is>
          <t>F1</t>
        </is>
      </c>
      <c r="C102" s="247" t="n">
        <v>1</v>
      </c>
      <c r="D102" s="206" t="inlineStr">
        <is>
          <t>x</t>
        </is>
      </c>
      <c r="E102" s="262" t="n">
        <v>2</v>
      </c>
      <c r="F102" s="199" t="inlineStr">
        <is>
          <t>x</t>
        </is>
      </c>
      <c r="G102" s="262" t="n">
        <v>2.3</v>
      </c>
      <c r="H102" s="232" t="inlineStr">
        <is>
          <t>x</t>
        </is>
      </c>
      <c r="I102" s="205" t="n">
        <v>0.3</v>
      </c>
      <c r="J102" s="233" t="inlineStr">
        <is>
          <t>=</t>
        </is>
      </c>
      <c r="K102" s="205">
        <f>IF(C87,C87*E87*G87*I87,"")</f>
        <v/>
      </c>
      <c r="L102" s="201" t="inlineStr">
        <is>
          <t>Cum</t>
        </is>
      </c>
      <c r="M102" s="232" t="n"/>
    </row>
    <row r="103" ht="15.75" customFormat="1" customHeight="1" s="206">
      <c r="A103" s="201" t="n"/>
      <c r="B103" s="261" t="inlineStr">
        <is>
          <t>F2</t>
        </is>
      </c>
      <c r="C103" s="247" t="n">
        <v>1</v>
      </c>
      <c r="D103" s="206" t="inlineStr">
        <is>
          <t>x</t>
        </is>
      </c>
      <c r="E103" s="262" t="n">
        <v>2.4</v>
      </c>
      <c r="F103" s="199" t="inlineStr">
        <is>
          <t>x</t>
        </is>
      </c>
      <c r="G103" s="262" t="n">
        <v>2.7</v>
      </c>
      <c r="H103" s="232" t="inlineStr">
        <is>
          <t>x</t>
        </is>
      </c>
      <c r="I103" s="205" t="n">
        <v>0.3</v>
      </c>
      <c r="J103" s="233" t="inlineStr">
        <is>
          <t>=</t>
        </is>
      </c>
      <c r="K103" s="205">
        <f>IF(C88,C88*E88*G88*I88,"")</f>
        <v/>
      </c>
      <c r="L103" s="201" t="inlineStr">
        <is>
          <t>Cum</t>
        </is>
      </c>
      <c r="M103" s="232" t="n"/>
    </row>
    <row r="104" ht="15.75" customFormat="1" customHeight="1" s="206">
      <c r="A104" s="201" t="n"/>
      <c r="B104" s="261" t="inlineStr">
        <is>
          <t>F3</t>
        </is>
      </c>
      <c r="C104" s="247" t="n">
        <v>1</v>
      </c>
      <c r="D104" s="206" t="inlineStr">
        <is>
          <t>x</t>
        </is>
      </c>
      <c r="E104" s="262" t="n">
        <v>2.9</v>
      </c>
      <c r="F104" s="199" t="inlineStr">
        <is>
          <t>x</t>
        </is>
      </c>
      <c r="G104" s="262" t="n">
        <v>3.1</v>
      </c>
      <c r="H104" s="232" t="inlineStr">
        <is>
          <t>x</t>
        </is>
      </c>
      <c r="I104" s="205" t="n">
        <v>0.3</v>
      </c>
      <c r="J104" s="233" t="inlineStr">
        <is>
          <t>=</t>
        </is>
      </c>
      <c r="K104" s="205">
        <f>IF(C89,C89*E89*G89*I89,"")</f>
        <v/>
      </c>
      <c r="L104" s="201" t="inlineStr">
        <is>
          <t>Cum</t>
        </is>
      </c>
      <c r="M104" s="232" t="n"/>
    </row>
    <row r="105" ht="15.75" customFormat="1" customHeight="1" s="206">
      <c r="A105" s="201" t="n"/>
      <c r="B105" s="261" t="inlineStr">
        <is>
          <t>F4</t>
        </is>
      </c>
      <c r="C105" s="247" t="n">
        <v>1</v>
      </c>
      <c r="D105" s="206" t="inlineStr">
        <is>
          <t>x</t>
        </is>
      </c>
      <c r="E105" s="262" t="n">
        <v>2.1</v>
      </c>
      <c r="F105" s="199" t="inlineStr">
        <is>
          <t>x</t>
        </is>
      </c>
      <c r="G105" s="262" t="n">
        <v>2.3</v>
      </c>
      <c r="H105" s="232" t="inlineStr">
        <is>
          <t>x</t>
        </is>
      </c>
      <c r="I105" s="205" t="n">
        <v>0.3</v>
      </c>
      <c r="J105" s="233" t="inlineStr">
        <is>
          <t>=</t>
        </is>
      </c>
      <c r="K105" s="205">
        <f>IF(C90,C90*E90*G90*I90,"")</f>
        <v/>
      </c>
      <c r="L105" s="201" t="inlineStr">
        <is>
          <t>Cum</t>
        </is>
      </c>
      <c r="M105" s="232" t="n"/>
    </row>
    <row r="106" ht="15" customFormat="1" customHeight="1" s="206">
      <c r="A106" s="201" t="n"/>
      <c r="B106" s="261" t="inlineStr">
        <is>
          <t>F5</t>
        </is>
      </c>
      <c r="C106" s="247" t="n">
        <v>1</v>
      </c>
      <c r="D106" s="206" t="inlineStr">
        <is>
          <t>x</t>
        </is>
      </c>
      <c r="E106" s="262" t="n">
        <v>2.9</v>
      </c>
      <c r="F106" s="199" t="inlineStr">
        <is>
          <t>x</t>
        </is>
      </c>
      <c r="G106" s="262" t="n">
        <v>3.1</v>
      </c>
      <c r="H106" s="232" t="inlineStr">
        <is>
          <t>x</t>
        </is>
      </c>
      <c r="I106" s="205" t="n">
        <v>0.3</v>
      </c>
      <c r="J106" s="233" t="inlineStr">
        <is>
          <t>=</t>
        </is>
      </c>
      <c r="K106" s="205">
        <f>IF(C91,C91*E91*G91*I91,"")</f>
        <v/>
      </c>
      <c r="L106" s="201" t="inlineStr">
        <is>
          <t>Cum</t>
        </is>
      </c>
      <c r="M106" s="232" t="n"/>
    </row>
    <row r="107" ht="15" customFormat="1" customHeight="1" s="206">
      <c r="A107" s="201" t="n"/>
      <c r="B107" s="261" t="inlineStr">
        <is>
          <t>F6</t>
        </is>
      </c>
      <c r="C107" s="247" t="n">
        <v>1</v>
      </c>
      <c r="D107" s="206" t="inlineStr">
        <is>
          <t>x</t>
        </is>
      </c>
      <c r="E107" s="262" t="n">
        <v>2.7</v>
      </c>
      <c r="F107" s="199" t="inlineStr">
        <is>
          <t>x</t>
        </is>
      </c>
      <c r="G107" s="262" t="n">
        <v>2.9</v>
      </c>
      <c r="H107" s="232" t="inlineStr">
        <is>
          <t>x</t>
        </is>
      </c>
      <c r="I107" s="205" t="n">
        <v>0.3</v>
      </c>
      <c r="J107" s="233" t="inlineStr">
        <is>
          <t>=</t>
        </is>
      </c>
      <c r="K107" s="205">
        <f>IF(C92,C92*E92*G92*I92,"")</f>
        <v/>
      </c>
      <c r="L107" s="201" t="inlineStr">
        <is>
          <t>Cum</t>
        </is>
      </c>
      <c r="M107" s="232" t="n"/>
    </row>
    <row r="108" ht="97.5" customFormat="1" customHeight="1" s="206">
      <c r="A108" s="201" t="n"/>
      <c r="B108" s="261" t="inlineStr">
        <is>
          <t>F7</t>
        </is>
      </c>
      <c r="C108" s="247" t="n">
        <v>1</v>
      </c>
      <c r="D108" s="206" t="inlineStr">
        <is>
          <t>x</t>
        </is>
      </c>
      <c r="E108" s="262" t="n">
        <v>2.7</v>
      </c>
      <c r="F108" s="199" t="inlineStr">
        <is>
          <t>x</t>
        </is>
      </c>
      <c r="G108" s="262" t="n">
        <v>2.9</v>
      </c>
      <c r="H108" s="232" t="inlineStr">
        <is>
          <t>x</t>
        </is>
      </c>
      <c r="I108" s="205" t="n">
        <v>0.3</v>
      </c>
      <c r="J108" s="233" t="inlineStr">
        <is>
          <t>=</t>
        </is>
      </c>
      <c r="K108" s="205">
        <f>IF(C93,C93*E93*G93*I93,"")</f>
        <v/>
      </c>
      <c r="L108" s="201" t="inlineStr">
        <is>
          <t>Cum</t>
        </is>
      </c>
      <c r="M108" s="232" t="n"/>
    </row>
    <row r="109" customFormat="1" s="206">
      <c r="A109" s="201" t="n"/>
      <c r="B109" s="261" t="inlineStr">
        <is>
          <t>F8</t>
        </is>
      </c>
      <c r="C109" s="247" t="n">
        <v>1</v>
      </c>
      <c r="D109" s="206" t="inlineStr">
        <is>
          <t>x</t>
        </is>
      </c>
      <c r="E109" s="262" t="n">
        <v>2.1</v>
      </c>
      <c r="F109" s="199" t="inlineStr">
        <is>
          <t>x</t>
        </is>
      </c>
      <c r="G109" s="262" t="n">
        <v>2.3</v>
      </c>
      <c r="H109" s="232" t="inlineStr">
        <is>
          <t>x</t>
        </is>
      </c>
      <c r="I109" s="205" t="n">
        <v>0.3</v>
      </c>
      <c r="J109" s="233" t="inlineStr">
        <is>
          <t>=</t>
        </is>
      </c>
      <c r="K109" s="205">
        <f>IF(C94,C94*E94*G94*I94,"")</f>
        <v/>
      </c>
      <c r="L109" s="201" t="inlineStr">
        <is>
          <t>Cum</t>
        </is>
      </c>
      <c r="M109" s="232" t="n"/>
    </row>
    <row r="110" ht="15" customFormat="1" customHeight="1" s="206">
      <c r="A110" s="201" t="n"/>
      <c r="B110" s="261" t="inlineStr">
        <is>
          <t>F9</t>
        </is>
      </c>
      <c r="C110" s="247" t="n">
        <v>1</v>
      </c>
      <c r="D110" s="206" t="inlineStr">
        <is>
          <t>x</t>
        </is>
      </c>
      <c r="E110" s="262" t="n">
        <v>2.9</v>
      </c>
      <c r="F110" s="199" t="inlineStr">
        <is>
          <t>x</t>
        </is>
      </c>
      <c r="G110" s="262" t="n">
        <v>3.1</v>
      </c>
      <c r="H110" s="232" t="inlineStr">
        <is>
          <t>x</t>
        </is>
      </c>
      <c r="I110" s="205" t="n">
        <v>0.3</v>
      </c>
      <c r="J110" s="233" t="inlineStr">
        <is>
          <t>=</t>
        </is>
      </c>
      <c r="K110" s="205">
        <f>IF(C95,C95*E95*G95*I95,"")</f>
        <v/>
      </c>
      <c r="L110" s="201" t="inlineStr">
        <is>
          <t>Cum</t>
        </is>
      </c>
      <c r="M110" s="232" t="n"/>
    </row>
    <row r="111" ht="15" customFormat="1" customHeight="1" s="206">
      <c r="A111" s="201" t="n"/>
      <c r="B111" s="261" t="inlineStr">
        <is>
          <t>F10</t>
        </is>
      </c>
      <c r="C111" s="247" t="n">
        <v>1</v>
      </c>
      <c r="D111" s="206" t="inlineStr">
        <is>
          <t>x</t>
        </is>
      </c>
      <c r="E111" s="262" t="n">
        <v>2.9</v>
      </c>
      <c r="F111" s="199" t="inlineStr">
        <is>
          <t>x</t>
        </is>
      </c>
      <c r="G111" s="262" t="n">
        <v>3.1</v>
      </c>
      <c r="H111" s="232" t="inlineStr">
        <is>
          <t>x</t>
        </is>
      </c>
      <c r="I111" s="205" t="n">
        <v>0.3</v>
      </c>
      <c r="J111" s="233" t="inlineStr">
        <is>
          <t>=</t>
        </is>
      </c>
      <c r="K111" s="205">
        <f>IF(C96,C96*E96*G96*I96,"")</f>
        <v/>
      </c>
      <c r="L111" s="201" t="inlineStr">
        <is>
          <t>Cum</t>
        </is>
      </c>
      <c r="M111" s="232" t="n"/>
    </row>
    <row r="112" ht="15" customFormat="1" customHeight="1" s="206">
      <c r="A112" s="201" t="n"/>
      <c r="B112" s="261" t="inlineStr">
        <is>
          <t>F11</t>
        </is>
      </c>
      <c r="C112" s="247" t="n">
        <v>1</v>
      </c>
      <c r="D112" s="206" t="inlineStr">
        <is>
          <t>x</t>
        </is>
      </c>
      <c r="E112" s="262" t="n">
        <v>2.4</v>
      </c>
      <c r="F112" s="199" t="inlineStr">
        <is>
          <t>x</t>
        </is>
      </c>
      <c r="G112" s="262" t="n">
        <v>2.6</v>
      </c>
      <c r="H112" s="232" t="inlineStr">
        <is>
          <t>x</t>
        </is>
      </c>
      <c r="I112" s="205" t="n">
        <v>0.3</v>
      </c>
      <c r="J112" s="233" t="inlineStr">
        <is>
          <t>=</t>
        </is>
      </c>
      <c r="K112" s="205">
        <f>IF(C97,C97*E97*G97*I97,"")</f>
        <v/>
      </c>
      <c r="L112" s="201" t="inlineStr">
        <is>
          <t>Cum</t>
        </is>
      </c>
      <c r="M112" s="232" t="n"/>
    </row>
    <row r="113" ht="15" customFormat="1" customHeight="1" s="206">
      <c r="A113" s="201" t="n"/>
      <c r="B113" s="261" t="inlineStr">
        <is>
          <t>F12</t>
        </is>
      </c>
      <c r="C113" s="247" t="n">
        <v>1</v>
      </c>
      <c r="D113" s="206" t="inlineStr">
        <is>
          <t>x</t>
        </is>
      </c>
      <c r="E113" s="262" t="n">
        <v>3</v>
      </c>
      <c r="F113" s="199" t="inlineStr">
        <is>
          <t>x</t>
        </is>
      </c>
      <c r="G113" s="262" t="n">
        <v>3.2</v>
      </c>
      <c r="H113" s="232" t="inlineStr">
        <is>
          <t>x</t>
        </is>
      </c>
      <c r="I113" s="205" t="n">
        <v>0.3</v>
      </c>
      <c r="J113" s="233" t="inlineStr">
        <is>
          <t>=</t>
        </is>
      </c>
      <c r="K113" s="205">
        <f>IF(C98,C98*E98*G98*I98,"")</f>
        <v/>
      </c>
      <c r="L113" s="201" t="inlineStr">
        <is>
          <t>Cum</t>
        </is>
      </c>
      <c r="M113" s="232" t="n"/>
    </row>
    <row r="114" ht="15" customFormat="1" customHeight="1" s="206">
      <c r="A114" s="201" t="n"/>
      <c r="B114" s="261" t="inlineStr">
        <is>
          <t>F13</t>
        </is>
      </c>
      <c r="C114" s="247" t="n">
        <v>1</v>
      </c>
      <c r="D114" s="206" t="inlineStr">
        <is>
          <t>x</t>
        </is>
      </c>
      <c r="E114" s="262" t="n">
        <v>1.8</v>
      </c>
      <c r="F114" s="199" t="inlineStr">
        <is>
          <t>x</t>
        </is>
      </c>
      <c r="G114" s="262" t="n">
        <v>2</v>
      </c>
      <c r="H114" s="232" t="inlineStr">
        <is>
          <t>x</t>
        </is>
      </c>
      <c r="I114" s="205" t="n">
        <v>0.3</v>
      </c>
      <c r="J114" s="233" t="inlineStr">
        <is>
          <t>=</t>
        </is>
      </c>
      <c r="K114" s="205">
        <f>IF(C99,C99*E99*G99*I99,"")</f>
        <v/>
      </c>
      <c r="L114" s="201" t="inlineStr">
        <is>
          <t>Cum</t>
        </is>
      </c>
      <c r="M114" s="232" t="n"/>
    </row>
    <row r="115" ht="15" customFormat="1" customHeight="1" s="206">
      <c r="A115" s="201" t="n"/>
      <c r="B115" s="261" t="inlineStr">
        <is>
          <t>F14</t>
        </is>
      </c>
      <c r="C115" s="247" t="n">
        <v>1</v>
      </c>
      <c r="D115" s="206" t="inlineStr">
        <is>
          <t>x</t>
        </is>
      </c>
      <c r="E115" s="262" t="n">
        <v>2.6</v>
      </c>
      <c r="F115" s="199" t="inlineStr">
        <is>
          <t>x</t>
        </is>
      </c>
      <c r="G115" s="199" t="n">
        <v>2.8</v>
      </c>
      <c r="H115" s="232" t="inlineStr">
        <is>
          <t>x</t>
        </is>
      </c>
      <c r="I115" s="205" t="n">
        <v>0.3</v>
      </c>
      <c r="J115" s="233" t="inlineStr">
        <is>
          <t>=</t>
        </is>
      </c>
      <c r="K115" s="205">
        <f>IF(C100,C100*E100*G100*I100,"")</f>
        <v/>
      </c>
      <c r="L115" s="201" t="inlineStr">
        <is>
          <t>Cum</t>
        </is>
      </c>
      <c r="M115" s="232" t="n"/>
    </row>
    <row r="116" ht="15.75" customFormat="1" customHeight="1" s="206">
      <c r="A116" s="201" t="n"/>
      <c r="B116" s="261" t="inlineStr">
        <is>
          <t>F15</t>
        </is>
      </c>
      <c r="C116" s="247" t="n">
        <v>1</v>
      </c>
      <c r="D116" s="206" t="inlineStr">
        <is>
          <t>x</t>
        </is>
      </c>
      <c r="E116" s="262" t="n">
        <v>2.5</v>
      </c>
      <c r="F116" s="199" t="inlineStr">
        <is>
          <t>x</t>
        </is>
      </c>
      <c r="G116" s="199" t="n">
        <v>2.7</v>
      </c>
      <c r="H116" s="232" t="inlineStr">
        <is>
          <t>x</t>
        </is>
      </c>
      <c r="I116" s="205" t="n">
        <v>0.3</v>
      </c>
      <c r="J116" s="233" t="inlineStr">
        <is>
          <t>=</t>
        </is>
      </c>
      <c r="K116" s="205">
        <f>IF(C101,C101*E101*G101*I101,"")</f>
        <v/>
      </c>
      <c r="L116" s="201" t="inlineStr">
        <is>
          <t>Cum</t>
        </is>
      </c>
      <c r="M116" s="232" t="n"/>
    </row>
    <row r="117" ht="15.75" customFormat="1" customHeight="1" s="206">
      <c r="A117" s="201" t="n"/>
      <c r="B117" s="261" t="inlineStr">
        <is>
          <t>F16</t>
        </is>
      </c>
      <c r="C117" s="247" t="n">
        <v>1</v>
      </c>
      <c r="D117" s="206" t="inlineStr">
        <is>
          <t>x</t>
        </is>
      </c>
      <c r="E117" s="262" t="n">
        <v>2.1</v>
      </c>
      <c r="F117" s="199" t="inlineStr">
        <is>
          <t>x</t>
        </is>
      </c>
      <c r="G117" s="199" t="n">
        <v>2.3</v>
      </c>
      <c r="H117" s="232" t="inlineStr">
        <is>
          <t>x</t>
        </is>
      </c>
      <c r="I117" s="205" t="n">
        <v>0.3</v>
      </c>
      <c r="J117" s="233" t="inlineStr">
        <is>
          <t>=</t>
        </is>
      </c>
      <c r="K117" s="205">
        <f>IF(C102,C102*E102*G102*I102,"")</f>
        <v/>
      </c>
      <c r="L117" s="201" t="inlineStr">
        <is>
          <t>Cum</t>
        </is>
      </c>
      <c r="M117" s="232" t="n"/>
    </row>
    <row r="118" ht="15.75" customFormat="1" customHeight="1" s="206">
      <c r="A118" s="201" t="n"/>
      <c r="B118" s="261" t="inlineStr">
        <is>
          <t>F17</t>
        </is>
      </c>
      <c r="C118" s="247" t="n">
        <v>1</v>
      </c>
      <c r="D118" s="206" t="inlineStr">
        <is>
          <t>x</t>
        </is>
      </c>
      <c r="E118" s="262" t="n">
        <v>2.2</v>
      </c>
      <c r="F118" s="199" t="inlineStr">
        <is>
          <t>x</t>
        </is>
      </c>
      <c r="G118" s="199" t="n">
        <v>2.5</v>
      </c>
      <c r="H118" s="232" t="inlineStr">
        <is>
          <t>x</t>
        </is>
      </c>
      <c r="I118" s="205" t="n">
        <v>0.3</v>
      </c>
      <c r="J118" s="233" t="inlineStr">
        <is>
          <t>=</t>
        </is>
      </c>
      <c r="K118" s="205">
        <f>IF(C103,C103*E103*G103*I103,"")</f>
        <v/>
      </c>
      <c r="L118" s="201" t="inlineStr">
        <is>
          <t>Cum</t>
        </is>
      </c>
      <c r="M118" s="232" t="n"/>
    </row>
    <row r="119" ht="15.75" customFormat="1" customHeight="1" s="206">
      <c r="A119" s="201" t="n"/>
      <c r="B119" s="261" t="inlineStr">
        <is>
          <t>F18</t>
        </is>
      </c>
      <c r="C119" s="247" t="n">
        <v>1</v>
      </c>
      <c r="D119" s="206" t="inlineStr">
        <is>
          <t>x</t>
        </is>
      </c>
      <c r="E119" s="262" t="n">
        <v>2.3</v>
      </c>
      <c r="F119" s="199" t="inlineStr">
        <is>
          <t>x</t>
        </is>
      </c>
      <c r="G119" s="199" t="n">
        <v>2.5</v>
      </c>
      <c r="H119" s="232" t="inlineStr">
        <is>
          <t>x</t>
        </is>
      </c>
      <c r="I119" s="205" t="n">
        <v>0.3</v>
      </c>
      <c r="J119" s="233" t="inlineStr">
        <is>
          <t>=</t>
        </is>
      </c>
      <c r="K119" s="205">
        <f>IF(C104,C104*E104*G104*I104,"")</f>
        <v/>
      </c>
      <c r="L119" s="201" t="inlineStr">
        <is>
          <t>Cum</t>
        </is>
      </c>
      <c r="M119" s="232" t="n"/>
    </row>
    <row r="120" ht="16.5" customFormat="1" customHeight="1" s="206">
      <c r="A120" s="201" t="n"/>
      <c r="B120" s="212" t="inlineStr">
        <is>
          <t>Basement Wall and Raft AREA</t>
        </is>
      </c>
      <c r="C120" s="232" t="n">
        <v>1</v>
      </c>
      <c r="D120" s="232" t="inlineStr">
        <is>
          <t>x</t>
        </is>
      </c>
      <c r="E120" s="205">
        <f>K77</f>
        <v/>
      </c>
      <c r="F120" s="232" t="inlineStr">
        <is>
          <t>x</t>
        </is>
      </c>
      <c r="G120" s="205" t="n">
        <v>1</v>
      </c>
      <c r="H120" s="232" t="inlineStr">
        <is>
          <t>x</t>
        </is>
      </c>
      <c r="I120" s="205" t="n">
        <v>0.15</v>
      </c>
      <c r="J120" s="233" t="inlineStr">
        <is>
          <t>=</t>
        </is>
      </c>
      <c r="K120" s="205">
        <f>IF(C105,C105*E105*G105*I105,"")</f>
        <v/>
      </c>
      <c r="L120" s="201" t="inlineStr">
        <is>
          <t>Cum</t>
        </is>
      </c>
      <c r="M120" s="232" t="n"/>
    </row>
    <row r="121" ht="15" customFormat="1" customHeight="1" s="206">
      <c r="A121" s="247" t="n"/>
      <c r="B121" s="186" t="n"/>
      <c r="C121" s="199" t="n"/>
      <c r="D121" s="201" t="n"/>
      <c r="E121" s="199" t="n"/>
      <c r="F121" s="201" t="n"/>
      <c r="G121" s="205" t="n"/>
    </row>
    <row r="122" ht="15" customFormat="1" customHeight="1" s="206">
      <c r="A122" s="201" t="n"/>
      <c r="B122" s="212" t="n"/>
      <c r="C122" s="247" t="n"/>
      <c r="E122" s="216" t="n"/>
      <c r="F122" s="214" t="n"/>
      <c r="G122" s="215" t="inlineStr">
        <is>
          <t>Total Qty.</t>
        </is>
      </c>
      <c r="H122" s="214" t="n"/>
      <c r="I122" s="216" t="n"/>
      <c r="J122" s="214" t="n"/>
      <c r="K122" s="216">
        <f>SUM(K87:K106)</f>
        <v/>
      </c>
      <c r="L122" s="234" t="inlineStr">
        <is>
          <t>Cum</t>
        </is>
      </c>
    </row>
    <row r="123" ht="15" customFormat="1" customHeight="1" s="206">
      <c r="A123" s="247" t="n">
        <v>5</v>
      </c>
      <c r="B123" s="173"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123" s="247" t="n"/>
      <c r="D123" s="229" t="n"/>
      <c r="E123" s="199" t="n"/>
      <c r="G123" s="205" t="n"/>
    </row>
    <row r="124" ht="15" customFormat="1" customHeight="1" s="206">
      <c r="A124" s="247" t="n"/>
      <c r="B124" s="213" t="inlineStr">
        <is>
          <t>FOOTING</t>
        </is>
      </c>
      <c r="C124" s="199" t="n"/>
      <c r="E124" s="199" t="n"/>
      <c r="G124" s="205" t="n"/>
    </row>
    <row r="125" ht="15" customFormat="1" customHeight="1" s="206">
      <c r="A125" s="247" t="n"/>
      <c r="B125" s="261" t="inlineStr">
        <is>
          <t>F1</t>
        </is>
      </c>
      <c r="C125" s="247" t="n">
        <v>1</v>
      </c>
      <c r="D125" s="206" t="inlineStr">
        <is>
          <t>x</t>
        </is>
      </c>
      <c r="E125" s="263" t="n">
        <v>1.7</v>
      </c>
      <c r="F125" s="199" t="inlineStr">
        <is>
          <t>x</t>
        </is>
      </c>
      <c r="G125" s="263" t="n">
        <v>2</v>
      </c>
      <c r="H125" s="232" t="inlineStr">
        <is>
          <t>x</t>
        </is>
      </c>
      <c r="I125" s="205" t="n">
        <v>0.6</v>
      </c>
      <c r="J125" s="233" t="inlineStr">
        <is>
          <t>=</t>
        </is>
      </c>
      <c r="K125" s="205">
        <f>IF(C110,C110*E110*G110*I110,"")</f>
        <v/>
      </c>
      <c r="L125" s="201" t="inlineStr">
        <is>
          <t>Cum</t>
        </is>
      </c>
      <c r="M125" s="232" t="n"/>
    </row>
    <row r="126" ht="15.75" customFormat="1" customHeight="1" s="206">
      <c r="A126" s="201" t="n"/>
      <c r="B126" s="261" t="inlineStr">
        <is>
          <t>F2</t>
        </is>
      </c>
      <c r="C126" s="247" t="n">
        <v>1</v>
      </c>
      <c r="D126" s="206" t="inlineStr">
        <is>
          <t>x</t>
        </is>
      </c>
      <c r="E126" s="263" t="n">
        <v>2.1</v>
      </c>
      <c r="F126" s="199" t="inlineStr">
        <is>
          <t>x</t>
        </is>
      </c>
      <c r="G126" s="263" t="n">
        <v>2.4</v>
      </c>
      <c r="H126" s="232" t="inlineStr">
        <is>
          <t>x</t>
        </is>
      </c>
      <c r="I126" s="205" t="n">
        <v>0.75</v>
      </c>
      <c r="J126" s="233" t="inlineStr">
        <is>
          <t>=</t>
        </is>
      </c>
      <c r="K126" s="205">
        <f>IF(C111,C111*E111*G111*I111,"")</f>
        <v/>
      </c>
      <c r="L126" s="201" t="inlineStr">
        <is>
          <t>Cum</t>
        </is>
      </c>
      <c r="M126" s="232" t="n"/>
    </row>
    <row r="127" ht="15.75" customFormat="1" customHeight="1" s="206">
      <c r="A127" s="201" t="n"/>
      <c r="B127" s="261" t="inlineStr">
        <is>
          <t>F3</t>
        </is>
      </c>
      <c r="C127" s="247" t="n">
        <v>1</v>
      </c>
      <c r="D127" s="206" t="inlineStr">
        <is>
          <t>x</t>
        </is>
      </c>
      <c r="E127" s="263" t="n">
        <v>2.6</v>
      </c>
      <c r="F127" s="199" t="inlineStr">
        <is>
          <t>x</t>
        </is>
      </c>
      <c r="G127" s="263" t="n">
        <v>2.8</v>
      </c>
      <c r="H127" s="232" t="inlineStr">
        <is>
          <t>x</t>
        </is>
      </c>
      <c r="I127" s="205" t="n">
        <v>0.8</v>
      </c>
      <c r="J127" s="233" t="inlineStr">
        <is>
          <t>=</t>
        </is>
      </c>
      <c r="K127" s="205">
        <f>IF(C112,C112*E112*G112*I112,"")</f>
        <v/>
      </c>
      <c r="L127" s="201" t="inlineStr">
        <is>
          <t>Cum</t>
        </is>
      </c>
      <c r="M127" s="232" t="n"/>
    </row>
    <row r="128" ht="15.75" customFormat="1" customHeight="1" s="206">
      <c r="A128" s="201" t="n"/>
      <c r="B128" s="261" t="inlineStr">
        <is>
          <t>F4</t>
        </is>
      </c>
      <c r="C128" s="247" t="n">
        <v>1</v>
      </c>
      <c r="D128" s="206" t="inlineStr">
        <is>
          <t>x</t>
        </is>
      </c>
      <c r="E128" s="263" t="n">
        <v>1.8</v>
      </c>
      <c r="F128" s="199" t="inlineStr">
        <is>
          <t>x</t>
        </is>
      </c>
      <c r="G128" s="263" t="n">
        <v>2</v>
      </c>
      <c r="H128" s="232" t="inlineStr">
        <is>
          <t>x</t>
        </is>
      </c>
      <c r="I128" s="205" t="n">
        <v>0.6</v>
      </c>
      <c r="J128" s="233" t="inlineStr">
        <is>
          <t>=</t>
        </is>
      </c>
      <c r="K128" s="205">
        <f>IF(C113,C113*E113*G113*I113,"")</f>
        <v/>
      </c>
      <c r="L128" s="201" t="inlineStr">
        <is>
          <t>Cum</t>
        </is>
      </c>
      <c r="M128" s="232" t="n"/>
    </row>
    <row r="129" ht="15.75" customFormat="1" customHeight="1" s="206">
      <c r="A129" s="201" t="n"/>
      <c r="B129" s="261" t="inlineStr">
        <is>
          <t>F5</t>
        </is>
      </c>
      <c r="C129" s="247" t="n">
        <v>1</v>
      </c>
      <c r="D129" s="206" t="inlineStr">
        <is>
          <t>x</t>
        </is>
      </c>
      <c r="E129" s="263" t="n">
        <v>2.6</v>
      </c>
      <c r="F129" s="199" t="inlineStr">
        <is>
          <t>x</t>
        </is>
      </c>
      <c r="G129" s="263" t="n">
        <v>2.8</v>
      </c>
      <c r="H129" s="232" t="inlineStr">
        <is>
          <t>x</t>
        </is>
      </c>
      <c r="I129" s="205" t="n">
        <v>0.9</v>
      </c>
      <c r="J129" s="233" t="inlineStr">
        <is>
          <t>=</t>
        </is>
      </c>
      <c r="K129" s="205">
        <f>IF(C114,C114*E114*G114*I114,"")</f>
        <v/>
      </c>
      <c r="L129" s="201" t="inlineStr">
        <is>
          <t>Cum</t>
        </is>
      </c>
      <c r="M129" s="232" t="n"/>
    </row>
    <row r="130" ht="15" customFormat="1" customHeight="1" s="206">
      <c r="A130" s="201" t="n"/>
      <c r="B130" s="261" t="inlineStr">
        <is>
          <t>F6</t>
        </is>
      </c>
      <c r="C130" s="247" t="n">
        <v>1</v>
      </c>
      <c r="D130" s="206" t="inlineStr">
        <is>
          <t>x</t>
        </is>
      </c>
      <c r="E130" s="263" t="n">
        <v>2.4</v>
      </c>
      <c r="F130" s="199" t="inlineStr">
        <is>
          <t>x</t>
        </is>
      </c>
      <c r="G130" s="263" t="n">
        <v>2.6</v>
      </c>
      <c r="H130" s="232" t="inlineStr">
        <is>
          <t>x</t>
        </is>
      </c>
      <c r="I130" s="205" t="n">
        <v>0.75</v>
      </c>
      <c r="J130" s="233" t="inlineStr">
        <is>
          <t>=</t>
        </is>
      </c>
      <c r="K130" s="205">
        <f>IF(C115,C115*E115*G115*I115,"")</f>
        <v/>
      </c>
      <c r="L130" s="201" t="inlineStr">
        <is>
          <t>Cum</t>
        </is>
      </c>
      <c r="M130" s="232" t="n"/>
    </row>
    <row r="131" ht="15" customFormat="1" customHeight="1" s="206">
      <c r="A131" s="201" t="n"/>
      <c r="B131" s="261" t="inlineStr">
        <is>
          <t>F7</t>
        </is>
      </c>
      <c r="C131" s="247" t="n">
        <v>1</v>
      </c>
      <c r="D131" s="206" t="inlineStr">
        <is>
          <t>x</t>
        </is>
      </c>
      <c r="E131" s="263" t="n">
        <v>2.4</v>
      </c>
      <c r="F131" s="199" t="inlineStr">
        <is>
          <t>x</t>
        </is>
      </c>
      <c r="G131" s="263" t="n">
        <v>2.6</v>
      </c>
      <c r="H131" s="232" t="inlineStr">
        <is>
          <t>x</t>
        </is>
      </c>
      <c r="I131" s="205" t="n">
        <v>0.75</v>
      </c>
      <c r="J131" s="233" t="inlineStr">
        <is>
          <t>=</t>
        </is>
      </c>
      <c r="K131" s="205">
        <f>IF(C116,C116*E116*G116*I116,"")</f>
        <v/>
      </c>
      <c r="L131" s="201" t="inlineStr">
        <is>
          <t>Cum</t>
        </is>
      </c>
      <c r="M131" s="232" t="n"/>
    </row>
    <row r="132" ht="15" customFormat="1" customHeight="1" s="206">
      <c r="A132" s="201" t="n"/>
      <c r="B132" s="261" t="inlineStr">
        <is>
          <t>F8</t>
        </is>
      </c>
      <c r="C132" s="247" t="n">
        <v>1</v>
      </c>
      <c r="D132" s="206" t="inlineStr">
        <is>
          <t>x</t>
        </is>
      </c>
      <c r="E132" s="263" t="n">
        <v>1.8</v>
      </c>
      <c r="F132" s="199" t="inlineStr">
        <is>
          <t>x</t>
        </is>
      </c>
      <c r="G132" s="263" t="n">
        <v>2</v>
      </c>
      <c r="H132" s="232" t="inlineStr">
        <is>
          <t>x</t>
        </is>
      </c>
      <c r="I132" s="205" t="n">
        <v>0.6</v>
      </c>
      <c r="J132" s="233" t="inlineStr">
        <is>
          <t>=</t>
        </is>
      </c>
      <c r="K132" s="205">
        <f>IF(C117,C117*E117*G117*I117,"")</f>
        <v/>
      </c>
      <c r="L132" s="201" t="inlineStr">
        <is>
          <t>Cum</t>
        </is>
      </c>
      <c r="M132" s="232" t="n"/>
    </row>
    <row r="133" ht="15" customFormat="1" customHeight="1" s="206">
      <c r="A133" s="201" t="n"/>
      <c r="B133" s="261" t="inlineStr">
        <is>
          <t>F9</t>
        </is>
      </c>
      <c r="C133" s="247" t="n">
        <v>1</v>
      </c>
      <c r="D133" s="206" t="inlineStr">
        <is>
          <t>x</t>
        </is>
      </c>
      <c r="E133" s="263" t="n">
        <v>2.6</v>
      </c>
      <c r="F133" s="199" t="inlineStr">
        <is>
          <t>x</t>
        </is>
      </c>
      <c r="G133" s="263" t="n">
        <v>2.8</v>
      </c>
      <c r="H133" s="232" t="inlineStr">
        <is>
          <t>x</t>
        </is>
      </c>
      <c r="I133" s="205" t="n">
        <v>0.75</v>
      </c>
      <c r="J133" s="233" t="inlineStr">
        <is>
          <t>=</t>
        </is>
      </c>
      <c r="K133" s="205">
        <f>IF(C118,C118*E118*G118*I118,"")</f>
        <v/>
      </c>
      <c r="L133" s="201" t="inlineStr">
        <is>
          <t>Cum</t>
        </is>
      </c>
      <c r="M133" s="232" t="n"/>
    </row>
    <row r="134" ht="30" customFormat="1" customHeight="1" s="206">
      <c r="A134" s="201" t="n"/>
      <c r="B134" s="261" t="inlineStr">
        <is>
          <t>F10</t>
        </is>
      </c>
      <c r="C134" s="247" t="n">
        <v>1</v>
      </c>
      <c r="D134" s="206" t="inlineStr">
        <is>
          <t>x</t>
        </is>
      </c>
      <c r="E134" s="263" t="n">
        <v>2.6</v>
      </c>
      <c r="F134" s="199" t="inlineStr">
        <is>
          <t>x</t>
        </is>
      </c>
      <c r="G134" s="263" t="n">
        <v>2.8</v>
      </c>
      <c r="H134" s="232" t="inlineStr">
        <is>
          <t>x</t>
        </is>
      </c>
      <c r="I134" s="205" t="n">
        <v>0.9</v>
      </c>
      <c r="J134" s="233" t="inlineStr">
        <is>
          <t>=</t>
        </is>
      </c>
      <c r="K134" s="205">
        <f>IF(C119,C119*E119*G119*I119,"")</f>
        <v/>
      </c>
      <c r="L134" s="201" t="inlineStr">
        <is>
          <t>Cum</t>
        </is>
      </c>
      <c r="M134" s="232" t="n"/>
    </row>
    <row r="135" ht="15" customFormat="1" customHeight="1" s="206">
      <c r="A135" s="201" t="n"/>
      <c r="B135" s="261" t="inlineStr">
        <is>
          <t>F11</t>
        </is>
      </c>
      <c r="C135" s="247" t="n">
        <v>1</v>
      </c>
      <c r="D135" s="206" t="inlineStr">
        <is>
          <t>x</t>
        </is>
      </c>
      <c r="E135" s="263" t="n">
        <v>2.1</v>
      </c>
      <c r="F135" s="199" t="inlineStr">
        <is>
          <t>x</t>
        </is>
      </c>
      <c r="G135" s="263" t="n">
        <v>2.3</v>
      </c>
      <c r="H135" s="232" t="inlineStr">
        <is>
          <t>x</t>
        </is>
      </c>
      <c r="I135" s="205" t="n">
        <v>0.75</v>
      </c>
      <c r="J135" s="233" t="inlineStr">
        <is>
          <t>=</t>
        </is>
      </c>
      <c r="K135" s="205">
        <f>IF(C120,C120*E120*G120*I120,"")</f>
        <v/>
      </c>
      <c r="L135" s="201" t="inlineStr">
        <is>
          <t>Cum</t>
        </is>
      </c>
      <c r="M135" s="232" t="n"/>
    </row>
    <row r="136" ht="15" customFormat="1" customHeight="1" s="206">
      <c r="A136" s="201" t="n"/>
      <c r="B136" s="261" t="inlineStr">
        <is>
          <t>F12</t>
        </is>
      </c>
      <c r="C136" s="247" t="n">
        <v>1</v>
      </c>
      <c r="D136" s="206" t="inlineStr">
        <is>
          <t>x</t>
        </is>
      </c>
      <c r="E136" s="263" t="n">
        <v>2.7</v>
      </c>
      <c r="F136" s="199" t="inlineStr">
        <is>
          <t>x</t>
        </is>
      </c>
      <c r="G136" s="263" t="n">
        <v>2.9</v>
      </c>
      <c r="H136" s="232" t="inlineStr">
        <is>
          <t>x</t>
        </is>
      </c>
      <c r="I136" s="205" t="n">
        <v>0.8</v>
      </c>
      <c r="J136" s="233" t="inlineStr">
        <is>
          <t>=</t>
        </is>
      </c>
      <c r="K136" s="205">
        <f>IF(C121,C121*E121*G121*I121,"")</f>
        <v/>
      </c>
      <c r="L136" s="201" t="inlineStr">
        <is>
          <t>Cum</t>
        </is>
      </c>
      <c r="M136" s="232" t="n"/>
    </row>
    <row r="137" ht="15" customFormat="1" customHeight="1" s="206">
      <c r="A137" s="201" t="n"/>
      <c r="B137" s="261" t="inlineStr">
        <is>
          <t>F13</t>
        </is>
      </c>
      <c r="C137" s="247" t="n">
        <v>1</v>
      </c>
      <c r="D137" s="206" t="inlineStr">
        <is>
          <t>x</t>
        </is>
      </c>
      <c r="E137" s="263" t="n">
        <v>1.5</v>
      </c>
      <c r="F137" s="199" t="inlineStr">
        <is>
          <t>x</t>
        </is>
      </c>
      <c r="G137" s="263" t="n">
        <v>1.7</v>
      </c>
      <c r="H137" s="232" t="inlineStr">
        <is>
          <t>x</t>
        </is>
      </c>
      <c r="I137" s="205" t="n">
        <v>0.75</v>
      </c>
      <c r="J137" s="233" t="inlineStr">
        <is>
          <t>=</t>
        </is>
      </c>
      <c r="K137" s="205">
        <f>IF(C122,C122*E122*G122*I122,"")</f>
        <v/>
      </c>
      <c r="L137" s="201" t="inlineStr">
        <is>
          <t>Cum</t>
        </is>
      </c>
      <c r="M137" s="232" t="n"/>
    </row>
    <row r="138" ht="15.75" customFormat="1" customHeight="1" s="206">
      <c r="A138" s="201" t="n"/>
      <c r="B138" s="261" t="inlineStr">
        <is>
          <t>F14</t>
        </is>
      </c>
      <c r="C138" s="247" t="n">
        <v>1</v>
      </c>
      <c r="D138" s="206" t="inlineStr">
        <is>
          <t>x</t>
        </is>
      </c>
      <c r="E138" s="263" t="n">
        <v>2.3</v>
      </c>
      <c r="F138" s="199" t="inlineStr">
        <is>
          <t>x</t>
        </is>
      </c>
      <c r="G138" s="263" t="n">
        <v>2.5</v>
      </c>
      <c r="H138" s="232" t="inlineStr">
        <is>
          <t>x</t>
        </is>
      </c>
      <c r="I138" s="205" t="n">
        <v>0.75</v>
      </c>
      <c r="J138" s="233" t="inlineStr">
        <is>
          <t>=</t>
        </is>
      </c>
      <c r="K138" s="205">
        <f>IF(C123,C123*E123*G123*I123,"")</f>
        <v/>
      </c>
      <c r="L138" s="201" t="inlineStr">
        <is>
          <t>Cum</t>
        </is>
      </c>
      <c r="M138" s="232" t="n"/>
    </row>
    <row r="139" ht="15.75" customFormat="1" customHeight="1" s="206">
      <c r="A139" s="201" t="n"/>
      <c r="B139" s="261" t="inlineStr">
        <is>
          <t>F15</t>
        </is>
      </c>
      <c r="C139" s="247" t="n">
        <v>1</v>
      </c>
      <c r="D139" s="206" t="inlineStr">
        <is>
          <t>x</t>
        </is>
      </c>
      <c r="E139" s="263" t="n">
        <v>2.2</v>
      </c>
      <c r="F139" s="199" t="inlineStr">
        <is>
          <t>x</t>
        </is>
      </c>
      <c r="G139" s="263" t="n">
        <v>2.4</v>
      </c>
      <c r="H139" s="232" t="inlineStr">
        <is>
          <t>x</t>
        </is>
      </c>
      <c r="I139" s="205" t="n">
        <v>0.65</v>
      </c>
      <c r="J139" s="233" t="inlineStr">
        <is>
          <t>=</t>
        </is>
      </c>
      <c r="K139" s="205">
        <f>IF(C124,C124*E124*G124*I124,"")</f>
        <v/>
      </c>
      <c r="L139" s="201" t="inlineStr">
        <is>
          <t>Cum</t>
        </is>
      </c>
      <c r="M139" s="232" t="n"/>
    </row>
    <row r="140" ht="15" customFormat="1" customHeight="1" s="206">
      <c r="A140" s="201" t="n"/>
      <c r="B140" s="261" t="inlineStr">
        <is>
          <t>F16</t>
        </is>
      </c>
      <c r="C140" s="247" t="n">
        <v>1</v>
      </c>
      <c r="D140" s="206" t="inlineStr">
        <is>
          <t>x</t>
        </is>
      </c>
      <c r="E140" s="263" t="n">
        <v>1.8</v>
      </c>
      <c r="F140" s="199" t="inlineStr">
        <is>
          <t>x</t>
        </is>
      </c>
      <c r="G140" s="263" t="n">
        <v>2</v>
      </c>
      <c r="H140" s="232" t="inlineStr">
        <is>
          <t>x</t>
        </is>
      </c>
      <c r="I140" s="205" t="n">
        <v>0.6</v>
      </c>
      <c r="J140" s="233" t="inlineStr">
        <is>
          <t>=</t>
        </is>
      </c>
      <c r="K140" s="205">
        <f>IF(C125,C125*E125*G125*I125,"")</f>
        <v/>
      </c>
      <c r="L140" s="201" t="inlineStr">
        <is>
          <t>Cum</t>
        </is>
      </c>
      <c r="M140" s="232" t="n"/>
    </row>
    <row r="141" ht="15" customFormat="1" customHeight="1" s="206">
      <c r="A141" s="201" t="n"/>
      <c r="B141" s="261" t="inlineStr">
        <is>
          <t>F17</t>
        </is>
      </c>
      <c r="C141" s="247" t="n">
        <v>1</v>
      </c>
      <c r="D141" s="206" t="inlineStr">
        <is>
          <t>x</t>
        </is>
      </c>
      <c r="E141" s="263" t="n">
        <v>1.9</v>
      </c>
      <c r="F141" s="199" t="inlineStr">
        <is>
          <t>x</t>
        </is>
      </c>
      <c r="G141" s="263" t="n">
        <v>2.2</v>
      </c>
      <c r="H141" s="232" t="inlineStr">
        <is>
          <t>x</t>
        </is>
      </c>
      <c r="I141" s="205" t="n">
        <v>0.75</v>
      </c>
      <c r="J141" s="233" t="inlineStr">
        <is>
          <t>=</t>
        </is>
      </c>
      <c r="K141" s="205">
        <f>IF(C126,C126*E126*G126*I126,"")</f>
        <v/>
      </c>
      <c r="L141" s="201" t="inlineStr">
        <is>
          <t>Cum</t>
        </is>
      </c>
      <c r="M141" s="232" t="n"/>
    </row>
    <row r="142" ht="15" customFormat="1" customHeight="1" s="206">
      <c r="A142" s="201" t="n"/>
      <c r="B142" s="261" t="inlineStr">
        <is>
          <t>F18</t>
        </is>
      </c>
      <c r="C142" s="247" t="n">
        <v>1</v>
      </c>
      <c r="D142" s="206" t="inlineStr">
        <is>
          <t>x</t>
        </is>
      </c>
      <c r="E142" s="263" t="n">
        <v>2</v>
      </c>
      <c r="F142" s="199" t="inlineStr">
        <is>
          <t>x</t>
        </is>
      </c>
      <c r="G142" s="263" t="n">
        <v>2.2</v>
      </c>
      <c r="H142" s="232" t="inlineStr">
        <is>
          <t>x</t>
        </is>
      </c>
      <c r="I142" s="205" t="n">
        <v>0.75</v>
      </c>
      <c r="J142" s="233" t="inlineStr">
        <is>
          <t>=</t>
        </is>
      </c>
      <c r="K142" s="205">
        <f>IF(C127,C127*E127*G127*I127,"")</f>
        <v/>
      </c>
      <c r="L142" s="201" t="inlineStr">
        <is>
          <t>Cum</t>
        </is>
      </c>
      <c r="M142" s="232" t="n"/>
    </row>
    <row r="143" ht="15" customFormat="1" customHeight="1" s="206">
      <c r="A143" s="201" t="n"/>
      <c r="B143" s="192" t="inlineStr">
        <is>
          <t xml:space="preserve">TOTAL QTY IN FOOTING </t>
        </is>
      </c>
      <c r="C143" s="226">
        <f>SUM(K110:K127)</f>
        <v/>
      </c>
      <c r="D143" s="264" t="n"/>
      <c r="E143" s="226" t="inlineStr">
        <is>
          <t>Cum</t>
        </is>
      </c>
      <c r="F143" s="232" t="n"/>
      <c r="G143" s="205" t="n"/>
      <c r="H143" s="232" t="n"/>
      <c r="I143" s="205" t="n"/>
      <c r="J143" s="233" t="n"/>
      <c r="K143" s="205" t="n"/>
      <c r="L143" s="201" t="n"/>
      <c r="M143" s="232" t="n"/>
    </row>
    <row r="144" ht="15" customFormat="1" customHeight="1" s="206">
      <c r="A144" s="201" t="n"/>
      <c r="B144" s="192" t="inlineStr">
        <is>
          <t>BASEMENT WALL</t>
        </is>
      </c>
      <c r="C144" s="226" t="n"/>
      <c r="D144" s="264" t="n"/>
      <c r="E144" s="226" t="n"/>
      <c r="F144" s="232" t="n"/>
      <c r="G144" s="205" t="n"/>
      <c r="H144" s="232" t="n"/>
      <c r="I144" s="205" t="n"/>
      <c r="J144" s="233" t="n"/>
      <c r="K144" s="205" t="n"/>
      <c r="L144" s="201" t="n"/>
      <c r="M144" s="232" t="n"/>
    </row>
    <row r="145" ht="15" customFormat="1" customHeight="1" s="206">
      <c r="A145" s="247" t="n"/>
      <c r="B145" s="261" t="inlineStr">
        <is>
          <t>Base Left Side</t>
        </is>
      </c>
      <c r="C145" s="247" t="n">
        <v>1</v>
      </c>
      <c r="D145" s="206" t="inlineStr">
        <is>
          <t>x</t>
        </is>
      </c>
      <c r="E145" s="263" t="n">
        <v>35.05</v>
      </c>
      <c r="F145" s="199" t="inlineStr">
        <is>
          <t>x</t>
        </is>
      </c>
      <c r="G145" s="263" t="n">
        <v>3.5</v>
      </c>
      <c r="H145" s="232" t="inlineStr">
        <is>
          <t>x</t>
        </is>
      </c>
      <c r="I145" s="205" t="n">
        <v>0.3</v>
      </c>
      <c r="J145" s="233" t="inlineStr">
        <is>
          <t>=</t>
        </is>
      </c>
      <c r="K145" s="205">
        <f>IF(C130,C130*E130*G130*I130,"")</f>
        <v/>
      </c>
      <c r="L145" s="201" t="inlineStr">
        <is>
          <t>Cum</t>
        </is>
      </c>
      <c r="M145" s="232" t="n"/>
    </row>
    <row r="146" ht="15.75" customFormat="1" customHeight="1" s="206">
      <c r="A146" s="201" t="n"/>
      <c r="B146" s="261" t="inlineStr">
        <is>
          <t>Back Side</t>
        </is>
      </c>
      <c r="C146" s="247" t="n">
        <v>1</v>
      </c>
      <c r="D146" s="206" t="inlineStr">
        <is>
          <t>x</t>
        </is>
      </c>
      <c r="E146" s="263" t="n">
        <v>46.79</v>
      </c>
      <c r="F146" s="199" t="inlineStr">
        <is>
          <t>x</t>
        </is>
      </c>
      <c r="G146" s="263" t="n">
        <v>3.5</v>
      </c>
      <c r="H146" s="232" t="inlineStr">
        <is>
          <t>x</t>
        </is>
      </c>
      <c r="I146" s="205" t="n">
        <v>0.3</v>
      </c>
      <c r="J146" s="233" t="inlineStr">
        <is>
          <t>=</t>
        </is>
      </c>
      <c r="K146" s="205">
        <f>IF(C131,C131*E131*G131*I131,"")</f>
        <v/>
      </c>
      <c r="L146" s="201" t="inlineStr">
        <is>
          <t>Cum</t>
        </is>
      </c>
      <c r="M146" s="232" t="n"/>
    </row>
    <row r="147" ht="15.75" customFormat="1" customHeight="1" s="206">
      <c r="A147" s="201" t="n"/>
      <c r="B147" s="261" t="inlineStr">
        <is>
          <t>Right Side</t>
        </is>
      </c>
      <c r="C147" s="247" t="n">
        <v>1</v>
      </c>
      <c r="D147" s="206" t="inlineStr">
        <is>
          <t>x</t>
        </is>
      </c>
      <c r="E147" s="263" t="n">
        <v>48.46</v>
      </c>
      <c r="F147" s="199" t="inlineStr">
        <is>
          <t>x</t>
        </is>
      </c>
      <c r="G147" s="263" t="n">
        <v>3.5</v>
      </c>
      <c r="H147" s="232" t="inlineStr">
        <is>
          <t>x</t>
        </is>
      </c>
      <c r="I147" s="205" t="n">
        <v>0.3</v>
      </c>
      <c r="J147" s="233" t="inlineStr">
        <is>
          <t>=</t>
        </is>
      </c>
      <c r="K147" s="205">
        <f>IF(C132,C132*E132*G132*I132,"")</f>
        <v/>
      </c>
      <c r="L147" s="201" t="inlineStr">
        <is>
          <t>Cum</t>
        </is>
      </c>
      <c r="M147" s="232" t="n"/>
    </row>
    <row r="148" ht="15.75" customFormat="1" customHeight="1" s="206">
      <c r="A148" s="201" t="n"/>
      <c r="B148" s="261" t="inlineStr">
        <is>
          <t>Front Side</t>
        </is>
      </c>
      <c r="C148" s="247" t="n">
        <v>1</v>
      </c>
      <c r="D148" s="206" t="inlineStr">
        <is>
          <t>x</t>
        </is>
      </c>
      <c r="E148" s="263" t="n">
        <v>15.7</v>
      </c>
      <c r="F148" s="199" t="inlineStr">
        <is>
          <t>x</t>
        </is>
      </c>
      <c r="G148" s="263" t="n">
        <v>3.5</v>
      </c>
      <c r="H148" s="232" t="inlineStr">
        <is>
          <t>x</t>
        </is>
      </c>
      <c r="I148" s="205" t="n">
        <v>0.3</v>
      </c>
      <c r="J148" s="233" t="inlineStr">
        <is>
          <t>=</t>
        </is>
      </c>
      <c r="K148" s="205">
        <f>IF(C133,C133*E133*G133*I133,"")</f>
        <v/>
      </c>
      <c r="L148" s="201" t="inlineStr">
        <is>
          <t>Cum</t>
        </is>
      </c>
      <c r="M148" s="232" t="n"/>
    </row>
    <row r="149" ht="15.75" customFormat="1" customHeight="1" s="206">
      <c r="A149" s="247" t="n"/>
      <c r="B149" s="261" t="inlineStr">
        <is>
          <t>Wall Left Side av width (250+350)/2= 300 mm</t>
        </is>
      </c>
      <c r="C149" s="247" t="n">
        <v>1</v>
      </c>
      <c r="D149" s="206" t="inlineStr">
        <is>
          <t>x</t>
        </is>
      </c>
      <c r="E149" s="263" t="n">
        <v>35.05</v>
      </c>
      <c r="F149" s="199" t="inlineStr">
        <is>
          <t>x</t>
        </is>
      </c>
      <c r="G149" s="263" t="n">
        <v>0.3</v>
      </c>
      <c r="H149" s="232" t="inlineStr">
        <is>
          <t>x</t>
        </is>
      </c>
      <c r="I149" s="205" t="n">
        <v>3.5</v>
      </c>
      <c r="J149" s="233" t="inlineStr">
        <is>
          <t>=</t>
        </is>
      </c>
      <c r="K149" s="205">
        <f>IF(C134,C134*E134*G134*I134,"")</f>
        <v/>
      </c>
      <c r="L149" s="201" t="inlineStr">
        <is>
          <t>Cum</t>
        </is>
      </c>
      <c r="M149" s="232" t="n"/>
    </row>
    <row r="150" ht="16.5" customFormat="1" customHeight="1" s="206">
      <c r="A150" s="201" t="n"/>
      <c r="B150" s="261" t="inlineStr">
        <is>
          <t>Back Side</t>
        </is>
      </c>
      <c r="C150" s="247" t="n">
        <v>1</v>
      </c>
      <c r="D150" s="206" t="inlineStr">
        <is>
          <t>x</t>
        </is>
      </c>
      <c r="E150" s="263" t="n">
        <v>46.79</v>
      </c>
      <c r="F150" s="199" t="inlineStr">
        <is>
          <t>x</t>
        </is>
      </c>
      <c r="G150" s="263" t="n">
        <v>0.3</v>
      </c>
      <c r="H150" s="232" t="inlineStr">
        <is>
          <t>x</t>
        </is>
      </c>
      <c r="I150" s="205" t="n">
        <v>3.5</v>
      </c>
      <c r="J150" s="233" t="inlineStr">
        <is>
          <t>=</t>
        </is>
      </c>
      <c r="K150" s="205">
        <f>IF(C135,C135*E135*G135*I135,"")</f>
        <v/>
      </c>
      <c r="L150" s="201" t="inlineStr">
        <is>
          <t>Cum</t>
        </is>
      </c>
      <c r="M150" s="232" t="n"/>
    </row>
    <row r="151" ht="15" customFormat="1" customHeight="1" s="206">
      <c r="A151" s="201" t="n"/>
      <c r="B151" s="261" t="inlineStr">
        <is>
          <t>Right Side</t>
        </is>
      </c>
      <c r="C151" s="247" t="n">
        <v>1</v>
      </c>
      <c r="D151" s="206" t="inlineStr">
        <is>
          <t>x</t>
        </is>
      </c>
      <c r="E151" s="263" t="n">
        <v>48.46</v>
      </c>
      <c r="F151" s="199" t="inlineStr">
        <is>
          <t>x</t>
        </is>
      </c>
      <c r="G151" s="263" t="n">
        <v>0.3</v>
      </c>
      <c r="H151" s="232" t="inlineStr">
        <is>
          <t>x</t>
        </is>
      </c>
      <c r="I151" s="205" t="n">
        <v>3.5</v>
      </c>
      <c r="J151" s="233" t="inlineStr">
        <is>
          <t>=</t>
        </is>
      </c>
      <c r="K151" s="205">
        <f>IF(C136,C136*E136*G136*I136,"")</f>
        <v/>
      </c>
      <c r="L151" s="201" t="inlineStr">
        <is>
          <t>Cum</t>
        </is>
      </c>
      <c r="M151" s="232" t="n"/>
    </row>
    <row r="152" ht="15" customFormat="1" customHeight="1" s="206">
      <c r="A152" s="201" t="n"/>
      <c r="B152" s="261" t="inlineStr">
        <is>
          <t>Front Side</t>
        </is>
      </c>
      <c r="C152" s="247" t="n">
        <v>1</v>
      </c>
      <c r="D152" s="206" t="inlineStr">
        <is>
          <t>x</t>
        </is>
      </c>
      <c r="E152" s="263" t="n">
        <v>15.7</v>
      </c>
      <c r="F152" s="199" t="inlineStr">
        <is>
          <t>x</t>
        </is>
      </c>
      <c r="G152" s="263" t="n">
        <v>0.3</v>
      </c>
      <c r="H152" s="232" t="inlineStr">
        <is>
          <t>x</t>
        </is>
      </c>
      <c r="I152" s="205" t="n">
        <v>3.5</v>
      </c>
      <c r="J152" s="233" t="inlineStr">
        <is>
          <t>=</t>
        </is>
      </c>
      <c r="K152" s="205">
        <f>IF(C137,C137*E137*G137*I137,"")</f>
        <v/>
      </c>
      <c r="L152" s="201" t="inlineStr">
        <is>
          <t>Cum</t>
        </is>
      </c>
      <c r="M152" s="232" t="n"/>
    </row>
    <row r="153" ht="15" customFormat="1" customHeight="1" s="206">
      <c r="A153" s="201" t="n"/>
      <c r="B153" s="192" t="inlineStr">
        <is>
          <t>TOTAL QTY IN BASEMENT WALL</t>
        </is>
      </c>
      <c r="C153" s="226">
        <f>SUM(K130:K137)</f>
        <v/>
      </c>
      <c r="D153" s="264" t="n"/>
      <c r="E153" s="226" t="inlineStr">
        <is>
          <t>Cum</t>
        </is>
      </c>
      <c r="F153" s="232" t="n"/>
      <c r="G153" s="205" t="n"/>
      <c r="H153" s="232" t="n"/>
      <c r="I153" s="205" t="n"/>
      <c r="J153" s="233" t="n"/>
      <c r="K153" s="205" t="n"/>
      <c r="L153" s="201" t="n"/>
      <c r="M153" s="232" t="n"/>
    </row>
    <row r="154" ht="15" customFormat="1" customHeight="1" s="206">
      <c r="A154" s="201" t="n"/>
      <c r="B154" s="192" t="inlineStr">
        <is>
          <t>COLUMNS</t>
        </is>
      </c>
      <c r="C154" s="226" t="n"/>
      <c r="D154" s="264" t="n"/>
      <c r="E154" s="226" t="n"/>
      <c r="F154" s="232" t="n"/>
      <c r="G154" s="205" t="n"/>
      <c r="H154" s="232" t="n"/>
      <c r="I154" s="205" t="n"/>
      <c r="J154" s="233" t="n"/>
      <c r="K154" s="205" t="n"/>
      <c r="L154" s="201" t="n"/>
      <c r="M154" s="232" t="n"/>
    </row>
    <row r="155" ht="15" customFormat="1" customHeight="1" s="206">
      <c r="A155" s="247" t="n"/>
      <c r="B155" s="261" t="inlineStr">
        <is>
          <t>C1</t>
        </is>
      </c>
      <c r="C155" s="247" t="n">
        <v>1</v>
      </c>
      <c r="D155" s="206" t="inlineStr">
        <is>
          <t>x</t>
        </is>
      </c>
      <c r="E155" s="263" t="n">
        <v>0.3</v>
      </c>
      <c r="F155" s="199" t="inlineStr">
        <is>
          <t>x</t>
        </is>
      </c>
      <c r="G155" s="263" t="n">
        <v>0.6</v>
      </c>
      <c r="H155" s="232" t="inlineStr">
        <is>
          <t>x</t>
        </is>
      </c>
      <c r="I155" s="205" t="n">
        <v>3.25</v>
      </c>
      <c r="J155" s="233" t="inlineStr">
        <is>
          <t>=</t>
        </is>
      </c>
      <c r="K155" s="205">
        <f>IF(C140,C140*E140*G140*I140,"")</f>
        <v/>
      </c>
      <c r="L155" s="201" t="inlineStr">
        <is>
          <t>Cum</t>
        </is>
      </c>
      <c r="M155" s="232" t="n"/>
    </row>
    <row r="156" ht="15.75" customFormat="1" customHeight="1" s="206">
      <c r="A156" s="201" t="n"/>
      <c r="B156" s="261" t="inlineStr">
        <is>
          <t>C2</t>
        </is>
      </c>
      <c r="C156" s="247" t="n">
        <v>1</v>
      </c>
      <c r="D156" s="206" t="inlineStr">
        <is>
          <t>x</t>
        </is>
      </c>
      <c r="E156" s="263" t="n">
        <v>0.3</v>
      </c>
      <c r="F156" s="199" t="inlineStr">
        <is>
          <t>x</t>
        </is>
      </c>
      <c r="G156" s="263" t="n">
        <v>0.6</v>
      </c>
      <c r="H156" s="232" t="inlineStr">
        <is>
          <t>x</t>
        </is>
      </c>
      <c r="I156" s="205" t="n">
        <v>3.25</v>
      </c>
      <c r="J156" s="233" t="inlineStr">
        <is>
          <t>=</t>
        </is>
      </c>
      <c r="K156" s="205">
        <f>IF(C141,C141*E141*G141*I141,"")</f>
        <v/>
      </c>
      <c r="L156" s="201" t="inlineStr">
        <is>
          <t>Cum</t>
        </is>
      </c>
      <c r="M156" s="232" t="n"/>
    </row>
    <row r="157" ht="15.75" customFormat="1" customHeight="1" s="206">
      <c r="A157" s="201" t="n"/>
      <c r="B157" s="261" t="inlineStr">
        <is>
          <t>C3</t>
        </is>
      </c>
      <c r="C157" s="247" t="n">
        <v>1</v>
      </c>
      <c r="D157" s="206" t="inlineStr">
        <is>
          <t>x</t>
        </is>
      </c>
      <c r="E157" s="263" t="n">
        <v>0.45</v>
      </c>
      <c r="F157" s="199" t="inlineStr">
        <is>
          <t>x</t>
        </is>
      </c>
      <c r="G157" s="263" t="n">
        <v>0.675</v>
      </c>
      <c r="H157" s="232" t="inlineStr">
        <is>
          <t>x</t>
        </is>
      </c>
      <c r="I157" s="205" t="n">
        <v>3.25</v>
      </c>
      <c r="J157" s="233" t="inlineStr">
        <is>
          <t>=</t>
        </is>
      </c>
      <c r="K157" s="205">
        <f>IF(C142,C142*E142*G142*I142,"")</f>
        <v/>
      </c>
      <c r="L157" s="201" t="inlineStr">
        <is>
          <t>Cum</t>
        </is>
      </c>
      <c r="M157" s="232" t="n"/>
    </row>
    <row r="158" ht="36.75" customFormat="1" customHeight="1" s="206">
      <c r="A158" s="201" t="n"/>
      <c r="B158" s="261" t="inlineStr">
        <is>
          <t>C4</t>
        </is>
      </c>
      <c r="C158" s="247" t="n">
        <v>1</v>
      </c>
      <c r="D158" s="206" t="inlineStr">
        <is>
          <t>x</t>
        </is>
      </c>
      <c r="E158" s="263" t="n">
        <v>0.3</v>
      </c>
      <c r="F158" s="199" t="inlineStr">
        <is>
          <t>x</t>
        </is>
      </c>
      <c r="G158" s="263" t="n">
        <v>0.525</v>
      </c>
      <c r="H158" s="232" t="inlineStr">
        <is>
          <t>x</t>
        </is>
      </c>
      <c r="I158" s="205" t="n">
        <v>3.25</v>
      </c>
      <c r="J158" s="233" t="inlineStr">
        <is>
          <t>=</t>
        </is>
      </c>
      <c r="K158" s="205">
        <f>IF(C143,C143*E143*G143*I143,"")</f>
        <v/>
      </c>
      <c r="L158" s="201" t="inlineStr">
        <is>
          <t>Cum</t>
        </is>
      </c>
      <c r="M158" s="232" t="n"/>
    </row>
    <row r="159" ht="15" customFormat="1" customHeight="1" s="206">
      <c r="A159" s="201" t="n"/>
      <c r="B159" s="261" t="inlineStr">
        <is>
          <t>C5</t>
        </is>
      </c>
      <c r="C159" s="247" t="n">
        <v>1</v>
      </c>
      <c r="D159" s="206" t="inlineStr">
        <is>
          <t>x</t>
        </is>
      </c>
      <c r="E159" s="263" t="n">
        <v>0.38</v>
      </c>
      <c r="F159" s="199" t="inlineStr">
        <is>
          <t>x</t>
        </is>
      </c>
      <c r="G159" s="263" t="n">
        <v>0.6</v>
      </c>
      <c r="H159" s="232" t="inlineStr">
        <is>
          <t>x</t>
        </is>
      </c>
      <c r="I159" s="205" t="n">
        <v>3.25</v>
      </c>
      <c r="J159" s="233" t="inlineStr">
        <is>
          <t>=</t>
        </is>
      </c>
      <c r="K159" s="205">
        <f>IF(C144,C144*E144*G144*I144,"")</f>
        <v/>
      </c>
      <c r="L159" s="201" t="inlineStr">
        <is>
          <t>Cum</t>
        </is>
      </c>
      <c r="M159" s="232" t="n"/>
    </row>
    <row r="160" ht="15" customFormat="1" customHeight="1" s="206">
      <c r="A160" s="201" t="n"/>
      <c r="B160" s="261" t="inlineStr">
        <is>
          <t>C6</t>
        </is>
      </c>
      <c r="C160" s="247" t="n">
        <v>1</v>
      </c>
      <c r="D160" s="206" t="inlineStr">
        <is>
          <t>x</t>
        </is>
      </c>
      <c r="E160" s="263" t="n">
        <v>0.38</v>
      </c>
      <c r="F160" s="199" t="inlineStr">
        <is>
          <t>x</t>
        </is>
      </c>
      <c r="G160" s="263" t="n">
        <v>0.6</v>
      </c>
      <c r="H160" s="232" t="inlineStr">
        <is>
          <t>x</t>
        </is>
      </c>
      <c r="I160" s="205" t="n">
        <v>3.25</v>
      </c>
      <c r="J160" s="233" t="inlineStr">
        <is>
          <t>=</t>
        </is>
      </c>
      <c r="K160" s="205">
        <f>IF(C145,C145*E145*G145*I145,"")</f>
        <v/>
      </c>
      <c r="L160" s="201" t="inlineStr">
        <is>
          <t>Cum</t>
        </is>
      </c>
      <c r="M160" s="232" t="n"/>
    </row>
    <row r="161" ht="15" customFormat="1" customHeight="1" s="206">
      <c r="A161" s="201" t="n"/>
      <c r="B161" s="261" t="inlineStr">
        <is>
          <t>C7</t>
        </is>
      </c>
      <c r="C161" s="247" t="n">
        <v>1</v>
      </c>
      <c r="D161" s="206" t="inlineStr">
        <is>
          <t>x</t>
        </is>
      </c>
      <c r="E161" s="263" t="n">
        <v>0.38</v>
      </c>
      <c r="F161" s="199" t="inlineStr">
        <is>
          <t>x</t>
        </is>
      </c>
      <c r="G161" s="263" t="n">
        <v>0.6</v>
      </c>
      <c r="H161" s="232" t="inlineStr">
        <is>
          <t>x</t>
        </is>
      </c>
      <c r="I161" s="205" t="n">
        <v>3.25</v>
      </c>
      <c r="J161" s="233" t="inlineStr">
        <is>
          <t>=</t>
        </is>
      </c>
      <c r="K161" s="205">
        <f>IF(C146,C146*E146*G146*I146,"")</f>
        <v/>
      </c>
      <c r="L161" s="201" t="inlineStr">
        <is>
          <t>Cum</t>
        </is>
      </c>
      <c r="M161" s="232" t="n"/>
    </row>
    <row r="162" ht="15" customFormat="1" customHeight="1" s="206">
      <c r="A162" s="201" t="n"/>
      <c r="B162" s="261" t="inlineStr">
        <is>
          <t>C8</t>
        </is>
      </c>
      <c r="C162" s="247" t="n">
        <v>1</v>
      </c>
      <c r="D162" s="206" t="inlineStr">
        <is>
          <t>x</t>
        </is>
      </c>
      <c r="E162" s="263" t="n">
        <v>0.3</v>
      </c>
      <c r="F162" s="199" t="inlineStr">
        <is>
          <t>x</t>
        </is>
      </c>
      <c r="G162" s="263" t="n">
        <v>0.525</v>
      </c>
      <c r="H162" s="232" t="inlineStr">
        <is>
          <t>x</t>
        </is>
      </c>
      <c r="I162" s="205" t="n">
        <v>3.25</v>
      </c>
      <c r="J162" s="233" t="inlineStr">
        <is>
          <t>=</t>
        </is>
      </c>
      <c r="K162" s="205">
        <f>IF(C147,C147*E147*G147*I147,"")</f>
        <v/>
      </c>
      <c r="L162" s="201" t="inlineStr">
        <is>
          <t>Cum</t>
        </is>
      </c>
      <c r="M162" s="232" t="n"/>
    </row>
    <row r="163" ht="15.75" customFormat="1" customHeight="1" s="206">
      <c r="A163" s="201" t="n"/>
      <c r="B163" s="261" t="inlineStr">
        <is>
          <t>C9</t>
        </is>
      </c>
      <c r="C163" s="247" t="n">
        <v>1</v>
      </c>
      <c r="D163" s="206" t="inlineStr">
        <is>
          <t>x</t>
        </is>
      </c>
      <c r="E163" s="263" t="n">
        <v>0.45</v>
      </c>
      <c r="F163" s="199" t="inlineStr">
        <is>
          <t>x</t>
        </is>
      </c>
      <c r="G163" s="263" t="n">
        <v>0.675</v>
      </c>
      <c r="H163" s="232" t="inlineStr">
        <is>
          <t>x</t>
        </is>
      </c>
      <c r="I163" s="205" t="n">
        <v>3.25</v>
      </c>
      <c r="J163" s="233" t="inlineStr">
        <is>
          <t>=</t>
        </is>
      </c>
      <c r="K163" s="205">
        <f>IF(C148,C148*E148*G148*I148,"")</f>
        <v/>
      </c>
      <c r="L163" s="201" t="inlineStr">
        <is>
          <t>Cum</t>
        </is>
      </c>
      <c r="M163" s="232" t="n"/>
    </row>
    <row r="164" ht="15.75" customFormat="1" customHeight="1" s="206">
      <c r="A164" s="201" t="n"/>
      <c r="B164" s="261" t="inlineStr">
        <is>
          <t>C10</t>
        </is>
      </c>
      <c r="C164" s="247" t="n">
        <v>1</v>
      </c>
      <c r="D164" s="206" t="inlineStr">
        <is>
          <t>x</t>
        </is>
      </c>
      <c r="E164" s="263" t="n">
        <v>0.3</v>
      </c>
      <c r="F164" s="199" t="inlineStr">
        <is>
          <t>x</t>
        </is>
      </c>
      <c r="G164" s="263" t="n">
        <v>0.525</v>
      </c>
      <c r="H164" s="232" t="inlineStr">
        <is>
          <t>x</t>
        </is>
      </c>
      <c r="I164" s="205" t="n">
        <v>3.25</v>
      </c>
      <c r="J164" s="233" t="inlineStr">
        <is>
          <t>=</t>
        </is>
      </c>
      <c r="K164" s="205">
        <f>IF(C149,C149*E149*G149*I149,"")</f>
        <v/>
      </c>
      <c r="L164" s="201" t="inlineStr">
        <is>
          <t>Cum</t>
        </is>
      </c>
      <c r="M164" s="232" t="n"/>
    </row>
    <row r="165" ht="15.75" customFormat="1" customHeight="1" s="206">
      <c r="A165" s="201" t="n"/>
      <c r="B165" s="261" t="inlineStr">
        <is>
          <t>C11</t>
        </is>
      </c>
      <c r="C165" s="247" t="n">
        <v>1</v>
      </c>
      <c r="D165" s="206" t="inlineStr">
        <is>
          <t>x</t>
        </is>
      </c>
      <c r="E165" s="263" t="n">
        <v>0.45</v>
      </c>
      <c r="F165" s="199" t="inlineStr">
        <is>
          <t>x</t>
        </is>
      </c>
      <c r="G165" s="263" t="n">
        <v>0.675</v>
      </c>
      <c r="H165" s="232" t="inlineStr">
        <is>
          <t>x</t>
        </is>
      </c>
      <c r="I165" s="205" t="n">
        <v>3.25</v>
      </c>
      <c r="J165" s="233" t="inlineStr">
        <is>
          <t>=</t>
        </is>
      </c>
      <c r="K165" s="205">
        <f>IF(C150,C150*E150*G150*I150,"")</f>
        <v/>
      </c>
      <c r="L165" s="201" t="inlineStr">
        <is>
          <t>Cum</t>
        </is>
      </c>
      <c r="M165" s="232" t="n"/>
    </row>
    <row r="166" ht="15" customFormat="1" customHeight="1" s="206">
      <c r="A166" s="201" t="n"/>
      <c r="B166" s="261" t="inlineStr">
        <is>
          <t>C12</t>
        </is>
      </c>
      <c r="C166" s="247" t="n">
        <v>1</v>
      </c>
      <c r="D166" s="206" t="inlineStr">
        <is>
          <t>x</t>
        </is>
      </c>
      <c r="E166" s="263" t="n">
        <v>0.38</v>
      </c>
      <c r="F166" s="199" t="inlineStr">
        <is>
          <t>x</t>
        </is>
      </c>
      <c r="G166" s="263" t="n">
        <v>0.6</v>
      </c>
      <c r="H166" s="232" t="inlineStr">
        <is>
          <t>x</t>
        </is>
      </c>
      <c r="I166" s="205" t="n">
        <v>3.25</v>
      </c>
      <c r="J166" s="233" t="inlineStr">
        <is>
          <t>=</t>
        </is>
      </c>
      <c r="K166" s="205">
        <f>IF(C151,C151*E151*G151*I151,"")</f>
        <v/>
      </c>
      <c r="L166" s="201" t="inlineStr">
        <is>
          <t>Cum</t>
        </is>
      </c>
      <c r="M166" s="232" t="n"/>
    </row>
    <row r="167" ht="15.75" customFormat="1" customHeight="1" s="206">
      <c r="A167" s="201" t="n"/>
      <c r="B167" s="261" t="inlineStr">
        <is>
          <t>C13</t>
        </is>
      </c>
      <c r="C167" s="247" t="n">
        <v>1</v>
      </c>
      <c r="D167" s="206" t="inlineStr">
        <is>
          <t>x</t>
        </is>
      </c>
      <c r="E167" s="263" t="n">
        <v>0.3</v>
      </c>
      <c r="F167" s="199" t="inlineStr">
        <is>
          <t>x</t>
        </is>
      </c>
      <c r="G167" s="263" t="n">
        <v>0.525</v>
      </c>
      <c r="H167" s="232" t="inlineStr">
        <is>
          <t>x</t>
        </is>
      </c>
      <c r="I167" s="205" t="n">
        <v>3.25</v>
      </c>
      <c r="J167" s="233" t="inlineStr">
        <is>
          <t>=</t>
        </is>
      </c>
      <c r="K167" s="205">
        <f>IF(C152,C152*E152*G152*I152,"")</f>
        <v/>
      </c>
      <c r="L167" s="201" t="inlineStr">
        <is>
          <t>Cum</t>
        </is>
      </c>
      <c r="M167" s="232" t="n"/>
    </row>
    <row r="168" ht="15" customFormat="1" customHeight="1" s="206">
      <c r="A168" s="201" t="n"/>
      <c r="B168" s="261" t="inlineStr">
        <is>
          <t>C14</t>
        </is>
      </c>
      <c r="C168" s="247" t="n">
        <v>1</v>
      </c>
      <c r="D168" s="206" t="inlineStr">
        <is>
          <t>x</t>
        </is>
      </c>
      <c r="E168" s="263" t="n">
        <v>0.38</v>
      </c>
      <c r="F168" s="199" t="inlineStr">
        <is>
          <t>x</t>
        </is>
      </c>
      <c r="G168" s="263" t="n">
        <v>0.6</v>
      </c>
      <c r="H168" s="232" t="inlineStr">
        <is>
          <t>x</t>
        </is>
      </c>
      <c r="I168" s="205" t="n">
        <v>3.25</v>
      </c>
      <c r="J168" s="233" t="inlineStr">
        <is>
          <t>=</t>
        </is>
      </c>
      <c r="K168" s="205">
        <f>IF(C153,C153*E153*G153*I153,"")</f>
        <v/>
      </c>
      <c r="L168" s="201" t="inlineStr">
        <is>
          <t>Cum</t>
        </is>
      </c>
      <c r="M168" s="232" t="n"/>
    </row>
    <row r="169" ht="15" customFormat="1" customHeight="1" s="206">
      <c r="A169" s="201" t="n"/>
      <c r="B169" s="261" t="inlineStr">
        <is>
          <t>C15</t>
        </is>
      </c>
      <c r="C169" s="247" t="n">
        <v>1</v>
      </c>
      <c r="D169" s="206" t="inlineStr">
        <is>
          <t>x</t>
        </is>
      </c>
      <c r="E169" s="263" t="n">
        <v>0.38</v>
      </c>
      <c r="F169" s="199" t="inlineStr">
        <is>
          <t>x</t>
        </is>
      </c>
      <c r="G169" s="263" t="n">
        <v>0.6</v>
      </c>
      <c r="H169" s="232" t="inlineStr">
        <is>
          <t>x</t>
        </is>
      </c>
      <c r="I169" s="205" t="n">
        <v>3.25</v>
      </c>
      <c r="J169" s="233" t="inlineStr">
        <is>
          <t>=</t>
        </is>
      </c>
      <c r="K169" s="205">
        <f>IF(C154,C154*E154*G154*I154,"")</f>
        <v/>
      </c>
      <c r="L169" s="201" t="inlineStr">
        <is>
          <t>Cum</t>
        </is>
      </c>
      <c r="M169" s="232" t="n"/>
    </row>
    <row r="170" ht="15" customFormat="1" customHeight="1" s="206">
      <c r="A170" s="201" t="n"/>
      <c r="B170" s="261" t="inlineStr">
        <is>
          <t>C16</t>
        </is>
      </c>
      <c r="C170" s="247" t="n">
        <v>1</v>
      </c>
      <c r="D170" s="206" t="inlineStr">
        <is>
          <t>x</t>
        </is>
      </c>
      <c r="E170" s="263" t="n">
        <v>0.3</v>
      </c>
      <c r="F170" s="199" t="inlineStr">
        <is>
          <t>x</t>
        </is>
      </c>
      <c r="G170" s="263" t="n">
        <v>0.525</v>
      </c>
      <c r="H170" s="232" t="inlineStr">
        <is>
          <t>x</t>
        </is>
      </c>
      <c r="I170" s="205" t="n">
        <v>3.25</v>
      </c>
      <c r="J170" s="233" t="inlineStr">
        <is>
          <t>=</t>
        </is>
      </c>
      <c r="K170" s="205">
        <f>IF(C155,C155*E155*G155*I155,"")</f>
        <v/>
      </c>
      <c r="L170" s="201" t="inlineStr">
        <is>
          <t>Cum</t>
        </is>
      </c>
      <c r="M170" s="232" t="n"/>
    </row>
    <row r="171" ht="15" customFormat="1" customHeight="1" s="206">
      <c r="A171" s="201" t="n"/>
      <c r="B171" s="261" t="inlineStr">
        <is>
          <t>C17</t>
        </is>
      </c>
      <c r="C171" s="247" t="n">
        <v>1</v>
      </c>
      <c r="D171" s="206" t="inlineStr">
        <is>
          <t>x</t>
        </is>
      </c>
      <c r="E171" s="263" t="n">
        <v>0.3</v>
      </c>
      <c r="F171" s="199" t="inlineStr">
        <is>
          <t>x</t>
        </is>
      </c>
      <c r="G171" s="263" t="n">
        <v>0.525</v>
      </c>
      <c r="H171" s="232" t="inlineStr">
        <is>
          <t>x</t>
        </is>
      </c>
      <c r="I171" s="205" t="n">
        <v>3.25</v>
      </c>
      <c r="J171" s="233" t="inlineStr">
        <is>
          <t>=</t>
        </is>
      </c>
      <c r="K171" s="205">
        <f>IF(C156,C156*E156*G156*I156,"")</f>
        <v/>
      </c>
      <c r="L171" s="201" t="inlineStr">
        <is>
          <t>Cum</t>
        </is>
      </c>
      <c r="M171" s="232" t="n"/>
    </row>
    <row r="172" ht="15" customFormat="1" customHeight="1" s="206">
      <c r="A172" s="201" t="n"/>
      <c r="B172" s="261" t="inlineStr">
        <is>
          <t>C18</t>
        </is>
      </c>
      <c r="C172" s="247" t="n">
        <v>1</v>
      </c>
      <c r="D172" s="206" t="inlineStr">
        <is>
          <t>x</t>
        </is>
      </c>
      <c r="E172" s="263" t="n">
        <v>0.3</v>
      </c>
      <c r="F172" s="199" t="inlineStr">
        <is>
          <t>x</t>
        </is>
      </c>
      <c r="G172" s="263" t="n">
        <v>0.525</v>
      </c>
      <c r="H172" s="232" t="inlineStr">
        <is>
          <t>x</t>
        </is>
      </c>
      <c r="I172" s="205" t="n">
        <v>3.25</v>
      </c>
      <c r="J172" s="233" t="inlineStr">
        <is>
          <t>=</t>
        </is>
      </c>
      <c r="K172" s="205">
        <f>IF(C157,C157*E157*G157*I157,"")</f>
        <v/>
      </c>
      <c r="L172" s="201" t="inlineStr">
        <is>
          <t>Cum</t>
        </is>
      </c>
      <c r="M172" s="232" t="n"/>
    </row>
    <row r="173" ht="15" customFormat="1" customHeight="1" s="206">
      <c r="A173" s="201" t="n"/>
      <c r="B173" s="192" t="inlineStr">
        <is>
          <t>TOTAL QTY IN COLUMNS IN BASEMENT</t>
        </is>
      </c>
      <c r="C173" s="226">
        <f>SUM(K140:K157)</f>
        <v/>
      </c>
      <c r="D173" s="264" t="n"/>
      <c r="E173" s="226" t="inlineStr">
        <is>
          <t>Cum</t>
        </is>
      </c>
      <c r="F173" s="232" t="n"/>
      <c r="G173" s="205" t="n"/>
      <c r="H173" s="232" t="n"/>
      <c r="I173" s="205" t="n"/>
      <c r="J173" s="233" t="n"/>
      <c r="K173" s="205" t="n"/>
      <c r="L173" s="201" t="n"/>
      <c r="M173" s="232" t="n"/>
    </row>
    <row r="174" ht="15.75" customFormat="1" customHeight="1" s="206">
      <c r="A174" s="201" t="n"/>
      <c r="B174" s="265" t="inlineStr">
        <is>
          <t>Lift</t>
        </is>
      </c>
      <c r="C174" s="247" t="n">
        <v>4</v>
      </c>
      <c r="D174" s="206" t="inlineStr">
        <is>
          <t>x</t>
        </is>
      </c>
      <c r="E174" s="263" t="n">
        <v>1.75</v>
      </c>
      <c r="F174" s="199" t="inlineStr">
        <is>
          <t>x</t>
        </is>
      </c>
      <c r="G174" s="263" t="n">
        <v>0.23</v>
      </c>
      <c r="H174" s="232" t="inlineStr">
        <is>
          <t>x</t>
        </is>
      </c>
      <c r="I174" s="205" t="n">
        <v>3.2</v>
      </c>
      <c r="J174" s="233" t="inlineStr">
        <is>
          <t>=</t>
        </is>
      </c>
      <c r="K174" s="205">
        <f>IF(C159,C159*E159*G159*I159,"")</f>
        <v/>
      </c>
      <c r="L174" s="201" t="inlineStr">
        <is>
          <t>Cum</t>
        </is>
      </c>
      <c r="M174" s="232" t="n"/>
    </row>
    <row r="175" ht="15.75" customFormat="1" customHeight="1" s="206">
      <c r="A175" s="201" t="n"/>
      <c r="B175" s="261" t="n"/>
      <c r="C175" s="247" t="n">
        <v>-1</v>
      </c>
      <c r="D175" s="206" t="inlineStr">
        <is>
          <t>x</t>
        </is>
      </c>
      <c r="E175" s="263" t="n">
        <v>1.2</v>
      </c>
      <c r="F175" s="199" t="inlineStr">
        <is>
          <t>x</t>
        </is>
      </c>
      <c r="G175" s="263" t="n">
        <v>0.23</v>
      </c>
      <c r="H175" s="232" t="inlineStr">
        <is>
          <t>x</t>
        </is>
      </c>
      <c r="I175" s="205" t="n">
        <v>3.2</v>
      </c>
      <c r="J175" s="233" t="inlineStr">
        <is>
          <t>=</t>
        </is>
      </c>
      <c r="K175" s="205">
        <f>IF(C160,C160*E160*G160*I160,"")</f>
        <v/>
      </c>
      <c r="L175" s="201" t="inlineStr">
        <is>
          <t>Cum</t>
        </is>
      </c>
      <c r="M175" s="232" t="n"/>
    </row>
    <row r="176" ht="15.75" customFormat="1" customHeight="1" s="206">
      <c r="A176" s="201" t="n"/>
      <c r="B176" s="265" t="inlineStr">
        <is>
          <t>Stair Case Base Beam</t>
        </is>
      </c>
      <c r="C176" s="247" t="n">
        <v>1</v>
      </c>
      <c r="D176" s="206" t="inlineStr">
        <is>
          <t>x</t>
        </is>
      </c>
      <c r="E176" s="263" t="n">
        <v>1.68</v>
      </c>
      <c r="F176" s="199" t="inlineStr">
        <is>
          <t>x</t>
        </is>
      </c>
      <c r="G176" s="263" t="n">
        <v>0.3</v>
      </c>
      <c r="H176" s="232" t="inlineStr">
        <is>
          <t>x</t>
        </is>
      </c>
      <c r="I176" s="205" t="n">
        <v>0.6</v>
      </c>
      <c r="J176" s="233" t="inlineStr">
        <is>
          <t>=</t>
        </is>
      </c>
      <c r="K176" s="205">
        <f>IF(C161,C161*E161*G161*I161,"")</f>
        <v/>
      </c>
      <c r="L176" s="201" t="inlineStr">
        <is>
          <t>Cum</t>
        </is>
      </c>
      <c r="M176" s="232" t="n"/>
    </row>
    <row r="177" ht="15.75" customFormat="1" customHeight="1" s="206">
      <c r="A177" s="201" t="n"/>
      <c r="B177" s="265" t="inlineStr">
        <is>
          <t>Stair slab</t>
        </is>
      </c>
      <c r="C177" s="247" t="n">
        <v>2</v>
      </c>
      <c r="D177" s="206" t="inlineStr">
        <is>
          <t>x</t>
        </is>
      </c>
      <c r="E177" s="263" t="n">
        <v>3.7</v>
      </c>
      <c r="F177" s="199" t="inlineStr">
        <is>
          <t>x</t>
        </is>
      </c>
      <c r="G177" s="263" t="n">
        <v>1.6</v>
      </c>
      <c r="H177" s="232" t="inlineStr">
        <is>
          <t>x</t>
        </is>
      </c>
      <c r="I177" s="205" t="n">
        <v>0.25</v>
      </c>
      <c r="J177" s="233" t="inlineStr">
        <is>
          <t>=</t>
        </is>
      </c>
      <c r="K177" s="205">
        <f>IF(C162,C162*E162*G162*I162,"")</f>
        <v/>
      </c>
      <c r="L177" s="201" t="inlineStr">
        <is>
          <t>Cum</t>
        </is>
      </c>
      <c r="M177" s="232" t="n"/>
    </row>
    <row r="178" ht="16.5" customFormat="1" customHeight="1" s="206">
      <c r="A178" s="201" t="n"/>
      <c r="B178" s="261" t="n"/>
      <c r="C178" s="247" t="n">
        <v>1</v>
      </c>
      <c r="D178" s="206" t="inlineStr">
        <is>
          <t>x</t>
        </is>
      </c>
      <c r="E178" s="263" t="n">
        <v>2.1</v>
      </c>
      <c r="F178" s="199" t="inlineStr">
        <is>
          <t>x</t>
        </is>
      </c>
      <c r="G178" s="263" t="n">
        <v>1.6</v>
      </c>
      <c r="H178" s="232" t="inlineStr">
        <is>
          <t>x</t>
        </is>
      </c>
      <c r="I178" s="205" t="n">
        <v>0.25</v>
      </c>
      <c r="J178" s="233" t="inlineStr">
        <is>
          <t>=</t>
        </is>
      </c>
      <c r="K178" s="205">
        <f>IF(C163,C163*E163*G163*I163,"")</f>
        <v/>
      </c>
      <c r="L178" s="201" t="inlineStr">
        <is>
          <t>Cum</t>
        </is>
      </c>
      <c r="M178" s="232" t="n"/>
    </row>
    <row r="179" ht="15" customFormat="1" customHeight="1" s="206">
      <c r="A179" s="201" t="n"/>
      <c r="B179" s="265" t="inlineStr">
        <is>
          <t>Beam</t>
        </is>
      </c>
      <c r="C179" s="247" t="n">
        <v>2</v>
      </c>
      <c r="D179" s="206" t="inlineStr">
        <is>
          <t>x</t>
        </is>
      </c>
      <c r="E179" s="263" t="n">
        <v>4.2</v>
      </c>
      <c r="F179" s="199" t="inlineStr">
        <is>
          <t>x</t>
        </is>
      </c>
      <c r="G179" s="263" t="n">
        <v>0.23</v>
      </c>
      <c r="H179" s="232" t="inlineStr">
        <is>
          <t>x</t>
        </is>
      </c>
      <c r="I179" s="205" t="n">
        <v>0.45</v>
      </c>
      <c r="J179" s="233" t="inlineStr">
        <is>
          <t>=</t>
        </is>
      </c>
      <c r="K179" s="205">
        <f>IF(C164,C164*E164*G164*I164,"")</f>
        <v/>
      </c>
      <c r="L179" s="201" t="inlineStr">
        <is>
          <t>Cum</t>
        </is>
      </c>
      <c r="M179" s="232" t="n"/>
    </row>
    <row r="180" ht="15" customFormat="1" customHeight="1" s="206">
      <c r="A180" s="201" t="n"/>
      <c r="B180" s="265" t="inlineStr">
        <is>
          <t>Beam</t>
        </is>
      </c>
      <c r="C180" s="247" t="n">
        <v>2</v>
      </c>
      <c r="D180" s="206" t="inlineStr">
        <is>
          <t>x</t>
        </is>
      </c>
      <c r="E180" s="263" t="n">
        <v>3.3</v>
      </c>
      <c r="F180" s="199" t="inlineStr">
        <is>
          <t>x</t>
        </is>
      </c>
      <c r="G180" s="263" t="n">
        <v>0.23</v>
      </c>
      <c r="H180" s="232" t="inlineStr">
        <is>
          <t>x</t>
        </is>
      </c>
      <c r="I180" s="205" t="n">
        <v>0.45</v>
      </c>
      <c r="J180" s="233" t="inlineStr">
        <is>
          <t>=</t>
        </is>
      </c>
      <c r="K180" s="205">
        <f>IF(C165,C165*E165*G165*I165,"")</f>
        <v/>
      </c>
      <c r="L180" s="201" t="inlineStr">
        <is>
          <t>Cum</t>
        </is>
      </c>
      <c r="M180" s="232" t="n"/>
    </row>
    <row r="181" ht="15" customFormat="1" customHeight="1" s="206">
      <c r="A181" s="247" t="n"/>
      <c r="B181" s="186" t="inlineStr">
        <is>
          <t>Qty of Lift and Staircase in Basement</t>
        </is>
      </c>
      <c r="C181" s="228">
        <f>SUM(K159:K165)</f>
        <v/>
      </c>
      <c r="D181" s="201" t="n"/>
      <c r="E181" s="226" t="inlineStr">
        <is>
          <t>Cum</t>
        </is>
      </c>
      <c r="F181" s="201" t="n"/>
      <c r="G181" s="205" t="n"/>
    </row>
    <row r="182" ht="15" customFormat="1" customHeight="1" s="206">
      <c r="A182" s="201" t="n"/>
      <c r="B182" s="192" t="inlineStr">
        <is>
          <t>BEAMS</t>
        </is>
      </c>
      <c r="C182" s="226" t="n"/>
      <c r="D182" s="264" t="n"/>
      <c r="E182" s="226" t="n"/>
      <c r="F182" s="232" t="n"/>
      <c r="G182" s="205" t="n"/>
      <c r="H182" s="232" t="n"/>
      <c r="I182" s="205" t="n"/>
      <c r="J182" s="233" t="n"/>
      <c r="K182" s="205" t="n"/>
      <c r="L182" s="201" t="n"/>
      <c r="M182" s="232" t="n"/>
    </row>
    <row r="183" ht="15" customFormat="1" customHeight="1" s="206">
      <c r="A183" s="247" t="n"/>
      <c r="B183" s="266" t="inlineStr">
        <is>
          <t>B1</t>
        </is>
      </c>
      <c r="C183" s="247" t="n">
        <v>1</v>
      </c>
      <c r="D183" s="206" t="inlineStr">
        <is>
          <t>x</t>
        </is>
      </c>
      <c r="E183" s="263" t="n">
        <v>3.58</v>
      </c>
      <c r="F183" s="199" t="inlineStr">
        <is>
          <t>x</t>
        </is>
      </c>
      <c r="G183" s="263" t="n">
        <v>0.23</v>
      </c>
      <c r="H183" s="232" t="inlineStr">
        <is>
          <t>x</t>
        </is>
      </c>
      <c r="I183" s="205" t="n">
        <v>0.45</v>
      </c>
      <c r="J183" s="233" t="inlineStr">
        <is>
          <t>=</t>
        </is>
      </c>
      <c r="K183" s="205">
        <f>IF(C168,C168*E168*G168*I168,"")</f>
        <v/>
      </c>
      <c r="L183" s="201" t="inlineStr">
        <is>
          <t>Cum</t>
        </is>
      </c>
      <c r="M183" s="232" t="n"/>
    </row>
    <row r="184" ht="15.75" customFormat="1" customHeight="1" s="206">
      <c r="A184" s="201" t="n"/>
      <c r="B184" s="266" t="inlineStr">
        <is>
          <t>B2</t>
        </is>
      </c>
      <c r="C184" s="247" t="n">
        <v>1</v>
      </c>
      <c r="D184" s="206" t="inlineStr">
        <is>
          <t>x</t>
        </is>
      </c>
      <c r="E184" s="263" t="n">
        <v>3.58</v>
      </c>
      <c r="F184" s="199" t="inlineStr">
        <is>
          <t>x</t>
        </is>
      </c>
      <c r="G184" s="263" t="n">
        <v>0.23</v>
      </c>
      <c r="H184" s="232" t="inlineStr">
        <is>
          <t>x</t>
        </is>
      </c>
      <c r="I184" s="205" t="n">
        <v>0.45</v>
      </c>
      <c r="J184" s="233" t="inlineStr">
        <is>
          <t>=</t>
        </is>
      </c>
      <c r="K184" s="205">
        <f>IF(C169,C169*E169*G169*I169,"")</f>
        <v/>
      </c>
      <c r="L184" s="201" t="inlineStr">
        <is>
          <t>Cum</t>
        </is>
      </c>
      <c r="M184" s="232" t="n"/>
    </row>
    <row r="185" ht="15.75" customFormat="1" customHeight="1" s="206">
      <c r="A185" s="201" t="n"/>
      <c r="B185" s="266" t="inlineStr">
        <is>
          <t>B3</t>
        </is>
      </c>
      <c r="C185" s="247" t="n">
        <v>1</v>
      </c>
      <c r="D185" s="206" t="inlineStr">
        <is>
          <t>x</t>
        </is>
      </c>
      <c r="E185" s="263" t="n">
        <v>3.58</v>
      </c>
      <c r="F185" s="199" t="inlineStr">
        <is>
          <t>x</t>
        </is>
      </c>
      <c r="G185" s="263" t="n">
        <v>0.23</v>
      </c>
      <c r="H185" s="232" t="inlineStr">
        <is>
          <t>x</t>
        </is>
      </c>
      <c r="I185" s="205" t="n">
        <v>0.45</v>
      </c>
      <c r="J185" s="233" t="inlineStr">
        <is>
          <t>=</t>
        </is>
      </c>
      <c r="K185" s="205">
        <f>IF(C170,C170*E170*G170*I170,"")</f>
        <v/>
      </c>
      <c r="L185" s="201" t="inlineStr">
        <is>
          <t>Cum</t>
        </is>
      </c>
      <c r="M185" s="232" t="n"/>
    </row>
    <row r="186" ht="15" customFormat="1" customHeight="1" s="206">
      <c r="A186" s="201" t="n"/>
      <c r="B186" s="266" t="inlineStr">
        <is>
          <t>B4</t>
        </is>
      </c>
      <c r="C186" s="247" t="n">
        <v>1</v>
      </c>
      <c r="D186" s="206" t="inlineStr">
        <is>
          <t>x</t>
        </is>
      </c>
      <c r="E186" s="263" t="n">
        <v>3.58</v>
      </c>
      <c r="F186" s="199" t="inlineStr">
        <is>
          <t>x</t>
        </is>
      </c>
      <c r="G186" s="263" t="n">
        <v>0.23</v>
      </c>
      <c r="H186" s="232" t="inlineStr">
        <is>
          <t>x</t>
        </is>
      </c>
      <c r="I186" s="205" t="n">
        <v>0.45</v>
      </c>
      <c r="J186" s="233" t="inlineStr">
        <is>
          <t>=</t>
        </is>
      </c>
      <c r="K186" s="205">
        <f>IF(C171,C171*E171*G171*I171,"")</f>
        <v/>
      </c>
      <c r="L186" s="201" t="inlineStr">
        <is>
          <t>Cum</t>
        </is>
      </c>
      <c r="M186" s="232" t="n"/>
    </row>
    <row r="187" ht="15" customFormat="1" customHeight="1" s="206">
      <c r="A187" s="201" t="n"/>
      <c r="B187" s="266" t="inlineStr">
        <is>
          <t>B5</t>
        </is>
      </c>
      <c r="C187" s="247" t="n">
        <v>1</v>
      </c>
      <c r="D187" s="206" t="inlineStr">
        <is>
          <t>x</t>
        </is>
      </c>
      <c r="E187" s="263" t="n">
        <v>1.8</v>
      </c>
      <c r="F187" s="199" t="inlineStr">
        <is>
          <t>x</t>
        </is>
      </c>
      <c r="G187" s="263" t="n">
        <v>0.23</v>
      </c>
      <c r="H187" s="232" t="inlineStr">
        <is>
          <t>x</t>
        </is>
      </c>
      <c r="I187" s="205" t="n">
        <v>0.45</v>
      </c>
      <c r="J187" s="233" t="inlineStr">
        <is>
          <t>=</t>
        </is>
      </c>
      <c r="K187" s="205">
        <f>IF(C172,C172*E172*G172*I172,"")</f>
        <v/>
      </c>
      <c r="L187" s="201" t="inlineStr">
        <is>
          <t>Cum</t>
        </is>
      </c>
      <c r="M187" s="232" t="n"/>
    </row>
    <row r="188" ht="15" customFormat="1" customHeight="1" s="206">
      <c r="A188" s="201" t="n"/>
      <c r="B188" s="266" t="inlineStr">
        <is>
          <t>B6</t>
        </is>
      </c>
      <c r="C188" s="247" t="n">
        <v>1</v>
      </c>
      <c r="D188" s="206" t="inlineStr">
        <is>
          <t>x</t>
        </is>
      </c>
      <c r="E188" s="263" t="n">
        <v>3.58</v>
      </c>
      <c r="F188" s="199" t="inlineStr">
        <is>
          <t>x</t>
        </is>
      </c>
      <c r="G188" s="263" t="n">
        <v>0.23</v>
      </c>
      <c r="H188" s="232" t="inlineStr">
        <is>
          <t>x</t>
        </is>
      </c>
      <c r="I188" s="205" t="n">
        <v>0.45</v>
      </c>
      <c r="J188" s="233" t="inlineStr">
        <is>
          <t>=</t>
        </is>
      </c>
      <c r="K188" s="205">
        <f>IF(C173,C173*E173*G173*I173,"")</f>
        <v/>
      </c>
      <c r="L188" s="201" t="inlineStr">
        <is>
          <t>Cum</t>
        </is>
      </c>
      <c r="M188" s="232" t="n"/>
    </row>
    <row r="189" ht="15" customFormat="1" customHeight="1" s="206">
      <c r="A189" s="201" t="n"/>
      <c r="B189" s="266" t="inlineStr">
        <is>
          <t>B7</t>
        </is>
      </c>
      <c r="C189" s="247" t="n">
        <v>1</v>
      </c>
      <c r="D189" s="206" t="inlineStr">
        <is>
          <t>x</t>
        </is>
      </c>
      <c r="E189" s="263" t="n">
        <v>3.58</v>
      </c>
      <c r="F189" s="199" t="inlineStr">
        <is>
          <t>x</t>
        </is>
      </c>
      <c r="G189" s="263" t="n">
        <v>0.23</v>
      </c>
      <c r="H189" s="232" t="inlineStr">
        <is>
          <t>x</t>
        </is>
      </c>
      <c r="I189" s="205" t="n">
        <v>0.45</v>
      </c>
      <c r="J189" s="233" t="inlineStr">
        <is>
          <t>=</t>
        </is>
      </c>
      <c r="K189" s="205">
        <f>IF(C174,C174*E174*G174*I174,"")</f>
        <v/>
      </c>
      <c r="L189" s="201" t="inlineStr">
        <is>
          <t>Cum</t>
        </is>
      </c>
      <c r="M189" s="232" t="n"/>
    </row>
    <row r="190" ht="15" customFormat="1" customHeight="1" s="206">
      <c r="A190" s="201" t="n"/>
      <c r="B190" s="266" t="inlineStr">
        <is>
          <t>B8</t>
        </is>
      </c>
      <c r="C190" s="247" t="n">
        <v>1</v>
      </c>
      <c r="D190" s="206" t="inlineStr">
        <is>
          <t>x</t>
        </is>
      </c>
      <c r="E190" s="263" t="n">
        <v>2.85</v>
      </c>
      <c r="F190" s="199" t="inlineStr">
        <is>
          <t>x</t>
        </is>
      </c>
      <c r="G190" s="263" t="n">
        <v>0.23</v>
      </c>
      <c r="H190" s="232" t="inlineStr">
        <is>
          <t>x</t>
        </is>
      </c>
      <c r="I190" s="205" t="n">
        <v>0.45</v>
      </c>
      <c r="J190" s="233" t="inlineStr">
        <is>
          <t>=</t>
        </is>
      </c>
      <c r="K190" s="205">
        <f>IF(C175,C175*E175*G175*I175,"")</f>
        <v/>
      </c>
      <c r="L190" s="201" t="inlineStr">
        <is>
          <t>Cum</t>
        </is>
      </c>
      <c r="M190" s="232" t="n"/>
    </row>
    <row r="191" ht="15" customFormat="1" customHeight="1" s="206">
      <c r="A191" s="201" t="n"/>
      <c r="B191" s="266" t="inlineStr">
        <is>
          <t>B9</t>
        </is>
      </c>
      <c r="C191" s="247" t="n">
        <v>1</v>
      </c>
      <c r="D191" s="206" t="inlineStr">
        <is>
          <t>x</t>
        </is>
      </c>
      <c r="E191" s="263" t="n">
        <v>2.91</v>
      </c>
      <c r="F191" s="199" t="inlineStr">
        <is>
          <t>x</t>
        </is>
      </c>
      <c r="G191" s="263" t="n">
        <v>0.23</v>
      </c>
      <c r="H191" s="232" t="inlineStr">
        <is>
          <t>x</t>
        </is>
      </c>
      <c r="I191" s="205" t="n">
        <v>0.45</v>
      </c>
      <c r="J191" s="233" t="inlineStr">
        <is>
          <t>=</t>
        </is>
      </c>
      <c r="K191" s="205">
        <f>IF(C176,C176*E176*G176*I176,"")</f>
        <v/>
      </c>
      <c r="L191" s="201" t="inlineStr">
        <is>
          <t>Cum</t>
        </is>
      </c>
      <c r="M191" s="232" t="n"/>
    </row>
    <row r="192" ht="15.75" customFormat="1" customHeight="1" s="206">
      <c r="A192" s="201" t="n"/>
      <c r="B192" s="266" t="inlineStr">
        <is>
          <t>B10</t>
        </is>
      </c>
      <c r="C192" s="247" t="n">
        <v>1</v>
      </c>
      <c r="D192" s="206" t="inlineStr">
        <is>
          <t>x</t>
        </is>
      </c>
      <c r="E192" s="263" t="n">
        <v>1.8</v>
      </c>
      <c r="F192" s="199" t="inlineStr">
        <is>
          <t>x</t>
        </is>
      </c>
      <c r="G192" s="263" t="n">
        <v>0.23</v>
      </c>
      <c r="H192" s="232" t="inlineStr">
        <is>
          <t>x</t>
        </is>
      </c>
      <c r="I192" s="205" t="n">
        <v>0.45</v>
      </c>
      <c r="J192" s="233" t="inlineStr">
        <is>
          <t>=</t>
        </is>
      </c>
      <c r="K192" s="205">
        <f>IF(C177,C177*E177*G177*I177,"")</f>
        <v/>
      </c>
      <c r="L192" s="201" t="inlineStr">
        <is>
          <t>Cum</t>
        </is>
      </c>
      <c r="M192" s="232" t="n"/>
    </row>
    <row r="193" ht="15.75" customFormat="1" customHeight="1" s="206">
      <c r="A193" s="201" t="n"/>
      <c r="B193" s="266" t="inlineStr">
        <is>
          <t>B11</t>
        </is>
      </c>
      <c r="C193" s="247" t="n">
        <v>1</v>
      </c>
      <c r="D193" s="206" t="inlineStr">
        <is>
          <t>x</t>
        </is>
      </c>
      <c r="E193" s="263" t="n">
        <v>3.58</v>
      </c>
      <c r="F193" s="199" t="inlineStr">
        <is>
          <t>x</t>
        </is>
      </c>
      <c r="G193" s="263" t="n">
        <v>0.23</v>
      </c>
      <c r="H193" s="232" t="inlineStr">
        <is>
          <t>x</t>
        </is>
      </c>
      <c r="I193" s="205" t="n">
        <v>0.45</v>
      </c>
      <c r="J193" s="233" t="inlineStr">
        <is>
          <t>=</t>
        </is>
      </c>
      <c r="K193" s="205">
        <f>IF(C178,C178*E178*G178*I178,"")</f>
        <v/>
      </c>
      <c r="L193" s="201" t="inlineStr">
        <is>
          <t>Cum</t>
        </is>
      </c>
      <c r="M193" s="232" t="n"/>
    </row>
    <row r="194" ht="15.75" customFormat="1" customHeight="1" s="206">
      <c r="A194" s="201" t="n"/>
      <c r="B194" s="266" t="inlineStr">
        <is>
          <t>B12</t>
        </is>
      </c>
      <c r="C194" s="247" t="n">
        <v>1</v>
      </c>
      <c r="D194" s="206" t="inlineStr">
        <is>
          <t>x</t>
        </is>
      </c>
      <c r="E194" s="263" t="n">
        <v>6.43</v>
      </c>
      <c r="F194" s="199" t="inlineStr">
        <is>
          <t>x</t>
        </is>
      </c>
      <c r="G194" s="263" t="n">
        <v>0.23</v>
      </c>
      <c r="H194" s="232" t="inlineStr">
        <is>
          <t>x</t>
        </is>
      </c>
      <c r="I194" s="205" t="n">
        <v>0.45</v>
      </c>
      <c r="J194" s="233" t="inlineStr">
        <is>
          <t>=</t>
        </is>
      </c>
      <c r="K194" s="205">
        <f>IF(C179,C179*E179*G179*I179,"")</f>
        <v/>
      </c>
      <c r="L194" s="201" t="inlineStr">
        <is>
          <t>Cum</t>
        </is>
      </c>
      <c r="M194" s="232" t="n"/>
    </row>
    <row r="195" ht="15.75" customFormat="1" customHeight="1" s="206">
      <c r="A195" s="201" t="n"/>
      <c r="B195" s="266" t="inlineStr">
        <is>
          <t>B13</t>
        </is>
      </c>
      <c r="C195" s="247" t="n">
        <v>1</v>
      </c>
      <c r="D195" s="206" t="inlineStr">
        <is>
          <t>x</t>
        </is>
      </c>
      <c r="E195" s="263" t="n">
        <v>2.91</v>
      </c>
      <c r="F195" s="199" t="inlineStr">
        <is>
          <t>x</t>
        </is>
      </c>
      <c r="G195" s="263" t="n">
        <v>0.23</v>
      </c>
      <c r="H195" s="232" t="inlineStr">
        <is>
          <t>x</t>
        </is>
      </c>
      <c r="I195" s="205" t="n">
        <v>0.45</v>
      </c>
      <c r="J195" s="233" t="inlineStr">
        <is>
          <t>=</t>
        </is>
      </c>
      <c r="K195" s="205">
        <f>IF(C180,C180*E180*G180*I180,"")</f>
        <v/>
      </c>
      <c r="L195" s="201" t="inlineStr">
        <is>
          <t>Cum</t>
        </is>
      </c>
      <c r="M195" s="232" t="n"/>
    </row>
    <row r="196" ht="16.5" customFormat="1" customHeight="1" s="206">
      <c r="A196" s="201" t="n"/>
      <c r="B196" s="266" t="inlineStr">
        <is>
          <t>B14</t>
        </is>
      </c>
      <c r="C196" s="247" t="n">
        <v>1</v>
      </c>
      <c r="D196" s="206" t="inlineStr">
        <is>
          <t>x</t>
        </is>
      </c>
      <c r="E196" s="263" t="n">
        <v>0.29</v>
      </c>
      <c r="F196" s="199" t="inlineStr">
        <is>
          <t>x</t>
        </is>
      </c>
      <c r="G196" s="263" t="n">
        <v>0.23</v>
      </c>
      <c r="H196" s="232" t="inlineStr">
        <is>
          <t>x</t>
        </is>
      </c>
      <c r="I196" s="205" t="n">
        <v>0.45</v>
      </c>
      <c r="J196" s="233" t="inlineStr">
        <is>
          <t>=</t>
        </is>
      </c>
      <c r="K196" s="205">
        <f>IF(C181,C181*E181*G181*I181,"")</f>
        <v/>
      </c>
      <c r="L196" s="201" t="inlineStr">
        <is>
          <t>Cum</t>
        </is>
      </c>
      <c r="M196" s="232" t="n"/>
    </row>
    <row r="197" ht="15" customFormat="1" customHeight="1" s="206">
      <c r="A197" s="201" t="n"/>
      <c r="B197" s="266" t="inlineStr">
        <is>
          <t>B15</t>
        </is>
      </c>
      <c r="C197" s="247" t="n">
        <v>1</v>
      </c>
      <c r="D197" s="206" t="inlineStr">
        <is>
          <t>x</t>
        </is>
      </c>
      <c r="E197" s="263" t="n">
        <v>3.2</v>
      </c>
      <c r="F197" s="199" t="inlineStr">
        <is>
          <t>x</t>
        </is>
      </c>
      <c r="G197" s="263" t="n">
        <v>0.23</v>
      </c>
      <c r="H197" s="232" t="inlineStr">
        <is>
          <t>x</t>
        </is>
      </c>
      <c r="I197" s="205" t="n">
        <v>0.45</v>
      </c>
      <c r="J197" s="233" t="inlineStr">
        <is>
          <t>=</t>
        </is>
      </c>
      <c r="K197" s="205">
        <f>IF(C182,C182*E182*G182*I182,"")</f>
        <v/>
      </c>
      <c r="L197" s="201" t="inlineStr">
        <is>
          <t>Cum</t>
        </is>
      </c>
      <c r="M197" s="232" t="n"/>
    </row>
    <row r="198" ht="15" customFormat="1" customHeight="1" s="206">
      <c r="A198" s="201" t="n"/>
      <c r="B198" s="266" t="inlineStr">
        <is>
          <t>B16</t>
        </is>
      </c>
      <c r="C198" s="247" t="n">
        <v>1</v>
      </c>
      <c r="D198" s="206" t="inlineStr">
        <is>
          <t>x</t>
        </is>
      </c>
      <c r="E198" s="263" t="n">
        <v>1.8</v>
      </c>
      <c r="F198" s="199" t="inlineStr">
        <is>
          <t>x</t>
        </is>
      </c>
      <c r="G198" s="263" t="n">
        <v>0.23</v>
      </c>
      <c r="H198" s="232" t="inlineStr">
        <is>
          <t>x</t>
        </is>
      </c>
      <c r="I198" s="205" t="n">
        <v>0.45</v>
      </c>
      <c r="J198" s="233" t="inlineStr">
        <is>
          <t>=</t>
        </is>
      </c>
      <c r="K198" s="205">
        <f>IF(C183,C183*E183*G183*I183,"")</f>
        <v/>
      </c>
      <c r="L198" s="201" t="inlineStr">
        <is>
          <t>Cum</t>
        </is>
      </c>
      <c r="M198" s="232" t="n"/>
    </row>
    <row r="199" ht="15" customFormat="1" customHeight="1" s="206">
      <c r="A199" s="201" t="n"/>
      <c r="B199" s="266" t="inlineStr">
        <is>
          <t>B17</t>
        </is>
      </c>
      <c r="C199" s="247" t="n">
        <v>1</v>
      </c>
      <c r="D199" s="206" t="inlineStr">
        <is>
          <t>x</t>
        </is>
      </c>
      <c r="E199" s="263" t="n">
        <v>6.43</v>
      </c>
      <c r="F199" s="199" t="inlineStr">
        <is>
          <t>x</t>
        </is>
      </c>
      <c r="G199" s="263" t="n">
        <v>0.23</v>
      </c>
      <c r="H199" s="232" t="inlineStr">
        <is>
          <t>x</t>
        </is>
      </c>
      <c r="I199" s="205" t="n">
        <v>0.45</v>
      </c>
      <c r="J199" s="233" t="inlineStr">
        <is>
          <t>=</t>
        </is>
      </c>
      <c r="K199" s="205">
        <f>IF(C184,C184*E184*G184*I184,"")</f>
        <v/>
      </c>
      <c r="L199" s="201" t="inlineStr">
        <is>
          <t>Cum</t>
        </is>
      </c>
      <c r="M199" s="232" t="n"/>
    </row>
    <row r="200" ht="15" customFormat="1" customHeight="1" s="206">
      <c r="A200" s="201" t="n"/>
      <c r="B200" s="266" t="inlineStr">
        <is>
          <t>B18</t>
        </is>
      </c>
      <c r="C200" s="247" t="n">
        <v>1</v>
      </c>
      <c r="D200" s="206" t="inlineStr">
        <is>
          <t>x</t>
        </is>
      </c>
      <c r="E200" s="263" t="n">
        <v>3.58</v>
      </c>
      <c r="F200" s="199" t="inlineStr">
        <is>
          <t>x</t>
        </is>
      </c>
      <c r="G200" s="263" t="n">
        <v>0.23</v>
      </c>
      <c r="H200" s="232" t="inlineStr">
        <is>
          <t>x</t>
        </is>
      </c>
      <c r="I200" s="205" t="n">
        <v>0.45</v>
      </c>
      <c r="J200" s="233" t="inlineStr">
        <is>
          <t>=</t>
        </is>
      </c>
      <c r="K200" s="205">
        <f>IF(C185,C185*E185*G185*I185,"")</f>
        <v/>
      </c>
      <c r="L200" s="201" t="inlineStr">
        <is>
          <t>Cum</t>
        </is>
      </c>
      <c r="M200" s="232" t="n"/>
    </row>
    <row r="201" ht="15" customFormat="1" customHeight="1" s="206">
      <c r="A201" s="247" t="n"/>
      <c r="B201" s="266" t="inlineStr">
        <is>
          <t>B19</t>
        </is>
      </c>
      <c r="C201" s="247" t="n">
        <v>1</v>
      </c>
      <c r="D201" s="206" t="inlineStr">
        <is>
          <t>x</t>
        </is>
      </c>
      <c r="E201" s="263" t="n">
        <v>6.43</v>
      </c>
      <c r="F201" s="199" t="inlineStr">
        <is>
          <t>x</t>
        </is>
      </c>
      <c r="G201" s="263" t="n">
        <v>0.23</v>
      </c>
      <c r="H201" s="232" t="inlineStr">
        <is>
          <t>x</t>
        </is>
      </c>
      <c r="I201" s="205" t="n">
        <v>0.45</v>
      </c>
      <c r="J201" s="233" t="inlineStr">
        <is>
          <t>=</t>
        </is>
      </c>
      <c r="K201" s="205">
        <f>IF(C186,C186*E186*G186*I186,"")</f>
        <v/>
      </c>
      <c r="L201" s="201" t="inlineStr">
        <is>
          <t>Cum</t>
        </is>
      </c>
      <c r="M201" s="232" t="n"/>
    </row>
    <row r="202" ht="15.75" customFormat="1" customHeight="1" s="206">
      <c r="A202" s="201" t="n"/>
      <c r="B202" s="266" t="inlineStr">
        <is>
          <t>B20</t>
        </is>
      </c>
      <c r="C202" s="247" t="n">
        <v>1</v>
      </c>
      <c r="D202" s="206" t="inlineStr">
        <is>
          <t>x</t>
        </is>
      </c>
      <c r="E202" s="263" t="n">
        <v>3.2</v>
      </c>
      <c r="F202" s="199" t="inlineStr">
        <is>
          <t>x</t>
        </is>
      </c>
      <c r="G202" s="263" t="n">
        <v>0.23</v>
      </c>
      <c r="H202" s="232" t="inlineStr">
        <is>
          <t>x</t>
        </is>
      </c>
      <c r="I202" s="205" t="n">
        <v>0.45</v>
      </c>
      <c r="J202" s="233" t="inlineStr">
        <is>
          <t>=</t>
        </is>
      </c>
      <c r="K202" s="205">
        <f>IF(C187,C187*E187*G187*I187,"")</f>
        <v/>
      </c>
      <c r="L202" s="201" t="inlineStr">
        <is>
          <t>Cum</t>
        </is>
      </c>
      <c r="M202" s="232" t="n"/>
    </row>
    <row r="203" ht="15.75" customFormat="1" customHeight="1" s="206">
      <c r="A203" s="201" t="n"/>
      <c r="B203" s="266" t="inlineStr">
        <is>
          <t>B21</t>
        </is>
      </c>
      <c r="C203" s="247" t="n">
        <v>1</v>
      </c>
      <c r="D203" s="206" t="inlineStr">
        <is>
          <t>x</t>
        </is>
      </c>
      <c r="E203" s="263" t="n">
        <v>3.2</v>
      </c>
      <c r="F203" s="199" t="inlineStr">
        <is>
          <t>x</t>
        </is>
      </c>
      <c r="G203" s="263" t="n">
        <v>0.23</v>
      </c>
      <c r="H203" s="232" t="inlineStr">
        <is>
          <t>x</t>
        </is>
      </c>
      <c r="I203" s="205" t="n">
        <v>0.45</v>
      </c>
      <c r="J203" s="233" t="inlineStr">
        <is>
          <t>=</t>
        </is>
      </c>
      <c r="K203" s="205">
        <f>IF(C188,C188*E188*G188*I188,"")</f>
        <v/>
      </c>
      <c r="L203" s="201" t="inlineStr">
        <is>
          <t>Cum</t>
        </is>
      </c>
      <c r="M203" s="232" t="n"/>
    </row>
    <row r="204" ht="15" customFormat="1" customHeight="1" s="206">
      <c r="A204" s="201" t="n"/>
      <c r="B204" s="266" t="inlineStr">
        <is>
          <t>B22</t>
        </is>
      </c>
      <c r="C204" s="247" t="n">
        <v>1</v>
      </c>
      <c r="D204" s="206" t="inlineStr">
        <is>
          <t>x</t>
        </is>
      </c>
      <c r="E204" s="263" t="n">
        <v>5.33</v>
      </c>
      <c r="F204" s="199" t="inlineStr">
        <is>
          <t>x</t>
        </is>
      </c>
      <c r="G204" s="263" t="n">
        <v>0.23</v>
      </c>
      <c r="H204" s="232" t="inlineStr">
        <is>
          <t>x</t>
        </is>
      </c>
      <c r="I204" s="205" t="n">
        <v>0.45</v>
      </c>
      <c r="J204" s="233" t="inlineStr">
        <is>
          <t>=</t>
        </is>
      </c>
      <c r="K204" s="205">
        <f>IF(C189,C189*E189*G189*I189,"")</f>
        <v/>
      </c>
      <c r="L204" s="201" t="inlineStr">
        <is>
          <t>Cum</t>
        </is>
      </c>
      <c r="M204" s="232" t="n"/>
    </row>
    <row r="205" ht="15" customFormat="1" customHeight="1" s="206">
      <c r="A205" s="201" t="n"/>
      <c r="B205" s="266" t="inlineStr">
        <is>
          <t>B23</t>
        </is>
      </c>
      <c r="C205" s="247" t="n">
        <v>1</v>
      </c>
      <c r="D205" s="206" t="inlineStr">
        <is>
          <t>x</t>
        </is>
      </c>
      <c r="E205" s="263" t="n">
        <v>1.8</v>
      </c>
      <c r="F205" s="199" t="inlineStr">
        <is>
          <t>x</t>
        </is>
      </c>
      <c r="G205" s="263" t="n">
        <v>0.23</v>
      </c>
      <c r="H205" s="232" t="inlineStr">
        <is>
          <t>x</t>
        </is>
      </c>
      <c r="I205" s="205" t="n">
        <v>0.45</v>
      </c>
      <c r="J205" s="233" t="inlineStr">
        <is>
          <t>=</t>
        </is>
      </c>
      <c r="K205" s="205">
        <f>IF(C190,C190*E190*G190*I190,"")</f>
        <v/>
      </c>
      <c r="L205" s="201" t="inlineStr">
        <is>
          <t>Cum</t>
        </is>
      </c>
      <c r="M205" s="232" t="n"/>
    </row>
    <row r="206" ht="15" customFormat="1" customHeight="1" s="206">
      <c r="A206" s="201" t="n"/>
      <c r="B206" s="266" t="inlineStr">
        <is>
          <t>B24</t>
        </is>
      </c>
      <c r="C206" s="247" t="n">
        <v>1</v>
      </c>
      <c r="D206" s="206" t="inlineStr">
        <is>
          <t>x</t>
        </is>
      </c>
      <c r="E206" s="263" t="n">
        <v>1.5</v>
      </c>
      <c r="F206" s="199" t="inlineStr">
        <is>
          <t>x</t>
        </is>
      </c>
      <c r="G206" s="263" t="n">
        <v>0.23</v>
      </c>
      <c r="H206" s="232" t="inlineStr">
        <is>
          <t>x</t>
        </is>
      </c>
      <c r="I206" s="205" t="n">
        <v>0.45</v>
      </c>
      <c r="J206" s="233" t="inlineStr">
        <is>
          <t>=</t>
        </is>
      </c>
      <c r="K206" s="205">
        <f>IF(C191,C191*E191*G191*I191,"")</f>
        <v/>
      </c>
      <c r="L206" s="201" t="inlineStr">
        <is>
          <t>Cum</t>
        </is>
      </c>
      <c r="M206" s="232" t="n"/>
    </row>
    <row r="207" ht="15" customFormat="1" customHeight="1" s="206">
      <c r="A207" s="201" t="n"/>
      <c r="B207" s="266" t="inlineStr">
        <is>
          <t>B25</t>
        </is>
      </c>
      <c r="C207" s="247" t="n">
        <v>1</v>
      </c>
      <c r="D207" s="206" t="inlineStr">
        <is>
          <t>x</t>
        </is>
      </c>
      <c r="E207" s="263" t="n">
        <v>7.62</v>
      </c>
      <c r="F207" s="199" t="inlineStr">
        <is>
          <t>x</t>
        </is>
      </c>
      <c r="G207" s="263" t="n">
        <v>0.23</v>
      </c>
      <c r="H207" s="232" t="inlineStr">
        <is>
          <t>x</t>
        </is>
      </c>
      <c r="I207" s="205" t="n">
        <v>0.45</v>
      </c>
      <c r="J207" s="233" t="inlineStr">
        <is>
          <t>=</t>
        </is>
      </c>
      <c r="K207" s="205">
        <f>IF(C192,C192*E192*G192*I192,"")</f>
        <v/>
      </c>
      <c r="L207" s="201" t="inlineStr">
        <is>
          <t>Cum</t>
        </is>
      </c>
      <c r="M207" s="232" t="n"/>
    </row>
    <row r="208" ht="15" customFormat="1" customHeight="1" s="206">
      <c r="A208" s="201" t="n"/>
      <c r="B208" s="266" t="inlineStr">
        <is>
          <t>B26</t>
        </is>
      </c>
      <c r="C208" s="247" t="n">
        <v>1</v>
      </c>
      <c r="D208" s="206" t="inlineStr">
        <is>
          <t>x</t>
        </is>
      </c>
      <c r="E208" s="263" t="n">
        <v>4.57</v>
      </c>
      <c r="F208" s="199" t="inlineStr">
        <is>
          <t>x</t>
        </is>
      </c>
      <c r="G208" s="263" t="n">
        <v>0.23</v>
      </c>
      <c r="H208" s="232" t="inlineStr">
        <is>
          <t>x</t>
        </is>
      </c>
      <c r="I208" s="205" t="n">
        <v>0.45</v>
      </c>
      <c r="J208" s="233" t="inlineStr">
        <is>
          <t>=</t>
        </is>
      </c>
      <c r="K208" s="205">
        <f>IF(C193,C193*E193*G193*I193,"")</f>
        <v/>
      </c>
      <c r="L208" s="201" t="inlineStr">
        <is>
          <t>Cum</t>
        </is>
      </c>
      <c r="M208" s="232" t="n"/>
    </row>
    <row r="209" ht="15" customFormat="1" customHeight="1" s="206">
      <c r="A209" s="201" t="n"/>
      <c r="B209" s="266" t="inlineStr">
        <is>
          <t>B27</t>
        </is>
      </c>
      <c r="C209" s="247" t="n">
        <v>1</v>
      </c>
      <c r="D209" s="206" t="inlineStr">
        <is>
          <t>x</t>
        </is>
      </c>
      <c r="E209" s="263" t="n">
        <v>7.62</v>
      </c>
      <c r="F209" s="199" t="inlineStr">
        <is>
          <t>x</t>
        </is>
      </c>
      <c r="G209" s="263" t="n">
        <v>0.23</v>
      </c>
      <c r="H209" s="232" t="inlineStr">
        <is>
          <t>x</t>
        </is>
      </c>
      <c r="I209" s="205" t="n">
        <v>0.45</v>
      </c>
      <c r="J209" s="233" t="inlineStr">
        <is>
          <t>=</t>
        </is>
      </c>
      <c r="K209" s="205">
        <f>IF(C194,C194*E194*G194*I194,"")</f>
        <v/>
      </c>
      <c r="L209" s="201" t="inlineStr">
        <is>
          <t>Cum</t>
        </is>
      </c>
      <c r="M209" s="232" t="n"/>
    </row>
    <row r="210" ht="15.75" customFormat="1" customHeight="1" s="206">
      <c r="A210" s="201" t="n"/>
      <c r="B210" s="266" t="inlineStr">
        <is>
          <t>B28</t>
        </is>
      </c>
      <c r="C210" s="247" t="n">
        <v>1</v>
      </c>
      <c r="D210" s="206" t="inlineStr">
        <is>
          <t>x</t>
        </is>
      </c>
      <c r="E210" s="263" t="n">
        <v>1.5</v>
      </c>
      <c r="F210" s="199" t="inlineStr">
        <is>
          <t>x</t>
        </is>
      </c>
      <c r="G210" s="263" t="n">
        <v>0.23</v>
      </c>
      <c r="H210" s="232" t="inlineStr">
        <is>
          <t>x</t>
        </is>
      </c>
      <c r="I210" s="205" t="n">
        <v>0.45</v>
      </c>
      <c r="J210" s="233" t="inlineStr">
        <is>
          <t>=</t>
        </is>
      </c>
      <c r="K210" s="205">
        <f>IF(C195,C195*E195*G195*I195,"")</f>
        <v/>
      </c>
      <c r="L210" s="201" t="inlineStr">
        <is>
          <t>Cum</t>
        </is>
      </c>
      <c r="M210" s="232" t="n"/>
    </row>
    <row r="211" ht="15.75" customFormat="1" customHeight="1" s="206">
      <c r="A211" s="201" t="n"/>
      <c r="B211" s="266" t="inlineStr">
        <is>
          <t>B29</t>
        </is>
      </c>
      <c r="C211" s="247" t="n">
        <v>1</v>
      </c>
      <c r="D211" s="206" t="inlineStr">
        <is>
          <t>x</t>
        </is>
      </c>
      <c r="E211" s="263" t="n">
        <v>7.62</v>
      </c>
      <c r="F211" s="199" t="inlineStr">
        <is>
          <t>x</t>
        </is>
      </c>
      <c r="G211" s="263" t="n">
        <v>0.23</v>
      </c>
      <c r="H211" s="232" t="inlineStr">
        <is>
          <t>x</t>
        </is>
      </c>
      <c r="I211" s="205" t="n">
        <v>0.45</v>
      </c>
      <c r="J211" s="233" t="inlineStr">
        <is>
          <t>=</t>
        </is>
      </c>
      <c r="K211" s="205">
        <f>IF(C196,C196*E196*G196*I196,"")</f>
        <v/>
      </c>
      <c r="L211" s="201" t="inlineStr">
        <is>
          <t>Cum</t>
        </is>
      </c>
      <c r="M211" s="232" t="n"/>
    </row>
    <row r="212" ht="15.75" customFormat="1" customHeight="1" s="206">
      <c r="A212" s="201" t="n"/>
      <c r="B212" s="266" t="inlineStr">
        <is>
          <t>B30</t>
        </is>
      </c>
      <c r="C212" s="247" t="n">
        <v>1</v>
      </c>
      <c r="D212" s="206" t="inlineStr">
        <is>
          <t>x</t>
        </is>
      </c>
      <c r="E212" s="263" t="n">
        <v>4.57</v>
      </c>
      <c r="F212" s="199" t="inlineStr">
        <is>
          <t>x</t>
        </is>
      </c>
      <c r="G212" s="263" t="n">
        <v>0.23</v>
      </c>
      <c r="H212" s="232" t="inlineStr">
        <is>
          <t>x</t>
        </is>
      </c>
      <c r="I212" s="205" t="n">
        <v>0.45</v>
      </c>
      <c r="J212" s="233" t="inlineStr">
        <is>
          <t>=</t>
        </is>
      </c>
      <c r="K212" s="205">
        <f>IF(C197,C197*E197*G197*I197,"")</f>
        <v/>
      </c>
      <c r="L212" s="201" t="inlineStr">
        <is>
          <t>Cum</t>
        </is>
      </c>
      <c r="M212" s="232" t="n"/>
    </row>
    <row r="213" ht="15.75" customFormat="1" customHeight="1" s="206">
      <c r="A213" s="201" t="n"/>
      <c r="B213" s="266" t="inlineStr">
        <is>
          <t>B31</t>
        </is>
      </c>
      <c r="C213" s="247" t="n">
        <v>1</v>
      </c>
      <c r="D213" s="206" t="inlineStr">
        <is>
          <t>x</t>
        </is>
      </c>
      <c r="E213" s="263" t="n">
        <v>7.62</v>
      </c>
      <c r="F213" s="199" t="inlineStr">
        <is>
          <t>x</t>
        </is>
      </c>
      <c r="G213" s="263" t="n">
        <v>0.23</v>
      </c>
      <c r="H213" s="232" t="inlineStr">
        <is>
          <t>x</t>
        </is>
      </c>
      <c r="I213" s="205" t="n">
        <v>0.45</v>
      </c>
      <c r="J213" s="233" t="inlineStr">
        <is>
          <t>=</t>
        </is>
      </c>
      <c r="K213" s="205">
        <f>IF(C198,C198*E198*G198*I198,"")</f>
        <v/>
      </c>
      <c r="L213" s="201" t="inlineStr">
        <is>
          <t>Cum</t>
        </is>
      </c>
      <c r="M213" s="232" t="n"/>
    </row>
    <row r="214" ht="36.75" customFormat="1" customHeight="1" s="206">
      <c r="A214" s="201" t="n"/>
      <c r="B214" s="266" t="inlineStr">
        <is>
          <t>B32</t>
        </is>
      </c>
      <c r="C214" s="247" t="n">
        <v>1</v>
      </c>
      <c r="D214" s="206" t="inlineStr">
        <is>
          <t>x</t>
        </is>
      </c>
      <c r="E214" s="263" t="n">
        <v>1.5</v>
      </c>
      <c r="F214" s="199" t="inlineStr">
        <is>
          <t>x</t>
        </is>
      </c>
      <c r="G214" s="263" t="n">
        <v>0.23</v>
      </c>
      <c r="H214" s="232" t="inlineStr">
        <is>
          <t>x</t>
        </is>
      </c>
      <c r="I214" s="205" t="n">
        <v>0.45</v>
      </c>
      <c r="J214" s="233" t="inlineStr">
        <is>
          <t>=</t>
        </is>
      </c>
      <c r="K214" s="205">
        <f>IF(C199,C199*E199*G199*I199,"")</f>
        <v/>
      </c>
      <c r="L214" s="201" t="inlineStr">
        <is>
          <t>Cum</t>
        </is>
      </c>
      <c r="M214" s="232" t="n"/>
    </row>
    <row r="215" ht="16.5" customFormat="1" customHeight="1" s="206">
      <c r="A215" s="201" t="n"/>
      <c r="B215" s="266" t="inlineStr">
        <is>
          <t>B33</t>
        </is>
      </c>
      <c r="C215" s="247" t="n">
        <v>1</v>
      </c>
      <c r="D215" s="206" t="inlineStr">
        <is>
          <t>x</t>
        </is>
      </c>
      <c r="E215" s="263" t="n">
        <v>7.62</v>
      </c>
      <c r="F215" s="199" t="inlineStr">
        <is>
          <t>x</t>
        </is>
      </c>
      <c r="G215" s="263" t="n">
        <v>0.23</v>
      </c>
      <c r="H215" s="232" t="inlineStr">
        <is>
          <t>x</t>
        </is>
      </c>
      <c r="I215" s="205" t="n">
        <v>0.45</v>
      </c>
      <c r="J215" s="233" t="inlineStr">
        <is>
          <t>=</t>
        </is>
      </c>
      <c r="K215" s="205">
        <f>IF(C200,C200*E200*G200*I200,"")</f>
        <v/>
      </c>
      <c r="L215" s="201" t="inlineStr">
        <is>
          <t>Cum</t>
        </is>
      </c>
      <c r="M215" s="232" t="n"/>
    </row>
    <row r="216" ht="15.75" customFormat="1" customHeight="1" s="206">
      <c r="A216" s="201" t="n"/>
      <c r="B216" s="266" t="inlineStr">
        <is>
          <t>B34</t>
        </is>
      </c>
      <c r="C216" s="247" t="n">
        <v>1</v>
      </c>
      <c r="D216" s="206" t="inlineStr">
        <is>
          <t>x</t>
        </is>
      </c>
      <c r="E216" s="263" t="n">
        <v>4.57</v>
      </c>
      <c r="F216" s="199" t="inlineStr">
        <is>
          <t>x</t>
        </is>
      </c>
      <c r="G216" s="263" t="n">
        <v>0.23</v>
      </c>
      <c r="H216" s="232" t="inlineStr">
        <is>
          <t>x</t>
        </is>
      </c>
      <c r="I216" s="205" t="n">
        <v>0.45</v>
      </c>
      <c r="J216" s="233" t="inlineStr">
        <is>
          <t>=</t>
        </is>
      </c>
      <c r="K216" s="205">
        <f>IF(C201,C201*E201*G201*I201,"")</f>
        <v/>
      </c>
      <c r="L216" s="201" t="inlineStr">
        <is>
          <t>Cum</t>
        </is>
      </c>
      <c r="M216" s="232" t="n"/>
    </row>
    <row r="217" ht="30.75" customFormat="1" customHeight="1" s="206">
      <c r="A217" s="201" t="n"/>
      <c r="B217" s="266" t="inlineStr">
        <is>
          <t>B35</t>
        </is>
      </c>
      <c r="C217" s="247" t="n">
        <v>1</v>
      </c>
      <c r="D217" s="206" t="inlineStr">
        <is>
          <t>x</t>
        </is>
      </c>
      <c r="E217" s="263" t="n">
        <v>4.57</v>
      </c>
      <c r="F217" s="199" t="inlineStr">
        <is>
          <t>x</t>
        </is>
      </c>
      <c r="G217" s="263" t="n">
        <v>0.23</v>
      </c>
      <c r="H217" s="232" t="inlineStr">
        <is>
          <t>x</t>
        </is>
      </c>
      <c r="I217" s="205" t="n">
        <v>0.45</v>
      </c>
      <c r="J217" s="233" t="inlineStr">
        <is>
          <t>=</t>
        </is>
      </c>
      <c r="K217" s="205">
        <f>IF(C202,C202*E202*G202*I202,"")</f>
        <v/>
      </c>
      <c r="L217" s="201" t="inlineStr">
        <is>
          <t>Cum</t>
        </is>
      </c>
      <c r="M217" s="232" t="n"/>
    </row>
    <row r="218" ht="36.75" customFormat="1" customHeight="1" s="206">
      <c r="A218" s="201" t="n"/>
      <c r="B218" s="266" t="inlineStr">
        <is>
          <t>B36</t>
        </is>
      </c>
      <c r="C218" s="247" t="n">
        <v>1</v>
      </c>
      <c r="D218" s="206" t="inlineStr">
        <is>
          <t>x</t>
        </is>
      </c>
      <c r="E218" s="263" t="n">
        <v>7.62</v>
      </c>
      <c r="F218" s="199" t="inlineStr">
        <is>
          <t>x</t>
        </is>
      </c>
      <c r="G218" s="263" t="n">
        <v>0.23</v>
      </c>
      <c r="H218" s="232" t="inlineStr">
        <is>
          <t>x</t>
        </is>
      </c>
      <c r="I218" s="205" t="n">
        <v>0.45</v>
      </c>
      <c r="J218" s="233" t="inlineStr">
        <is>
          <t>=</t>
        </is>
      </c>
      <c r="K218" s="205">
        <f>IF(C203,C203*E203*G203*I203,"")</f>
        <v/>
      </c>
      <c r="L218" s="201" t="inlineStr">
        <is>
          <t>Cum</t>
        </is>
      </c>
      <c r="M218" s="232" t="n"/>
    </row>
    <row r="219" ht="15" customFormat="1" customHeight="1" s="206">
      <c r="A219" s="247" t="n"/>
      <c r="B219" s="266" t="inlineStr">
        <is>
          <t>B37</t>
        </is>
      </c>
      <c r="C219" s="247" t="n">
        <v>1</v>
      </c>
      <c r="D219" s="206" t="inlineStr">
        <is>
          <t>x</t>
        </is>
      </c>
      <c r="E219" s="263" t="n">
        <v>4.57</v>
      </c>
      <c r="F219" s="199" t="inlineStr">
        <is>
          <t>x</t>
        </is>
      </c>
      <c r="G219" s="263" t="n">
        <v>0.23</v>
      </c>
      <c r="H219" s="232" t="inlineStr">
        <is>
          <t>x</t>
        </is>
      </c>
      <c r="I219" s="205" t="n">
        <v>0.45</v>
      </c>
      <c r="J219" s="233" t="inlineStr">
        <is>
          <t>=</t>
        </is>
      </c>
      <c r="K219" s="205">
        <f>IF(C204,C204*E204*G204*I204,"")</f>
        <v/>
      </c>
      <c r="L219" s="201" t="inlineStr">
        <is>
          <t>Cum</t>
        </is>
      </c>
      <c r="M219" s="232" t="n"/>
    </row>
    <row r="220" ht="128.25" customFormat="1" customHeight="1" s="206">
      <c r="A220" s="201" t="n"/>
      <c r="B220" s="266" t="inlineStr">
        <is>
          <t>B38</t>
        </is>
      </c>
      <c r="C220" s="247" t="n">
        <v>1</v>
      </c>
      <c r="D220" s="206" t="inlineStr">
        <is>
          <t>x</t>
        </is>
      </c>
      <c r="E220" s="263" t="n">
        <v>7.62</v>
      </c>
      <c r="F220" s="199" t="inlineStr">
        <is>
          <t>x</t>
        </is>
      </c>
      <c r="G220" s="263" t="n">
        <v>0.23</v>
      </c>
      <c r="H220" s="232" t="inlineStr">
        <is>
          <t>x</t>
        </is>
      </c>
      <c r="I220" s="205" t="n">
        <v>0.45</v>
      </c>
      <c r="J220" s="233" t="inlineStr">
        <is>
          <t>=</t>
        </is>
      </c>
      <c r="K220" s="205">
        <f>IF(C205,C205*E205*G205*I205,"")</f>
        <v/>
      </c>
      <c r="L220" s="201" t="inlineStr">
        <is>
          <t>Cum</t>
        </is>
      </c>
      <c r="M220" s="232" t="n"/>
    </row>
    <row r="221" ht="36.75" customFormat="1" customHeight="1" s="206">
      <c r="A221" s="201" t="n"/>
      <c r="B221" s="266" t="inlineStr">
        <is>
          <t>B39</t>
        </is>
      </c>
      <c r="C221" s="247" t="n">
        <v>1</v>
      </c>
      <c r="D221" s="206" t="inlineStr">
        <is>
          <t>x</t>
        </is>
      </c>
      <c r="E221" s="263" t="n">
        <v>7.62</v>
      </c>
      <c r="F221" s="199" t="inlineStr">
        <is>
          <t>x</t>
        </is>
      </c>
      <c r="G221" s="263" t="n">
        <v>0.23</v>
      </c>
      <c r="H221" s="232" t="inlineStr">
        <is>
          <t>x</t>
        </is>
      </c>
      <c r="I221" s="205" t="n">
        <v>0.45</v>
      </c>
      <c r="J221" s="233" t="inlineStr">
        <is>
          <t>=</t>
        </is>
      </c>
      <c r="K221" s="205">
        <f>IF(C206,C206*E206*G206*I206,"")</f>
        <v/>
      </c>
      <c r="L221" s="201" t="inlineStr">
        <is>
          <t>Cum</t>
        </is>
      </c>
      <c r="M221" s="232" t="n"/>
    </row>
    <row r="222" ht="36.75" customFormat="1" customHeight="1" s="206">
      <c r="A222" s="201" t="n"/>
      <c r="B222" s="266" t="inlineStr">
        <is>
          <t>B40</t>
        </is>
      </c>
      <c r="C222" s="247" t="n">
        <v>1</v>
      </c>
      <c r="D222" s="206" t="inlineStr">
        <is>
          <t>x</t>
        </is>
      </c>
      <c r="E222" s="263" t="n">
        <v>2.34</v>
      </c>
      <c r="F222" s="199" t="inlineStr">
        <is>
          <t>x</t>
        </is>
      </c>
      <c r="G222" s="263" t="n">
        <v>0.23</v>
      </c>
      <c r="H222" s="232" t="inlineStr">
        <is>
          <t>x</t>
        </is>
      </c>
      <c r="I222" s="205" t="n">
        <v>0.45</v>
      </c>
      <c r="J222" s="233" t="inlineStr">
        <is>
          <t>=</t>
        </is>
      </c>
      <c r="K222" s="205">
        <f>IF(C207,C207*E207*G207*I207,"")</f>
        <v/>
      </c>
      <c r="L222" s="201" t="inlineStr">
        <is>
          <t>Cum</t>
        </is>
      </c>
      <c r="M222" s="232" t="n"/>
    </row>
    <row r="223" ht="15" customFormat="1" customHeight="1" s="206">
      <c r="A223" s="201" t="n"/>
      <c r="B223" s="266" t="inlineStr">
        <is>
          <t>B41</t>
        </is>
      </c>
      <c r="C223" s="247" t="n">
        <v>1</v>
      </c>
      <c r="D223" s="206" t="inlineStr">
        <is>
          <t>x</t>
        </is>
      </c>
      <c r="E223" s="263" t="n">
        <v>9.550000000000001</v>
      </c>
      <c r="F223" s="199" t="inlineStr">
        <is>
          <t>x</t>
        </is>
      </c>
      <c r="G223" s="263" t="n">
        <v>0.23</v>
      </c>
      <c r="H223" s="232" t="inlineStr">
        <is>
          <t>x</t>
        </is>
      </c>
      <c r="I223" s="205" t="n">
        <v>0.45</v>
      </c>
      <c r="J223" s="233" t="inlineStr">
        <is>
          <t>=</t>
        </is>
      </c>
      <c r="K223" s="205">
        <f>IF(C208,C208*E208*G208*I208,"")</f>
        <v/>
      </c>
      <c r="L223" s="201" t="inlineStr">
        <is>
          <t>Cum</t>
        </is>
      </c>
      <c r="M223" s="232" t="n"/>
    </row>
    <row r="224" ht="15" customFormat="1" customHeight="1" s="206">
      <c r="A224" s="201" t="n"/>
      <c r="B224" s="266" t="inlineStr">
        <is>
          <t>B42</t>
        </is>
      </c>
      <c r="C224" s="247" t="n">
        <v>1</v>
      </c>
      <c r="D224" s="206" t="inlineStr">
        <is>
          <t>x</t>
        </is>
      </c>
      <c r="E224" s="263" t="n">
        <v>9.550000000000001</v>
      </c>
      <c r="F224" s="199" t="inlineStr">
        <is>
          <t>x</t>
        </is>
      </c>
      <c r="G224" s="263" t="n">
        <v>0.23</v>
      </c>
      <c r="H224" s="232" t="inlineStr">
        <is>
          <t>x</t>
        </is>
      </c>
      <c r="I224" s="205" t="n">
        <v>0.45</v>
      </c>
      <c r="J224" s="233" t="inlineStr">
        <is>
          <t>=</t>
        </is>
      </c>
      <c r="K224" s="205">
        <f>IF(C209,C209*E209*G209*I209,"")</f>
        <v/>
      </c>
      <c r="L224" s="201" t="inlineStr">
        <is>
          <t>Cum</t>
        </is>
      </c>
      <c r="M224" s="232" t="n"/>
    </row>
    <row r="225" ht="15" customFormat="1" customHeight="1" s="206">
      <c r="A225" s="201" t="n"/>
      <c r="B225" s="266" t="inlineStr">
        <is>
          <t>B43</t>
        </is>
      </c>
      <c r="C225" s="247" t="n">
        <v>1</v>
      </c>
      <c r="D225" s="206" t="inlineStr">
        <is>
          <t>x</t>
        </is>
      </c>
      <c r="E225" s="263" t="n">
        <v>5.75</v>
      </c>
      <c r="F225" s="199" t="inlineStr">
        <is>
          <t>x</t>
        </is>
      </c>
      <c r="G225" s="263" t="n">
        <v>0.23</v>
      </c>
      <c r="H225" s="232" t="inlineStr">
        <is>
          <t>x</t>
        </is>
      </c>
      <c r="I225" s="205" t="n">
        <v>0.45</v>
      </c>
      <c r="J225" s="233" t="inlineStr">
        <is>
          <t>=</t>
        </is>
      </c>
      <c r="K225" s="205">
        <f>IF(C210,C210*E210*G210*I210,"")</f>
        <v/>
      </c>
      <c r="L225" s="201" t="inlineStr">
        <is>
          <t>Cum</t>
        </is>
      </c>
      <c r="M225" s="232" t="n"/>
    </row>
    <row r="226" ht="36.75" customFormat="1" customHeight="1" s="206">
      <c r="A226" s="201" t="n"/>
      <c r="B226" s="266" t="inlineStr">
        <is>
          <t>B44</t>
        </is>
      </c>
      <c r="C226" s="247" t="n">
        <v>1</v>
      </c>
      <c r="D226" s="206" t="inlineStr">
        <is>
          <t>x</t>
        </is>
      </c>
      <c r="E226" s="263" t="n">
        <v>5.75</v>
      </c>
      <c r="F226" s="199" t="inlineStr">
        <is>
          <t>x</t>
        </is>
      </c>
      <c r="G226" s="263" t="n">
        <v>0.23</v>
      </c>
      <c r="H226" s="232" t="inlineStr">
        <is>
          <t>x</t>
        </is>
      </c>
      <c r="I226" s="205" t="n">
        <v>0.45</v>
      </c>
      <c r="J226" s="233" t="inlineStr">
        <is>
          <t>=</t>
        </is>
      </c>
      <c r="K226" s="205">
        <f>IF(C211,C211*E211*G211*I211,"")</f>
        <v/>
      </c>
      <c r="L226" s="201" t="inlineStr">
        <is>
          <t>Cum</t>
        </is>
      </c>
      <c r="M226" s="232" t="n"/>
    </row>
    <row r="227" ht="36.75" customFormat="1" customHeight="1" s="206">
      <c r="A227" s="201" t="n"/>
      <c r="B227" s="266" t="inlineStr">
        <is>
          <t>B45</t>
        </is>
      </c>
      <c r="C227" s="247" t="n">
        <v>1</v>
      </c>
      <c r="D227" s="206" t="inlineStr">
        <is>
          <t>x</t>
        </is>
      </c>
      <c r="E227" s="263" t="n">
        <v>9.300000000000001</v>
      </c>
      <c r="F227" s="199" t="inlineStr">
        <is>
          <t>x</t>
        </is>
      </c>
      <c r="G227" s="263" t="n">
        <v>0.23</v>
      </c>
      <c r="H227" s="232" t="inlineStr">
        <is>
          <t>x</t>
        </is>
      </c>
      <c r="I227" s="205" t="n">
        <v>0.45</v>
      </c>
      <c r="J227" s="233" t="inlineStr">
        <is>
          <t>=</t>
        </is>
      </c>
      <c r="K227" s="205">
        <f>IF(C212,C212*E212*G212*I212,"")</f>
        <v/>
      </c>
      <c r="L227" s="201" t="inlineStr">
        <is>
          <t>Cum</t>
        </is>
      </c>
      <c r="M227" s="232" t="n"/>
    </row>
    <row r="228" ht="36.75" customFormat="1" customHeight="1" s="206">
      <c r="A228" s="201" t="n"/>
      <c r="B228" s="266" t="inlineStr">
        <is>
          <t>B46</t>
        </is>
      </c>
      <c r="C228" s="247" t="n">
        <v>1</v>
      </c>
      <c r="D228" s="206" t="inlineStr">
        <is>
          <t>x</t>
        </is>
      </c>
      <c r="E228" s="263" t="n">
        <v>9.300000000000001</v>
      </c>
      <c r="F228" s="199" t="inlineStr">
        <is>
          <t>x</t>
        </is>
      </c>
      <c r="G228" s="263" t="n">
        <v>0.23</v>
      </c>
      <c r="H228" s="232" t="inlineStr">
        <is>
          <t>x</t>
        </is>
      </c>
      <c r="I228" s="205" t="n">
        <v>0.45</v>
      </c>
      <c r="J228" s="233" t="inlineStr">
        <is>
          <t>=</t>
        </is>
      </c>
      <c r="K228" s="205">
        <f>IF(C213,C213*E213*G213*I213,"")</f>
        <v/>
      </c>
      <c r="L228" s="201" t="inlineStr">
        <is>
          <t>Cum</t>
        </is>
      </c>
      <c r="M228" s="232" t="n"/>
    </row>
    <row r="229" ht="36.75" customFormat="1" customHeight="1" s="206">
      <c r="A229" s="201" t="n"/>
      <c r="B229" s="192" t="inlineStr">
        <is>
          <t>TOTAL QTY IN BEAMS IN BASEMENT</t>
        </is>
      </c>
      <c r="C229" s="226">
        <f>SUM(K168:K213)</f>
        <v/>
      </c>
      <c r="D229" s="264" t="n"/>
      <c r="E229" s="226" t="inlineStr">
        <is>
          <t>Cum</t>
        </is>
      </c>
      <c r="F229" s="232" t="n"/>
      <c r="G229" s="205" t="n"/>
      <c r="H229" s="232" t="n"/>
      <c r="I229" s="205" t="n"/>
      <c r="J229" s="233" t="n"/>
      <c r="K229" s="205" t="n"/>
      <c r="L229" s="201" t="n"/>
      <c r="M229" s="232" t="n"/>
    </row>
    <row r="230" ht="15" customFormat="1" customHeight="1" s="206">
      <c r="A230" s="201" t="n"/>
      <c r="B230" s="265" t="inlineStr">
        <is>
          <t>Roof Slab</t>
        </is>
      </c>
      <c r="C230" s="247" t="n"/>
      <c r="E230" s="263" t="n"/>
      <c r="F230" s="199" t="n"/>
      <c r="G230" s="263" t="n"/>
      <c r="H230" s="232" t="n"/>
      <c r="I230" s="205" t="n"/>
      <c r="J230" s="233" t="n"/>
      <c r="K230" s="205" t="n"/>
      <c r="L230" s="201" t="n"/>
      <c r="M230" s="232" t="n"/>
    </row>
    <row r="231" ht="111.75" customFormat="1" customHeight="1" s="206">
      <c r="A231" s="201" t="n"/>
      <c r="B231" s="212" t="inlineStr">
        <is>
          <t>Average Width (21.72+6.40)/2=14.06</t>
        </is>
      </c>
      <c r="C231" s="232" t="n"/>
      <c r="D231" s="232" t="n"/>
      <c r="E231" s="205" t="n"/>
      <c r="F231" s="232" t="n"/>
      <c r="G231" s="205" t="n"/>
      <c r="H231" s="232" t="n"/>
      <c r="I231" s="260" t="n"/>
      <c r="J231" s="233" t="n"/>
      <c r="K231" s="205" t="n"/>
      <c r="L231" s="201" t="n"/>
      <c r="M231" s="232" t="n"/>
    </row>
    <row r="232" customFormat="1" s="206">
      <c r="A232" s="201" t="n"/>
      <c r="B232" s="212" t="inlineStr">
        <is>
          <t>Qty. in Slab</t>
        </is>
      </c>
      <c r="C232" s="232" t="n">
        <v>1</v>
      </c>
      <c r="D232" s="232" t="inlineStr">
        <is>
          <t>x</t>
        </is>
      </c>
      <c r="E232" s="205" t="n">
        <v>14.06</v>
      </c>
      <c r="F232" s="232" t="inlineStr">
        <is>
          <t>x</t>
        </is>
      </c>
      <c r="G232" s="205" t="n">
        <v>21.03</v>
      </c>
      <c r="H232" s="232" t="inlineStr">
        <is>
          <t>x</t>
        </is>
      </c>
      <c r="I232" s="205" t="n">
        <v>0.15</v>
      </c>
      <c r="J232" s="233" t="inlineStr">
        <is>
          <t>=</t>
        </is>
      </c>
      <c r="K232" s="205">
        <f>IF(C217,C217*E217*G217*I217,"")</f>
        <v/>
      </c>
      <c r="L232" s="201" t="inlineStr">
        <is>
          <t>Cum</t>
        </is>
      </c>
      <c r="M232" s="232" t="n"/>
    </row>
    <row r="233" customFormat="1" s="206">
      <c r="A233" s="201" t="n"/>
      <c r="B233" s="192" t="inlineStr">
        <is>
          <t>TOTAL QTY IN SLABS IN BASEMENT</t>
        </is>
      </c>
      <c r="C233" s="226">
        <f>K217</f>
        <v/>
      </c>
      <c r="D233" s="264" t="n"/>
      <c r="E233" s="226" t="inlineStr">
        <is>
          <t>Cum</t>
        </is>
      </c>
      <c r="F233" s="232" t="n"/>
      <c r="G233" s="205" t="n"/>
      <c r="H233" s="232" t="n"/>
      <c r="I233" s="205" t="n"/>
      <c r="J233" s="233" t="n"/>
      <c r="K233" s="205" t="n"/>
      <c r="L233" s="201" t="n"/>
      <c r="M233" s="232" t="n"/>
    </row>
    <row r="234" ht="15" customFormat="1" customHeight="1" s="206">
      <c r="A234" s="201" t="n"/>
      <c r="B234" s="212" t="n"/>
      <c r="C234" s="247" t="n"/>
      <c r="E234" s="216" t="n"/>
      <c r="F234" s="214" t="n"/>
      <c r="G234" s="215" t="inlineStr">
        <is>
          <t>Total Qty.</t>
        </is>
      </c>
      <c r="H234" s="214" t="n"/>
      <c r="I234" s="216" t="n"/>
      <c r="J234" s="214" t="n"/>
      <c r="K234" s="216">
        <f>SUM(K110:K217)</f>
        <v/>
      </c>
      <c r="L234" s="234" t="inlineStr">
        <is>
          <t>Cum</t>
        </is>
      </c>
    </row>
    <row r="235" ht="129.75" customFormat="1" customHeight="1" s="279">
      <c r="A235" s="247" t="n">
        <v>6</v>
      </c>
      <c r="B235" s="173" t="inlineStr">
        <is>
          <t xml:space="preserve">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 </t>
        </is>
      </c>
      <c r="C235" s="247" t="n"/>
      <c r="D235" s="229" t="n"/>
      <c r="E235" s="199" t="n"/>
      <c r="G235" s="205" t="n"/>
    </row>
    <row r="236" customFormat="1" s="279">
      <c r="A236" s="201" t="n"/>
      <c r="B236" s="192" t="inlineStr">
        <is>
          <t>TOTAL QTY IN COLUMNS IN GROUND FLOOR</t>
        </is>
      </c>
      <c r="C236" s="226" t="n"/>
      <c r="D236" s="264" t="n"/>
      <c r="E236" s="226" t="n"/>
      <c r="F236" s="232" t="n"/>
      <c r="G236" s="205" t="n"/>
      <c r="H236" s="232" t="n"/>
      <c r="I236" s="205" t="n"/>
      <c r="J236" s="233" t="n"/>
      <c r="K236" s="205" t="n">
        <v>12.1606875</v>
      </c>
      <c r="L236" s="201" t="inlineStr">
        <is>
          <t>Cum</t>
        </is>
      </c>
      <c r="M236" s="232" t="n"/>
    </row>
    <row r="237" customFormat="1" s="279">
      <c r="A237" s="201" t="n"/>
      <c r="B237" s="192" t="inlineStr">
        <is>
          <t>TOTAL QTY IN COLUMNS IN FIRST FLOOR</t>
        </is>
      </c>
      <c r="C237" s="226" t="n"/>
      <c r="D237" s="264" t="n"/>
      <c r="E237" s="226" t="n"/>
      <c r="F237" s="232" t="n"/>
      <c r="G237" s="205" t="n"/>
      <c r="H237" s="232" t="n"/>
      <c r="I237" s="205" t="n"/>
      <c r="J237" s="233" t="n"/>
      <c r="K237" s="205" t="n">
        <v>12.1606875</v>
      </c>
      <c r="L237" s="201" t="inlineStr">
        <is>
          <t>Cum</t>
        </is>
      </c>
      <c r="M237" s="232" t="n"/>
    </row>
    <row r="238" customFormat="1" s="279">
      <c r="A238" s="247" t="n"/>
      <c r="B238" s="186" t="inlineStr">
        <is>
          <t>Qty of Lift and Staircase in Ground Floor</t>
        </is>
      </c>
      <c r="C238" s="228" t="n"/>
      <c r="D238" s="201" t="n"/>
      <c r="E238" s="226" t="n"/>
      <c r="F238" s="201" t="n"/>
      <c r="G238" s="205" t="n"/>
      <c r="K238" s="199" t="n">
        <v>9.923700000000002</v>
      </c>
      <c r="L238" s="201" t="inlineStr">
        <is>
          <t>Cum</t>
        </is>
      </c>
    </row>
    <row r="239" customFormat="1" s="279">
      <c r="A239" s="247" t="n"/>
      <c r="B239" s="186" t="inlineStr">
        <is>
          <t>Qty of Lift and Staircase in First Floor</t>
        </is>
      </c>
      <c r="C239" s="228" t="n"/>
      <c r="D239" s="201" t="n"/>
      <c r="E239" s="226" t="n"/>
      <c r="F239" s="201" t="n"/>
      <c r="G239" s="205" t="n"/>
      <c r="K239" s="199" t="n">
        <v>9.923700000000002</v>
      </c>
      <c r="L239" s="201" t="inlineStr">
        <is>
          <t>Cum</t>
        </is>
      </c>
    </row>
    <row r="240" customFormat="1" s="279">
      <c r="A240" s="247" t="n"/>
      <c r="B240" s="186" t="inlineStr">
        <is>
          <t>Qty of Lift and Staircase in MUMTY</t>
        </is>
      </c>
      <c r="C240" s="228" t="n"/>
      <c r="D240" s="201" t="n"/>
      <c r="E240" s="226" t="n"/>
      <c r="F240" s="201" t="n"/>
      <c r="G240" s="205" t="n"/>
      <c r="K240" s="199" t="n">
        <v>9.923700000000002</v>
      </c>
      <c r="L240" s="201" t="inlineStr">
        <is>
          <t>Cum</t>
        </is>
      </c>
    </row>
    <row r="241" customFormat="1" s="279">
      <c r="A241" s="201" t="n"/>
      <c r="B241" s="192" t="inlineStr">
        <is>
          <t>TOTAL QTY IN BEAMS IN GROUND FLOOR</t>
        </is>
      </c>
      <c r="C241" s="226" t="n"/>
      <c r="D241" s="264" t="n"/>
      <c r="E241" s="226" t="n"/>
      <c r="F241" s="232" t="n"/>
      <c r="G241" s="205" t="n"/>
      <c r="H241" s="232" t="n"/>
      <c r="I241" s="205" t="n"/>
      <c r="J241" s="233" t="n"/>
      <c r="K241" s="205" t="n">
        <v>22.653045</v>
      </c>
      <c r="L241" s="201" t="inlineStr">
        <is>
          <t>Cum</t>
        </is>
      </c>
      <c r="M241" s="232" t="n"/>
    </row>
    <row r="242" customFormat="1" s="279">
      <c r="A242" s="201" t="n"/>
      <c r="B242" s="192" t="inlineStr">
        <is>
          <t>TOTAL QTY IN BEAMS IN FIRST FLOOR</t>
        </is>
      </c>
      <c r="C242" s="226" t="n"/>
      <c r="D242" s="264" t="n"/>
      <c r="E242" s="226" t="n"/>
      <c r="F242" s="232" t="n"/>
      <c r="G242" s="205" t="n"/>
      <c r="H242" s="232" t="n"/>
      <c r="I242" s="205" t="n"/>
      <c r="J242" s="233" t="n"/>
      <c r="K242" s="205" t="n">
        <v>22.653045</v>
      </c>
      <c r="L242" s="201" t="inlineStr">
        <is>
          <t>Cum</t>
        </is>
      </c>
      <c r="M242" s="232" t="n"/>
    </row>
    <row r="243" customFormat="1" s="279">
      <c r="A243" s="201" t="n"/>
      <c r="B243" s="192" t="inlineStr">
        <is>
          <t>TOTAL QTY IN SLABS IN GROUND FLOOR</t>
        </is>
      </c>
      <c r="C243" s="226" t="n"/>
      <c r="D243" s="264" t="n"/>
      <c r="E243" s="226" t="n"/>
      <c r="F243" s="232" t="n"/>
      <c r="G243" s="205" t="n"/>
      <c r="H243" s="232" t="n"/>
      <c r="I243" s="205" t="n"/>
      <c r="J243" s="233" t="n"/>
      <c r="K243" s="205">
        <f>C218</f>
        <v/>
      </c>
      <c r="L243" s="201" t="inlineStr">
        <is>
          <t>Cum</t>
        </is>
      </c>
      <c r="M243" s="232" t="n"/>
    </row>
    <row r="244" customFormat="1" s="279">
      <c r="A244" s="201" t="n"/>
      <c r="B244" s="192" t="inlineStr">
        <is>
          <t>TOTAL QTY IN SLABS IN FIRST FLOOR</t>
        </is>
      </c>
      <c r="C244" s="226" t="n"/>
      <c r="D244" s="264" t="n"/>
      <c r="E244" s="226" t="n"/>
      <c r="F244" s="232" t="n"/>
      <c r="G244" s="205" t="n"/>
      <c r="H244" s="232" t="n"/>
      <c r="I244" s="205" t="n"/>
      <c r="J244" s="233" t="n"/>
      <c r="K244" s="205">
        <f>C218</f>
        <v/>
      </c>
      <c r="L244" s="201" t="inlineStr">
        <is>
          <t>Cum</t>
        </is>
      </c>
      <c r="M244" s="232" t="n"/>
    </row>
    <row r="245" customFormat="1" s="279">
      <c r="A245" s="201" t="n"/>
      <c r="B245" s="212" t="n"/>
      <c r="C245" s="247" t="n"/>
      <c r="E245" s="216" t="n"/>
      <c r="F245" s="214" t="n"/>
      <c r="G245" s="215" t="inlineStr">
        <is>
          <t>Total Qty.</t>
        </is>
      </c>
      <c r="H245" s="214" t="n"/>
      <c r="I245" s="216" t="n"/>
      <c r="J245" s="214" t="n"/>
      <c r="K245" s="216">
        <f>SUM(K221:K229)</f>
        <v/>
      </c>
      <c r="L245" s="234" t="inlineStr">
        <is>
          <t>Cum</t>
        </is>
      </c>
    </row>
    <row r="246" customFormat="1" s="279">
      <c r="A246" s="247" t="n">
        <v>3</v>
      </c>
      <c r="B246" s="212" t="inlineStr">
        <is>
          <t>Centering &amp; shuttering with plywood or steel sheets including strutting propping, bracing both ways with wooden members and removal of form work for superstructure upto 4.5 Mtr. height above plinth level (A) For Columns, Pillars, Posts and Struts etc.</t>
        </is>
      </c>
      <c r="C246" s="199" t="n"/>
      <c r="D246" s="201" t="n"/>
      <c r="E246" s="199" t="n"/>
      <c r="F246" s="201" t="n"/>
      <c r="G246" s="205" t="n"/>
    </row>
    <row r="247" customFormat="1" s="279">
      <c r="A247" s="247" t="n"/>
      <c r="B247" s="213" t="inlineStr">
        <is>
          <t>Columns C1</t>
        </is>
      </c>
      <c r="C247" s="247">
        <f>34+31+33+31+62+54</f>
        <v/>
      </c>
      <c r="D247" s="206" t="inlineStr">
        <is>
          <t>x</t>
        </is>
      </c>
      <c r="E247" s="199">
        <f>2*(0.3+0.6)</f>
        <v/>
      </c>
      <c r="F247" s="206" t="inlineStr">
        <is>
          <t>x</t>
        </is>
      </c>
      <c r="G247" s="199" t="n">
        <v>3</v>
      </c>
      <c r="J247" s="258" t="inlineStr">
        <is>
          <t>=</t>
        </is>
      </c>
      <c r="K247" s="199">
        <f>IF(C232,C232*E232*G232,"")</f>
        <v/>
      </c>
      <c r="L247" s="247" t="inlineStr">
        <is>
          <t>Sqm</t>
        </is>
      </c>
    </row>
    <row r="248" customFormat="1" s="279">
      <c r="A248" s="247" t="n"/>
      <c r="B248" s="213" t="inlineStr">
        <is>
          <t>Columns C2</t>
        </is>
      </c>
      <c r="C248" s="247">
        <f>24+24+25+24</f>
        <v/>
      </c>
      <c r="D248" s="206" t="inlineStr">
        <is>
          <t>x</t>
        </is>
      </c>
      <c r="E248" s="199">
        <f>2*(0.3+0.3)</f>
        <v/>
      </c>
      <c r="F248" s="206" t="inlineStr">
        <is>
          <t>x</t>
        </is>
      </c>
      <c r="G248" s="199" t="n">
        <v>3.3</v>
      </c>
      <c r="J248" s="258" t="inlineStr">
        <is>
          <t>=</t>
        </is>
      </c>
      <c r="K248" s="199">
        <f>IF(C233,C233*E233*G233,"")</f>
        <v/>
      </c>
      <c r="L248" s="247" t="inlineStr">
        <is>
          <t>Sqm</t>
        </is>
      </c>
    </row>
    <row r="249" ht="75" customFormat="1" customHeight="1" s="206">
      <c r="A249" s="201" t="n"/>
      <c r="B249" s="212" t="n"/>
      <c r="C249" s="247" t="n"/>
      <c r="E249" s="228" t="n"/>
      <c r="F249" s="214" t="n"/>
      <c r="G249" s="215" t="inlineStr">
        <is>
          <t xml:space="preserve">Total </t>
        </is>
      </c>
      <c r="H249" s="214" t="n"/>
      <c r="I249" s="216" t="n"/>
      <c r="J249" s="214" t="n"/>
      <c r="K249" s="216">
        <f>SUM(K232:K233)</f>
        <v/>
      </c>
      <c r="L249" s="217" t="inlineStr">
        <is>
          <t>Sqm</t>
        </is>
      </c>
    </row>
    <row r="250" ht="15" customFormat="1" customHeight="1" s="206">
      <c r="A250" s="268">
        <f>A193+1</f>
        <v/>
      </c>
      <c r="B250" s="269"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250" s="281" t="n"/>
      <c r="E250" s="287" t="n"/>
      <c r="F250" s="278" t="n"/>
      <c r="G250" s="260" t="n"/>
    </row>
    <row r="251" ht="15" customFormat="1" customHeight="1" s="206">
      <c r="A251" s="268" t="n"/>
      <c r="B251" s="269" t="inlineStr">
        <is>
          <t>Footings</t>
        </is>
      </c>
      <c r="C251" s="274">
        <f>C128</f>
        <v/>
      </c>
      <c r="D251" s="274" t="n"/>
      <c r="E251" s="287" t="inlineStr">
        <is>
          <t>Cum @</t>
        </is>
      </c>
      <c r="F251" s="278" t="n"/>
      <c r="G251" s="277" t="n">
        <v>25</v>
      </c>
      <c r="H251" s="278" t="inlineStr">
        <is>
          <t>Kg/Cum</t>
        </is>
      </c>
      <c r="J251" s="280" t="inlineStr">
        <is>
          <t>=</t>
        </is>
      </c>
      <c r="K251" s="281">
        <f>C236*G236</f>
        <v/>
      </c>
      <c r="L251" s="279" t="inlineStr">
        <is>
          <t>Kg</t>
        </is>
      </c>
      <c r="M251" s="281" t="n"/>
    </row>
    <row r="252" ht="15" customFormat="1" customHeight="1" s="206">
      <c r="A252" s="268" t="n"/>
      <c r="B252" s="269" t="inlineStr">
        <is>
          <t>Basement Wall</t>
        </is>
      </c>
      <c r="C252" s="296">
        <f>C138</f>
        <v/>
      </c>
      <c r="E252" s="287" t="inlineStr">
        <is>
          <t>Cum @</t>
        </is>
      </c>
      <c r="F252" s="278" t="n"/>
      <c r="G252" s="277" t="n">
        <v>150</v>
      </c>
      <c r="H252" s="278" t="inlineStr">
        <is>
          <t>Kg/Cum</t>
        </is>
      </c>
      <c r="I252" s="279" t="n"/>
      <c r="J252" s="280" t="inlineStr">
        <is>
          <t>=</t>
        </is>
      </c>
      <c r="K252" s="281">
        <f>C237*G237</f>
        <v/>
      </c>
      <c r="L252" s="279" t="inlineStr">
        <is>
          <t>Kg</t>
        </is>
      </c>
      <c r="M252" s="281" t="n"/>
    </row>
    <row r="253" customFormat="1" s="206">
      <c r="A253" s="268" t="n"/>
      <c r="B253" s="269" t="inlineStr">
        <is>
          <t>Beams</t>
        </is>
      </c>
      <c r="C253" s="296">
        <f>C214</f>
        <v/>
      </c>
      <c r="E253" s="287" t="inlineStr">
        <is>
          <t>Cum @</t>
        </is>
      </c>
      <c r="F253" s="278" t="n"/>
      <c r="G253" s="277" t="n">
        <v>250</v>
      </c>
      <c r="H253" s="278" t="inlineStr">
        <is>
          <t>Kg/Cum</t>
        </is>
      </c>
      <c r="I253" s="279" t="n"/>
      <c r="J253" s="280" t="inlineStr">
        <is>
          <t>=</t>
        </is>
      </c>
      <c r="K253" s="281">
        <f>C238*G238</f>
        <v/>
      </c>
      <c r="L253" s="279" t="inlineStr">
        <is>
          <t>Kg</t>
        </is>
      </c>
      <c r="M253" s="281" t="n"/>
    </row>
    <row r="254" ht="15" customFormat="1" customHeight="1" s="206">
      <c r="A254" s="268" t="n"/>
      <c r="B254" s="269" t="inlineStr">
        <is>
          <t>Slabs</t>
        </is>
      </c>
      <c r="C254" s="296">
        <f>C218</f>
        <v/>
      </c>
      <c r="E254" s="287" t="inlineStr">
        <is>
          <t>Cum @</t>
        </is>
      </c>
      <c r="F254" s="278" t="n"/>
      <c r="G254" s="277" t="n">
        <v>35</v>
      </c>
      <c r="H254" s="278" t="inlineStr">
        <is>
          <t>Kg/Cum</t>
        </is>
      </c>
      <c r="I254" s="279" t="n"/>
      <c r="J254" s="280" t="inlineStr">
        <is>
          <t>=</t>
        </is>
      </c>
      <c r="K254" s="281">
        <f>C239*G239</f>
        <v/>
      </c>
      <c r="L254" s="279" t="inlineStr">
        <is>
          <t>Kg</t>
        </is>
      </c>
      <c r="M254" s="281" t="n"/>
    </row>
    <row r="255" customFormat="1" s="206">
      <c r="A255" s="268" t="n"/>
      <c r="B255" s="269" t="inlineStr">
        <is>
          <t>Columns</t>
        </is>
      </c>
      <c r="C255" s="296">
        <f>C158</f>
        <v/>
      </c>
      <c r="E255" s="287" t="inlineStr">
        <is>
          <t>Cum @</t>
        </is>
      </c>
      <c r="F255" s="278" t="n"/>
      <c r="G255" s="277" t="n">
        <v>400</v>
      </c>
      <c r="H255" s="278" t="inlineStr">
        <is>
          <t>Kg/Cum</t>
        </is>
      </c>
      <c r="I255" s="279" t="n"/>
      <c r="J255" s="280" t="inlineStr">
        <is>
          <t>=</t>
        </is>
      </c>
      <c r="K255" s="281">
        <f>C240*G240</f>
        <v/>
      </c>
      <c r="L255" s="279" t="inlineStr">
        <is>
          <t>Kg</t>
        </is>
      </c>
      <c r="M255" s="281" t="n"/>
    </row>
    <row r="256" customFormat="1" s="206">
      <c r="A256" s="268" t="n"/>
      <c r="B256" s="269" t="inlineStr">
        <is>
          <t>Beams IN GF</t>
        </is>
      </c>
      <c r="C256" s="296" t="n">
        <v>22.653045</v>
      </c>
      <c r="E256" s="287" t="inlineStr">
        <is>
          <t>Cum @</t>
        </is>
      </c>
      <c r="F256" s="278" t="n"/>
      <c r="G256" s="277" t="n">
        <v>250</v>
      </c>
      <c r="H256" s="278" t="inlineStr">
        <is>
          <t>Kg/Cum</t>
        </is>
      </c>
      <c r="I256" s="279" t="n"/>
      <c r="J256" s="280" t="inlineStr">
        <is>
          <t>=</t>
        </is>
      </c>
      <c r="K256" s="281">
        <f>C241*G241</f>
        <v/>
      </c>
      <c r="L256" s="279" t="inlineStr">
        <is>
          <t>Kg</t>
        </is>
      </c>
      <c r="M256" s="281" t="n"/>
    </row>
    <row r="257" customFormat="1" s="206">
      <c r="A257" s="268" t="n"/>
      <c r="B257" s="269" t="inlineStr">
        <is>
          <t>Slabs IN GF</t>
        </is>
      </c>
      <c r="C257" s="296" t="n">
        <v>44.35227</v>
      </c>
      <c r="E257" s="287" t="inlineStr">
        <is>
          <t>Cum @</t>
        </is>
      </c>
      <c r="F257" s="278" t="n"/>
      <c r="G257" s="277" t="n">
        <v>35</v>
      </c>
      <c r="H257" s="278" t="inlineStr">
        <is>
          <t>Kg/Cum</t>
        </is>
      </c>
      <c r="I257" s="279" t="n"/>
      <c r="J257" s="280" t="inlineStr">
        <is>
          <t>=</t>
        </is>
      </c>
      <c r="K257" s="281">
        <f>C242*G242</f>
        <v/>
      </c>
      <c r="L257" s="279" t="inlineStr">
        <is>
          <t>Kg</t>
        </is>
      </c>
      <c r="M257" s="281" t="n"/>
    </row>
    <row r="258" customFormat="1" s="206">
      <c r="A258" s="268" t="n"/>
      <c r="B258" s="269" t="inlineStr">
        <is>
          <t>Columns IN GF</t>
        </is>
      </c>
      <c r="C258" s="296" t="n">
        <v>12.1606875</v>
      </c>
      <c r="E258" s="287" t="inlineStr">
        <is>
          <t>Cum @</t>
        </is>
      </c>
      <c r="F258" s="278" t="n"/>
      <c r="G258" s="277" t="n">
        <v>400</v>
      </c>
      <c r="H258" s="278" t="inlineStr">
        <is>
          <t>Kg/Cum</t>
        </is>
      </c>
      <c r="I258" s="279" t="n"/>
      <c r="J258" s="280" t="inlineStr">
        <is>
          <t>=</t>
        </is>
      </c>
      <c r="K258" s="281">
        <f>C243*G243</f>
        <v/>
      </c>
      <c r="L258" s="279" t="inlineStr">
        <is>
          <t>Kg</t>
        </is>
      </c>
      <c r="M258" s="281" t="n"/>
    </row>
    <row r="259" customFormat="1" s="206">
      <c r="A259" s="268" t="n"/>
      <c r="B259" s="269" t="inlineStr">
        <is>
          <t>Beams IN FF</t>
        </is>
      </c>
      <c r="C259" s="296" t="n">
        <v>22.653045</v>
      </c>
      <c r="E259" s="287" t="inlineStr">
        <is>
          <t>Cum @</t>
        </is>
      </c>
      <c r="F259" s="278" t="n"/>
      <c r="G259" s="277" t="n">
        <v>250</v>
      </c>
      <c r="H259" s="278" t="inlineStr">
        <is>
          <t>Kg/Cum</t>
        </is>
      </c>
      <c r="I259" s="279" t="n"/>
      <c r="J259" s="280" t="inlineStr">
        <is>
          <t>=</t>
        </is>
      </c>
      <c r="K259" s="281">
        <f>C244*G244</f>
        <v/>
      </c>
      <c r="L259" s="279" t="inlineStr">
        <is>
          <t>Kg</t>
        </is>
      </c>
      <c r="M259" s="281" t="n"/>
    </row>
    <row r="260" customFormat="1" s="206">
      <c r="A260" s="268" t="n"/>
      <c r="B260" s="269" t="inlineStr">
        <is>
          <t>Slabs IN FF</t>
        </is>
      </c>
      <c r="C260" s="296" t="n">
        <v>44.35227</v>
      </c>
      <c r="E260" s="287" t="inlineStr">
        <is>
          <t>Cum @</t>
        </is>
      </c>
      <c r="F260" s="278" t="n"/>
      <c r="G260" s="277" t="n">
        <v>35</v>
      </c>
      <c r="H260" s="278" t="inlineStr">
        <is>
          <t>Kg/Cum</t>
        </is>
      </c>
      <c r="I260" s="279" t="n"/>
      <c r="J260" s="280" t="inlineStr">
        <is>
          <t>=</t>
        </is>
      </c>
      <c r="K260" s="281">
        <f>C245*G245</f>
        <v/>
      </c>
      <c r="L260" s="279" t="inlineStr">
        <is>
          <t>Kg</t>
        </is>
      </c>
      <c r="M260" s="281" t="n"/>
    </row>
    <row r="261" customFormat="1" s="206">
      <c r="A261" s="268" t="n"/>
      <c r="B261" s="269" t="inlineStr">
        <is>
          <t>Columns IN FF</t>
        </is>
      </c>
      <c r="C261" s="296" t="n">
        <v>12.1606875</v>
      </c>
      <c r="E261" s="287" t="inlineStr">
        <is>
          <t>Cum @</t>
        </is>
      </c>
      <c r="F261" s="278" t="n"/>
      <c r="G261" s="277" t="n">
        <v>400</v>
      </c>
      <c r="H261" s="278" t="inlineStr">
        <is>
          <t>Kg/Cum</t>
        </is>
      </c>
      <c r="I261" s="279" t="n"/>
      <c r="J261" s="280" t="inlineStr">
        <is>
          <t>=</t>
        </is>
      </c>
      <c r="K261" s="281">
        <f>C246*G246</f>
        <v/>
      </c>
      <c r="L261" s="279" t="inlineStr">
        <is>
          <t>Kg</t>
        </is>
      </c>
      <c r="M261" s="281" t="n"/>
    </row>
    <row r="262" customFormat="1" s="206">
      <c r="A262" s="278" t="n"/>
      <c r="B262" s="269" t="n"/>
      <c r="C262" s="268" t="n"/>
      <c r="E262" s="287" t="n"/>
      <c r="G262" s="282" t="inlineStr">
        <is>
          <t>Total</t>
        </is>
      </c>
      <c r="H262" s="283" t="n"/>
      <c r="I262" s="284" t="n"/>
      <c r="J262" s="283" t="n"/>
      <c r="K262" s="285">
        <f>SUM(K236:K246)</f>
        <v/>
      </c>
      <c r="L262" s="279" t="inlineStr">
        <is>
          <t>Kg</t>
        </is>
      </c>
      <c r="M262" s="281" t="n"/>
    </row>
    <row r="263" customFormat="1" s="206">
      <c r="A263" s="278" t="n"/>
      <c r="B263" s="269" t="n"/>
      <c r="C263" s="286" t="n"/>
      <c r="E263" s="287" t="n"/>
      <c r="G263" s="260" t="n"/>
      <c r="H263" s="279" t="n"/>
      <c r="I263" s="287" t="n"/>
      <c r="J263" s="279" t="n"/>
      <c r="K263" s="281" t="n"/>
      <c r="M263" s="281" t="n"/>
    </row>
    <row r="264" customFormat="1" s="206">
      <c r="A264" s="247" t="n">
        <v>1</v>
      </c>
      <c r="B264" s="173" t="inlineStr">
        <is>
          <t>Brick work in superstructure upto 4.5 metre height  above plinth level Cement Mortar 1:6 with bricks are class designation 75.</t>
        </is>
      </c>
      <c r="C264" s="199" t="n"/>
      <c r="E264" s="199" t="n"/>
      <c r="G264" s="205" t="n"/>
    </row>
    <row r="265" customFormat="1" s="206">
      <c r="A265" s="201" t="n"/>
      <c r="B265" s="186" t="inlineStr">
        <is>
          <t>Walls in X direction</t>
        </is>
      </c>
      <c r="C265" s="247" t="n">
        <v>1</v>
      </c>
      <c r="D265" s="206" t="inlineStr">
        <is>
          <t>x</t>
        </is>
      </c>
      <c r="E265" s="199">
        <f>K22</f>
        <v/>
      </c>
      <c r="F265" s="206" t="inlineStr">
        <is>
          <t>x</t>
        </is>
      </c>
      <c r="G265" s="205" t="n">
        <v>0.23</v>
      </c>
      <c r="H265" s="206" t="inlineStr">
        <is>
          <t>x</t>
        </is>
      </c>
      <c r="I265" s="199" t="n">
        <v>3.6</v>
      </c>
      <c r="J265" s="258" t="inlineStr">
        <is>
          <t>=</t>
        </is>
      </c>
      <c r="K265" s="199">
        <f>IF(C250,C250*E250*G250*I250,"")</f>
        <v/>
      </c>
      <c r="L265" s="201" t="inlineStr">
        <is>
          <t>Cum</t>
        </is>
      </c>
    </row>
    <row r="266" customFormat="1" s="206">
      <c r="A266" s="201" t="n"/>
      <c r="B266" s="186" t="inlineStr">
        <is>
          <t>Walls in Y direction</t>
        </is>
      </c>
      <c r="C266" s="247" t="n">
        <v>1</v>
      </c>
      <c r="D266" s="206" t="inlineStr">
        <is>
          <t>x</t>
        </is>
      </c>
      <c r="E266" s="199">
        <f>#REF!</f>
        <v/>
      </c>
      <c r="F266" s="206" t="inlineStr">
        <is>
          <t>x</t>
        </is>
      </c>
      <c r="G266" s="205" t="n">
        <v>0.23</v>
      </c>
      <c r="H266" s="206" t="inlineStr">
        <is>
          <t>x</t>
        </is>
      </c>
      <c r="I266" s="199" t="n">
        <v>3.6</v>
      </c>
      <c r="J266" s="258" t="inlineStr">
        <is>
          <t>=</t>
        </is>
      </c>
      <c r="K266" s="199">
        <f>IF(C251,C251*E251*G251*I251,"")</f>
        <v/>
      </c>
      <c r="L266" s="201" t="inlineStr">
        <is>
          <t>Cum</t>
        </is>
      </c>
    </row>
    <row r="267" ht="15" customFormat="1" customHeight="1" s="206">
      <c r="A267" s="201" t="n"/>
      <c r="B267" s="186" t="inlineStr">
        <is>
          <t>Parapet</t>
        </is>
      </c>
      <c r="C267" s="247" t="n">
        <v>1</v>
      </c>
      <c r="D267" s="206" t="inlineStr">
        <is>
          <t>x</t>
        </is>
      </c>
      <c r="E267" s="199">
        <f>#REF!</f>
        <v/>
      </c>
      <c r="F267" s="206" t="inlineStr">
        <is>
          <t>x</t>
        </is>
      </c>
      <c r="G267" s="205" t="n">
        <v>0.23</v>
      </c>
      <c r="H267" s="206" t="inlineStr">
        <is>
          <t>x</t>
        </is>
      </c>
      <c r="I267" s="199" t="n">
        <v>0.75</v>
      </c>
      <c r="J267" s="258" t="inlineStr">
        <is>
          <t>=</t>
        </is>
      </c>
      <c r="K267" s="199">
        <f>IF(C252,C252*E252*G252*I252,"")</f>
        <v/>
      </c>
      <c r="L267" s="201" t="inlineStr">
        <is>
          <t>Cum</t>
        </is>
      </c>
    </row>
    <row r="268" ht="15" customFormat="1" customHeight="1" s="206">
      <c r="A268" s="201" t="n"/>
      <c r="B268" s="212" t="n"/>
      <c r="C268" s="247" t="n"/>
      <c r="E268" s="189" t="n"/>
      <c r="F268" s="202" t="n"/>
      <c r="G268" s="203" t="inlineStr">
        <is>
          <t>Gross Qty.</t>
        </is>
      </c>
      <c r="H268" s="202" t="n"/>
      <c r="I268" s="189" t="n"/>
      <c r="J268" s="204" t="inlineStr">
        <is>
          <t>+</t>
        </is>
      </c>
      <c r="K268" s="189">
        <f>SUM(K250:K252)</f>
        <v/>
      </c>
      <c r="L268" s="204" t="inlineStr">
        <is>
          <t>Cum</t>
        </is>
      </c>
    </row>
    <row r="269" customFormat="1" s="206">
      <c r="A269" s="201" t="n"/>
      <c r="B269" s="186" t="inlineStr">
        <is>
          <t>Deductions</t>
        </is>
      </c>
      <c r="C269" s="247" t="n"/>
      <c r="E269" s="199" t="n"/>
      <c r="G269" s="205" t="n"/>
      <c r="H269" s="206" t="n"/>
      <c r="I269" s="199" t="n"/>
      <c r="J269" s="201" t="n"/>
      <c r="K269" s="199" t="n"/>
      <c r="L269" s="201" t="n"/>
    </row>
    <row r="270" ht="75" customHeight="1" s="72">
      <c r="A270" s="201" t="n"/>
      <c r="B270" s="212" t="inlineStr">
        <is>
          <t>D1</t>
        </is>
      </c>
      <c r="C270" s="247" t="n">
        <v>63</v>
      </c>
      <c r="D270" s="206" t="inlineStr">
        <is>
          <t>x</t>
        </is>
      </c>
      <c r="E270" s="199" t="n">
        <v>1.2</v>
      </c>
      <c r="F270" s="206" t="inlineStr">
        <is>
          <t>x</t>
        </is>
      </c>
      <c r="G270" s="205" t="n">
        <v>0.23</v>
      </c>
      <c r="H270" s="206" t="inlineStr">
        <is>
          <t>x</t>
        </is>
      </c>
      <c r="I270" s="199" t="n">
        <v>2.1</v>
      </c>
      <c r="J270" s="258" t="inlineStr">
        <is>
          <t>=</t>
        </is>
      </c>
      <c r="K270" s="199">
        <f>IF(C255,C255*E255*G255*I255,"")</f>
        <v/>
      </c>
      <c r="L270" s="201" t="inlineStr">
        <is>
          <t>Cum</t>
        </is>
      </c>
    </row>
    <row r="271" customFormat="1" s="206">
      <c r="A271" s="201" t="n"/>
      <c r="B271" s="212" t="inlineStr">
        <is>
          <t>D3</t>
        </is>
      </c>
      <c r="C271" s="247" t="n">
        <v>3</v>
      </c>
      <c r="D271" s="206" t="inlineStr">
        <is>
          <t>x</t>
        </is>
      </c>
      <c r="E271" s="199" t="n">
        <v>3</v>
      </c>
      <c r="F271" s="206" t="inlineStr">
        <is>
          <t>x</t>
        </is>
      </c>
      <c r="G271" s="205" t="n">
        <v>0.23</v>
      </c>
      <c r="H271" s="206" t="inlineStr">
        <is>
          <t>x</t>
        </is>
      </c>
      <c r="I271" s="199" t="n">
        <v>2.1</v>
      </c>
      <c r="J271" s="258" t="inlineStr">
        <is>
          <t>=</t>
        </is>
      </c>
      <c r="K271" s="199">
        <f>IF(C256,C256*E256*G256*I256,"")</f>
        <v/>
      </c>
      <c r="L271" s="201" t="inlineStr">
        <is>
          <t>Cum</t>
        </is>
      </c>
    </row>
    <row r="272" customFormat="1" s="206">
      <c r="A272" s="201" t="n"/>
      <c r="B272" s="212" t="inlineStr">
        <is>
          <t>W1</t>
        </is>
      </c>
      <c r="C272" s="247" t="n">
        <v>222</v>
      </c>
      <c r="D272" s="206" t="inlineStr">
        <is>
          <t>x</t>
        </is>
      </c>
      <c r="E272" s="199" t="n">
        <v>1.8</v>
      </c>
      <c r="F272" s="206" t="inlineStr">
        <is>
          <t>x</t>
        </is>
      </c>
      <c r="G272" s="205" t="n">
        <v>0.23</v>
      </c>
      <c r="H272" s="206" t="inlineStr">
        <is>
          <t>x</t>
        </is>
      </c>
      <c r="I272" s="199" t="n">
        <v>1.2</v>
      </c>
      <c r="J272" s="258" t="inlineStr">
        <is>
          <t>=</t>
        </is>
      </c>
      <c r="K272" s="199">
        <f>IF(C257,C257*E257*G257*I257,"")</f>
        <v/>
      </c>
      <c r="L272" s="201" t="inlineStr">
        <is>
          <t>Cum</t>
        </is>
      </c>
    </row>
    <row r="273" ht="15" customFormat="1" customHeight="1" s="206">
      <c r="A273" s="201" t="n"/>
      <c r="B273" s="212" t="inlineStr">
        <is>
          <t>V1</t>
        </is>
      </c>
      <c r="C273" s="247" t="n">
        <v>9</v>
      </c>
      <c r="D273" s="206" t="inlineStr">
        <is>
          <t>x</t>
        </is>
      </c>
      <c r="E273" s="199" t="n">
        <v>1.2</v>
      </c>
      <c r="F273" s="206" t="inlineStr">
        <is>
          <t>x</t>
        </is>
      </c>
      <c r="G273" s="205" t="n">
        <v>0.23</v>
      </c>
      <c r="H273" s="206" t="inlineStr">
        <is>
          <t>x</t>
        </is>
      </c>
      <c r="I273" s="199" t="n">
        <v>0.6</v>
      </c>
      <c r="J273" s="258" t="inlineStr">
        <is>
          <t>=</t>
        </is>
      </c>
      <c r="K273" s="199">
        <f>IF(C258,C258*E258*G258*I258,"")</f>
        <v/>
      </c>
      <c r="L273" s="201" t="inlineStr">
        <is>
          <t>Cum</t>
        </is>
      </c>
    </row>
    <row r="274" customFormat="1" s="206">
      <c r="A274" s="201" t="n"/>
      <c r="B274" s="212" t="inlineStr">
        <is>
          <t>V2</t>
        </is>
      </c>
      <c r="C274" s="247">
        <f>C257+C255+10</f>
        <v/>
      </c>
      <c r="D274" s="206" t="inlineStr">
        <is>
          <t>x</t>
        </is>
      </c>
      <c r="E274" s="199" t="n">
        <v>0.9</v>
      </c>
      <c r="F274" s="206" t="inlineStr">
        <is>
          <t>x</t>
        </is>
      </c>
      <c r="G274" s="205" t="n">
        <v>0.23</v>
      </c>
      <c r="H274" s="206" t="inlineStr">
        <is>
          <t>x</t>
        </is>
      </c>
      <c r="I274" s="199" t="n">
        <v>0.6</v>
      </c>
      <c r="J274" s="258" t="inlineStr">
        <is>
          <t>=</t>
        </is>
      </c>
      <c r="K274" s="199">
        <f>IF(C259,C259*E259*G259*I259,"")</f>
        <v/>
      </c>
      <c r="L274" s="201" t="inlineStr">
        <is>
          <t>Cum</t>
        </is>
      </c>
    </row>
    <row r="275" ht="15" customFormat="1" customHeight="1" s="206">
      <c r="A275" s="201" t="n"/>
      <c r="B275" s="199">
        <f>V14</f>
        <v/>
      </c>
      <c r="C275" s="247" t="n">
        <v>1</v>
      </c>
      <c r="D275" s="206" t="inlineStr">
        <is>
          <t>x</t>
        </is>
      </c>
      <c r="E275" s="199">
        <f>E11</f>
        <v/>
      </c>
      <c r="F275" s="206" t="inlineStr">
        <is>
          <t>x</t>
        </is>
      </c>
      <c r="G275" s="205" t="n">
        <v>0.23</v>
      </c>
      <c r="H275" s="206" t="inlineStr">
        <is>
          <t>x</t>
        </is>
      </c>
      <c r="I275" s="199" t="n">
        <v>1.7</v>
      </c>
      <c r="J275" s="258" t="inlineStr">
        <is>
          <t>=</t>
        </is>
      </c>
      <c r="K275" s="199">
        <f>IF(C260,C260*E260*G260*I260,"")</f>
        <v/>
      </c>
      <c r="L275" s="201" t="inlineStr">
        <is>
          <t>Cum</t>
        </is>
      </c>
    </row>
    <row r="276" customFormat="1" s="206">
      <c r="A276" s="201" t="n"/>
      <c r="B276" s="199">
        <f>V15</f>
        <v/>
      </c>
      <c r="C276" s="247" t="n">
        <v>1</v>
      </c>
      <c r="D276" s="206" t="inlineStr">
        <is>
          <t>x</t>
        </is>
      </c>
      <c r="E276" s="199">
        <f>E12</f>
        <v/>
      </c>
      <c r="F276" s="206" t="inlineStr">
        <is>
          <t>x</t>
        </is>
      </c>
      <c r="G276" s="205" t="n">
        <v>0.23</v>
      </c>
      <c r="H276" s="206" t="inlineStr">
        <is>
          <t>x</t>
        </is>
      </c>
      <c r="I276" s="199" t="n">
        <v>1.7</v>
      </c>
      <c r="J276" s="258" t="inlineStr">
        <is>
          <t>=</t>
        </is>
      </c>
      <c r="K276" s="199">
        <f>IF(C261,C261*E261*G261*I261,"")</f>
        <v/>
      </c>
      <c r="L276" s="201" t="inlineStr">
        <is>
          <t>Cum</t>
        </is>
      </c>
    </row>
    <row r="277" ht="15" customFormat="1" customHeight="1" s="206">
      <c r="A277" s="201" t="n"/>
      <c r="B277" s="199">
        <f>#REF!</f>
        <v/>
      </c>
      <c r="C277" s="247" t="n">
        <v>1</v>
      </c>
      <c r="D277" s="206" t="inlineStr">
        <is>
          <t>x</t>
        </is>
      </c>
      <c r="E277" s="199">
        <f>#REF!</f>
        <v/>
      </c>
      <c r="F277" s="206" t="inlineStr">
        <is>
          <t>x</t>
        </is>
      </c>
      <c r="G277" s="205" t="n">
        <v>0.23</v>
      </c>
      <c r="H277" s="206" t="inlineStr">
        <is>
          <t>x</t>
        </is>
      </c>
      <c r="I277" s="199" t="n">
        <v>1.7</v>
      </c>
      <c r="J277" s="258" t="inlineStr">
        <is>
          <t>=</t>
        </is>
      </c>
      <c r="K277" s="199">
        <f>IF(C262,C262*E262*G262*I262,"")</f>
        <v/>
      </c>
      <c r="L277" s="201" t="inlineStr">
        <is>
          <t>Cum</t>
        </is>
      </c>
    </row>
    <row r="278" ht="15" customFormat="1" customHeight="1" s="206">
      <c r="A278" s="201" t="n"/>
      <c r="B278" s="199">
        <f>#REF!</f>
        <v/>
      </c>
      <c r="C278" s="247" t="n">
        <v>1</v>
      </c>
      <c r="D278" s="206" t="inlineStr">
        <is>
          <t>x</t>
        </is>
      </c>
      <c r="E278" s="199">
        <f>#REF!</f>
        <v/>
      </c>
      <c r="F278" s="206" t="inlineStr">
        <is>
          <t>x</t>
        </is>
      </c>
      <c r="G278" s="205" t="n">
        <v>0.23</v>
      </c>
      <c r="H278" s="206" t="inlineStr">
        <is>
          <t>x</t>
        </is>
      </c>
      <c r="I278" s="199" t="n">
        <v>1.7</v>
      </c>
      <c r="J278" s="258" t="inlineStr">
        <is>
          <t>=</t>
        </is>
      </c>
      <c r="K278" s="199">
        <f>IF(C263,C263*E263*G263*I263,"")</f>
        <v/>
      </c>
      <c r="L278" s="201" t="inlineStr">
        <is>
          <t>Cum</t>
        </is>
      </c>
    </row>
    <row r="279" customFormat="1" s="206">
      <c r="A279" s="201" t="n"/>
      <c r="B279" s="212" t="inlineStr">
        <is>
          <t xml:space="preserve"> C.C. jali Staircase</t>
        </is>
      </c>
      <c r="C279" s="247" t="n">
        <v>2</v>
      </c>
      <c r="D279" s="206" t="inlineStr">
        <is>
          <t>x</t>
        </is>
      </c>
      <c r="E279" s="199" t="n">
        <v>2.4</v>
      </c>
      <c r="F279" s="206" t="inlineStr">
        <is>
          <t>x</t>
        </is>
      </c>
      <c r="G279" s="205" t="n">
        <v>0.23</v>
      </c>
      <c r="H279" s="206" t="inlineStr">
        <is>
          <t>x</t>
        </is>
      </c>
      <c r="I279" s="199" t="n">
        <v>2.4</v>
      </c>
      <c r="J279" s="258" t="inlineStr">
        <is>
          <t>=</t>
        </is>
      </c>
      <c r="K279" s="199">
        <f>IF(C264,C264*E264*G264*I264,"")</f>
        <v/>
      </c>
      <c r="L279" s="201" t="inlineStr">
        <is>
          <t>Cum</t>
        </is>
      </c>
    </row>
    <row r="280" ht="111.75" customFormat="1" customHeight="1" s="206">
      <c r="A280" s="201" t="n"/>
      <c r="B280" s="207" t="inlineStr">
        <is>
          <t xml:space="preserve">Lintels </t>
        </is>
      </c>
      <c r="C280" s="247" t="n">
        <v>1</v>
      </c>
      <c r="D280" s="206" t="inlineStr">
        <is>
          <t>x</t>
        </is>
      </c>
      <c r="E280" s="199">
        <f>E250+E251</f>
        <v/>
      </c>
      <c r="F280" s="206" t="inlineStr">
        <is>
          <t>x</t>
        </is>
      </c>
      <c r="G280" s="205" t="n">
        <v>0.23</v>
      </c>
      <c r="H280" s="206" t="inlineStr">
        <is>
          <t>x</t>
        </is>
      </c>
      <c r="I280" s="199" t="n">
        <v>0.23</v>
      </c>
      <c r="J280" s="258" t="inlineStr">
        <is>
          <t>=</t>
        </is>
      </c>
      <c r="K280" s="199">
        <f>IF(C265,C265*E265*G265*I265,"")</f>
        <v/>
      </c>
      <c r="L280" s="201" t="inlineStr">
        <is>
          <t>Cum</t>
        </is>
      </c>
    </row>
    <row r="281" customFormat="1" s="206">
      <c r="A281" s="201" t="n"/>
      <c r="B281" s="212" t="n"/>
      <c r="C281" s="247" t="n"/>
      <c r="E281" s="189" t="n"/>
      <c r="F281" s="202" t="n"/>
      <c r="G281" s="203" t="inlineStr">
        <is>
          <t>Total Deductions</t>
        </is>
      </c>
      <c r="H281" s="202" t="n"/>
      <c r="I281" s="189" t="n"/>
      <c r="J281" s="204" t="inlineStr">
        <is>
          <t>-</t>
        </is>
      </c>
      <c r="K281" s="189">
        <f>SUM(K255:K265)</f>
        <v/>
      </c>
      <c r="L281" s="204" t="inlineStr">
        <is>
          <t>Cum</t>
        </is>
      </c>
    </row>
    <row r="282" customFormat="1" s="206">
      <c r="A282" s="247" t="n"/>
      <c r="B282" s="192" t="inlineStr">
        <is>
          <t>Net qty. in First floor</t>
        </is>
      </c>
      <c r="D282" s="193">
        <f>K253</f>
        <v/>
      </c>
      <c r="E282" s="194" t="n"/>
      <c r="F282" s="201" t="inlineStr">
        <is>
          <t>-</t>
        </is>
      </c>
      <c r="G282" s="194">
        <f>K266</f>
        <v/>
      </c>
      <c r="H282" s="195" t="n"/>
      <c r="J282" s="196" t="inlineStr">
        <is>
          <t>=</t>
        </is>
      </c>
      <c r="K282" s="228">
        <f>D267-G267</f>
        <v/>
      </c>
      <c r="L282" s="208" t="inlineStr">
        <is>
          <t>Cum</t>
        </is>
      </c>
    </row>
    <row r="283" ht="15" customFormat="1" customHeight="1" s="206">
      <c r="A283" s="201" t="n"/>
      <c r="B283" s="192" t="n"/>
      <c r="E283" s="228" t="n"/>
      <c r="F283" s="227" t="n"/>
      <c r="G283" s="226" t="n"/>
      <c r="I283" s="199" t="n"/>
      <c r="J283" s="258" t="n"/>
      <c r="K283" s="199" t="n"/>
      <c r="L283" s="201" t="n"/>
    </row>
    <row r="284" ht="91.5" customFormat="1" customHeight="1" s="206">
      <c r="A284" s="247" t="n"/>
      <c r="B284" s="173" t="n"/>
      <c r="C284" s="199" t="n"/>
      <c r="E284" s="199" t="n"/>
      <c r="G284" s="199" t="n"/>
      <c r="I284" s="205" t="n"/>
      <c r="J284" s="258" t="n"/>
      <c r="K284" s="199" t="n"/>
      <c r="L284" s="201" t="n"/>
    </row>
    <row r="285" customFormat="1" s="206">
      <c r="A285" s="247" t="n">
        <v>2</v>
      </c>
      <c r="B285" s="173" t="inlineStr">
        <is>
          <t>Half brick masonry in super structure using bricks of class designation 75 in  Cement Mortar 1:4  ( 1 cement : 4 coarse sand)</t>
        </is>
      </c>
      <c r="C285" s="199" t="n"/>
      <c r="D285" s="206" t="n"/>
      <c r="E285" s="199" t="n"/>
      <c r="F285" s="201" t="n"/>
      <c r="G285" s="205" t="n"/>
      <c r="I285" s="206" t="n"/>
      <c r="K285" s="206" t="n"/>
    </row>
    <row r="286" customFormat="1" s="206">
      <c r="A286" s="201" t="n"/>
      <c r="B286" s="212" t="inlineStr">
        <is>
          <t>Wall03</t>
        </is>
      </c>
      <c r="C286" s="247" t="n">
        <v>1</v>
      </c>
      <c r="D286" s="206" t="inlineStr">
        <is>
          <t>x</t>
        </is>
      </c>
      <c r="E286" s="199">
        <f>K46</f>
        <v/>
      </c>
      <c r="F286" s="206" t="inlineStr">
        <is>
          <t>x</t>
        </is>
      </c>
      <c r="G286" s="199" t="n">
        <v>3.6</v>
      </c>
      <c r="I286" s="199" t="n"/>
      <c r="J286" s="258" t="inlineStr">
        <is>
          <t>=</t>
        </is>
      </c>
      <c r="K286" s="199">
        <f>IF(C271,C271*E271*G271,"")</f>
        <v/>
      </c>
      <c r="L286" s="247" t="inlineStr">
        <is>
          <t>Sqm</t>
        </is>
      </c>
    </row>
    <row r="287" customFormat="1" s="206">
      <c r="A287" s="201" t="n"/>
      <c r="B287" s="212" t="n"/>
      <c r="C287" s="247" t="n"/>
      <c r="E287" s="189" t="n"/>
      <c r="F287" s="202" t="n"/>
      <c r="G287" s="203" t="inlineStr">
        <is>
          <t>Gross Qty.</t>
        </is>
      </c>
      <c r="H287" s="202" t="n"/>
      <c r="I287" s="189" t="n"/>
      <c r="J287" s="204" t="inlineStr">
        <is>
          <t>+</t>
        </is>
      </c>
      <c r="K287" s="189">
        <f>SUM(K271:K271)</f>
        <v/>
      </c>
      <c r="L287" s="191" t="inlineStr">
        <is>
          <t>Sqm</t>
        </is>
      </c>
    </row>
    <row r="288" customFormat="1" s="206">
      <c r="A288" s="201" t="n"/>
      <c r="B288" s="186" t="inlineStr">
        <is>
          <t>Deductions</t>
        </is>
      </c>
      <c r="C288" s="247" t="n"/>
      <c r="E288" s="199" t="n"/>
      <c r="G288" s="205" t="n"/>
      <c r="H288" s="206" t="n"/>
      <c r="I288" s="199" t="n"/>
      <c r="J288" s="201" t="n"/>
      <c r="K288" s="199" t="n"/>
      <c r="L288" s="247" t="n"/>
    </row>
    <row r="289" customFormat="1" s="206">
      <c r="A289" s="201" t="n"/>
      <c r="B289" s="212" t="inlineStr">
        <is>
          <t>D2</t>
        </is>
      </c>
      <c r="C289" s="247" t="n">
        <v>10</v>
      </c>
      <c r="D289" s="206" t="inlineStr">
        <is>
          <t>x</t>
        </is>
      </c>
      <c r="E289" s="199" t="n">
        <v>0.75</v>
      </c>
      <c r="F289" s="206" t="inlineStr">
        <is>
          <t>x</t>
        </is>
      </c>
      <c r="G289" s="199" t="n">
        <v>2.1</v>
      </c>
      <c r="I289" s="199" t="n"/>
      <c r="J289" s="258" t="inlineStr">
        <is>
          <t>=</t>
        </is>
      </c>
      <c r="K289" s="199">
        <f>IF(C274,C274*E274*G274,"")</f>
        <v/>
      </c>
      <c r="L289" s="247" t="inlineStr">
        <is>
          <t>Sqm</t>
        </is>
      </c>
    </row>
    <row r="290" customFormat="1" s="206">
      <c r="A290" s="201" t="n"/>
      <c r="B290" s="211" t="inlineStr">
        <is>
          <t xml:space="preserve">Lintels      </t>
        </is>
      </c>
      <c r="C290" s="247" t="n">
        <v>1</v>
      </c>
      <c r="D290" s="206" t="inlineStr">
        <is>
          <t>x</t>
        </is>
      </c>
      <c r="E290" s="199">
        <f>E271</f>
        <v/>
      </c>
      <c r="F290" s="206" t="inlineStr">
        <is>
          <t>x</t>
        </is>
      </c>
      <c r="G290" s="199" t="n">
        <v>0.15</v>
      </c>
      <c r="I290" s="199" t="n"/>
      <c r="J290" s="258" t="inlineStr">
        <is>
          <t>=</t>
        </is>
      </c>
      <c r="K290" s="199">
        <f>IF(C275,C275*E275*G275,"")</f>
        <v/>
      </c>
      <c r="L290" s="247" t="inlineStr">
        <is>
          <t>Sqm</t>
        </is>
      </c>
    </row>
    <row r="291" customFormat="1" s="206">
      <c r="A291" s="201" t="n"/>
      <c r="B291" s="212" t="n"/>
      <c r="C291" s="247" t="n"/>
      <c r="E291" s="189" t="n"/>
      <c r="F291" s="202" t="n"/>
      <c r="G291" s="203" t="inlineStr">
        <is>
          <t>Total Deductions</t>
        </is>
      </c>
      <c r="H291" s="202" t="n"/>
      <c r="I291" s="189" t="n"/>
      <c r="J291" s="204" t="inlineStr">
        <is>
          <t>-</t>
        </is>
      </c>
      <c r="K291" s="189">
        <f>SUM(K274:K275)</f>
        <v/>
      </c>
      <c r="L291" s="191" t="inlineStr">
        <is>
          <t>Sqm</t>
        </is>
      </c>
    </row>
    <row r="292" customFormat="1" s="206">
      <c r="A292" s="247" t="n"/>
      <c r="B292" s="192" t="inlineStr">
        <is>
          <t>Net qty. in Ground floor</t>
        </is>
      </c>
      <c r="D292" s="193">
        <f>K272</f>
        <v/>
      </c>
      <c r="E292" s="194" t="n"/>
      <c r="F292" s="201" t="inlineStr">
        <is>
          <t>-</t>
        </is>
      </c>
      <c r="G292" s="194">
        <f>K276</f>
        <v/>
      </c>
      <c r="H292" s="195" t="n"/>
      <c r="J292" s="196" t="inlineStr">
        <is>
          <t>=</t>
        </is>
      </c>
      <c r="K292" s="228">
        <f>D277-G277</f>
        <v/>
      </c>
      <c r="L292" s="198" t="inlineStr">
        <is>
          <t>Sqm</t>
        </is>
      </c>
    </row>
    <row r="293" customFormat="1" s="206">
      <c r="A293" s="247" t="n"/>
      <c r="B293" s="192" t="inlineStr">
        <is>
          <t>Total qty. of brick masonry</t>
        </is>
      </c>
      <c r="D293" s="193" t="n"/>
      <c r="E293" s="194" t="n"/>
      <c r="F293" s="201" t="n"/>
      <c r="G293" s="194" t="n"/>
      <c r="H293" s="195" t="n"/>
      <c r="J293" s="196" t="n"/>
      <c r="K293" s="228">
        <f>K277</f>
        <v/>
      </c>
      <c r="L293" s="198" t="inlineStr">
        <is>
          <t>Sqm</t>
        </is>
      </c>
    </row>
    <row r="294" customFormat="1" s="206">
      <c r="A294" s="247" t="n"/>
      <c r="B294" s="212" t="n"/>
      <c r="C294" s="199" t="n"/>
      <c r="D294" s="201" t="n"/>
      <c r="E294" s="199" t="n"/>
      <c r="F294" s="201" t="n"/>
      <c r="G294" s="205" t="n"/>
    </row>
    <row r="295" customFormat="1" s="206">
      <c r="A295" s="247" t="n">
        <v>3</v>
      </c>
      <c r="B295" s="212" t="inlineStr">
        <is>
          <t>Centering &amp; shuttering with plywood or steel sheets including strutting propping, bracing both ways with wooden members and removal of form work for superstructure upto 4.5 Mtr. height above plinth level (A) For Columns, Pillars, Posts and Struts etc.</t>
        </is>
      </c>
      <c r="C295" s="199" t="n"/>
      <c r="D295" s="201" t="n"/>
      <c r="E295" s="199" t="n"/>
      <c r="F295" s="201" t="n"/>
      <c r="G295" s="205" t="n"/>
    </row>
    <row r="296" customFormat="1" s="206">
      <c r="A296" s="247" t="n"/>
      <c r="B296" s="213" t="inlineStr">
        <is>
          <t>Columns C1</t>
        </is>
      </c>
      <c r="C296" s="247">
        <f>34+31+33+31+62+54</f>
        <v/>
      </c>
      <c r="D296" s="206" t="inlineStr">
        <is>
          <t>x</t>
        </is>
      </c>
      <c r="E296" s="199">
        <f>2*(0.3+0.6)</f>
        <v/>
      </c>
      <c r="F296" s="206" t="inlineStr">
        <is>
          <t>x</t>
        </is>
      </c>
      <c r="G296" s="199" t="n">
        <v>3</v>
      </c>
      <c r="J296" s="258" t="inlineStr">
        <is>
          <t>=</t>
        </is>
      </c>
      <c r="K296" s="199">
        <f>IF(C281,C281*E281*G281,"")</f>
        <v/>
      </c>
      <c r="L296" s="247" t="inlineStr">
        <is>
          <t>Sqm</t>
        </is>
      </c>
    </row>
    <row r="297" customFormat="1" s="206">
      <c r="A297" s="247" t="n"/>
      <c r="B297" s="213" t="inlineStr">
        <is>
          <t>Columns C2</t>
        </is>
      </c>
      <c r="C297" s="247">
        <f>24+24+25+24</f>
        <v/>
      </c>
      <c r="D297" s="206" t="inlineStr">
        <is>
          <t>x</t>
        </is>
      </c>
      <c r="E297" s="199">
        <f>2*(0.3+0.3)</f>
        <v/>
      </c>
      <c r="F297" s="206" t="inlineStr">
        <is>
          <t>x</t>
        </is>
      </c>
      <c r="G297" s="199" t="n">
        <v>3.3</v>
      </c>
      <c r="J297" s="258" t="inlineStr">
        <is>
          <t>=</t>
        </is>
      </c>
      <c r="K297" s="199">
        <f>IF(C282,C282*E282*G282,"")</f>
        <v/>
      </c>
      <c r="L297" s="247" t="inlineStr">
        <is>
          <t>Sqm</t>
        </is>
      </c>
    </row>
    <row r="298" customFormat="1" s="206">
      <c r="A298" s="201" t="n"/>
      <c r="B298" s="212" t="n"/>
      <c r="C298" s="247" t="n"/>
      <c r="E298" s="228" t="n"/>
      <c r="F298" s="214" t="n"/>
      <c r="G298" s="215" t="inlineStr">
        <is>
          <t xml:space="preserve">Total </t>
        </is>
      </c>
      <c r="H298" s="214" t="n"/>
      <c r="I298" s="216" t="n"/>
      <c r="J298" s="214" t="n"/>
      <c r="K298" s="216">
        <f>SUM(K281:K282)</f>
        <v/>
      </c>
      <c r="L298" s="217" t="inlineStr">
        <is>
          <t>Sqm</t>
        </is>
      </c>
    </row>
    <row r="299" customFormat="1" s="206">
      <c r="A299" s="247" t="n"/>
      <c r="B299" s="192" t="inlineStr">
        <is>
          <t>(B) For suspended floors, roofs, landing staircases, landing balconies, girders, cantilevers, bands, copings, bed plates, anchor blocks, sills, chajjas etc.</t>
        </is>
      </c>
      <c r="C299" s="199" t="n"/>
      <c r="D299" s="201" t="n"/>
      <c r="E299" s="199" t="n"/>
      <c r="F299" s="201" t="n"/>
      <c r="G299" s="205" t="n"/>
    </row>
    <row r="300" customFormat="1" s="206">
      <c r="A300" s="247" t="n"/>
      <c r="B300" s="207" t="inlineStr">
        <is>
          <t xml:space="preserve">Lintels </t>
        </is>
      </c>
      <c r="C300" s="199" t="n"/>
      <c r="E300" s="199" t="n"/>
      <c r="G300" s="205" t="n"/>
    </row>
    <row r="301" customFormat="1" s="206">
      <c r="A301" s="201" t="n"/>
      <c r="B301" s="212" t="inlineStr">
        <is>
          <t>Walls in X direction Except Verandah Walls</t>
        </is>
      </c>
      <c r="C301" s="247" t="n">
        <v>2</v>
      </c>
      <c r="D301" s="206" t="inlineStr">
        <is>
          <t>x</t>
        </is>
      </c>
      <c r="E301" s="199">
        <f>E250-E11-E12</f>
        <v/>
      </c>
      <c r="F301" s="206" t="inlineStr">
        <is>
          <t>x</t>
        </is>
      </c>
      <c r="G301" s="199" t="n">
        <v>0.23</v>
      </c>
      <c r="I301" s="199" t="n"/>
      <c r="J301" s="258" t="inlineStr">
        <is>
          <t>=</t>
        </is>
      </c>
      <c r="K301" s="199">
        <f>IF(C286,C286*E286*G286,"")</f>
        <v/>
      </c>
      <c r="L301" s="247" t="inlineStr">
        <is>
          <t>Sqm</t>
        </is>
      </c>
    </row>
    <row r="302" customFormat="1" s="206">
      <c r="A302" s="247" t="n"/>
      <c r="B302" s="212" t="inlineStr">
        <is>
          <t>Walls in Y direction Except Verandah Walls</t>
        </is>
      </c>
      <c r="C302" s="247" t="n">
        <v>2</v>
      </c>
      <c r="D302" s="206" t="inlineStr">
        <is>
          <t>x</t>
        </is>
      </c>
      <c r="E302" s="199">
        <f>E251-#REF!-#REF!</f>
        <v/>
      </c>
      <c r="F302" s="206" t="inlineStr">
        <is>
          <t>x</t>
        </is>
      </c>
      <c r="G302" s="199" t="n">
        <v>0.23</v>
      </c>
      <c r="J302" s="258" t="inlineStr">
        <is>
          <t>=</t>
        </is>
      </c>
      <c r="K302" s="199">
        <f>IF(C287,C287*E287*G287,"")</f>
        <v/>
      </c>
      <c r="L302" s="247" t="inlineStr">
        <is>
          <t>Sqm</t>
        </is>
      </c>
    </row>
    <row r="303" customFormat="1" s="206">
      <c r="A303" s="247" t="n"/>
      <c r="B303" s="213">
        <f>B271</f>
        <v/>
      </c>
      <c r="C303" s="247" t="n">
        <v>2</v>
      </c>
      <c r="D303" s="206" t="inlineStr">
        <is>
          <t>x</t>
        </is>
      </c>
      <c r="E303" s="218">
        <f>E271</f>
        <v/>
      </c>
      <c r="F303" s="206" t="inlineStr">
        <is>
          <t>x</t>
        </is>
      </c>
      <c r="G303" s="199" t="n">
        <v>0.15</v>
      </c>
      <c r="J303" s="258" t="inlineStr">
        <is>
          <t>=</t>
        </is>
      </c>
      <c r="K303" s="199">
        <f>IF(C288,C288*E288*G288,"")</f>
        <v/>
      </c>
      <c r="L303" s="247" t="inlineStr">
        <is>
          <t>Sqm</t>
        </is>
      </c>
    </row>
    <row r="304" customFormat="1" s="206">
      <c r="A304" s="201" t="n"/>
      <c r="B304" s="219" t="inlineStr">
        <is>
          <t>soffits</t>
        </is>
      </c>
      <c r="C304" s="247" t="n"/>
      <c r="E304" s="199" t="n"/>
      <c r="G304" s="199" t="n"/>
      <c r="I304" s="199" t="n"/>
      <c r="J304" s="258" t="n"/>
      <c r="K304" s="199" t="n"/>
      <c r="L304" s="247" t="n"/>
    </row>
    <row r="305" customFormat="1" s="206">
      <c r="A305" s="201" t="n"/>
      <c r="B305" s="220" t="inlineStr">
        <is>
          <t>D1</t>
        </is>
      </c>
      <c r="C305" s="247" t="n">
        <v>63</v>
      </c>
      <c r="D305" s="206" t="inlineStr">
        <is>
          <t>x</t>
        </is>
      </c>
      <c r="E305" s="199" t="n">
        <v>1.2</v>
      </c>
      <c r="F305" s="206" t="inlineStr">
        <is>
          <t>x</t>
        </is>
      </c>
      <c r="G305" s="199" t="n">
        <v>0.23</v>
      </c>
      <c r="I305" s="199" t="n"/>
      <c r="J305" s="258" t="inlineStr">
        <is>
          <t>=</t>
        </is>
      </c>
      <c r="K305" s="199">
        <f>IF(C290,C290*E290*G290,"")</f>
        <v/>
      </c>
      <c r="L305" s="247" t="inlineStr">
        <is>
          <t>Sqm</t>
        </is>
      </c>
    </row>
    <row r="306" customFormat="1" s="206">
      <c r="A306" s="201" t="n"/>
      <c r="B306" s="220" t="inlineStr">
        <is>
          <t>D2</t>
        </is>
      </c>
      <c r="C306" s="247" t="n">
        <v>3</v>
      </c>
      <c r="D306" s="206" t="inlineStr">
        <is>
          <t>x</t>
        </is>
      </c>
      <c r="E306" s="199" t="n">
        <v>3</v>
      </c>
      <c r="F306" s="206" t="inlineStr">
        <is>
          <t>x</t>
        </is>
      </c>
      <c r="G306" s="199" t="n">
        <v>0.23</v>
      </c>
      <c r="I306" s="199" t="n"/>
      <c r="J306" s="258" t="inlineStr">
        <is>
          <t>=</t>
        </is>
      </c>
      <c r="K306" s="199">
        <f>IF(C291,C291*E291*G291,"")</f>
        <v/>
      </c>
      <c r="L306" s="247" t="inlineStr">
        <is>
          <t>Sqm</t>
        </is>
      </c>
    </row>
    <row r="307" customFormat="1" s="206">
      <c r="A307" s="201" t="n"/>
      <c r="B307" s="220" t="inlineStr">
        <is>
          <t>D3</t>
        </is>
      </c>
      <c r="C307" s="247" t="n">
        <v>10</v>
      </c>
      <c r="D307" s="206" t="inlineStr">
        <is>
          <t>x</t>
        </is>
      </c>
      <c r="E307" s="199" t="n">
        <v>0.9</v>
      </c>
      <c r="F307" s="206" t="inlineStr">
        <is>
          <t>x</t>
        </is>
      </c>
      <c r="G307" s="199" t="n">
        <v>0.11</v>
      </c>
      <c r="I307" s="199" t="n"/>
      <c r="J307" s="258" t="inlineStr">
        <is>
          <t>=</t>
        </is>
      </c>
      <c r="K307" s="199">
        <f>IF(C292,C292*E292*G292,"")</f>
        <v/>
      </c>
      <c r="L307" s="247" t="inlineStr">
        <is>
          <t>Sqm</t>
        </is>
      </c>
    </row>
    <row r="308" customFormat="1" s="206">
      <c r="A308" s="201" t="n"/>
      <c r="B308" s="212" t="inlineStr">
        <is>
          <t>C.C. jali</t>
        </is>
      </c>
      <c r="C308" s="247" t="n">
        <v>2</v>
      </c>
      <c r="D308" s="206" t="inlineStr">
        <is>
          <t>x</t>
        </is>
      </c>
      <c r="E308" s="199" t="n">
        <v>1.8</v>
      </c>
      <c r="F308" s="206" t="inlineStr">
        <is>
          <t>x</t>
        </is>
      </c>
      <c r="G308" s="199" t="n">
        <v>0.23</v>
      </c>
      <c r="I308" s="199" t="n"/>
      <c r="J308" s="258" t="inlineStr">
        <is>
          <t>=</t>
        </is>
      </c>
      <c r="K308" s="199">
        <f>IF(C293,C293*E293*G293,"")</f>
        <v/>
      </c>
      <c r="L308" s="247" t="inlineStr">
        <is>
          <t>Sqm</t>
        </is>
      </c>
    </row>
    <row r="309" customFormat="1" s="206">
      <c r="A309" s="247" t="n"/>
      <c r="B309" s="221" t="inlineStr">
        <is>
          <t>Sunshades</t>
        </is>
      </c>
      <c r="C309" s="199" t="n"/>
      <c r="E309" s="199" t="n"/>
      <c r="G309" s="205" t="n"/>
    </row>
    <row r="310" customFormat="1" s="206">
      <c r="A310" s="201" t="n"/>
      <c r="B310" s="255" t="inlineStr">
        <is>
          <t>W1</t>
        </is>
      </c>
      <c r="C310" s="247" t="n">
        <v>222</v>
      </c>
      <c r="D310" s="206" t="inlineStr">
        <is>
          <t>x</t>
        </is>
      </c>
      <c r="E310" s="199" t="n">
        <v>1.8</v>
      </c>
      <c r="F310" s="206" t="inlineStr">
        <is>
          <t>x</t>
        </is>
      </c>
      <c r="G310" s="199" t="n">
        <v>0.83</v>
      </c>
      <c r="I310" s="199" t="n"/>
      <c r="J310" s="258" t="inlineStr">
        <is>
          <t>=</t>
        </is>
      </c>
      <c r="K310" s="199">
        <f>IF(C295,C295*E295*G295,"")</f>
        <v/>
      </c>
      <c r="L310" s="247" t="inlineStr">
        <is>
          <t>Sqm</t>
        </is>
      </c>
    </row>
    <row r="311" customFormat="1" s="206">
      <c r="A311" s="201" t="n"/>
      <c r="B311" s="255" t="inlineStr">
        <is>
          <t>V1</t>
        </is>
      </c>
      <c r="C311" s="247" t="n">
        <v>9</v>
      </c>
      <c r="D311" s="206" t="inlineStr">
        <is>
          <t>x</t>
        </is>
      </c>
      <c r="E311" s="199" t="n">
        <v>1.2</v>
      </c>
      <c r="F311" s="206" t="inlineStr">
        <is>
          <t>x</t>
        </is>
      </c>
      <c r="G311" s="199" t="n">
        <v>0.83</v>
      </c>
      <c r="I311" s="199" t="n"/>
      <c r="J311" s="258" t="inlineStr">
        <is>
          <t>=</t>
        </is>
      </c>
      <c r="K311" s="199">
        <f>IF(C296,C296*E296*G296,"")</f>
        <v/>
      </c>
      <c r="L311" s="247" t="inlineStr">
        <is>
          <t>Sqm</t>
        </is>
      </c>
    </row>
    <row r="312" customFormat="1" s="206">
      <c r="A312" s="201" t="n"/>
      <c r="B312" s="255" t="inlineStr">
        <is>
          <t>V2</t>
        </is>
      </c>
      <c r="C312" s="247" t="n">
        <v>295</v>
      </c>
      <c r="D312" s="206" t="inlineStr">
        <is>
          <t>x</t>
        </is>
      </c>
      <c r="E312" s="199" t="n">
        <v>0.9</v>
      </c>
      <c r="F312" s="206" t="inlineStr">
        <is>
          <t>x</t>
        </is>
      </c>
      <c r="G312" s="199" t="n">
        <v>0.83</v>
      </c>
      <c r="I312" s="199" t="n"/>
      <c r="J312" s="258" t="inlineStr">
        <is>
          <t>=</t>
        </is>
      </c>
      <c r="K312" s="199">
        <f>IF(C297,C297*E297*G297,"")</f>
        <v/>
      </c>
      <c r="L312" s="247" t="inlineStr">
        <is>
          <t>Sqm</t>
        </is>
      </c>
    </row>
    <row r="313" customFormat="1" s="206">
      <c r="A313" s="201" t="n"/>
      <c r="B313" s="212" t="inlineStr">
        <is>
          <t>Porch</t>
        </is>
      </c>
      <c r="C313" s="247" t="n">
        <v>1</v>
      </c>
      <c r="D313" s="206" t="inlineStr">
        <is>
          <t>x</t>
        </is>
      </c>
      <c r="E313" s="199" t="n">
        <v>3.9</v>
      </c>
      <c r="F313" s="206" t="inlineStr">
        <is>
          <t>x</t>
        </is>
      </c>
      <c r="G313" s="199" t="n">
        <v>1.28</v>
      </c>
      <c r="I313" s="199" t="n"/>
      <c r="J313" s="258" t="inlineStr">
        <is>
          <t>=</t>
        </is>
      </c>
      <c r="K313" s="199">
        <f>IF(C298,C298*E298*G298,"")</f>
        <v/>
      </c>
      <c r="L313" s="247" t="inlineStr">
        <is>
          <t>Sqm</t>
        </is>
      </c>
    </row>
    <row r="314" customFormat="1" s="206">
      <c r="A314" s="201" t="n"/>
      <c r="B314" s="212" t="inlineStr">
        <is>
          <t>Porch</t>
        </is>
      </c>
      <c r="C314" s="247" t="n">
        <v>2</v>
      </c>
      <c r="D314" s="206" t="inlineStr">
        <is>
          <t>x</t>
        </is>
      </c>
      <c r="E314" s="199" t="n">
        <v>4.5</v>
      </c>
      <c r="F314" s="206" t="inlineStr">
        <is>
          <t>x</t>
        </is>
      </c>
      <c r="G314" s="199" t="n">
        <v>1.28</v>
      </c>
      <c r="I314" s="199" t="n"/>
      <c r="J314" s="258" t="inlineStr">
        <is>
          <t>=</t>
        </is>
      </c>
      <c r="K314" s="199">
        <f>IF(C299,C299*E299*G299,"")</f>
        <v/>
      </c>
      <c r="L314" s="247" t="inlineStr">
        <is>
          <t>Sqm</t>
        </is>
      </c>
    </row>
    <row r="315" customFormat="1" s="206">
      <c r="A315" s="201" t="n"/>
      <c r="B315" s="212" t="inlineStr">
        <is>
          <t>Total Shuttering of sunshades in FF</t>
        </is>
      </c>
      <c r="C315" s="194">
        <f>SUM(K295:K299)</f>
        <v/>
      </c>
      <c r="D315" s="195" t="n"/>
      <c r="E315" s="194" t="n"/>
      <c r="G315" s="247" t="inlineStr">
        <is>
          <t>Sqm</t>
        </is>
      </c>
      <c r="I315" s="199" t="n"/>
      <c r="J315" s="258" t="n"/>
      <c r="K315" s="199" t="n"/>
      <c r="L315" s="247" t="n"/>
    </row>
    <row r="316" customFormat="1" s="206">
      <c r="A316" s="247" t="n"/>
      <c r="B316" s="213" t="inlineStr">
        <is>
          <t>Beams</t>
        </is>
      </c>
      <c r="C316" s="199" t="n"/>
      <c r="E316" s="199" t="n"/>
      <c r="G316" s="205" t="n"/>
    </row>
    <row r="317" customFormat="1" s="206">
      <c r="A317" s="201" t="n"/>
      <c r="B317" s="223">
        <f>B250</f>
        <v/>
      </c>
      <c r="C317" s="247" t="n">
        <v>2</v>
      </c>
      <c r="D317" s="206" t="inlineStr">
        <is>
          <t>x</t>
        </is>
      </c>
      <c r="E317" s="218">
        <f>E250</f>
        <v/>
      </c>
      <c r="F317" s="206" t="inlineStr">
        <is>
          <t>x</t>
        </is>
      </c>
      <c r="G317" s="199" t="n">
        <v>0.3</v>
      </c>
      <c r="I317" s="199" t="n"/>
      <c r="J317" s="258" t="inlineStr">
        <is>
          <t>=</t>
        </is>
      </c>
      <c r="K317" s="199">
        <f>IF(C302,C302*E302*G302,"")</f>
        <v/>
      </c>
      <c r="L317" s="247" t="inlineStr">
        <is>
          <t>Sqm</t>
        </is>
      </c>
    </row>
    <row r="318" customFormat="1" s="206">
      <c r="A318" s="201" t="n"/>
      <c r="B318" s="212" t="n"/>
      <c r="C318" s="247" t="n">
        <v>1</v>
      </c>
      <c r="D318" s="206" t="inlineStr">
        <is>
          <t>x</t>
        </is>
      </c>
      <c r="E318" s="199">
        <f>E302</f>
        <v/>
      </c>
      <c r="F318" s="206" t="inlineStr">
        <is>
          <t>x</t>
        </is>
      </c>
      <c r="G318" s="199" t="n">
        <v>0.3</v>
      </c>
      <c r="I318" s="199" t="n"/>
      <c r="J318" s="258" t="inlineStr">
        <is>
          <t>=</t>
        </is>
      </c>
      <c r="K318" s="199">
        <f>IF(C303,C303*E303*G303,"")</f>
        <v/>
      </c>
      <c r="L318" s="247" t="inlineStr">
        <is>
          <t>Sqm</t>
        </is>
      </c>
    </row>
    <row r="319" customFormat="1" s="206">
      <c r="A319" s="201" t="n"/>
      <c r="B319" s="223">
        <f>B251</f>
        <v/>
      </c>
      <c r="C319" s="247" t="n">
        <v>2</v>
      </c>
      <c r="D319" s="206" t="inlineStr">
        <is>
          <t>x</t>
        </is>
      </c>
      <c r="E319" s="218">
        <f>E251</f>
        <v/>
      </c>
      <c r="F319" s="206" t="inlineStr">
        <is>
          <t>x</t>
        </is>
      </c>
      <c r="G319" s="199" t="n">
        <v>0.3</v>
      </c>
      <c r="I319" s="199" t="n"/>
      <c r="J319" s="258" t="inlineStr">
        <is>
          <t>=</t>
        </is>
      </c>
      <c r="K319" s="199">
        <f>IF(C304,C304*E304*G304,"")</f>
        <v/>
      </c>
      <c r="L319" s="247" t="inlineStr">
        <is>
          <t>Sqm</t>
        </is>
      </c>
    </row>
    <row r="320" customFormat="1" s="206">
      <c r="A320" s="201" t="n"/>
      <c r="B320" s="212" t="n"/>
      <c r="C320" s="247" t="n">
        <v>1</v>
      </c>
      <c r="D320" s="206" t="inlineStr">
        <is>
          <t>x</t>
        </is>
      </c>
      <c r="E320" s="199">
        <f>E304</f>
        <v/>
      </c>
      <c r="F320" s="206" t="inlineStr">
        <is>
          <t>x</t>
        </is>
      </c>
      <c r="G320" s="199" t="n">
        <v>0.3</v>
      </c>
      <c r="I320" s="199" t="n"/>
      <c r="J320" s="258" t="inlineStr">
        <is>
          <t>=</t>
        </is>
      </c>
      <c r="K320" s="199">
        <f>IF(C305,C305*E305*G305,"")</f>
        <v/>
      </c>
      <c r="L320" s="247" t="inlineStr">
        <is>
          <t>Sqm</t>
        </is>
      </c>
    </row>
    <row r="321" customFormat="1" s="206">
      <c r="A321" s="201" t="n"/>
      <c r="B321" s="223" t="inlineStr">
        <is>
          <t>In Rooms</t>
        </is>
      </c>
      <c r="C321" s="247" t="n">
        <v>26</v>
      </c>
      <c r="D321" s="206" t="inlineStr">
        <is>
          <t>x</t>
        </is>
      </c>
      <c r="E321" s="218">
        <f>(28.75+1.5)*0.3048</f>
        <v/>
      </c>
      <c r="F321" s="206" t="inlineStr">
        <is>
          <t>x</t>
        </is>
      </c>
      <c r="G321" s="199" t="n">
        <v>0.3</v>
      </c>
      <c r="I321" s="199" t="n"/>
      <c r="J321" s="258" t="inlineStr">
        <is>
          <t>=</t>
        </is>
      </c>
      <c r="K321" s="199">
        <f>IF(C306,C306*E306*G306,"")</f>
        <v/>
      </c>
      <c r="L321" s="247" t="inlineStr">
        <is>
          <t>Sqm</t>
        </is>
      </c>
    </row>
    <row r="322" customFormat="1" s="206">
      <c r="A322" s="201" t="n"/>
      <c r="B322" s="212" t="n"/>
      <c r="C322" s="247">
        <f>C306*2</f>
        <v/>
      </c>
      <c r="D322" s="206" t="inlineStr">
        <is>
          <t>x</t>
        </is>
      </c>
      <c r="E322" s="199">
        <f>E306</f>
        <v/>
      </c>
      <c r="F322" s="206" t="inlineStr">
        <is>
          <t>x</t>
        </is>
      </c>
      <c r="G322" s="199" t="n">
        <v>0.75</v>
      </c>
      <c r="I322" s="199" t="n"/>
      <c r="J322" s="258" t="inlineStr">
        <is>
          <t>=</t>
        </is>
      </c>
      <c r="K322" s="199">
        <f>IF(C307,C307*E307*G307,"")</f>
        <v/>
      </c>
      <c r="L322" s="247" t="inlineStr">
        <is>
          <t>Sqm</t>
        </is>
      </c>
    </row>
    <row r="323" customFormat="1" s="206">
      <c r="A323" s="201" t="n"/>
      <c r="B323" s="223" t="inlineStr">
        <is>
          <t>In Rooms</t>
        </is>
      </c>
      <c r="C323" s="247" t="n">
        <v>45</v>
      </c>
      <c r="D323" s="206" t="inlineStr">
        <is>
          <t>x</t>
        </is>
      </c>
      <c r="E323" s="218">
        <f>(29.5+1.5)*0.3048</f>
        <v/>
      </c>
      <c r="F323" s="206" t="inlineStr">
        <is>
          <t>x</t>
        </is>
      </c>
      <c r="G323" s="199" t="n">
        <v>0.3</v>
      </c>
      <c r="I323" s="199" t="n"/>
      <c r="J323" s="258" t="inlineStr">
        <is>
          <t>=</t>
        </is>
      </c>
      <c r="K323" s="199">
        <f>IF(C308,C308*E308*G308,"")</f>
        <v/>
      </c>
      <c r="L323" s="247" t="inlineStr">
        <is>
          <t>Sqm</t>
        </is>
      </c>
    </row>
    <row r="324" customFormat="1" s="206">
      <c r="A324" s="201" t="n"/>
      <c r="B324" s="212" t="n"/>
      <c r="C324" s="247">
        <f>C308*2</f>
        <v/>
      </c>
      <c r="D324" s="206" t="inlineStr">
        <is>
          <t>x</t>
        </is>
      </c>
      <c r="E324" s="199">
        <f>E308</f>
        <v/>
      </c>
      <c r="F324" s="206" t="inlineStr">
        <is>
          <t>x</t>
        </is>
      </c>
      <c r="G324" s="199" t="n">
        <v>0.75</v>
      </c>
      <c r="I324" s="199" t="n"/>
      <c r="J324" s="258" t="inlineStr">
        <is>
          <t>=</t>
        </is>
      </c>
      <c r="K324" s="199">
        <f>IF(C309,C309*E309*G309,"")</f>
        <v/>
      </c>
      <c r="L324" s="247" t="inlineStr">
        <is>
          <t>Sqm</t>
        </is>
      </c>
    </row>
    <row r="325" ht="24" customFormat="1" customHeight="1" s="206">
      <c r="A325" s="201" t="n"/>
      <c r="B325" s="223" t="inlineStr">
        <is>
          <t>In Rooms</t>
        </is>
      </c>
      <c r="C325" s="247" t="n">
        <v>22</v>
      </c>
      <c r="D325" s="206" t="inlineStr">
        <is>
          <t>x</t>
        </is>
      </c>
      <c r="E325" s="218">
        <f>(25+1.5)*0.3048</f>
        <v/>
      </c>
      <c r="F325" s="206" t="inlineStr">
        <is>
          <t>x</t>
        </is>
      </c>
      <c r="G325" s="199" t="n">
        <v>0.3</v>
      </c>
      <c r="I325" s="199" t="n"/>
      <c r="J325" s="258" t="inlineStr">
        <is>
          <t>=</t>
        </is>
      </c>
      <c r="K325" s="199">
        <f>IF(C310,C310*E310*G310,"")</f>
        <v/>
      </c>
      <c r="L325" s="247" t="inlineStr">
        <is>
          <t>Sqm</t>
        </is>
      </c>
    </row>
    <row r="326" customFormat="1" s="206">
      <c r="A326" s="201" t="n"/>
      <c r="B326" s="212" t="n"/>
      <c r="C326" s="247">
        <f>C310*2</f>
        <v/>
      </c>
      <c r="D326" s="206" t="inlineStr">
        <is>
          <t>x</t>
        </is>
      </c>
      <c r="E326" s="199">
        <f>E310</f>
        <v/>
      </c>
      <c r="F326" s="206" t="inlineStr">
        <is>
          <t>x</t>
        </is>
      </c>
      <c r="G326" s="199" t="n">
        <v>0.6</v>
      </c>
      <c r="I326" s="199" t="n"/>
      <c r="J326" s="258" t="inlineStr">
        <is>
          <t>=</t>
        </is>
      </c>
      <c r="K326" s="199">
        <f>IF(C311,C311*E311*G311,"")</f>
        <v/>
      </c>
      <c r="L326" s="247" t="inlineStr">
        <is>
          <t>Sqm</t>
        </is>
      </c>
    </row>
    <row r="327" customFormat="1" s="206">
      <c r="A327" s="201" t="n"/>
      <c r="B327" s="223">
        <f>B260</f>
        <v/>
      </c>
      <c r="C327" s="247" t="n">
        <v>2</v>
      </c>
      <c r="D327" s="206" t="inlineStr">
        <is>
          <t>x</t>
        </is>
      </c>
      <c r="E327" s="218">
        <f>E260</f>
        <v/>
      </c>
      <c r="F327" s="206" t="inlineStr">
        <is>
          <t>x</t>
        </is>
      </c>
      <c r="G327" s="199" t="n">
        <v>0.45</v>
      </c>
      <c r="I327" s="199" t="n"/>
      <c r="J327" s="258" t="inlineStr">
        <is>
          <t>=</t>
        </is>
      </c>
      <c r="K327" s="199">
        <f>IF(C312,C312*E312*G312,"")</f>
        <v/>
      </c>
      <c r="L327" s="247" t="inlineStr">
        <is>
          <t>Sqm</t>
        </is>
      </c>
    </row>
    <row r="328" customFormat="1" s="206">
      <c r="A328" s="201" t="n"/>
      <c r="B328" s="212" t="n"/>
      <c r="C328" s="247" t="n">
        <v>1</v>
      </c>
      <c r="D328" s="206" t="inlineStr">
        <is>
          <t>x</t>
        </is>
      </c>
      <c r="E328" s="199">
        <f>E312</f>
        <v/>
      </c>
      <c r="F328" s="206" t="inlineStr">
        <is>
          <t>x</t>
        </is>
      </c>
      <c r="G328" s="199" t="n">
        <v>0.3</v>
      </c>
      <c r="I328" s="199" t="n"/>
      <c r="J328" s="258" t="inlineStr">
        <is>
          <t>=</t>
        </is>
      </c>
      <c r="K328" s="199">
        <f>IF(C313,C313*E313*G313,"")</f>
        <v/>
      </c>
      <c r="L328" s="247" t="inlineStr">
        <is>
          <t>Sqm</t>
        </is>
      </c>
    </row>
    <row r="329" customFormat="1" s="206">
      <c r="A329" s="201" t="n"/>
      <c r="B329" s="223">
        <f>B261</f>
        <v/>
      </c>
      <c r="C329" s="247" t="n">
        <v>2</v>
      </c>
      <c r="D329" s="206" t="inlineStr">
        <is>
          <t>x</t>
        </is>
      </c>
      <c r="E329" s="218">
        <f>E261</f>
        <v/>
      </c>
      <c r="F329" s="206" t="inlineStr">
        <is>
          <t>x</t>
        </is>
      </c>
      <c r="G329" s="199" t="n">
        <v>0.45</v>
      </c>
      <c r="I329" s="199" t="n"/>
      <c r="J329" s="258" t="inlineStr">
        <is>
          <t>=</t>
        </is>
      </c>
      <c r="K329" s="199">
        <f>IF(C314,C314*E314*G314,"")</f>
        <v/>
      </c>
      <c r="L329" s="247" t="inlineStr">
        <is>
          <t>Sqm</t>
        </is>
      </c>
    </row>
    <row r="330" ht="15" customFormat="1" customHeight="1" s="206">
      <c r="A330" s="201" t="n"/>
      <c r="B330" s="212" t="n"/>
      <c r="C330" s="247" t="n">
        <v>1</v>
      </c>
      <c r="D330" s="206" t="inlineStr">
        <is>
          <t>x</t>
        </is>
      </c>
      <c r="E330" s="199">
        <f>E314</f>
        <v/>
      </c>
      <c r="F330" s="206" t="inlineStr">
        <is>
          <t>x</t>
        </is>
      </c>
      <c r="G330" s="199" t="n">
        <v>0.3</v>
      </c>
      <c r="I330" s="199" t="n"/>
      <c r="J330" s="258" t="inlineStr">
        <is>
          <t>=</t>
        </is>
      </c>
      <c r="K330" s="199">
        <f>IF(C315,C315*E315*G315,"")</f>
        <v/>
      </c>
      <c r="L330" s="247" t="inlineStr">
        <is>
          <t>Sqm</t>
        </is>
      </c>
    </row>
    <row r="331" ht="15" customFormat="1" customHeight="1" s="206">
      <c r="A331" s="201" t="n"/>
      <c r="B331" s="223">
        <f>B262</f>
        <v/>
      </c>
      <c r="C331" s="247" t="n">
        <v>2</v>
      </c>
      <c r="D331" s="206" t="inlineStr">
        <is>
          <t>x</t>
        </is>
      </c>
      <c r="E331" s="218">
        <f>E262</f>
        <v/>
      </c>
      <c r="F331" s="206" t="inlineStr">
        <is>
          <t>x</t>
        </is>
      </c>
      <c r="G331" s="199" t="n">
        <v>0.45</v>
      </c>
      <c r="I331" s="199" t="n"/>
      <c r="J331" s="258" t="inlineStr">
        <is>
          <t>=</t>
        </is>
      </c>
      <c r="K331" s="199">
        <f>IF(C316,C316*E316*G316,"")</f>
        <v/>
      </c>
      <c r="L331" s="247" t="inlineStr">
        <is>
          <t>Sqm</t>
        </is>
      </c>
    </row>
    <row r="332" ht="15" customFormat="1" customHeight="1" s="206">
      <c r="A332" s="201" t="n"/>
      <c r="B332" s="212" t="n"/>
      <c r="C332" s="247" t="n">
        <v>1</v>
      </c>
      <c r="D332" s="206" t="inlineStr">
        <is>
          <t>x</t>
        </is>
      </c>
      <c r="E332" s="199">
        <f>E316</f>
        <v/>
      </c>
      <c r="F332" s="206" t="inlineStr">
        <is>
          <t>x</t>
        </is>
      </c>
      <c r="G332" s="199" t="n">
        <v>0.3</v>
      </c>
      <c r="I332" s="199" t="n"/>
      <c r="J332" s="258" t="inlineStr">
        <is>
          <t>=</t>
        </is>
      </c>
      <c r="K332" s="199">
        <f>IF(C317,C317*E317*G317,"")</f>
        <v/>
      </c>
      <c r="L332" s="247" t="inlineStr">
        <is>
          <t>Sqm</t>
        </is>
      </c>
    </row>
    <row r="333" ht="240" customFormat="1" customHeight="1" s="206">
      <c r="A333" s="201" t="n"/>
      <c r="B333" s="223">
        <f>B263</f>
        <v/>
      </c>
      <c r="C333" s="247" t="n">
        <v>2</v>
      </c>
      <c r="D333" s="206" t="inlineStr">
        <is>
          <t>x</t>
        </is>
      </c>
      <c r="E333" s="218">
        <f>E263</f>
        <v/>
      </c>
      <c r="F333" s="206" t="inlineStr">
        <is>
          <t>x</t>
        </is>
      </c>
      <c r="G333" s="199" t="n">
        <v>0.45</v>
      </c>
      <c r="I333" s="199" t="n"/>
      <c r="J333" s="258" t="inlineStr">
        <is>
          <t>=</t>
        </is>
      </c>
      <c r="K333" s="199">
        <f>IF(C318,C318*E318*G318,"")</f>
        <v/>
      </c>
      <c r="L333" s="247" t="inlineStr">
        <is>
          <t>Sqm</t>
        </is>
      </c>
    </row>
    <row r="334" customFormat="1" s="206">
      <c r="A334" s="201" t="n"/>
      <c r="B334" s="212" t="n"/>
      <c r="C334" s="247" t="n">
        <v>1</v>
      </c>
      <c r="D334" s="206" t="inlineStr">
        <is>
          <t>x</t>
        </is>
      </c>
      <c r="E334" s="199">
        <f>E318</f>
        <v/>
      </c>
      <c r="F334" s="206" t="inlineStr">
        <is>
          <t>x</t>
        </is>
      </c>
      <c r="G334" s="199" t="n">
        <v>0.3</v>
      </c>
      <c r="I334" s="199" t="n"/>
      <c r="J334" s="258" t="inlineStr">
        <is>
          <t>=</t>
        </is>
      </c>
      <c r="K334" s="199">
        <f>IF(C319,C319*E319*G319,"")</f>
        <v/>
      </c>
      <c r="L334" s="247" t="inlineStr">
        <is>
          <t>Sqm</t>
        </is>
      </c>
    </row>
    <row r="335" customFormat="1" s="206">
      <c r="A335" s="201" t="n"/>
      <c r="B335" s="212" t="inlineStr">
        <is>
          <t>Staircase</t>
        </is>
      </c>
      <c r="C335" s="247" t="n">
        <v>4</v>
      </c>
      <c r="D335" s="206" t="inlineStr">
        <is>
          <t>x</t>
        </is>
      </c>
      <c r="E335" s="199" t="n">
        <v>4.8</v>
      </c>
      <c r="F335" s="206" t="inlineStr">
        <is>
          <t>x</t>
        </is>
      </c>
      <c r="G335" s="199" t="n">
        <v>0.45</v>
      </c>
      <c r="I335" s="199" t="n"/>
      <c r="J335" s="258" t="inlineStr">
        <is>
          <t>=</t>
        </is>
      </c>
      <c r="K335" s="199">
        <f>IF(C320,C320*E320*G320,"")</f>
        <v/>
      </c>
      <c r="L335" s="247" t="inlineStr">
        <is>
          <t>Sqm</t>
        </is>
      </c>
    </row>
    <row r="336" customFormat="1" s="206">
      <c r="A336" s="201" t="n"/>
      <c r="B336" s="212" t="n"/>
      <c r="C336" s="247" t="n">
        <v>2</v>
      </c>
      <c r="D336" s="206" t="inlineStr">
        <is>
          <t>x</t>
        </is>
      </c>
      <c r="E336" s="199">
        <f>E320</f>
        <v/>
      </c>
      <c r="F336" s="206" t="inlineStr">
        <is>
          <t>x</t>
        </is>
      </c>
      <c r="G336" s="199" t="n">
        <v>0.3</v>
      </c>
      <c r="I336" s="199" t="n"/>
      <c r="J336" s="258" t="inlineStr">
        <is>
          <t>=</t>
        </is>
      </c>
      <c r="K336" s="199">
        <f>IF(C321,C321*E321*G321,"")</f>
        <v/>
      </c>
      <c r="L336" s="247" t="inlineStr">
        <is>
          <t>Sqm</t>
        </is>
      </c>
    </row>
    <row r="337" customFormat="1" s="206">
      <c r="A337" s="201" t="n"/>
      <c r="B337" s="212" t="inlineStr">
        <is>
          <t>Ent Hall</t>
        </is>
      </c>
      <c r="C337" s="247" t="n">
        <v>4</v>
      </c>
      <c r="D337" s="206" t="inlineStr">
        <is>
          <t>x</t>
        </is>
      </c>
      <c r="E337" s="199" t="n">
        <v>3.5</v>
      </c>
      <c r="F337" s="206" t="inlineStr">
        <is>
          <t>x</t>
        </is>
      </c>
      <c r="G337" s="199" t="n">
        <v>0.6</v>
      </c>
      <c r="I337" s="199" t="n"/>
      <c r="J337" s="258" t="inlineStr">
        <is>
          <t>=</t>
        </is>
      </c>
      <c r="K337" s="199">
        <f>IF(C322,C322*E322*G322,"")</f>
        <v/>
      </c>
      <c r="L337" s="247" t="inlineStr">
        <is>
          <t>Sqm</t>
        </is>
      </c>
    </row>
    <row r="338" customFormat="1" s="206">
      <c r="A338" s="201" t="n"/>
      <c r="B338" s="212" t="n"/>
      <c r="C338" s="247" t="n">
        <v>1</v>
      </c>
      <c r="D338" s="206" t="inlineStr">
        <is>
          <t>x</t>
        </is>
      </c>
      <c r="E338" s="199">
        <f>E322</f>
        <v/>
      </c>
      <c r="F338" s="206" t="inlineStr">
        <is>
          <t>x</t>
        </is>
      </c>
      <c r="G338" s="199" t="n">
        <v>0.3</v>
      </c>
      <c r="I338" s="199" t="n"/>
      <c r="J338" s="258" t="inlineStr">
        <is>
          <t>=</t>
        </is>
      </c>
      <c r="K338" s="199">
        <f>IF(C323,C323*E323*G323,"")</f>
        <v/>
      </c>
      <c r="L338" s="247" t="inlineStr">
        <is>
          <t>Sqm</t>
        </is>
      </c>
    </row>
    <row r="339" customFormat="1" s="206">
      <c r="A339" s="247" t="n"/>
      <c r="B339" s="207" t="inlineStr">
        <is>
          <t>Slabs</t>
        </is>
      </c>
      <c r="C339" s="199" t="n"/>
      <c r="E339" s="199" t="n"/>
      <c r="G339" s="205" t="n"/>
      <c r="M339" s="199" t="n"/>
    </row>
    <row r="340" customFormat="1" s="206">
      <c r="A340" s="201" t="n"/>
      <c r="B340" s="212" t="inlineStr">
        <is>
          <t>Roof Area (103.10x100.20-85.88x79.71)</t>
        </is>
      </c>
      <c r="C340" s="247" t="n">
        <v>1</v>
      </c>
      <c r="D340" s="206" t="inlineStr">
        <is>
          <t>x</t>
        </is>
      </c>
      <c r="E340" s="199" t="n">
        <v>3485.125199999999</v>
      </c>
      <c r="F340" s="206" t="inlineStr">
        <is>
          <t>x</t>
        </is>
      </c>
      <c r="G340" s="199" t="n">
        <v>1</v>
      </c>
      <c r="I340" s="199" t="n"/>
      <c r="J340" s="258" t="inlineStr">
        <is>
          <t>=</t>
        </is>
      </c>
      <c r="K340" s="199">
        <f>IF(C325,C325*E325*G325,"")</f>
        <v/>
      </c>
      <c r="L340" s="247" t="inlineStr">
        <is>
          <t>Sqm</t>
        </is>
      </c>
    </row>
    <row r="341" ht="15.75" customFormat="1" customHeight="1" s="206">
      <c r="A341" s="201" t="n"/>
      <c r="B341" s="212" t="inlineStr">
        <is>
          <t xml:space="preserve">Staircase </t>
        </is>
      </c>
      <c r="C341" s="247" t="n">
        <v>2</v>
      </c>
      <c r="D341" s="206" t="inlineStr">
        <is>
          <t>x</t>
        </is>
      </c>
      <c r="E341" s="199" t="n">
        <v>7.2</v>
      </c>
      <c r="F341" s="206" t="inlineStr">
        <is>
          <t>x</t>
        </is>
      </c>
      <c r="G341" s="199" t="n">
        <v>5</v>
      </c>
      <c r="I341" s="199" t="n"/>
      <c r="J341" s="258" t="inlineStr">
        <is>
          <t>=</t>
        </is>
      </c>
      <c r="K341" s="199">
        <f>IF(C326,C326*E326*G326,"")</f>
        <v/>
      </c>
      <c r="L341" s="247" t="inlineStr">
        <is>
          <t>Sqm</t>
        </is>
      </c>
    </row>
    <row r="342" ht="15.75" customFormat="1" customHeight="1" s="206">
      <c r="A342" s="201" t="n"/>
      <c r="B342" s="212" t="inlineStr">
        <is>
          <t>Staircase flights</t>
        </is>
      </c>
      <c r="C342" s="247" t="n">
        <v>4</v>
      </c>
      <c r="D342" s="206" t="inlineStr">
        <is>
          <t>x</t>
        </is>
      </c>
      <c r="E342" s="199" t="n">
        <v>4.25</v>
      </c>
      <c r="F342" s="206" t="inlineStr">
        <is>
          <t>x</t>
        </is>
      </c>
      <c r="G342" s="199" t="n">
        <v>1.8</v>
      </c>
      <c r="I342" s="199" t="n"/>
      <c r="J342" s="258" t="inlineStr">
        <is>
          <t>=</t>
        </is>
      </c>
      <c r="K342" s="199">
        <f>IF(C327,C327*E327*G327,"")</f>
        <v/>
      </c>
      <c r="L342" s="247" t="inlineStr">
        <is>
          <t>Sqm</t>
        </is>
      </c>
    </row>
    <row r="343" ht="15.75" customFormat="1" customHeight="1" s="206">
      <c r="A343" s="201" t="n"/>
      <c r="B343" s="212" t="inlineStr">
        <is>
          <t>Staircase landing</t>
        </is>
      </c>
      <c r="C343" s="247" t="n">
        <v>2</v>
      </c>
      <c r="D343" s="206" t="inlineStr">
        <is>
          <t>x</t>
        </is>
      </c>
      <c r="E343" s="199" t="n">
        <v>3.5</v>
      </c>
      <c r="F343" s="206" t="inlineStr">
        <is>
          <t>x</t>
        </is>
      </c>
      <c r="G343" s="199" t="n">
        <v>1.8</v>
      </c>
      <c r="I343" s="199" t="n"/>
      <c r="J343" s="258" t="inlineStr">
        <is>
          <t>=</t>
        </is>
      </c>
      <c r="K343" s="199">
        <f>IF(C328,C328*E328*G328,"")</f>
        <v/>
      </c>
      <c r="L343" s="247" t="inlineStr">
        <is>
          <t>Sqm</t>
        </is>
      </c>
    </row>
    <row r="344" ht="15.75" customFormat="1" customHeight="1" s="206">
      <c r="A344" s="201" t="n"/>
      <c r="B344" s="212" t="inlineStr">
        <is>
          <t>Porch</t>
        </is>
      </c>
      <c r="C344" s="247" t="n">
        <v>1</v>
      </c>
      <c r="D344" s="206" t="inlineStr">
        <is>
          <t>x</t>
        </is>
      </c>
      <c r="E344" s="199" t="n">
        <v>3.6</v>
      </c>
      <c r="F344" s="206" t="inlineStr">
        <is>
          <t>x</t>
        </is>
      </c>
      <c r="G344" s="199" t="n">
        <v>5</v>
      </c>
      <c r="I344" s="199" t="n"/>
      <c r="J344" s="258" t="inlineStr">
        <is>
          <t>=</t>
        </is>
      </c>
      <c r="K344" s="199">
        <f>IF(C329,C329*E329*G329,"")</f>
        <v/>
      </c>
      <c r="L344" s="247" t="inlineStr">
        <is>
          <t>Sqm</t>
        </is>
      </c>
    </row>
    <row r="345" ht="16.5" customFormat="1" customHeight="1" s="206">
      <c r="A345" s="201" t="n"/>
      <c r="B345" s="192" t="inlineStr">
        <is>
          <t>Area Of Shuttering For Slab in FF</t>
        </is>
      </c>
      <c r="C345" s="224">
        <f>SUM(K325:K329)</f>
        <v/>
      </c>
      <c r="D345" s="225" t="n"/>
      <c r="E345" s="224" t="n"/>
      <c r="F345" s="198" t="inlineStr">
        <is>
          <t>Sqm</t>
        </is>
      </c>
      <c r="G345" s="228" t="n"/>
      <c r="I345" s="199" t="n"/>
      <c r="J345" s="258" t="n"/>
      <c r="K345" s="199" t="n"/>
      <c r="L345" s="247" t="n"/>
    </row>
    <row r="346" ht="24" customFormat="1" customHeight="1" s="206">
      <c r="A346" s="201" t="n"/>
      <c r="B346" s="212" t="n"/>
      <c r="C346" s="247" t="n"/>
      <c r="E346" s="228" t="n"/>
      <c r="F346" s="214" t="n"/>
      <c r="G346" s="215" t="inlineStr">
        <is>
          <t>Total FF</t>
        </is>
      </c>
      <c r="H346" s="214" t="n"/>
      <c r="I346" s="216" t="n"/>
      <c r="J346" s="214" t="n"/>
      <c r="K346" s="216">
        <f>SUM(K286:K330)</f>
        <v/>
      </c>
      <c r="L346" s="217" t="inlineStr">
        <is>
          <t>Sqm</t>
        </is>
      </c>
    </row>
    <row r="347" customFormat="1" s="206">
      <c r="A347" s="201" t="n"/>
      <c r="B347" s="212" t="n"/>
      <c r="C347" s="247" t="n"/>
      <c r="E347" s="228" t="n"/>
      <c r="F347" s="227" t="n"/>
      <c r="G347" s="226" t="n"/>
      <c r="H347" s="227" t="n"/>
      <c r="I347" s="228" t="n"/>
      <c r="J347" s="206" t="n"/>
      <c r="K347" s="199" t="n"/>
      <c r="L347" s="247" t="n"/>
    </row>
    <row r="348" customFormat="1" s="206">
      <c r="A348" s="247" t="n">
        <v>4</v>
      </c>
      <c r="B348" s="173" t="inlineStr">
        <is>
          <t>Providing and laying cement concrete and RCC work  including curing, compaction, finishing with rendering in cement sand mortar 1:3 (1 cement , 3 : coarse sand) and making good the joints excluding cost of centering and shuttering and reinforcement. 'M-15 grade mix 1:2:4(1:cement, :2- coarse Sand: 4- graded stone aggregate 20 mm nominal size). (A) In suspended floors, roofs, girders, cantilevers,  staircases, landings,  balconies,   bands, copings, bed plates, anchor blocks, sill, and beams etc. upto 4.5 m height above plinth level.</t>
        </is>
      </c>
      <c r="C348" s="247" t="n"/>
      <c r="D348" s="229" t="n"/>
      <c r="E348" s="199" t="n"/>
      <c r="G348" s="205" t="n"/>
    </row>
    <row r="349" customFormat="1" s="206">
      <c r="A349" s="247" t="n"/>
      <c r="B349" s="213" t="inlineStr">
        <is>
          <t>Beams</t>
        </is>
      </c>
      <c r="C349" s="199" t="n"/>
      <c r="E349" s="199" t="n"/>
      <c r="G349" s="205" t="n"/>
    </row>
    <row r="350" customFormat="1" s="206">
      <c r="A350" s="247" t="n"/>
      <c r="B350" s="207" t="inlineStr">
        <is>
          <t>Walls in X direction</t>
        </is>
      </c>
      <c r="C350" s="237" t="n">
        <v>1</v>
      </c>
      <c r="D350" s="232" t="inlineStr">
        <is>
          <t>x</t>
        </is>
      </c>
      <c r="E350" s="205" t="n">
        <v>713.0034000000001</v>
      </c>
      <c r="F350" s="232" t="inlineStr">
        <is>
          <t>x</t>
        </is>
      </c>
      <c r="G350" s="205" t="n">
        <v>0.3</v>
      </c>
      <c r="H350" s="232" t="inlineStr">
        <is>
          <t>x</t>
        </is>
      </c>
      <c r="I350" s="205" t="n">
        <v>0.3</v>
      </c>
      <c r="J350" s="233" t="inlineStr">
        <is>
          <t>=</t>
        </is>
      </c>
      <c r="K350" s="205">
        <f>IF(C335,C335*E335*G335*I335,"")</f>
        <v/>
      </c>
      <c r="L350" s="201" t="inlineStr">
        <is>
          <t>Cum</t>
        </is>
      </c>
      <c r="M350" s="232" t="n"/>
    </row>
    <row r="351" ht="15" customFormat="1" customHeight="1" s="206">
      <c r="A351" s="201" t="n"/>
      <c r="B351" s="212" t="inlineStr">
        <is>
          <t>Walls in Y direction</t>
        </is>
      </c>
      <c r="C351" s="232" t="n">
        <v>1</v>
      </c>
      <c r="D351" s="232" t="inlineStr">
        <is>
          <t>x</t>
        </is>
      </c>
      <c r="E351" s="205" t="n">
        <v>697.1538</v>
      </c>
      <c r="F351" s="232" t="inlineStr">
        <is>
          <t>x</t>
        </is>
      </c>
      <c r="G351" s="205" t="n">
        <v>0.3</v>
      </c>
      <c r="H351" s="232" t="inlineStr">
        <is>
          <t>x</t>
        </is>
      </c>
      <c r="I351" s="205" t="n">
        <v>0.3</v>
      </c>
      <c r="J351" s="233" t="inlineStr">
        <is>
          <t>=</t>
        </is>
      </c>
      <c r="K351" s="205">
        <f>IF(C336,C336*E336*G336*I336,"")</f>
        <v/>
      </c>
      <c r="L351" s="201" t="inlineStr">
        <is>
          <t>Cum</t>
        </is>
      </c>
      <c r="M351" s="232" t="n"/>
    </row>
    <row r="352" ht="15" customFormat="1" customHeight="1" s="206">
      <c r="A352" s="201" t="n"/>
      <c r="B352" s="212" t="inlineStr">
        <is>
          <t>In Rooms</t>
        </is>
      </c>
      <c r="C352" s="232" t="n">
        <v>26</v>
      </c>
      <c r="D352" s="232" t="inlineStr">
        <is>
          <t>x</t>
        </is>
      </c>
      <c r="E352" s="205" t="n">
        <v>9.2202</v>
      </c>
      <c r="F352" s="232" t="inlineStr">
        <is>
          <t>x</t>
        </is>
      </c>
      <c r="G352" s="205" t="n">
        <v>0.3</v>
      </c>
      <c r="H352" s="232" t="inlineStr">
        <is>
          <t>x</t>
        </is>
      </c>
      <c r="I352" s="205" t="n">
        <v>0.75</v>
      </c>
      <c r="J352" s="233" t="inlineStr">
        <is>
          <t>=</t>
        </is>
      </c>
      <c r="K352" s="205">
        <f>IF(C337,C337*E337*G337*I337,"")</f>
        <v/>
      </c>
      <c r="L352" s="201" t="inlineStr">
        <is>
          <t>Cum</t>
        </is>
      </c>
      <c r="M352" s="232" t="n"/>
    </row>
    <row r="353" ht="3.75" customFormat="1" customHeight="1" s="206">
      <c r="A353" s="201" t="n"/>
      <c r="B353" s="212" t="inlineStr">
        <is>
          <t>In Rooms</t>
        </is>
      </c>
      <c r="C353" s="232" t="n">
        <v>45</v>
      </c>
      <c r="D353" s="232" t="inlineStr">
        <is>
          <t>x</t>
        </is>
      </c>
      <c r="E353" s="205" t="n">
        <v>9.4488</v>
      </c>
      <c r="F353" s="232" t="inlineStr">
        <is>
          <t>x</t>
        </is>
      </c>
      <c r="G353" s="205" t="n">
        <v>0.3</v>
      </c>
      <c r="H353" s="232" t="inlineStr">
        <is>
          <t>x</t>
        </is>
      </c>
      <c r="I353" s="205" t="n">
        <v>0.75</v>
      </c>
      <c r="J353" s="233" t="inlineStr">
        <is>
          <t>=</t>
        </is>
      </c>
      <c r="K353" s="205">
        <f>IF(C338,C338*E338*G338*I338,"")</f>
        <v/>
      </c>
      <c r="L353" s="201" t="inlineStr">
        <is>
          <t>Cum</t>
        </is>
      </c>
      <c r="M353" s="232" t="n"/>
    </row>
    <row r="354" ht="78" customFormat="1" customHeight="1" s="206">
      <c r="A354" s="201" t="n"/>
      <c r="B354" s="212" t="inlineStr">
        <is>
          <t>In Rooms</t>
        </is>
      </c>
      <c r="C354" s="232" t="n">
        <v>22</v>
      </c>
      <c r="D354" s="232" t="inlineStr">
        <is>
          <t>x</t>
        </is>
      </c>
      <c r="E354" s="205" t="n">
        <v>8.077200000000001</v>
      </c>
      <c r="F354" s="232" t="inlineStr">
        <is>
          <t>x</t>
        </is>
      </c>
      <c r="G354" s="205" t="n">
        <v>0.3</v>
      </c>
      <c r="H354" s="232" t="inlineStr">
        <is>
          <t>x</t>
        </is>
      </c>
      <c r="I354" s="205" t="n">
        <v>0.6</v>
      </c>
      <c r="J354" s="233" t="inlineStr">
        <is>
          <t>=</t>
        </is>
      </c>
      <c r="K354" s="205">
        <f>IF(C339,C339*E339*G339*I339,"")</f>
        <v/>
      </c>
      <c r="L354" s="201" t="inlineStr">
        <is>
          <t>Cum</t>
        </is>
      </c>
      <c r="M354" s="232" t="n"/>
    </row>
    <row r="355" customFormat="1" s="206">
      <c r="A355" s="201" t="n"/>
      <c r="B355" s="212" t="inlineStr">
        <is>
          <t>Verandah Wall of Left Wing</t>
        </is>
      </c>
      <c r="C355" s="232" t="n">
        <v>1</v>
      </c>
      <c r="D355" s="232" t="inlineStr">
        <is>
          <t>x</t>
        </is>
      </c>
      <c r="E355" s="205" t="n">
        <v>85.87740000000001</v>
      </c>
      <c r="F355" s="232" t="inlineStr">
        <is>
          <t>x</t>
        </is>
      </c>
      <c r="G355" s="205" t="n">
        <v>0.45</v>
      </c>
      <c r="H355" s="232" t="inlineStr">
        <is>
          <t>x</t>
        </is>
      </c>
      <c r="I355" s="205" t="n">
        <v>0.3</v>
      </c>
      <c r="J355" s="233" t="inlineStr">
        <is>
          <t>=</t>
        </is>
      </c>
      <c r="K355" s="205">
        <f>IF(C340,C340*E340*G340*I340,"")</f>
        <v/>
      </c>
      <c r="L355" s="201" t="inlineStr">
        <is>
          <t>Cum</t>
        </is>
      </c>
      <c r="M355" s="232" t="n"/>
    </row>
    <row r="356" ht="15" customFormat="1" customHeight="1" s="227">
      <c r="A356" s="201" t="n"/>
      <c r="B356" s="212" t="inlineStr">
        <is>
          <t>Verandah Wall of Right Wing</t>
        </is>
      </c>
      <c r="C356" s="232" t="n">
        <v>1</v>
      </c>
      <c r="D356" s="232" t="inlineStr">
        <is>
          <t>x</t>
        </is>
      </c>
      <c r="E356" s="205" t="n">
        <v>85.87740000000001</v>
      </c>
      <c r="F356" s="232" t="inlineStr">
        <is>
          <t>x</t>
        </is>
      </c>
      <c r="G356" s="205" t="n">
        <v>0.45</v>
      </c>
      <c r="H356" s="232" t="inlineStr">
        <is>
          <t>x</t>
        </is>
      </c>
      <c r="I356" s="205" t="n">
        <v>0.3</v>
      </c>
      <c r="J356" s="233" t="inlineStr">
        <is>
          <t>=</t>
        </is>
      </c>
      <c r="K356" s="205">
        <f>IF(C341,C341*E341*G341*I341,"")</f>
        <v/>
      </c>
      <c r="L356" s="201" t="inlineStr">
        <is>
          <t>Cum</t>
        </is>
      </c>
      <c r="M356" s="232" t="n"/>
    </row>
    <row r="357" ht="15" customFormat="1" customHeight="1" s="227">
      <c r="A357" s="201" t="n"/>
      <c r="B357" s="212" t="inlineStr">
        <is>
          <t>Verandah Wall of Back Wing</t>
        </is>
      </c>
      <c r="C357" s="232" t="n">
        <v>1</v>
      </c>
      <c r="D357" s="232" t="inlineStr">
        <is>
          <t>x</t>
        </is>
      </c>
      <c r="E357" s="205" t="n">
        <v>79.7052</v>
      </c>
      <c r="F357" s="232" t="inlineStr">
        <is>
          <t>x</t>
        </is>
      </c>
      <c r="G357" s="205" t="n">
        <v>0.45</v>
      </c>
      <c r="H357" s="232" t="inlineStr">
        <is>
          <t>x</t>
        </is>
      </c>
      <c r="I357" s="205" t="n">
        <v>0.3</v>
      </c>
      <c r="J357" s="233" t="inlineStr">
        <is>
          <t>=</t>
        </is>
      </c>
      <c r="K357" s="205">
        <f>IF(C342,C342*E342*G342*I342,"")</f>
        <v/>
      </c>
      <c r="L357" s="201" t="inlineStr">
        <is>
          <t>Cum</t>
        </is>
      </c>
      <c r="M357" s="232" t="n"/>
    </row>
    <row r="358" ht="15" customFormat="1" customHeight="1" s="227">
      <c r="A358" s="201" t="n"/>
      <c r="B358" s="212" t="inlineStr">
        <is>
          <t>Verandah Wall of Front Wing</t>
        </is>
      </c>
      <c r="C358" s="232" t="n">
        <v>1</v>
      </c>
      <c r="D358" s="232" t="inlineStr">
        <is>
          <t>x</t>
        </is>
      </c>
      <c r="E358" s="205" t="n">
        <v>79.7052</v>
      </c>
      <c r="F358" s="232" t="inlineStr">
        <is>
          <t>x</t>
        </is>
      </c>
      <c r="G358" s="205" t="n">
        <v>0.45</v>
      </c>
      <c r="H358" s="232" t="inlineStr">
        <is>
          <t>x</t>
        </is>
      </c>
      <c r="I358" s="205" t="n">
        <v>0.3</v>
      </c>
      <c r="J358" s="233" t="inlineStr">
        <is>
          <t>=</t>
        </is>
      </c>
      <c r="K358" s="205">
        <f>IF(C343,C343*E343*G343*I343,"")</f>
        <v/>
      </c>
      <c r="L358" s="201" t="inlineStr">
        <is>
          <t>Cum</t>
        </is>
      </c>
      <c r="M358" s="232" t="n"/>
    </row>
    <row r="359" ht="15" customFormat="1" customHeight="1" s="227">
      <c r="A359" s="201" t="n"/>
      <c r="B359" s="212" t="inlineStr">
        <is>
          <t>Staircase</t>
        </is>
      </c>
      <c r="C359" s="232" t="n">
        <v>2</v>
      </c>
      <c r="D359" s="232" t="inlineStr">
        <is>
          <t>x</t>
        </is>
      </c>
      <c r="E359" s="205" t="n">
        <v>4.8</v>
      </c>
      <c r="F359" s="232" t="inlineStr">
        <is>
          <t>x</t>
        </is>
      </c>
      <c r="G359" s="205" t="n">
        <v>0.45</v>
      </c>
      <c r="H359" s="232" t="inlineStr">
        <is>
          <t>x</t>
        </is>
      </c>
      <c r="I359" s="205" t="n">
        <v>0.3</v>
      </c>
      <c r="J359" s="233" t="inlineStr">
        <is>
          <t>=</t>
        </is>
      </c>
      <c r="K359" s="205">
        <f>IF(C344,C344*E344*G344*I344,"")</f>
        <v/>
      </c>
      <c r="L359" s="201" t="inlineStr">
        <is>
          <t>Cum</t>
        </is>
      </c>
      <c r="M359" s="232" t="n"/>
    </row>
    <row r="360" customFormat="1" s="206">
      <c r="A360" s="201" t="n"/>
      <c r="B360" s="212" t="inlineStr">
        <is>
          <t>Ent Hall</t>
        </is>
      </c>
      <c r="C360" s="232" t="n">
        <v>2</v>
      </c>
      <c r="D360" s="232" t="inlineStr">
        <is>
          <t>x</t>
        </is>
      </c>
      <c r="E360" s="205" t="n">
        <v>3.5</v>
      </c>
      <c r="F360" s="232" t="inlineStr">
        <is>
          <t>x</t>
        </is>
      </c>
      <c r="G360" s="205" t="n">
        <v>0.6</v>
      </c>
      <c r="H360" s="232" t="inlineStr">
        <is>
          <t>x</t>
        </is>
      </c>
      <c r="I360" s="205" t="n">
        <v>0.3</v>
      </c>
      <c r="J360" s="233" t="inlineStr">
        <is>
          <t>=</t>
        </is>
      </c>
      <c r="K360" s="205">
        <f>IF(C345,C345*E345*G345*I345,"")</f>
        <v/>
      </c>
      <c r="L360" s="201" t="inlineStr">
        <is>
          <t>Cum</t>
        </is>
      </c>
      <c r="M360" s="232" t="n"/>
    </row>
    <row r="361" customFormat="1" s="206">
      <c r="A361" s="201" t="n"/>
      <c r="B361" s="212" t="inlineStr">
        <is>
          <t>Roof Area (103.10x100.20-85.88x79.71)</t>
        </is>
      </c>
      <c r="C361" s="232" t="n">
        <v>1</v>
      </c>
      <c r="D361" s="232" t="inlineStr">
        <is>
          <t>x</t>
        </is>
      </c>
      <c r="E361" s="205" t="n">
        <v>3485.125199999999</v>
      </c>
      <c r="F361" s="232" t="inlineStr">
        <is>
          <t>x</t>
        </is>
      </c>
      <c r="G361" s="205" t="n">
        <v>1</v>
      </c>
      <c r="H361" s="232" t="inlineStr">
        <is>
          <t>x</t>
        </is>
      </c>
      <c r="I361" s="205" t="n">
        <v>0.13</v>
      </c>
      <c r="J361" s="233" t="inlineStr">
        <is>
          <t>=</t>
        </is>
      </c>
      <c r="K361" s="205">
        <f>IF(C346,C346*E346*G346*I346,"")</f>
        <v/>
      </c>
      <c r="L361" s="201" t="inlineStr">
        <is>
          <t>Cum</t>
        </is>
      </c>
      <c r="M361" s="232" t="n"/>
    </row>
    <row r="362" customFormat="1" s="206">
      <c r="A362" s="201" t="n"/>
      <c r="B362" s="212" t="inlineStr">
        <is>
          <t xml:space="preserve">Staircase </t>
        </is>
      </c>
      <c r="C362" s="232" t="n">
        <v>2</v>
      </c>
      <c r="D362" s="232" t="inlineStr">
        <is>
          <t>x</t>
        </is>
      </c>
      <c r="E362" s="205" t="n">
        <v>7.2</v>
      </c>
      <c r="F362" s="232" t="inlineStr">
        <is>
          <t>x</t>
        </is>
      </c>
      <c r="G362" s="205" t="n">
        <v>5</v>
      </c>
      <c r="H362" s="232" t="inlineStr">
        <is>
          <t>x</t>
        </is>
      </c>
      <c r="I362" s="205" t="n">
        <v>0.13</v>
      </c>
      <c r="J362" s="233" t="inlineStr">
        <is>
          <t>=</t>
        </is>
      </c>
      <c r="K362" s="205">
        <f>IF(C347,C347*E347*G347*I347,"")</f>
        <v/>
      </c>
      <c r="L362" s="201" t="inlineStr">
        <is>
          <t>Cum</t>
        </is>
      </c>
      <c r="M362" s="232" t="n"/>
    </row>
    <row r="363" customFormat="1" s="206">
      <c r="A363" s="201" t="n"/>
      <c r="B363" s="212" t="inlineStr">
        <is>
          <t>Staircase flights</t>
        </is>
      </c>
      <c r="C363" s="232" t="n">
        <v>4</v>
      </c>
      <c r="D363" s="232" t="inlineStr">
        <is>
          <t>x</t>
        </is>
      </c>
      <c r="E363" s="205" t="n">
        <v>4.25</v>
      </c>
      <c r="F363" s="232" t="inlineStr">
        <is>
          <t>x</t>
        </is>
      </c>
      <c r="G363" s="205" t="n">
        <v>1.8</v>
      </c>
      <c r="H363" s="232" t="inlineStr">
        <is>
          <t>x</t>
        </is>
      </c>
      <c r="I363" s="205" t="n">
        <v>0.25</v>
      </c>
      <c r="J363" s="233" t="inlineStr">
        <is>
          <t>=</t>
        </is>
      </c>
      <c r="K363" s="205">
        <f>IF(C348,C348*E348*G348*I348,"")</f>
        <v/>
      </c>
      <c r="L363" s="201" t="inlineStr">
        <is>
          <t>Cum</t>
        </is>
      </c>
      <c r="M363" s="232" t="n"/>
    </row>
    <row r="364" customFormat="1" s="206">
      <c r="A364" s="201" t="n"/>
      <c r="B364" s="212" t="inlineStr">
        <is>
          <t>Staircase landing</t>
        </is>
      </c>
      <c r="C364" s="232" t="n">
        <v>2</v>
      </c>
      <c r="D364" s="232" t="inlineStr">
        <is>
          <t>x</t>
        </is>
      </c>
      <c r="E364" s="205" t="n">
        <v>3.5</v>
      </c>
      <c r="F364" s="232" t="inlineStr">
        <is>
          <t>x</t>
        </is>
      </c>
      <c r="G364" s="205" t="n">
        <v>1.8</v>
      </c>
      <c r="H364" s="232" t="inlineStr">
        <is>
          <t>x</t>
        </is>
      </c>
      <c r="I364" s="205" t="n">
        <v>0.25</v>
      </c>
      <c r="J364" s="233" t="inlineStr">
        <is>
          <t>=</t>
        </is>
      </c>
      <c r="K364" s="205">
        <f>IF(C349,C349*E349*G349*I349,"")</f>
        <v/>
      </c>
      <c r="L364" s="201" t="inlineStr">
        <is>
          <t>Cum</t>
        </is>
      </c>
      <c r="M364" s="232" t="n"/>
    </row>
    <row r="365" customFormat="1" s="206">
      <c r="A365" s="201" t="n"/>
      <c r="B365" s="212" t="inlineStr">
        <is>
          <t>Porch</t>
        </is>
      </c>
      <c r="C365" s="232" t="n">
        <v>1</v>
      </c>
      <c r="D365" s="232" t="inlineStr">
        <is>
          <t>x</t>
        </is>
      </c>
      <c r="E365" s="205" t="n">
        <v>3.6</v>
      </c>
      <c r="F365" s="232" t="inlineStr">
        <is>
          <t>x</t>
        </is>
      </c>
      <c r="G365" s="205" t="n">
        <v>5</v>
      </c>
      <c r="H365" s="232" t="inlineStr">
        <is>
          <t>x</t>
        </is>
      </c>
      <c r="I365" s="205" t="n">
        <v>0.15</v>
      </c>
      <c r="J365" s="233" t="inlineStr">
        <is>
          <t>=</t>
        </is>
      </c>
      <c r="K365" s="205">
        <f>IF(C350,C350*E350*G350*I350,"")</f>
        <v/>
      </c>
      <c r="L365" s="201" t="inlineStr">
        <is>
          <t>Cum</t>
        </is>
      </c>
      <c r="M365" s="232" t="n"/>
    </row>
    <row r="366" customFormat="1" s="206">
      <c r="A366" s="247" t="n"/>
      <c r="B366" s="186" t="n"/>
      <c r="C366" s="199" t="n"/>
      <c r="D366" s="201" t="n"/>
      <c r="E366" s="199" t="n"/>
      <c r="F366" s="201" t="n"/>
      <c r="G366" s="205" t="n"/>
    </row>
    <row r="367" ht="33.75" customFormat="1" customHeight="1" s="206">
      <c r="A367" s="201" t="n"/>
      <c r="B367" s="212" t="n"/>
      <c r="C367" s="247" t="n"/>
      <c r="E367" s="216" t="n"/>
      <c r="F367" s="214" t="n"/>
      <c r="G367" s="215" t="inlineStr">
        <is>
          <t>Total in FF</t>
        </is>
      </c>
      <c r="H367" s="214" t="n"/>
      <c r="I367" s="216" t="n"/>
      <c r="J367" s="214" t="n"/>
      <c r="K367" s="216">
        <f>SUM(K335:K351)</f>
        <v/>
      </c>
      <c r="L367" s="234" t="inlineStr">
        <is>
          <t>Cum</t>
        </is>
      </c>
    </row>
    <row r="368" customFormat="1" s="206">
      <c r="A368" s="247" t="n"/>
      <c r="B368" s="173" t="n"/>
      <c r="C368" s="247" t="n"/>
      <c r="D368" s="229" t="n"/>
      <c r="E368" s="199" t="n"/>
      <c r="G368" s="205" t="n"/>
    </row>
    <row r="369" customFormat="1" s="206">
      <c r="A369" s="247" t="n"/>
      <c r="B369" s="212" t="inlineStr">
        <is>
          <t>(B) In Lintels,  chajjas, Shelves, vertical and horizontal individually or forming  box louvers, bands and facias and fins etc.. upto 4.5 m height above plinth level</t>
        </is>
      </c>
      <c r="C369" s="247" t="n"/>
      <c r="D369" s="229" t="n"/>
      <c r="E369" s="199" t="n"/>
      <c r="G369" s="205" t="n"/>
    </row>
    <row r="370" customFormat="1" s="206">
      <c r="A370" s="247" t="n"/>
      <c r="B370" s="207" t="inlineStr">
        <is>
          <t xml:space="preserve">Lintels </t>
        </is>
      </c>
      <c r="C370" s="199" t="n"/>
      <c r="E370" s="199" t="n"/>
      <c r="G370" s="205" t="n"/>
      <c r="L370" s="206" t="n"/>
    </row>
    <row r="371" ht="129.75" customFormat="1" customHeight="1" s="206">
      <c r="A371" s="201" t="n"/>
      <c r="B371" s="212" t="inlineStr">
        <is>
          <t>Walls in X direction Except Verandah Walls</t>
        </is>
      </c>
      <c r="C371" s="247" t="n">
        <v>2</v>
      </c>
      <c r="D371" s="206" t="inlineStr">
        <is>
          <t>x</t>
        </is>
      </c>
      <c r="E371" s="199">
        <f>E286</f>
        <v/>
      </c>
      <c r="F371" s="206" t="inlineStr">
        <is>
          <t>x</t>
        </is>
      </c>
      <c r="G371" s="199" t="n">
        <v>0.23</v>
      </c>
      <c r="H371" s="206" t="inlineStr">
        <is>
          <t>x</t>
        </is>
      </c>
      <c r="I371" s="199" t="n">
        <v>0.23</v>
      </c>
      <c r="J371" s="258" t="inlineStr">
        <is>
          <t>=</t>
        </is>
      </c>
      <c r="K371" s="199">
        <f>IF(C356,C356*E356*G356*I356,"")</f>
        <v/>
      </c>
      <c r="L371" s="201" t="inlineStr">
        <is>
          <t>Cum</t>
        </is>
      </c>
    </row>
    <row r="372" customFormat="1" s="206">
      <c r="A372" s="247" t="n"/>
      <c r="B372" s="212" t="inlineStr">
        <is>
          <t>Walls in Y direction Except Verandah Walls</t>
        </is>
      </c>
      <c r="C372" s="247" t="n">
        <v>2</v>
      </c>
      <c r="D372" s="206" t="inlineStr">
        <is>
          <t>x</t>
        </is>
      </c>
      <c r="E372" s="199">
        <f>E287</f>
        <v/>
      </c>
      <c r="F372" s="206" t="inlineStr">
        <is>
          <t>x</t>
        </is>
      </c>
      <c r="G372" s="199" t="n">
        <v>0.23</v>
      </c>
      <c r="H372" s="206" t="inlineStr">
        <is>
          <t>x</t>
        </is>
      </c>
      <c r="I372" s="199" t="n">
        <v>0.23</v>
      </c>
      <c r="J372" s="258" t="inlineStr">
        <is>
          <t>=</t>
        </is>
      </c>
      <c r="K372" s="199">
        <f>IF(C357,C357*E357*G357*I357,"")</f>
        <v/>
      </c>
      <c r="L372" s="201" t="inlineStr">
        <is>
          <t>Cum</t>
        </is>
      </c>
    </row>
    <row r="373" customFormat="1" s="206">
      <c r="A373" s="247" t="n"/>
      <c r="B373" s="199">
        <f>B288</f>
        <v/>
      </c>
      <c r="C373" s="247" t="n">
        <v>2</v>
      </c>
      <c r="D373" s="206" t="inlineStr">
        <is>
          <t>x</t>
        </is>
      </c>
      <c r="E373" s="199">
        <f>E288</f>
        <v/>
      </c>
      <c r="F373" s="206" t="inlineStr">
        <is>
          <t>x</t>
        </is>
      </c>
      <c r="G373" s="199" t="n">
        <v>0.23</v>
      </c>
      <c r="H373" s="206" t="inlineStr">
        <is>
          <t>x</t>
        </is>
      </c>
      <c r="I373" s="199" t="n">
        <v>0.23</v>
      </c>
      <c r="J373" s="258" t="inlineStr">
        <is>
          <t>=</t>
        </is>
      </c>
      <c r="K373" s="199">
        <f>IF(C358,C358*E358*G358*I358,"")</f>
        <v/>
      </c>
      <c r="L373" s="201" t="inlineStr">
        <is>
          <t>Cum</t>
        </is>
      </c>
    </row>
    <row r="374" customFormat="1" s="206">
      <c r="A374" s="198" t="n"/>
      <c r="B374" s="207" t="inlineStr">
        <is>
          <t>Sunshades</t>
        </is>
      </c>
      <c r="C374" s="228" t="n"/>
      <c r="E374" s="228" t="n"/>
      <c r="G374" s="226" t="n"/>
      <c r="K374" s="228" t="n"/>
      <c r="L374" s="201" t="n"/>
    </row>
    <row r="375" customFormat="1" s="206">
      <c r="A375" s="201" t="n"/>
      <c r="B375" s="255" t="inlineStr">
        <is>
          <t>W1</t>
        </is>
      </c>
      <c r="C375" s="247" t="n">
        <v>222</v>
      </c>
      <c r="D375" s="206" t="inlineStr">
        <is>
          <t>x</t>
        </is>
      </c>
      <c r="E375" s="199" t="n">
        <v>1.8</v>
      </c>
      <c r="F375" s="206" t="inlineStr">
        <is>
          <t>x</t>
        </is>
      </c>
      <c r="G375" s="199" t="n">
        <v>0.83</v>
      </c>
      <c r="H375" s="206" t="inlineStr">
        <is>
          <t>x</t>
        </is>
      </c>
      <c r="I375" s="199" t="n">
        <v>0.1</v>
      </c>
      <c r="J375" s="258" t="inlineStr">
        <is>
          <t>=</t>
        </is>
      </c>
      <c r="K375" s="199">
        <f>IF(C360,C360*E360*G360*I360,"")</f>
        <v/>
      </c>
      <c r="L375" s="201" t="inlineStr">
        <is>
          <t>Cum</t>
        </is>
      </c>
    </row>
    <row r="376" ht="75.75" customFormat="1" customHeight="1" s="206">
      <c r="A376" s="201" t="n"/>
      <c r="B376" s="255" t="inlineStr">
        <is>
          <t>V1</t>
        </is>
      </c>
      <c r="C376" s="247" t="n">
        <v>9</v>
      </c>
      <c r="D376" s="206" t="inlineStr">
        <is>
          <t>x</t>
        </is>
      </c>
      <c r="E376" s="199" t="n">
        <v>1.2</v>
      </c>
      <c r="F376" s="206" t="inlineStr">
        <is>
          <t>x</t>
        </is>
      </c>
      <c r="G376" s="199" t="n">
        <v>0.83</v>
      </c>
      <c r="H376" s="206" t="inlineStr">
        <is>
          <t>x</t>
        </is>
      </c>
      <c r="I376" s="199" t="n">
        <v>0.1</v>
      </c>
      <c r="J376" s="258" t="inlineStr">
        <is>
          <t>=</t>
        </is>
      </c>
      <c r="K376" s="199">
        <f>IF(C361,C361*E361*G361*I361,"")</f>
        <v/>
      </c>
      <c r="L376" s="201" t="inlineStr">
        <is>
          <t>Cum</t>
        </is>
      </c>
    </row>
    <row r="377" ht="15" customFormat="1" customHeight="1" s="206">
      <c r="A377" s="201" t="n"/>
      <c r="B377" s="255" t="inlineStr">
        <is>
          <t>V2</t>
        </is>
      </c>
      <c r="C377" s="247" t="n">
        <v>295</v>
      </c>
      <c r="D377" s="206" t="inlineStr">
        <is>
          <t>x</t>
        </is>
      </c>
      <c r="E377" s="199" t="n">
        <v>0.9</v>
      </c>
      <c r="F377" s="206" t="inlineStr">
        <is>
          <t>x</t>
        </is>
      </c>
      <c r="G377" s="199" t="n">
        <v>0.83</v>
      </c>
      <c r="H377" s="206" t="inlineStr">
        <is>
          <t>x</t>
        </is>
      </c>
      <c r="I377" s="199" t="n">
        <v>0.1</v>
      </c>
      <c r="J377" s="258" t="inlineStr">
        <is>
          <t>=</t>
        </is>
      </c>
      <c r="K377" s="199">
        <f>IF(C362,C362*E362*G362*I362,"")</f>
        <v/>
      </c>
      <c r="L377" s="201" t="inlineStr">
        <is>
          <t>Cum</t>
        </is>
      </c>
    </row>
    <row r="378" customFormat="1" s="206">
      <c r="A378" s="201" t="n"/>
      <c r="B378" s="212" t="inlineStr">
        <is>
          <t>Porch</t>
        </is>
      </c>
      <c r="C378" s="247" t="n">
        <v>1</v>
      </c>
      <c r="D378" s="206" t="inlineStr">
        <is>
          <t>x</t>
        </is>
      </c>
      <c r="E378" s="199" t="n">
        <v>3.9</v>
      </c>
      <c r="F378" s="206" t="inlineStr">
        <is>
          <t>x</t>
        </is>
      </c>
      <c r="G378" s="199" t="n">
        <v>1.28</v>
      </c>
      <c r="H378" s="206" t="inlineStr">
        <is>
          <t>x</t>
        </is>
      </c>
      <c r="I378" s="199" t="n">
        <v>0.1</v>
      </c>
      <c r="J378" s="258" t="inlineStr">
        <is>
          <t>=</t>
        </is>
      </c>
      <c r="K378" s="199">
        <f>IF(C363,C363*E363*G363*I363,"")</f>
        <v/>
      </c>
      <c r="L378" s="201" t="inlineStr">
        <is>
          <t>Cum</t>
        </is>
      </c>
    </row>
    <row r="379" customFormat="1" s="206">
      <c r="A379" s="201" t="n"/>
      <c r="B379" s="212" t="inlineStr">
        <is>
          <t>Porch</t>
        </is>
      </c>
      <c r="C379" s="247" t="n">
        <v>2</v>
      </c>
      <c r="D379" s="206" t="inlineStr">
        <is>
          <t>x</t>
        </is>
      </c>
      <c r="E379" s="199" t="n">
        <v>4.5</v>
      </c>
      <c r="F379" s="206" t="inlineStr">
        <is>
          <t>x</t>
        </is>
      </c>
      <c r="G379" s="199" t="n">
        <v>1.28</v>
      </c>
      <c r="H379" s="206" t="inlineStr">
        <is>
          <t>x</t>
        </is>
      </c>
      <c r="I379" s="199" t="n">
        <v>0.1</v>
      </c>
      <c r="J379" s="258" t="inlineStr">
        <is>
          <t>=</t>
        </is>
      </c>
      <c r="K379" s="199">
        <f>IF(C364,C364*E364*G364*I364,"")</f>
        <v/>
      </c>
      <c r="L379" s="201" t="inlineStr">
        <is>
          <t>Cum</t>
        </is>
      </c>
    </row>
    <row r="380" customFormat="1" s="206">
      <c r="A380" s="201" t="n"/>
      <c r="B380" s="212" t="n"/>
      <c r="C380" s="247" t="n"/>
      <c r="E380" s="189" t="n"/>
      <c r="F380" s="202" t="n"/>
      <c r="G380" s="203" t="inlineStr">
        <is>
          <t>Total in FF</t>
        </is>
      </c>
      <c r="H380" s="202" t="n"/>
      <c r="I380" s="189" t="n"/>
      <c r="J380" s="190" t="inlineStr">
        <is>
          <t>=</t>
        </is>
      </c>
      <c r="K380" s="189">
        <f>SUM(K356:K364)</f>
        <v/>
      </c>
      <c r="L380" s="204" t="inlineStr">
        <is>
          <t>Cum</t>
        </is>
      </c>
    </row>
    <row r="381" ht="15" customFormat="1" customHeight="1" s="206">
      <c r="A381" s="201" t="n"/>
      <c r="B381" s="212" t="n"/>
      <c r="C381" s="247" t="n"/>
      <c r="E381" s="199" t="n"/>
      <c r="F381" s="206" t="n"/>
      <c r="G381" s="205" t="n"/>
      <c r="H381" s="206" t="n"/>
      <c r="I381" s="199" t="n"/>
      <c r="J381" s="258" t="n"/>
      <c r="K381" s="199" t="n"/>
      <c r="L381" s="201" t="n"/>
    </row>
    <row r="382" customFormat="1" s="206">
      <c r="A382" s="247" t="n"/>
      <c r="B382" s="212">
        <f>GF1_ABS!B231</f>
        <v/>
      </c>
      <c r="C382" s="247" t="n"/>
      <c r="D382" s="229" t="n"/>
      <c r="E382" s="199" t="n"/>
      <c r="G382" s="205" t="n"/>
      <c r="L382" s="206" t="n"/>
    </row>
    <row r="383" customFormat="1" s="206">
      <c r="A383" s="247" t="n"/>
      <c r="B383" s="213" t="inlineStr">
        <is>
          <t>Columns C1</t>
        </is>
      </c>
      <c r="C383" s="247">
        <f>34+31+33+31+62+54</f>
        <v/>
      </c>
      <c r="D383" s="206" t="inlineStr">
        <is>
          <t>x</t>
        </is>
      </c>
      <c r="E383" s="199" t="n">
        <v>0.6</v>
      </c>
      <c r="F383" s="206" t="inlineStr">
        <is>
          <t>x</t>
        </is>
      </c>
      <c r="G383" s="199" t="n">
        <v>0.3</v>
      </c>
      <c r="H383" s="206" t="inlineStr">
        <is>
          <t>x</t>
        </is>
      </c>
      <c r="I383" s="199" t="n">
        <v>3</v>
      </c>
      <c r="J383" s="258" t="inlineStr">
        <is>
          <t>=</t>
        </is>
      </c>
      <c r="K383" s="199">
        <f>IF(C368,C368*E368*G368*I368,"")</f>
        <v/>
      </c>
      <c r="L383" s="201" t="inlineStr">
        <is>
          <t>Cum</t>
        </is>
      </c>
    </row>
    <row r="384" customFormat="1" s="206">
      <c r="A384" s="247" t="n"/>
      <c r="B384" s="213" t="inlineStr">
        <is>
          <t>Columns C2</t>
        </is>
      </c>
      <c r="C384" s="247">
        <f>24+24+25+24</f>
        <v/>
      </c>
      <c r="D384" s="206" t="inlineStr">
        <is>
          <t>x</t>
        </is>
      </c>
      <c r="E384" s="199" t="n">
        <v>0.3</v>
      </c>
      <c r="F384" s="206" t="inlineStr">
        <is>
          <t>x</t>
        </is>
      </c>
      <c r="G384" s="199" t="n">
        <v>0.3</v>
      </c>
      <c r="H384" s="206" t="inlineStr">
        <is>
          <t>x</t>
        </is>
      </c>
      <c r="I384" s="199" t="n">
        <v>3.3</v>
      </c>
      <c r="J384" s="258" t="inlineStr">
        <is>
          <t>=</t>
        </is>
      </c>
      <c r="K384" s="199">
        <f>IF(C369,C369*E369*G369*I369,"")</f>
        <v/>
      </c>
      <c r="L384" s="201" t="inlineStr">
        <is>
          <t>Cum</t>
        </is>
      </c>
    </row>
    <row r="385" customFormat="1" s="206">
      <c r="A385" s="201" t="n"/>
      <c r="B385" s="212" t="n"/>
      <c r="C385" s="247" t="n"/>
      <c r="E385" s="189" t="n"/>
      <c r="F385" s="202" t="n"/>
      <c r="G385" s="203" t="inlineStr">
        <is>
          <t>Total in FF</t>
        </is>
      </c>
      <c r="H385" s="202" t="n"/>
      <c r="I385" s="189" t="n"/>
      <c r="J385" s="190" t="inlineStr">
        <is>
          <t>=</t>
        </is>
      </c>
      <c r="K385" s="189">
        <f>SUM(K368:K369)</f>
        <v/>
      </c>
      <c r="L385" s="204" t="inlineStr">
        <is>
          <t>Cum</t>
        </is>
      </c>
    </row>
    <row r="386" customFormat="1" s="206">
      <c r="A386" s="247">
        <f>A333+1</f>
        <v/>
      </c>
      <c r="B386" s="212"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386" s="238" t="n"/>
      <c r="E386" s="199" t="n"/>
      <c r="F386" s="201" t="n"/>
      <c r="G386" s="205" t="n"/>
    </row>
    <row r="387" customFormat="1" s="206">
      <c r="A387" s="247" t="n"/>
      <c r="B387" s="212" t="inlineStr">
        <is>
          <t>Lintels</t>
        </is>
      </c>
      <c r="C387" s="194">
        <f>K365</f>
        <v/>
      </c>
      <c r="D387" s="194" t="n"/>
      <c r="E387" s="199" t="inlineStr">
        <is>
          <t>Cum @</t>
        </is>
      </c>
      <c r="F387" s="201" t="n"/>
      <c r="G387" s="237" t="n">
        <v>75</v>
      </c>
      <c r="H387" s="201" t="inlineStr">
        <is>
          <t>Kg/Cum</t>
        </is>
      </c>
      <c r="J387" s="258" t="inlineStr">
        <is>
          <t>=</t>
        </is>
      </c>
      <c r="K387" s="238">
        <f>C372*G372</f>
        <v/>
      </c>
      <c r="L387" s="206" t="inlineStr">
        <is>
          <t>Kg</t>
        </is>
      </c>
      <c r="M387" s="238" t="n"/>
    </row>
    <row r="388" ht="15" customFormat="1" customHeight="1" s="206">
      <c r="A388" s="247" t="n"/>
      <c r="B388" s="212" t="inlineStr">
        <is>
          <t>Slabs &amp; Beams</t>
        </is>
      </c>
      <c r="C388" s="297">
        <f>K352</f>
        <v/>
      </c>
      <c r="E388" s="199" t="inlineStr">
        <is>
          <t>Cum @</t>
        </is>
      </c>
      <c r="F388" s="201" t="n"/>
      <c r="G388" s="237" t="n">
        <v>100</v>
      </c>
      <c r="H388" s="201" t="inlineStr">
        <is>
          <t>Kg/Cum</t>
        </is>
      </c>
      <c r="I388" s="206" t="n"/>
      <c r="J388" s="258" t="inlineStr">
        <is>
          <t>=</t>
        </is>
      </c>
      <c r="K388" s="238">
        <f>C373*G373</f>
        <v/>
      </c>
      <c r="L388" s="206" t="inlineStr">
        <is>
          <t>Kg</t>
        </is>
      </c>
      <c r="M388" s="238" t="n"/>
    </row>
    <row r="389" ht="15" customFormat="1" customHeight="1" s="206">
      <c r="A389" s="247" t="n"/>
      <c r="B389" s="212" t="inlineStr">
        <is>
          <t>Columns</t>
        </is>
      </c>
      <c r="C389" s="297">
        <f>K370</f>
        <v/>
      </c>
      <c r="E389" s="199" t="inlineStr">
        <is>
          <t>Cum @</t>
        </is>
      </c>
      <c r="F389" s="201" t="n"/>
      <c r="G389" s="237" t="n">
        <v>125</v>
      </c>
      <c r="H389" s="201" t="inlineStr">
        <is>
          <t>Kg/Cum</t>
        </is>
      </c>
      <c r="I389" s="206" t="n"/>
      <c r="J389" s="258" t="inlineStr">
        <is>
          <t>=</t>
        </is>
      </c>
      <c r="K389" s="238">
        <f>C374*G374</f>
        <v/>
      </c>
      <c r="L389" s="206" t="inlineStr">
        <is>
          <t>Kg</t>
        </is>
      </c>
      <c r="M389" s="238" t="n"/>
    </row>
    <row r="390" customFormat="1" s="206">
      <c r="A390" s="201" t="n"/>
      <c r="B390" s="212" t="n"/>
      <c r="C390" s="247" t="n"/>
      <c r="E390" s="199" t="n"/>
      <c r="G390" s="203" t="inlineStr">
        <is>
          <t>Total</t>
        </is>
      </c>
      <c r="H390" s="202" t="n"/>
      <c r="I390" s="189" t="n"/>
      <c r="J390" s="202" t="n"/>
      <c r="K390" s="239">
        <f>SUM(K372:K374)</f>
        <v/>
      </c>
      <c r="L390" s="206" t="inlineStr">
        <is>
          <t>Kg</t>
        </is>
      </c>
      <c r="M390" s="238" t="n"/>
    </row>
    <row r="391" customFormat="1" s="206">
      <c r="A391" s="201" t="n">
        <v>6</v>
      </c>
      <c r="B391" s="173" t="inlineStr">
        <is>
          <t>Plaster on new surface on walls in cement sand mortar 1:6 including raking of joints etc. complete fine finished : 20 mm thick.</t>
        </is>
      </c>
      <c r="C391" s="199" t="n"/>
      <c r="E391" s="199" t="n"/>
      <c r="F391" s="201" t="n"/>
      <c r="G391" s="205" t="n"/>
    </row>
    <row r="392" customFormat="1" s="206">
      <c r="A392" s="201" t="n"/>
      <c r="B392" s="186" t="inlineStr">
        <is>
          <t>GROUND FLOOR  INSIDE PLASTER</t>
        </is>
      </c>
      <c r="C392" s="199" t="n"/>
      <c r="E392" s="199" t="n"/>
      <c r="F392" s="201" t="n"/>
      <c r="G392" s="205" t="n"/>
    </row>
    <row r="393" ht="15" customFormat="1" customHeight="1" s="206">
      <c r="A393" s="201" t="n"/>
      <c r="B393" s="220" t="inlineStr">
        <is>
          <t>Main Walls</t>
        </is>
      </c>
      <c r="C393" s="247" t="n">
        <v>2</v>
      </c>
      <c r="D393" s="206" t="inlineStr">
        <is>
          <t>x</t>
        </is>
      </c>
      <c r="E393" s="199">
        <f>K22+#REF!</f>
        <v/>
      </c>
      <c r="F393" s="206" t="inlineStr">
        <is>
          <t>x</t>
        </is>
      </c>
      <c r="G393" s="199" t="n">
        <v>3.6</v>
      </c>
      <c r="I393" s="199" t="n"/>
      <c r="J393" s="258" t="inlineStr">
        <is>
          <t>=</t>
        </is>
      </c>
      <c r="K393" s="199">
        <f>IF(C378,C378*E378*G378,"")</f>
        <v/>
      </c>
      <c r="L393" s="247" t="inlineStr">
        <is>
          <t>Sqm</t>
        </is>
      </c>
    </row>
    <row r="394" customFormat="1" s="206">
      <c r="A394" s="201" t="n"/>
      <c r="B394" s="220" t="inlineStr">
        <is>
          <t>Partition Walls</t>
        </is>
      </c>
      <c r="C394" s="247" t="n">
        <v>2</v>
      </c>
      <c r="D394" s="206" t="inlineStr">
        <is>
          <t>x</t>
        </is>
      </c>
      <c r="E394" s="199">
        <f>K278</f>
        <v/>
      </c>
      <c r="F394" s="206" t="inlineStr">
        <is>
          <t>x</t>
        </is>
      </c>
      <c r="G394" s="199" t="n">
        <v>1</v>
      </c>
      <c r="I394" s="199" t="n"/>
      <c r="J394" s="258" t="inlineStr">
        <is>
          <t>=</t>
        </is>
      </c>
      <c r="K394" s="199">
        <f>IF(C379,C379*E379*G379,"")</f>
        <v/>
      </c>
      <c r="L394" s="247" t="inlineStr">
        <is>
          <t>Sqm</t>
        </is>
      </c>
    </row>
    <row r="395" customFormat="1" s="206">
      <c r="A395" s="201" t="n"/>
      <c r="B395" s="212" t="n"/>
      <c r="C395" s="247" t="n"/>
      <c r="E395" s="189" t="n"/>
      <c r="F395" s="202" t="n"/>
      <c r="G395" s="203" t="inlineStr">
        <is>
          <t>Gross Qty.</t>
        </is>
      </c>
      <c r="H395" s="202" t="n"/>
      <c r="I395" s="189" t="n"/>
      <c r="J395" s="204" t="inlineStr">
        <is>
          <t>+</t>
        </is>
      </c>
      <c r="K395" s="189">
        <f>SUM(K378:K379)</f>
        <v/>
      </c>
      <c r="L395" s="191" t="inlineStr">
        <is>
          <t>Sqm</t>
        </is>
      </c>
    </row>
    <row r="396" customFormat="1" s="206">
      <c r="A396" s="201" t="n"/>
      <c r="B396" s="186" t="inlineStr">
        <is>
          <t>Deductions</t>
        </is>
      </c>
      <c r="C396" s="247" t="n"/>
      <c r="E396" s="199" t="n"/>
      <c r="G396" s="205" t="n"/>
      <c r="H396" s="206" t="n"/>
      <c r="I396" s="199" t="n"/>
      <c r="J396" s="201" t="n"/>
      <c r="K396" s="199" t="n"/>
      <c r="L396" s="247" t="n"/>
    </row>
    <row r="397" ht="15" customFormat="1" customHeight="1" s="206">
      <c r="A397" s="201" t="n"/>
      <c r="B397" s="220" t="inlineStr">
        <is>
          <t>D1</t>
        </is>
      </c>
      <c r="C397" s="247" t="n">
        <v>63</v>
      </c>
      <c r="D397" s="206" t="inlineStr">
        <is>
          <t>x</t>
        </is>
      </c>
      <c r="E397" s="199" t="n">
        <v>1.2</v>
      </c>
      <c r="F397" s="206" t="inlineStr">
        <is>
          <t>x</t>
        </is>
      </c>
      <c r="G397" s="199" t="n">
        <v>2.1</v>
      </c>
      <c r="I397" s="199" t="n"/>
      <c r="J397" s="258" t="inlineStr">
        <is>
          <t>=</t>
        </is>
      </c>
      <c r="K397" s="199">
        <f>IF(C382,C382*E382*G382,"")</f>
        <v/>
      </c>
      <c r="L397" s="247" t="inlineStr">
        <is>
          <t>Sqm</t>
        </is>
      </c>
    </row>
    <row r="398" ht="7.5" customFormat="1" customHeight="1" s="206">
      <c r="A398" s="201" t="n"/>
      <c r="B398" s="220" t="inlineStr">
        <is>
          <t>D2</t>
        </is>
      </c>
      <c r="C398" s="247" t="n">
        <v>3</v>
      </c>
      <c r="D398" s="206" t="inlineStr">
        <is>
          <t>x</t>
        </is>
      </c>
      <c r="E398" s="199" t="n">
        <v>3</v>
      </c>
      <c r="F398" s="206" t="inlineStr">
        <is>
          <t>x</t>
        </is>
      </c>
      <c r="G398" s="199" t="n">
        <v>2.1</v>
      </c>
      <c r="I398" s="199" t="n"/>
      <c r="J398" s="258" t="inlineStr">
        <is>
          <t>=</t>
        </is>
      </c>
      <c r="K398" s="199">
        <f>IF(C383,C383*E383*G383,"")</f>
        <v/>
      </c>
      <c r="L398" s="247" t="inlineStr">
        <is>
          <t>Sqm</t>
        </is>
      </c>
    </row>
    <row r="399" ht="15" customFormat="1" customHeight="1" s="206">
      <c r="A399" s="201" t="n"/>
      <c r="B399" s="220" t="inlineStr">
        <is>
          <t>D3</t>
        </is>
      </c>
      <c r="C399" s="247" t="n">
        <v>10</v>
      </c>
      <c r="D399" s="206" t="inlineStr">
        <is>
          <t>x</t>
        </is>
      </c>
      <c r="E399" s="199" t="n">
        <v>0.9</v>
      </c>
      <c r="F399" s="206" t="inlineStr">
        <is>
          <t>x</t>
        </is>
      </c>
      <c r="G399" s="199" t="n">
        <v>2.1</v>
      </c>
      <c r="I399" s="199" t="n"/>
      <c r="J399" s="258" t="inlineStr">
        <is>
          <t>=</t>
        </is>
      </c>
      <c r="K399" s="199">
        <f>IF(C384,C384*E384*G384,"")</f>
        <v/>
      </c>
      <c r="L399" s="247" t="inlineStr">
        <is>
          <t>Sqm</t>
        </is>
      </c>
    </row>
    <row r="400" ht="5.25" customFormat="1" customHeight="1" s="206">
      <c r="A400" s="201" t="n"/>
      <c r="B400" s="220" t="inlineStr">
        <is>
          <t>W1</t>
        </is>
      </c>
      <c r="C400" s="247" t="n">
        <v>222</v>
      </c>
      <c r="D400" s="206" t="inlineStr">
        <is>
          <t>x</t>
        </is>
      </c>
      <c r="E400" s="199" t="n">
        <v>1.8</v>
      </c>
      <c r="F400" s="206" t="inlineStr">
        <is>
          <t>x</t>
        </is>
      </c>
      <c r="G400" s="199" t="n">
        <v>1.2</v>
      </c>
      <c r="I400" s="199" t="n"/>
      <c r="J400" s="258" t="inlineStr">
        <is>
          <t>=</t>
        </is>
      </c>
      <c r="K400" s="199">
        <f>IF(C385,C385*E385*G385,"")</f>
        <v/>
      </c>
      <c r="L400" s="247" t="inlineStr">
        <is>
          <t>Sqm</t>
        </is>
      </c>
    </row>
    <row r="401" customFormat="1" s="206">
      <c r="A401" s="201" t="n"/>
      <c r="B401" s="220" t="inlineStr">
        <is>
          <t>External plaster</t>
        </is>
      </c>
      <c r="C401" s="247" t="n">
        <v>1</v>
      </c>
      <c r="D401" s="206" t="inlineStr">
        <is>
          <t>x</t>
        </is>
      </c>
      <c r="E401" s="199">
        <f>K410</f>
        <v/>
      </c>
      <c r="F401" s="206" t="inlineStr">
        <is>
          <t>x</t>
        </is>
      </c>
      <c r="G401" s="199" t="n">
        <v>1</v>
      </c>
      <c r="I401" s="199" t="n"/>
      <c r="J401" s="258" t="inlineStr">
        <is>
          <t>=</t>
        </is>
      </c>
      <c r="K401" s="199">
        <f>IF(C386,C386*E386*G386,"")</f>
        <v/>
      </c>
      <c r="L401" s="247" t="inlineStr">
        <is>
          <t>Sqm</t>
        </is>
      </c>
    </row>
    <row r="402" customFormat="1" s="206">
      <c r="A402" s="201" t="n"/>
      <c r="B402" s="212" t="n"/>
      <c r="C402" s="247" t="n"/>
      <c r="E402" s="189" t="n"/>
      <c r="F402" s="202" t="n"/>
      <c r="G402" s="203" t="inlineStr">
        <is>
          <t>Total Deductions</t>
        </is>
      </c>
      <c r="H402" s="202" t="n"/>
      <c r="I402" s="189" t="n"/>
      <c r="J402" s="204" t="inlineStr">
        <is>
          <t>-</t>
        </is>
      </c>
      <c r="K402" s="189">
        <f>SUM(K382:K386)</f>
        <v/>
      </c>
      <c r="L402" s="191" t="inlineStr">
        <is>
          <t>Sqm</t>
        </is>
      </c>
    </row>
    <row r="403" customFormat="1" s="206">
      <c r="A403" s="247" t="n"/>
      <c r="B403" s="173" t="inlineStr">
        <is>
          <t>Net qty. of Internal Plaster in FF</t>
        </is>
      </c>
      <c r="D403" s="193">
        <f>K380</f>
        <v/>
      </c>
      <c r="E403" s="194" t="n"/>
      <c r="F403" s="201" t="inlineStr">
        <is>
          <t>-</t>
        </is>
      </c>
      <c r="G403" s="194">
        <f>K387</f>
        <v/>
      </c>
      <c r="H403" s="195" t="n"/>
      <c r="J403" s="196" t="inlineStr">
        <is>
          <t>=</t>
        </is>
      </c>
      <c r="K403" s="228">
        <f>D388-G388</f>
        <v/>
      </c>
      <c r="L403" s="247" t="inlineStr">
        <is>
          <t>Sqm</t>
        </is>
      </c>
    </row>
    <row r="404" customFormat="1" s="206">
      <c r="A404" s="201" t="n"/>
      <c r="B404" s="186" t="inlineStr">
        <is>
          <t>Second FLOOR  INSIDE PLASTER</t>
        </is>
      </c>
      <c r="C404" s="199" t="n"/>
      <c r="E404" s="199" t="n"/>
      <c r="F404" s="201" t="n"/>
      <c r="G404" s="205" t="n"/>
    </row>
    <row r="405" customFormat="1" s="206">
      <c r="A405" s="201" t="n"/>
      <c r="B405" s="212" t="inlineStr">
        <is>
          <t>Staircase</t>
        </is>
      </c>
      <c r="C405" s="247" t="n">
        <v>4</v>
      </c>
      <c r="D405" s="206" t="inlineStr">
        <is>
          <t>x</t>
        </is>
      </c>
      <c r="E405" s="199" t="n">
        <v>8.4</v>
      </c>
      <c r="F405" s="206" t="inlineStr">
        <is>
          <t>x</t>
        </is>
      </c>
      <c r="G405" s="199" t="n">
        <v>3</v>
      </c>
      <c r="I405" s="199" t="n"/>
      <c r="J405" s="258" t="inlineStr">
        <is>
          <t>=</t>
        </is>
      </c>
      <c r="K405" s="199">
        <f>IF(C390,C390*E390*G390,"")</f>
        <v/>
      </c>
      <c r="L405" s="247" t="inlineStr">
        <is>
          <t>Sqm</t>
        </is>
      </c>
    </row>
    <row r="406" customFormat="1" s="206">
      <c r="A406" s="201" t="n"/>
      <c r="B406" s="212" t="inlineStr">
        <is>
          <t>Parapet</t>
        </is>
      </c>
      <c r="C406" s="247" t="n">
        <v>2</v>
      </c>
      <c r="D406" s="206" t="inlineStr">
        <is>
          <t>x</t>
        </is>
      </c>
      <c r="E406" s="240">
        <f>E252</f>
        <v/>
      </c>
      <c r="F406" s="241" t="inlineStr">
        <is>
          <t>x</t>
        </is>
      </c>
      <c r="G406" s="240" t="n">
        <v>0.75</v>
      </c>
      <c r="H406" s="241" t="n"/>
      <c r="I406" s="240" t="n"/>
      <c r="J406" s="242" t="inlineStr">
        <is>
          <t>=</t>
        </is>
      </c>
      <c r="K406" s="240">
        <f>IF(C391,C391*E391*G391,"")</f>
        <v/>
      </c>
      <c r="L406" s="243" t="inlineStr">
        <is>
          <t>Sqm</t>
        </is>
      </c>
    </row>
    <row r="407" ht="15" customFormat="1" customHeight="1" s="206">
      <c r="A407" s="201" t="n"/>
      <c r="B407" s="212" t="n"/>
      <c r="C407" s="247" t="n"/>
      <c r="E407" s="189" t="n"/>
      <c r="F407" s="202" t="n"/>
      <c r="G407" s="203" t="inlineStr">
        <is>
          <t>Gross Qty.</t>
        </is>
      </c>
      <c r="H407" s="202" t="n"/>
      <c r="I407" s="189" t="n"/>
      <c r="J407" s="204" t="inlineStr">
        <is>
          <t>+</t>
        </is>
      </c>
      <c r="K407" s="189">
        <f>SUM(K390:K391)</f>
        <v/>
      </c>
      <c r="L407" s="191" t="inlineStr">
        <is>
          <t>Sqm</t>
        </is>
      </c>
    </row>
    <row r="408" customFormat="1" s="206">
      <c r="A408" s="201" t="n"/>
      <c r="B408" s="186" t="inlineStr">
        <is>
          <t>Deductions</t>
        </is>
      </c>
      <c r="C408" s="247" t="n"/>
      <c r="E408" s="199" t="n"/>
      <c r="G408" s="205" t="n"/>
      <c r="H408" s="206" t="n"/>
      <c r="I408" s="199" t="n"/>
      <c r="J408" s="201" t="n"/>
      <c r="K408" s="199" t="n"/>
      <c r="L408" s="247" t="n"/>
    </row>
    <row r="409" customFormat="1" s="206">
      <c r="A409" s="201" t="n"/>
      <c r="B409" s="212" t="inlineStr">
        <is>
          <t>Staircase</t>
        </is>
      </c>
      <c r="C409" s="247" t="n">
        <v>2</v>
      </c>
      <c r="D409" s="206" t="inlineStr">
        <is>
          <t>x</t>
        </is>
      </c>
      <c r="E409" s="199" t="n">
        <v>1.2</v>
      </c>
      <c r="F409" s="206" t="inlineStr">
        <is>
          <t>x</t>
        </is>
      </c>
      <c r="G409" s="199" t="n">
        <v>2.1</v>
      </c>
      <c r="I409" s="199" t="n"/>
      <c r="J409" s="258" t="inlineStr">
        <is>
          <t>=</t>
        </is>
      </c>
      <c r="K409" s="199">
        <f>IF(C394,C394*E394*G394,"")</f>
        <v/>
      </c>
      <c r="L409" s="247" t="inlineStr">
        <is>
          <t>Sqm</t>
        </is>
      </c>
    </row>
    <row r="410" ht="15" customFormat="1" customHeight="1" s="206">
      <c r="A410" s="201" t="n"/>
      <c r="B410" s="212" t="inlineStr">
        <is>
          <t>Jali</t>
        </is>
      </c>
      <c r="C410" s="247" t="n">
        <v>2</v>
      </c>
      <c r="D410" s="206" t="inlineStr">
        <is>
          <t>x</t>
        </is>
      </c>
      <c r="E410" s="199" t="n">
        <v>1.8</v>
      </c>
      <c r="F410" s="206" t="inlineStr">
        <is>
          <t>x</t>
        </is>
      </c>
      <c r="G410" s="199" t="n">
        <v>2.4</v>
      </c>
      <c r="I410" s="199" t="n"/>
      <c r="J410" s="258" t="inlineStr">
        <is>
          <t>=</t>
        </is>
      </c>
      <c r="K410" s="199">
        <f>IF(C395,C395*E395*G395,"")</f>
        <v/>
      </c>
      <c r="L410" s="247" t="inlineStr">
        <is>
          <t>Sqm</t>
        </is>
      </c>
    </row>
    <row r="411" customFormat="1" s="206">
      <c r="A411" s="201" t="n"/>
      <c r="B411" s="212" t="n"/>
      <c r="C411" s="247" t="n"/>
      <c r="E411" s="189" t="n"/>
      <c r="F411" s="202" t="n"/>
      <c r="G411" s="203" t="inlineStr">
        <is>
          <t>Total Deductions</t>
        </is>
      </c>
      <c r="H411" s="202" t="n"/>
      <c r="I411" s="189" t="n"/>
      <c r="J411" s="204" t="inlineStr">
        <is>
          <t>-</t>
        </is>
      </c>
      <c r="K411" s="189">
        <f>SUM(K394:K395)</f>
        <v/>
      </c>
      <c r="L411" s="191" t="inlineStr">
        <is>
          <t>Sqm</t>
        </is>
      </c>
      <c r="M411" s="199" t="n"/>
    </row>
    <row r="412" ht="15" customFormat="1" customHeight="1" s="206">
      <c r="A412" s="247" t="n"/>
      <c r="B412" s="173" t="inlineStr">
        <is>
          <t>Net qty. of Internal Plaster in FF</t>
        </is>
      </c>
      <c r="D412" s="193">
        <f>K392</f>
        <v/>
      </c>
      <c r="E412" s="194" t="n"/>
      <c r="F412" s="201" t="inlineStr">
        <is>
          <t>-</t>
        </is>
      </c>
      <c r="G412" s="194">
        <f>K396</f>
        <v/>
      </c>
      <c r="H412" s="195" t="n"/>
      <c r="J412" s="196" t="inlineStr">
        <is>
          <t>=</t>
        </is>
      </c>
      <c r="K412" s="228">
        <f>D397-G397</f>
        <v/>
      </c>
      <c r="L412" s="247" t="inlineStr">
        <is>
          <t>Sqm</t>
        </is>
      </c>
    </row>
    <row r="413" ht="15" customFormat="1" customHeight="1" s="206">
      <c r="A413" s="247" t="n"/>
      <c r="B413" s="173" t="n"/>
      <c r="D413" s="193" t="n"/>
      <c r="E413" s="194" t="n"/>
      <c r="F413" s="201" t="n"/>
      <c r="G413" s="194" t="n"/>
      <c r="H413" s="195" t="n"/>
      <c r="J413" s="196" t="n"/>
      <c r="K413" s="228" t="n"/>
      <c r="L413" s="247" t="n"/>
    </row>
    <row r="414" ht="181.5" customFormat="1" customHeight="1" s="206">
      <c r="A414" s="247" t="n"/>
      <c r="B414" s="211" t="inlineStr">
        <is>
          <t>Net qty. of Internal Plaster in All floors</t>
        </is>
      </c>
      <c r="D414" s="193" t="n"/>
      <c r="E414" s="194">
        <f>K388</f>
        <v/>
      </c>
      <c r="F414" s="201" t="inlineStr">
        <is>
          <t>+</t>
        </is>
      </c>
      <c r="G414" s="194">
        <f>K397</f>
        <v/>
      </c>
      <c r="H414" s="195" t="n"/>
      <c r="J414" s="196" t="inlineStr">
        <is>
          <t>=</t>
        </is>
      </c>
      <c r="K414" s="228">
        <f>+K397+K388</f>
        <v/>
      </c>
      <c r="L414" s="247" t="inlineStr">
        <is>
          <t>Sqm</t>
        </is>
      </c>
    </row>
    <row r="415" customFormat="1" s="206">
      <c r="A415" s="247" t="n"/>
      <c r="B415" s="211" t="n"/>
      <c r="D415" s="193" t="n"/>
      <c r="E415" s="194" t="n"/>
      <c r="F415" s="201" t="n"/>
      <c r="G415" s="194" t="n"/>
      <c r="H415" s="195" t="n"/>
      <c r="J415" s="196" t="n"/>
      <c r="K415" s="228" t="n"/>
      <c r="L415" s="247" t="n"/>
    </row>
    <row r="416" customFormat="1" s="206">
      <c r="A416" s="201" t="n"/>
      <c r="B416" s="207" t="inlineStr">
        <is>
          <t>External plaster</t>
        </is>
      </c>
      <c r="C416" s="199" t="n"/>
      <c r="E416" s="199" t="n"/>
      <c r="F416" s="201" t="n"/>
      <c r="G416" s="205" t="n"/>
    </row>
    <row r="417" customFormat="1" s="206">
      <c r="A417" s="201" t="n"/>
      <c r="B417" s="212" t="n"/>
      <c r="C417" s="247" t="n">
        <v>2</v>
      </c>
      <c r="D417" s="206" t="inlineStr">
        <is>
          <t>x</t>
        </is>
      </c>
      <c r="E417" s="199" t="n">
        <v>103.1</v>
      </c>
      <c r="F417" s="206" t="inlineStr">
        <is>
          <t>x</t>
        </is>
      </c>
      <c r="G417" s="199" t="n">
        <v>4.35</v>
      </c>
      <c r="I417" s="199" t="n"/>
      <c r="J417" s="258" t="inlineStr">
        <is>
          <t>=</t>
        </is>
      </c>
      <c r="K417" s="199">
        <f>IF(C402,C402*E402*G402,"")</f>
        <v/>
      </c>
      <c r="L417" s="247" t="inlineStr">
        <is>
          <t>Sqm</t>
        </is>
      </c>
    </row>
    <row r="418" ht="27" customFormat="1" customHeight="1" s="206">
      <c r="A418" s="201" t="n"/>
      <c r="B418" s="212" t="n"/>
      <c r="C418" s="247" t="n">
        <v>2</v>
      </c>
      <c r="D418" s="206" t="inlineStr">
        <is>
          <t>x</t>
        </is>
      </c>
      <c r="E418" s="199" t="n">
        <v>100.2</v>
      </c>
      <c r="F418" s="206" t="inlineStr">
        <is>
          <t>x</t>
        </is>
      </c>
      <c r="G418" s="199" t="n">
        <v>4.35</v>
      </c>
      <c r="I418" s="199" t="n"/>
      <c r="J418" s="258" t="inlineStr">
        <is>
          <t>=</t>
        </is>
      </c>
      <c r="K418" s="199">
        <f>IF(C403,C403*E403*G403,"")</f>
        <v/>
      </c>
      <c r="L418" s="247" t="inlineStr">
        <is>
          <t>Sqm</t>
        </is>
      </c>
    </row>
    <row r="419" ht="27" customFormat="1" customHeight="1" s="206">
      <c r="A419" s="201" t="n"/>
      <c r="B419" s="212" t="n"/>
      <c r="C419" s="247" t="n">
        <v>2</v>
      </c>
      <c r="D419" s="206" t="inlineStr">
        <is>
          <t>x</t>
        </is>
      </c>
      <c r="E419" s="199" t="n">
        <v>79.70999999999999</v>
      </c>
      <c r="F419" s="206" t="inlineStr">
        <is>
          <t>x</t>
        </is>
      </c>
      <c r="G419" s="199" t="n">
        <v>4.35</v>
      </c>
      <c r="I419" s="199" t="n"/>
      <c r="J419" s="258" t="inlineStr">
        <is>
          <t>=</t>
        </is>
      </c>
      <c r="K419" s="199">
        <f>IF(C404,C404*E404*G404,"")</f>
        <v/>
      </c>
      <c r="L419" s="247" t="inlineStr">
        <is>
          <t>Sqm</t>
        </is>
      </c>
    </row>
    <row r="420" ht="338.25" customFormat="1" customHeight="1" s="206">
      <c r="A420" s="201" t="n"/>
      <c r="B420" s="212" t="n"/>
      <c r="C420" s="247" t="n">
        <v>2</v>
      </c>
      <c r="D420" s="206" t="inlineStr">
        <is>
          <t>x</t>
        </is>
      </c>
      <c r="E420" s="199" t="n">
        <v>85.88</v>
      </c>
      <c r="F420" s="206" t="inlineStr">
        <is>
          <t>x</t>
        </is>
      </c>
      <c r="G420" s="199" t="n">
        <v>4.35</v>
      </c>
      <c r="I420" s="199" t="n"/>
      <c r="J420" s="258" t="inlineStr">
        <is>
          <t>=</t>
        </is>
      </c>
      <c r="K420" s="199">
        <f>IF(C405,C405*E405*G405,"")</f>
        <v/>
      </c>
      <c r="L420" s="247" t="inlineStr">
        <is>
          <t>Sqm</t>
        </is>
      </c>
    </row>
    <row r="421" customFormat="1" s="206">
      <c r="A421" s="201" t="n"/>
      <c r="B421" s="212" t="n"/>
      <c r="C421" s="191" t="n"/>
      <c r="D421" s="202" t="n"/>
      <c r="E421" s="189" t="n"/>
      <c r="F421" s="244" t="inlineStr">
        <is>
          <t>Gross qty. of External Plaster (+)</t>
        </is>
      </c>
      <c r="G421" s="203" t="n"/>
      <c r="H421" s="202" t="n"/>
      <c r="I421" s="189" t="n"/>
      <c r="J421" s="204" t="inlineStr">
        <is>
          <t>= +</t>
        </is>
      </c>
      <c r="K421" s="189">
        <f>SUM(K402:K405)</f>
        <v/>
      </c>
      <c r="L421" s="191" t="inlineStr">
        <is>
          <t>Sqm</t>
        </is>
      </c>
    </row>
    <row r="422" customFormat="1" s="206">
      <c r="A422" s="201" t="n"/>
      <c r="B422" s="186" t="inlineStr">
        <is>
          <t>Deductions</t>
        </is>
      </c>
      <c r="C422" s="247" t="n"/>
      <c r="E422" s="199" t="n"/>
      <c r="G422" s="205" t="n"/>
      <c r="H422" s="206" t="n"/>
      <c r="I422" s="199" t="n"/>
      <c r="J422" s="201" t="n"/>
      <c r="K422" s="199" t="n"/>
      <c r="L422" s="247" t="n"/>
    </row>
    <row r="423" customFormat="1" s="206">
      <c r="A423" s="201" t="n"/>
      <c r="B423" s="220" t="inlineStr">
        <is>
          <t>Verandah Sum of all walls</t>
        </is>
      </c>
      <c r="C423" s="247" t="n">
        <v>1</v>
      </c>
      <c r="D423" s="206" t="inlineStr">
        <is>
          <t>x</t>
        </is>
      </c>
      <c r="E423" s="199">
        <f>E285+E286+E287+E288</f>
        <v/>
      </c>
      <c r="F423" s="206" t="inlineStr">
        <is>
          <t>x</t>
        </is>
      </c>
      <c r="G423" s="199" t="n">
        <v>1.7</v>
      </c>
      <c r="I423" s="199" t="n"/>
      <c r="J423" s="258" t="inlineStr">
        <is>
          <t>=</t>
        </is>
      </c>
      <c r="K423" s="199">
        <f>IF(C408,C408*E408*G408,"")</f>
        <v/>
      </c>
      <c r="L423" s="247" t="inlineStr">
        <is>
          <t>Sqm</t>
        </is>
      </c>
    </row>
    <row r="424" customFormat="1" s="206">
      <c r="A424" s="201" t="n"/>
      <c r="B424" s="212" t="n"/>
      <c r="C424" s="247" t="n"/>
      <c r="E424" s="189" t="n"/>
      <c r="F424" s="202" t="n"/>
      <c r="G424" s="203" t="inlineStr">
        <is>
          <t>Total Deductions</t>
        </is>
      </c>
      <c r="H424" s="202" t="n"/>
      <c r="I424" s="189" t="n"/>
      <c r="J424" s="204" t="inlineStr">
        <is>
          <t>-</t>
        </is>
      </c>
      <c r="K424" s="189">
        <f>SUM(K408:K408)</f>
        <v/>
      </c>
      <c r="L424" s="191" t="inlineStr">
        <is>
          <t>Sqm</t>
        </is>
      </c>
    </row>
    <row r="425" customFormat="1" s="206">
      <c r="A425" s="247" t="n"/>
      <c r="B425" s="173" t="inlineStr">
        <is>
          <t>Net qty. of External Plaster in FF</t>
        </is>
      </c>
      <c r="D425" s="193">
        <f>K406</f>
        <v/>
      </c>
      <c r="E425" s="194" t="n"/>
      <c r="F425" s="201" t="inlineStr">
        <is>
          <t>-</t>
        </is>
      </c>
      <c r="G425" s="194">
        <f>K409</f>
        <v/>
      </c>
      <c r="H425" s="195" t="n"/>
      <c r="J425" s="196" t="inlineStr">
        <is>
          <t>=</t>
        </is>
      </c>
      <c r="K425" s="228">
        <f>D410-G410</f>
        <v/>
      </c>
      <c r="L425" s="247" t="inlineStr">
        <is>
          <t>Sqm</t>
        </is>
      </c>
    </row>
    <row r="426" ht="28.5" customFormat="1" customHeight="1" s="206">
      <c r="A426" s="201" t="n"/>
      <c r="B426" s="212" t="n"/>
      <c r="C426" s="247" t="n"/>
      <c r="E426" s="199" t="n"/>
      <c r="F426" s="252" t="n"/>
      <c r="G426" s="205" t="n"/>
      <c r="H426" s="206" t="n"/>
      <c r="I426" s="199" t="n"/>
      <c r="J426" s="201" t="n"/>
      <c r="K426" s="199" t="n"/>
      <c r="L426" s="247" t="n"/>
    </row>
    <row r="427" customFormat="1" s="206">
      <c r="A427" s="247" t="n"/>
      <c r="B427" s="173" t="inlineStr">
        <is>
          <t>Total qty. of  Plaster</t>
        </is>
      </c>
      <c r="D427" s="193">
        <f>K399</f>
        <v/>
      </c>
      <c r="E427" s="194" t="n"/>
      <c r="F427" s="201" t="inlineStr">
        <is>
          <t>+</t>
        </is>
      </c>
      <c r="G427" s="194">
        <f>K410</f>
        <v/>
      </c>
      <c r="H427" s="195" t="n"/>
      <c r="J427" s="196" t="inlineStr">
        <is>
          <t>=</t>
        </is>
      </c>
      <c r="K427" s="228">
        <f>D412+G412</f>
        <v/>
      </c>
      <c r="L427" s="247" t="inlineStr">
        <is>
          <t>Sqm</t>
        </is>
      </c>
    </row>
    <row r="428" customFormat="1" s="206">
      <c r="A428" s="201" t="n"/>
      <c r="B428" s="212" t="n"/>
      <c r="C428" s="194" t="n"/>
      <c r="D428" s="195" t="n"/>
      <c r="E428" s="195" t="n"/>
      <c r="G428" s="228" t="n"/>
      <c r="H428" s="246" t="n"/>
      <c r="I428" s="228" t="n"/>
      <c r="J428" s="196" t="n"/>
      <c r="K428" s="228" t="n"/>
      <c r="L428" s="227" t="n"/>
    </row>
    <row r="429" customFormat="1" s="206">
      <c r="A429" s="247" t="n">
        <v>7</v>
      </c>
      <c r="B429" s="212">
        <f>GF1_ABS!B234</f>
        <v/>
      </c>
      <c r="C429" s="199" t="n"/>
      <c r="E429" s="199" t="n"/>
      <c r="F429" s="201" t="n"/>
      <c r="G429" s="205" t="n"/>
    </row>
    <row r="430" ht="15" customFormat="1" customHeight="1" s="206">
      <c r="A430" s="201" t="n"/>
      <c r="B430" s="212" t="inlineStr">
        <is>
          <t>D1</t>
        </is>
      </c>
      <c r="C430" s="247">
        <f>C255</f>
        <v/>
      </c>
      <c r="D430" s="201" t="inlineStr">
        <is>
          <t>x(</t>
        </is>
      </c>
      <c r="E430" s="199" t="n">
        <v>1.5</v>
      </c>
      <c r="F430" s="201" t="inlineStr">
        <is>
          <t>+</t>
        </is>
      </c>
      <c r="G430" s="205" t="n">
        <v>2.15</v>
      </c>
      <c r="H430" s="201" t="inlineStr">
        <is>
          <t>+</t>
        </is>
      </c>
      <c r="I430" s="199" t="n">
        <v>2.15</v>
      </c>
      <c r="J430" s="201" t="inlineStr">
        <is>
          <t>)=</t>
        </is>
      </c>
      <c r="K430" s="199">
        <f>IF(C415,C415*E415*G415*I415,"")</f>
        <v/>
      </c>
      <c r="L430" s="247" t="inlineStr">
        <is>
          <t>RM</t>
        </is>
      </c>
    </row>
    <row r="431" customFormat="1" s="206">
      <c r="A431" s="201" t="n"/>
      <c r="B431" s="212" t="inlineStr">
        <is>
          <t>D2</t>
        </is>
      </c>
      <c r="C431" s="247">
        <f>C274</f>
        <v/>
      </c>
      <c r="D431" s="201" t="inlineStr">
        <is>
          <t>x(</t>
        </is>
      </c>
      <c r="E431" s="199" t="n">
        <v>1.2</v>
      </c>
      <c r="F431" s="201" t="inlineStr">
        <is>
          <t>+</t>
        </is>
      </c>
      <c r="G431" s="205" t="n">
        <v>2.15</v>
      </c>
      <c r="H431" s="201" t="inlineStr">
        <is>
          <t>+</t>
        </is>
      </c>
      <c r="I431" s="199" t="n">
        <v>2.15</v>
      </c>
      <c r="J431" s="201" t="inlineStr">
        <is>
          <t>)=</t>
        </is>
      </c>
      <c r="K431" s="199">
        <f>IF(C416,C416*E416*G416*I416,"")</f>
        <v/>
      </c>
      <c r="L431" s="247" t="inlineStr">
        <is>
          <t>RM</t>
        </is>
      </c>
      <c r="M431" s="206" t="n"/>
    </row>
    <row r="432" ht="87" customFormat="1" customHeight="1" s="206">
      <c r="A432" s="201" t="n"/>
      <c r="B432" s="212" t="n"/>
      <c r="C432" s="247" t="n"/>
      <c r="E432" s="199" t="n"/>
      <c r="G432" s="203" t="inlineStr">
        <is>
          <t>Total</t>
        </is>
      </c>
      <c r="H432" s="202" t="n"/>
      <c r="I432" s="189" t="n"/>
      <c r="J432" s="202" t="n"/>
      <c r="K432" s="189">
        <f>SUM(K415:K416)</f>
        <v/>
      </c>
      <c r="L432" s="191" t="inlineStr">
        <is>
          <t>RM</t>
        </is>
      </c>
      <c r="M432" s="206" t="n"/>
    </row>
    <row r="433" ht="15" customFormat="1" customHeight="1" s="206">
      <c r="A433" s="201" t="n"/>
      <c r="B433" s="212" t="n"/>
      <c r="C433" s="247" t="n"/>
      <c r="E433" s="199">
        <f>K417</f>
        <v/>
      </c>
      <c r="F433" s="206" t="inlineStr">
        <is>
          <t>RM</t>
        </is>
      </c>
      <c r="G433" s="205" t="n"/>
      <c r="H433" s="258" t="inlineStr">
        <is>
          <t>@ 4.15 Kg/m</t>
        </is>
      </c>
      <c r="I433" s="199" t="n"/>
      <c r="J433" s="206" t="n"/>
      <c r="K433" s="199">
        <f>E418*4.15</f>
        <v/>
      </c>
      <c r="L433" s="247" t="inlineStr">
        <is>
          <t>Kg</t>
        </is>
      </c>
    </row>
    <row r="434" ht="15" customFormat="1" customHeight="1" s="206">
      <c r="A434" s="201" t="n"/>
      <c r="B434" s="212" t="n"/>
      <c r="C434" s="247" t="n"/>
      <c r="E434" s="199" t="n"/>
      <c r="G434" s="205" t="n"/>
      <c r="H434" s="258" t="n"/>
      <c r="I434" s="199" t="n"/>
      <c r="J434" s="206" t="n"/>
      <c r="K434" s="199" t="n"/>
      <c r="L434" s="247" t="n"/>
    </row>
    <row r="435" ht="116.25" customFormat="1" customHeight="1" s="206">
      <c r="A435" s="247">
        <f>A414+1</f>
        <v/>
      </c>
      <c r="B435" s="212"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is>
      </c>
      <c r="C435" s="199" t="n"/>
      <c r="E435" s="199" t="n"/>
      <c r="F435" s="201" t="n"/>
      <c r="G435" s="205" t="n"/>
    </row>
    <row r="436" customFormat="1" s="206">
      <c r="A436" s="201" t="n"/>
      <c r="B436" s="220" t="inlineStr">
        <is>
          <t>W1</t>
        </is>
      </c>
      <c r="C436" s="301">
        <f>C257</f>
        <v/>
      </c>
      <c r="D436" s="206" t="inlineStr">
        <is>
          <t>x</t>
        </is>
      </c>
      <c r="E436" s="297">
        <f>E257</f>
        <v/>
      </c>
      <c r="F436" s="206" t="inlineStr">
        <is>
          <t>x</t>
        </is>
      </c>
      <c r="G436" s="205" t="n">
        <v>1.2</v>
      </c>
      <c r="I436" s="199" t="n"/>
      <c r="J436" s="258" t="inlineStr">
        <is>
          <t>=</t>
        </is>
      </c>
      <c r="K436" s="199">
        <f>IF(C421,C421*E421*G421,"")</f>
        <v/>
      </c>
      <c r="L436" s="247" t="inlineStr">
        <is>
          <t>Sqm</t>
        </is>
      </c>
    </row>
    <row r="437" customFormat="1" s="206">
      <c r="A437" s="201" t="n"/>
      <c r="B437" s="220" t="inlineStr">
        <is>
          <t>V1</t>
        </is>
      </c>
      <c r="C437" s="301">
        <f>C258</f>
        <v/>
      </c>
      <c r="D437" s="206" t="inlineStr">
        <is>
          <t>x</t>
        </is>
      </c>
      <c r="E437" s="297">
        <f>E258</f>
        <v/>
      </c>
      <c r="F437" s="206" t="inlineStr">
        <is>
          <t>x</t>
        </is>
      </c>
      <c r="G437" s="199" t="n">
        <v>0.6</v>
      </c>
      <c r="I437" s="199" t="n"/>
      <c r="J437" s="258" t="inlineStr">
        <is>
          <t>=</t>
        </is>
      </c>
      <c r="K437" s="199">
        <f>IF(C422,C422*E422*G422,"")</f>
        <v/>
      </c>
      <c r="L437" s="247" t="inlineStr">
        <is>
          <t>Sqm</t>
        </is>
      </c>
    </row>
    <row r="438" customFormat="1" s="206">
      <c r="A438" s="201" t="n"/>
      <c r="B438" s="220" t="inlineStr">
        <is>
          <t>V2</t>
        </is>
      </c>
      <c r="C438" s="301">
        <f>C259</f>
        <v/>
      </c>
      <c r="D438" s="206" t="inlineStr">
        <is>
          <t>x</t>
        </is>
      </c>
      <c r="E438" s="297">
        <f>E259</f>
        <v/>
      </c>
      <c r="F438" s="206" t="inlineStr">
        <is>
          <t>x</t>
        </is>
      </c>
      <c r="G438" s="199" t="n">
        <v>0.6</v>
      </c>
      <c r="I438" s="199" t="n"/>
      <c r="J438" s="258" t="inlineStr">
        <is>
          <t>=</t>
        </is>
      </c>
      <c r="K438" s="199">
        <f>IF(C423,C423*E423*G423,"")</f>
        <v/>
      </c>
      <c r="L438" s="247" t="inlineStr">
        <is>
          <t>Sqm</t>
        </is>
      </c>
    </row>
    <row r="439" ht="15" customFormat="1" customHeight="1" s="206">
      <c r="A439" s="201" t="n"/>
      <c r="B439" s="212" t="n"/>
      <c r="C439" s="247" t="n"/>
      <c r="E439" s="199" t="n"/>
      <c r="G439" s="203" t="inlineStr">
        <is>
          <t>Total</t>
        </is>
      </c>
      <c r="H439" s="202" t="n"/>
      <c r="I439" s="189" t="n"/>
      <c r="J439" s="202" t="n"/>
      <c r="K439" s="189">
        <f>SUM(K421:K423)</f>
        <v/>
      </c>
      <c r="L439" s="191" t="inlineStr">
        <is>
          <t>Sqm</t>
        </is>
      </c>
    </row>
    <row r="440" customFormat="1" s="206">
      <c r="A440" s="247" t="n"/>
      <c r="B440" s="173" t="n"/>
      <c r="C440" s="199" t="n"/>
      <c r="E440" s="199" t="n"/>
      <c r="F440" s="201" t="n"/>
      <c r="G440" s="205" t="n"/>
    </row>
    <row r="441" ht="95.25" customFormat="1" customHeight="1" s="206">
      <c r="A441" s="247">
        <f>A420+1</f>
        <v/>
      </c>
      <c r="B441" s="212" t="inlineStr">
        <is>
          <t>Providing and fixing square bars or other flat welded to window, ventilators etc.</t>
        </is>
      </c>
      <c r="C441" s="199" t="n"/>
      <c r="E441" s="199" t="n"/>
      <c r="F441" s="201" t="n"/>
      <c r="G441" s="205" t="n"/>
    </row>
    <row r="442" ht="36.75" customFormat="1" customHeight="1" s="206">
      <c r="A442" s="201" t="n"/>
      <c r="B442" s="220" t="inlineStr">
        <is>
          <t>W1</t>
        </is>
      </c>
      <c r="C442" s="301">
        <f>C421</f>
        <v/>
      </c>
      <c r="D442" s="206" t="inlineStr">
        <is>
          <t>x</t>
        </is>
      </c>
      <c r="E442" s="199" t="n">
        <v>1.8</v>
      </c>
      <c r="F442" s="206" t="inlineStr">
        <is>
          <t>x</t>
        </is>
      </c>
      <c r="G442" s="237" t="n">
        <v>10</v>
      </c>
      <c r="H442" s="201" t="inlineStr">
        <is>
          <t>@ 1.13 Kg/m</t>
        </is>
      </c>
      <c r="I442" s="199" t="n">
        <v>1.13</v>
      </c>
      <c r="J442" s="258" t="inlineStr">
        <is>
          <t>=</t>
        </is>
      </c>
      <c r="K442" s="199">
        <f>C427*E427*G427*I427</f>
        <v/>
      </c>
      <c r="L442" s="247" t="inlineStr">
        <is>
          <t>Kg</t>
        </is>
      </c>
    </row>
    <row r="443" customFormat="1" s="206">
      <c r="A443" s="201" t="n"/>
      <c r="B443" s="220" t="inlineStr">
        <is>
          <t>V1</t>
        </is>
      </c>
      <c r="C443" s="301">
        <f>C422</f>
        <v/>
      </c>
      <c r="D443" s="206" t="inlineStr">
        <is>
          <t>x</t>
        </is>
      </c>
      <c r="E443" s="199" t="n">
        <v>1.2</v>
      </c>
      <c r="F443" s="206" t="inlineStr">
        <is>
          <t>x</t>
        </is>
      </c>
      <c r="G443" s="237" t="n">
        <v>4</v>
      </c>
      <c r="H443" s="201" t="inlineStr">
        <is>
          <t>@ 1.13 Kg/m</t>
        </is>
      </c>
      <c r="I443" s="199" t="n">
        <v>1.13</v>
      </c>
      <c r="J443" s="258" t="inlineStr">
        <is>
          <t>=</t>
        </is>
      </c>
      <c r="K443" s="199">
        <f>C428*E428*G428*I428</f>
        <v/>
      </c>
      <c r="L443" s="247" t="inlineStr">
        <is>
          <t>Kg</t>
        </is>
      </c>
    </row>
    <row r="444" customFormat="1" s="206">
      <c r="A444" s="201" t="n"/>
      <c r="B444" s="220" t="inlineStr">
        <is>
          <t>V2</t>
        </is>
      </c>
      <c r="C444" s="301">
        <f>C423</f>
        <v/>
      </c>
      <c r="D444" s="206" t="inlineStr">
        <is>
          <t>x</t>
        </is>
      </c>
      <c r="E444" s="199" t="n">
        <v>0.9</v>
      </c>
      <c r="F444" s="206" t="inlineStr">
        <is>
          <t>x</t>
        </is>
      </c>
      <c r="G444" s="237" t="n">
        <v>4</v>
      </c>
      <c r="H444" s="201" t="inlineStr">
        <is>
          <t>@ 1.13 Kg/m</t>
        </is>
      </c>
      <c r="I444" s="199" t="n">
        <v>1.13</v>
      </c>
      <c r="J444" s="258" t="inlineStr">
        <is>
          <t>=</t>
        </is>
      </c>
      <c r="K444" s="199">
        <f>C429*E429*G429*I429</f>
        <v/>
      </c>
      <c r="L444" s="247" t="inlineStr">
        <is>
          <t>Kg</t>
        </is>
      </c>
    </row>
    <row r="445" customFormat="1" s="206">
      <c r="A445" s="201" t="n"/>
      <c r="B445" s="212" t="n"/>
      <c r="C445" s="247" t="n"/>
      <c r="E445" s="199" t="n"/>
      <c r="G445" s="203" t="inlineStr">
        <is>
          <t>Total</t>
        </is>
      </c>
      <c r="H445" s="202" t="n"/>
      <c r="I445" s="189" t="n"/>
      <c r="J445" s="202" t="n"/>
      <c r="K445" s="216">
        <f>SUM(K427:K429)</f>
        <v/>
      </c>
      <c r="L445" s="191" t="inlineStr">
        <is>
          <t>Kg</t>
        </is>
      </c>
    </row>
    <row r="446" customFormat="1" s="206">
      <c r="A446" s="247" t="n"/>
      <c r="B446" s="212" t="n"/>
      <c r="C446" s="199" t="n"/>
      <c r="E446" s="199" t="n"/>
      <c r="F446" s="201" t="n"/>
      <c r="G446" s="205" t="n"/>
    </row>
    <row r="447" customFormat="1" s="206">
      <c r="A447" s="247">
        <f>A426+1</f>
        <v/>
      </c>
      <c r="B447" s="212" t="inlineStr">
        <is>
          <t>Supplying and fixing wire gauge of 14 mesh x 24 gauge to the metal frame of rolled section by metal beading 20 x 3 mm with suitable screw at not exceeding 150 mm distance.</t>
        </is>
      </c>
      <c r="C447" s="199" t="n"/>
      <c r="E447" s="199" t="n"/>
      <c r="F447" s="201" t="n"/>
      <c r="G447" s="205" t="n"/>
    </row>
    <row r="448" ht="15" customFormat="1" customHeight="1" s="206">
      <c r="A448" s="201" t="n"/>
      <c r="B448" s="173" t="inlineStr">
        <is>
          <t>Qty.  10% of total windows area</t>
        </is>
      </c>
      <c r="C448" s="194">
        <f>K424</f>
        <v/>
      </c>
      <c r="D448" s="195" t="n"/>
      <c r="E448" s="195" t="n"/>
      <c r="F448" s="206" t="inlineStr">
        <is>
          <t>x</t>
        </is>
      </c>
      <c r="G448" s="298" t="n">
        <v>0.1</v>
      </c>
      <c r="I448" s="228" t="n"/>
      <c r="J448" s="227" t="n"/>
      <c r="K448" s="228">
        <f>C433*G433</f>
        <v/>
      </c>
      <c r="L448" s="247" t="inlineStr">
        <is>
          <t>Sqm</t>
        </is>
      </c>
    </row>
    <row r="449" customFormat="1" s="206">
      <c r="A449" s="201" t="n"/>
      <c r="B449" s="173" t="n"/>
      <c r="C449" s="194" t="n"/>
      <c r="D449" s="195" t="n"/>
      <c r="E449" s="195" t="n"/>
      <c r="G449" s="228" t="n"/>
      <c r="H449" s="248" t="n"/>
      <c r="I449" s="228" t="n"/>
      <c r="J449" s="227" t="n"/>
      <c r="K449" s="228" t="n"/>
      <c r="L449" s="247" t="n"/>
    </row>
    <row r="450" ht="36.75" customFormat="1" customHeight="1" s="206">
      <c r="A450" s="247">
        <f>A432+1</f>
        <v/>
      </c>
      <c r="B450" s="173" t="inlineStr">
        <is>
          <t>Supplying and fixing in cement mortar welded hand railing made out of MS round or square bars flats. etc. for staircase or verandah as per design complete in all respect (wooden or PVC hand railing to be paid extra) with priming coat of red oxide.</t>
        </is>
      </c>
      <c r="C450" s="199" t="n"/>
      <c r="E450" s="199" t="n"/>
      <c r="F450" s="201" t="n"/>
      <c r="G450" s="205" t="n"/>
    </row>
    <row r="451" customFormat="1" s="206">
      <c r="A451" s="201" t="n"/>
      <c r="B451" s="212" t="inlineStr">
        <is>
          <t>20 mm Square bar</t>
        </is>
      </c>
      <c r="C451" s="247" t="n">
        <v>72</v>
      </c>
      <c r="D451" s="206" t="inlineStr">
        <is>
          <t>x</t>
        </is>
      </c>
      <c r="E451" s="199" t="n">
        <v>1.2</v>
      </c>
      <c r="F451" s="201" t="inlineStr">
        <is>
          <t xml:space="preserve">@ </t>
        </is>
      </c>
      <c r="G451" s="199">
        <f>0.2*0.002*7850</f>
        <v/>
      </c>
      <c r="J451" s="258" t="inlineStr">
        <is>
          <t>=</t>
        </is>
      </c>
      <c r="K451" s="199">
        <f>C436*E436*G436</f>
        <v/>
      </c>
      <c r="L451" s="247" t="inlineStr">
        <is>
          <t>Kg</t>
        </is>
      </c>
    </row>
    <row r="452" customFormat="1" s="206">
      <c r="A452" s="201" t="n"/>
      <c r="B452" s="212" t="n"/>
      <c r="C452" s="247" t="n">
        <v>72</v>
      </c>
      <c r="D452" s="206" t="inlineStr">
        <is>
          <t>x</t>
        </is>
      </c>
      <c r="E452" s="199" t="n">
        <v>0.05</v>
      </c>
      <c r="F452" s="201" t="inlineStr">
        <is>
          <t xml:space="preserve">@ </t>
        </is>
      </c>
      <c r="G452" s="199">
        <f>0.2*0.002*7850</f>
        <v/>
      </c>
      <c r="J452" s="258" t="inlineStr">
        <is>
          <t>=</t>
        </is>
      </c>
      <c r="K452" s="199">
        <f>C437*E437*G437</f>
        <v/>
      </c>
      <c r="L452" s="247" t="inlineStr">
        <is>
          <t>Kg</t>
        </is>
      </c>
    </row>
    <row r="453" customFormat="1" s="206">
      <c r="A453" s="201" t="n"/>
      <c r="B453" s="212" t="inlineStr">
        <is>
          <t>Flat 50x5 mm</t>
        </is>
      </c>
      <c r="C453" s="247" t="n">
        <v>3</v>
      </c>
      <c r="D453" s="206" t="inlineStr">
        <is>
          <t>x</t>
        </is>
      </c>
      <c r="E453" s="199" t="n">
        <v>9.449999999999999</v>
      </c>
      <c r="F453" s="201" t="inlineStr">
        <is>
          <t xml:space="preserve">@ </t>
        </is>
      </c>
      <c r="G453" s="240">
        <f>0.05*0.005*7850</f>
        <v/>
      </c>
      <c r="H453" s="249" t="n"/>
      <c r="I453" s="240" t="n"/>
      <c r="J453" s="242" t="inlineStr">
        <is>
          <t>=</t>
        </is>
      </c>
      <c r="K453" s="240">
        <f>C438*E438*G438</f>
        <v/>
      </c>
      <c r="L453" s="243" t="inlineStr">
        <is>
          <t>Kg</t>
        </is>
      </c>
    </row>
    <row r="454" customFormat="1" s="206">
      <c r="A454" s="201" t="n"/>
      <c r="B454" s="212" t="n"/>
      <c r="C454" s="247" t="n"/>
      <c r="E454" s="199" t="n"/>
      <c r="G454" s="203" t="inlineStr">
        <is>
          <t>Total</t>
        </is>
      </c>
      <c r="H454" s="202" t="n"/>
      <c r="I454" s="189" t="n"/>
      <c r="J454" s="202" t="n"/>
      <c r="K454" s="216">
        <f>SUM(K436:K438)</f>
        <v/>
      </c>
      <c r="L454" s="191" t="inlineStr">
        <is>
          <t>Kg</t>
        </is>
      </c>
    </row>
    <row r="455" ht="15" customFormat="1" customHeight="1" s="206">
      <c r="A455" s="247" t="n"/>
      <c r="B455" s="212" t="n"/>
      <c r="C455" s="199" t="n"/>
      <c r="E455" s="199" t="n"/>
      <c r="F455" s="201" t="n"/>
      <c r="G455" s="205" t="n"/>
    </row>
    <row r="456" customFormat="1" s="206">
      <c r="A456" s="247" t="n">
        <v>12</v>
      </c>
      <c r="B456" s="212">
        <f>GF1_ABS!B239</f>
        <v/>
      </c>
      <c r="C456" s="199" t="n"/>
      <c r="E456" s="199" t="n"/>
      <c r="F456" s="201" t="n"/>
      <c r="G456" s="205" t="n"/>
    </row>
    <row r="457" ht="204.75" customFormat="1" customHeight="1" s="206">
      <c r="A457" s="247" t="n"/>
      <c r="B457" s="212" t="inlineStr">
        <is>
          <t>Floor Area (103.10x100.20-85.88x79.71)</t>
        </is>
      </c>
      <c r="C457" s="199" t="n">
        <v>1</v>
      </c>
      <c r="D457" s="206" t="inlineStr">
        <is>
          <t>x</t>
        </is>
      </c>
      <c r="E457" s="199" t="n">
        <v>3485.125199999999</v>
      </c>
      <c r="F457" s="201" t="inlineStr">
        <is>
          <t>x</t>
        </is>
      </c>
      <c r="G457" s="205" t="n">
        <v>1</v>
      </c>
      <c r="J457" s="206" t="inlineStr">
        <is>
          <t>=</t>
        </is>
      </c>
      <c r="K457" s="199" t="n">
        <v>3485.125199999999</v>
      </c>
      <c r="L457" s="206" t="inlineStr">
        <is>
          <t>Sqm</t>
        </is>
      </c>
    </row>
    <row r="458" customFormat="1" s="206">
      <c r="A458" s="247" t="n"/>
      <c r="B458" s="219" t="inlineStr">
        <is>
          <t xml:space="preserve">Staircase </t>
        </is>
      </c>
      <c r="C458" s="199" t="n">
        <v>2</v>
      </c>
      <c r="D458" s="206" t="inlineStr">
        <is>
          <t>x</t>
        </is>
      </c>
      <c r="E458" s="199" t="n">
        <v>7.2</v>
      </c>
      <c r="F458" s="201" t="inlineStr">
        <is>
          <t>x</t>
        </is>
      </c>
      <c r="G458" s="205" t="n">
        <v>5</v>
      </c>
      <c r="J458" s="206" t="inlineStr">
        <is>
          <t>=</t>
        </is>
      </c>
      <c r="K458" s="205" t="n">
        <v>72</v>
      </c>
      <c r="L458" s="206" t="inlineStr">
        <is>
          <t>Sqm</t>
        </is>
      </c>
    </row>
    <row r="459" ht="14.25" customFormat="1" customHeight="1" s="206">
      <c r="A459" s="201" t="n"/>
      <c r="B459" s="212" t="inlineStr">
        <is>
          <t>Staircase flights</t>
        </is>
      </c>
      <c r="C459" s="247" t="n">
        <v>4</v>
      </c>
      <c r="D459" s="206" t="inlineStr">
        <is>
          <t>x</t>
        </is>
      </c>
      <c r="E459" s="199" t="n">
        <v>4.25</v>
      </c>
      <c r="F459" s="206" t="inlineStr">
        <is>
          <t>x</t>
        </is>
      </c>
      <c r="G459" s="199" t="n">
        <v>1.8</v>
      </c>
      <c r="I459" s="199" t="n"/>
      <c r="J459" s="258" t="inlineStr">
        <is>
          <t>=</t>
        </is>
      </c>
      <c r="K459" s="199" t="n">
        <v>30.6</v>
      </c>
      <c r="L459" s="247" t="inlineStr">
        <is>
          <t>Sqm</t>
        </is>
      </c>
      <c r="M459" s="199" t="n"/>
    </row>
    <row r="460" hidden="1" customFormat="1" s="206">
      <c r="A460" s="201" t="n"/>
      <c r="B460" s="212" t="inlineStr">
        <is>
          <t>Staircase landing</t>
        </is>
      </c>
      <c r="C460" s="247" t="n">
        <v>2</v>
      </c>
      <c r="D460" s="206" t="inlineStr">
        <is>
          <t>x</t>
        </is>
      </c>
      <c r="E460" s="199" t="n">
        <v>3.5</v>
      </c>
      <c r="F460" s="206" t="inlineStr">
        <is>
          <t>x</t>
        </is>
      </c>
      <c r="G460" s="199" t="n">
        <v>1.8</v>
      </c>
      <c r="I460" s="199" t="n"/>
      <c r="J460" s="258" t="inlineStr">
        <is>
          <t>=</t>
        </is>
      </c>
      <c r="K460" s="199" t="n">
        <v>12.6</v>
      </c>
      <c r="L460" s="247" t="inlineStr">
        <is>
          <t>Sqm</t>
        </is>
      </c>
      <c r="M460" s="199" t="n"/>
    </row>
    <row r="461" ht="204.75" customFormat="1" customHeight="1" s="206">
      <c r="A461" s="201" t="n"/>
      <c r="B461" s="212" t="inlineStr">
        <is>
          <t>Porch</t>
        </is>
      </c>
      <c r="C461" s="247" t="n">
        <v>1</v>
      </c>
      <c r="D461" s="206" t="inlineStr">
        <is>
          <t>x</t>
        </is>
      </c>
      <c r="E461" s="199" t="n">
        <v>3.6</v>
      </c>
      <c r="F461" s="206" t="inlineStr">
        <is>
          <t>x</t>
        </is>
      </c>
      <c r="G461" s="199" t="n">
        <v>5</v>
      </c>
      <c r="I461" s="199" t="n"/>
      <c r="J461" s="258" t="inlineStr">
        <is>
          <t>=</t>
        </is>
      </c>
      <c r="K461" s="199" t="n">
        <v>18</v>
      </c>
      <c r="L461" s="247" t="inlineStr">
        <is>
          <t>Sqm</t>
        </is>
      </c>
      <c r="M461" s="199" t="n"/>
    </row>
    <row r="462" customFormat="1" s="206">
      <c r="A462" s="201" t="n"/>
      <c r="B462" s="212" t="inlineStr">
        <is>
          <t>Steps</t>
        </is>
      </c>
      <c r="C462" s="247" t="n">
        <v>14</v>
      </c>
      <c r="D462" s="206" t="inlineStr">
        <is>
          <t>x</t>
        </is>
      </c>
      <c r="E462" s="199" t="n">
        <v>3</v>
      </c>
      <c r="F462" s="206" t="inlineStr">
        <is>
          <t>x</t>
        </is>
      </c>
      <c r="G462" s="199" t="n">
        <v>0.3</v>
      </c>
      <c r="I462" s="199" t="n"/>
      <c r="J462" s="258" t="inlineStr">
        <is>
          <t>=</t>
        </is>
      </c>
      <c r="K462" s="199">
        <f>IF(C447,C447*E447*G447,"")</f>
        <v/>
      </c>
      <c r="L462" s="247" t="inlineStr">
        <is>
          <t>Sqm</t>
        </is>
      </c>
      <c r="M462" s="199" t="n"/>
    </row>
    <row r="463" ht="15" customFormat="1" customHeight="1" s="206">
      <c r="A463" s="201" t="n"/>
      <c r="B463" s="212" t="n"/>
      <c r="C463" s="247" t="n"/>
      <c r="E463" s="199" t="n"/>
      <c r="G463" s="203" t="inlineStr">
        <is>
          <t>Total</t>
        </is>
      </c>
      <c r="H463" s="202" t="n"/>
      <c r="I463" s="189" t="n"/>
      <c r="J463" s="202" t="n"/>
      <c r="K463" s="216">
        <f>SUM(K442:K447)</f>
        <v/>
      </c>
      <c r="L463" s="247" t="inlineStr">
        <is>
          <t>Sqm</t>
        </is>
      </c>
    </row>
    <row r="464" customFormat="1" s="206">
      <c r="A464" s="201" t="n"/>
      <c r="B464" s="212" t="n"/>
      <c r="C464" s="247" t="n"/>
      <c r="D464" s="201" t="n"/>
      <c r="E464" s="199" t="n"/>
      <c r="F464" s="201" t="n"/>
      <c r="G464" s="205" t="n"/>
      <c r="H464" s="206" t="n"/>
      <c r="I464" s="199" t="n"/>
      <c r="J464" s="258" t="n"/>
      <c r="K464" s="199" t="n"/>
      <c r="L464" s="247" t="n"/>
    </row>
    <row r="465" customFormat="1" s="206">
      <c r="A465" s="247" t="n"/>
      <c r="B465" s="212" t="inlineStr">
        <is>
          <t>(b) for area of each slab from 2001  to 5000 sq. cm 25 mm thick  slab.</t>
        </is>
      </c>
      <c r="C465" s="199" t="n"/>
      <c r="E465" s="199" t="n"/>
      <c r="F465" s="201" t="n"/>
      <c r="G465" s="205" t="n"/>
    </row>
    <row r="466" ht="54" customFormat="1" customHeight="1" s="206">
      <c r="A466" s="201" t="n"/>
      <c r="B466" s="212" t="inlineStr">
        <is>
          <t>Staircase flights</t>
        </is>
      </c>
      <c r="C466" s="247" t="n">
        <v>4</v>
      </c>
      <c r="D466" s="206" t="inlineStr">
        <is>
          <t>x</t>
        </is>
      </c>
      <c r="E466" s="199" t="n">
        <v>4.25</v>
      </c>
      <c r="F466" s="206" t="inlineStr">
        <is>
          <t>x</t>
        </is>
      </c>
      <c r="G466" s="199" t="n">
        <v>1.8</v>
      </c>
      <c r="I466" s="199" t="n"/>
      <c r="J466" s="258" t="inlineStr">
        <is>
          <t>=</t>
        </is>
      </c>
      <c r="K466" s="199" t="n">
        <v>30.6</v>
      </c>
      <c r="L466" s="247" t="inlineStr">
        <is>
          <t>Sqm</t>
        </is>
      </c>
      <c r="M466" s="199" t="n"/>
    </row>
    <row r="467" customFormat="1" s="206">
      <c r="A467" s="201" t="n"/>
      <c r="B467" s="212" t="inlineStr">
        <is>
          <t>Staircase landing</t>
        </is>
      </c>
      <c r="C467" s="247" t="n">
        <v>2</v>
      </c>
      <c r="D467" s="206" t="inlineStr">
        <is>
          <t>x</t>
        </is>
      </c>
      <c r="E467" s="199" t="n">
        <v>3.5</v>
      </c>
      <c r="F467" s="206" t="inlineStr">
        <is>
          <t>x</t>
        </is>
      </c>
      <c r="G467" s="199" t="n">
        <v>1.8</v>
      </c>
      <c r="I467" s="199" t="n"/>
      <c r="J467" s="258" t="inlineStr">
        <is>
          <t>=</t>
        </is>
      </c>
      <c r="K467" s="199" t="n">
        <v>12.6</v>
      </c>
      <c r="L467" s="247" t="inlineStr">
        <is>
          <t>Sqm</t>
        </is>
      </c>
      <c r="M467" s="199" t="n"/>
    </row>
    <row r="468" customFormat="1" s="206">
      <c r="A468" s="201" t="n"/>
      <c r="B468" s="212" t="inlineStr">
        <is>
          <t>Porch</t>
        </is>
      </c>
      <c r="C468" s="247" t="n">
        <v>1</v>
      </c>
      <c r="D468" s="206" t="inlineStr">
        <is>
          <t>x</t>
        </is>
      </c>
      <c r="E468" s="199" t="n">
        <v>3.6</v>
      </c>
      <c r="F468" s="206" t="inlineStr">
        <is>
          <t>x</t>
        </is>
      </c>
      <c r="G468" s="199" t="n">
        <v>5</v>
      </c>
      <c r="I468" s="199" t="n"/>
      <c r="J468" s="258" t="inlineStr">
        <is>
          <t>=</t>
        </is>
      </c>
      <c r="K468" s="199" t="n">
        <v>18</v>
      </c>
      <c r="L468" s="247" t="inlineStr">
        <is>
          <t>Sqm</t>
        </is>
      </c>
      <c r="M468" s="199" t="n"/>
    </row>
    <row r="469" customFormat="1" s="206">
      <c r="A469" s="201" t="n"/>
      <c r="B469" s="212" t="inlineStr">
        <is>
          <t>Steps</t>
        </is>
      </c>
      <c r="C469" s="247" t="n">
        <v>14</v>
      </c>
      <c r="D469" s="206" t="inlineStr">
        <is>
          <t>x</t>
        </is>
      </c>
      <c r="E469" s="199" t="n">
        <v>3</v>
      </c>
      <c r="F469" s="206" t="inlineStr">
        <is>
          <t>x</t>
        </is>
      </c>
      <c r="G469" s="199" t="n">
        <v>0.3</v>
      </c>
      <c r="I469" s="199" t="n"/>
      <c r="J469" s="258" t="inlineStr">
        <is>
          <t>=</t>
        </is>
      </c>
      <c r="K469" s="199">
        <f>IF(C454,C454*E454*G454,"")</f>
        <v/>
      </c>
      <c r="L469" s="247" t="inlineStr">
        <is>
          <t>Sqm</t>
        </is>
      </c>
      <c r="M469" s="199" t="n"/>
    </row>
    <row r="470" customFormat="1" s="206">
      <c r="A470" s="201" t="n"/>
      <c r="B470" s="212" t="n"/>
      <c r="C470" s="247" t="n"/>
      <c r="E470" s="199" t="n"/>
      <c r="G470" s="203" t="inlineStr">
        <is>
          <t>Total</t>
        </is>
      </c>
      <c r="H470" s="202" t="n"/>
      <c r="I470" s="189" t="n"/>
      <c r="J470" s="202" t="n"/>
      <c r="K470" s="216">
        <f>SUM(K451:K454)</f>
        <v/>
      </c>
      <c r="L470" s="247" t="inlineStr">
        <is>
          <t>Sqm</t>
        </is>
      </c>
    </row>
    <row r="471" customFormat="1" s="206">
      <c r="A471" s="247" t="n"/>
      <c r="B471" s="212" t="n"/>
      <c r="C471" s="199" t="n"/>
      <c r="E471" s="199" t="n"/>
      <c r="F471" s="201" t="n"/>
      <c r="G471" s="205" t="n"/>
    </row>
    <row r="472" ht="74.25" customFormat="1" customHeight="1" s="206">
      <c r="A472" s="165">
        <f>A441+1</f>
        <v/>
      </c>
      <c r="B472" s="212"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472" s="199" t="n"/>
      <c r="E472" s="199" t="n"/>
      <c r="F472" s="201" t="n"/>
      <c r="G472" s="205" t="n"/>
    </row>
    <row r="473" customFormat="1" s="206">
      <c r="A473" s="201" t="n"/>
      <c r="B473" s="212" t="inlineStr">
        <is>
          <t>D1</t>
        </is>
      </c>
      <c r="C473" s="247" t="n">
        <v>63</v>
      </c>
      <c r="D473" s="201" t="inlineStr">
        <is>
          <t>x</t>
        </is>
      </c>
      <c r="E473" s="199" t="n">
        <v>1.2</v>
      </c>
      <c r="F473" s="201" t="inlineStr">
        <is>
          <t>x</t>
        </is>
      </c>
      <c r="G473" s="205" t="n">
        <v>2.1</v>
      </c>
      <c r="H473" s="206" t="n"/>
      <c r="I473" s="199" t="n"/>
      <c r="J473" s="258" t="inlineStr">
        <is>
          <t>=</t>
        </is>
      </c>
      <c r="K473" s="199">
        <f>IF(C458,C458*E458*G458,"")</f>
        <v/>
      </c>
      <c r="L473" s="247" t="inlineStr">
        <is>
          <t>Sqm</t>
        </is>
      </c>
    </row>
    <row r="474" customFormat="1" s="206">
      <c r="A474" s="201" t="n"/>
      <c r="B474" s="212" t="n"/>
      <c r="C474" s="247" t="n"/>
      <c r="E474" s="199" t="n"/>
      <c r="G474" s="203" t="inlineStr">
        <is>
          <t>Total</t>
        </is>
      </c>
      <c r="H474" s="202" t="n"/>
      <c r="I474" s="189" t="n"/>
      <c r="J474" s="202" t="n"/>
      <c r="K474" s="216">
        <f>SUM(K458:K458)</f>
        <v/>
      </c>
      <c r="L474" s="191" t="inlineStr">
        <is>
          <t>Sqm</t>
        </is>
      </c>
    </row>
    <row r="475" customFormat="1" s="206">
      <c r="A475" s="247" t="n"/>
      <c r="B475" s="212" t="n"/>
      <c r="C475" s="199" t="n"/>
      <c r="E475" s="199" t="n"/>
      <c r="F475" s="201" t="n"/>
      <c r="G475" s="205">
        <f>IF(C460,ROUNDUP(C460*E460,0),"")</f>
        <v/>
      </c>
    </row>
    <row r="476" ht="71.25" customFormat="1" customHeight="1" s="206">
      <c r="A476" s="165">
        <f>A457+1</f>
        <v/>
      </c>
      <c r="B476" s="212" t="inlineStr">
        <is>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476" s="199" t="n"/>
      <c r="E476" s="199" t="n"/>
      <c r="F476" s="201" t="n"/>
      <c r="G476" s="205" t="n"/>
    </row>
    <row r="477" customFormat="1" s="206">
      <c r="A477" s="201" t="n"/>
      <c r="B477" s="212" t="inlineStr">
        <is>
          <t>D2</t>
        </is>
      </c>
      <c r="C477" s="247" t="n">
        <v>10</v>
      </c>
      <c r="D477" s="201" t="inlineStr">
        <is>
          <t>x</t>
        </is>
      </c>
      <c r="E477" s="199" t="n">
        <v>0.9</v>
      </c>
      <c r="F477" s="201" t="inlineStr">
        <is>
          <t>x</t>
        </is>
      </c>
      <c r="G477" s="205" t="n">
        <v>2.1</v>
      </c>
      <c r="H477" s="206" t="n"/>
      <c r="I477" s="199" t="n"/>
      <c r="J477" s="258" t="inlineStr">
        <is>
          <t>=</t>
        </is>
      </c>
      <c r="K477" s="199">
        <f>IF(C462,C462*E462*G462,"")</f>
        <v/>
      </c>
      <c r="L477" s="247" t="inlineStr">
        <is>
          <t>Sqm</t>
        </is>
      </c>
    </row>
    <row r="478" customFormat="1" s="206">
      <c r="A478" s="201" t="n"/>
      <c r="B478" s="212" t="n"/>
      <c r="C478" s="247" t="n"/>
      <c r="E478" s="199" t="n"/>
      <c r="G478" s="203" t="inlineStr">
        <is>
          <t>Total</t>
        </is>
      </c>
      <c r="H478" s="202" t="n"/>
      <c r="I478" s="189" t="n"/>
      <c r="J478" s="202" t="n"/>
      <c r="K478" s="216">
        <f>SUM(K462:K462)</f>
        <v/>
      </c>
      <c r="L478" s="191" t="inlineStr">
        <is>
          <t>Sqm</t>
        </is>
      </c>
    </row>
    <row r="479" customFormat="1" s="206">
      <c r="A479" s="247" t="n"/>
      <c r="B479" s="212" t="n"/>
      <c r="C479" s="199" t="n"/>
      <c r="E479" s="199" t="n"/>
      <c r="F479" s="201" t="n"/>
      <c r="G479" s="205">
        <f>IF(C464,ROUNDUP(C464*E464,0),"")</f>
        <v/>
      </c>
    </row>
    <row r="480" customFormat="1" s="206">
      <c r="A480" s="201" t="n"/>
      <c r="B480" s="212" t="n"/>
      <c r="C480" s="247" t="n"/>
      <c r="E480" s="199" t="n"/>
      <c r="G480" s="205" t="n"/>
      <c r="H480" s="206" t="n"/>
      <c r="I480" s="199" t="n"/>
      <c r="J480" s="206" t="n"/>
      <c r="K480" s="199" t="n"/>
      <c r="L480" s="247" t="n"/>
    </row>
    <row r="481" customFormat="1" s="206">
      <c r="A481" s="165">
        <f>A461+1</f>
        <v/>
      </c>
      <c r="B481" s="212" t="inlineStr">
        <is>
          <t>White washing with lime to give an even shade including all scaffolding: New work (two or more coats).</t>
        </is>
      </c>
      <c r="C481" s="199" t="n"/>
      <c r="E481" s="199" t="n"/>
      <c r="F481" s="201" t="n"/>
      <c r="G481" s="205" t="n"/>
    </row>
    <row r="482" ht="15" customFormat="1" customHeight="1" s="206">
      <c r="A482" s="247" t="n"/>
      <c r="B482" s="212" t="inlineStr">
        <is>
          <t>Qty. of Internal Plaster</t>
        </is>
      </c>
      <c r="C482" s="199" t="n"/>
      <c r="E482" s="199" t="n"/>
      <c r="F482" s="201" t="n"/>
      <c r="G482" s="205" t="n"/>
      <c r="J482" s="201" t="inlineStr">
        <is>
          <t>=</t>
        </is>
      </c>
      <c r="K482" s="199">
        <f>K399</f>
        <v/>
      </c>
      <c r="L482" s="206" t="inlineStr">
        <is>
          <t>Sqm</t>
        </is>
      </c>
    </row>
    <row r="483" customFormat="1" s="206">
      <c r="A483" s="247" t="n"/>
      <c r="B483" s="173" t="inlineStr">
        <is>
          <t>Qty. of Sunshade shuttering</t>
        </is>
      </c>
      <c r="C483" s="238" t="n">
        <v>2</v>
      </c>
      <c r="D483" s="201" t="inlineStr">
        <is>
          <t>x</t>
        </is>
      </c>
      <c r="E483" s="199">
        <f>C300</f>
        <v/>
      </c>
      <c r="F483" s="201" t="n"/>
      <c r="G483" s="205" t="n"/>
      <c r="H483" s="206" t="n"/>
      <c r="I483" s="206" t="n"/>
      <c r="J483" s="201" t="inlineStr">
        <is>
          <t>=</t>
        </is>
      </c>
      <c r="K483" s="199">
        <f>C468*E468</f>
        <v/>
      </c>
      <c r="L483" s="206" t="inlineStr">
        <is>
          <t>Sqm</t>
        </is>
      </c>
    </row>
    <row r="484" ht="54" customFormat="1" customHeight="1" s="206">
      <c r="A484" s="247" t="n"/>
      <c r="B484" s="173" t="inlineStr">
        <is>
          <t>Qty. of Slab shuttering</t>
        </is>
      </c>
      <c r="C484" s="199" t="n"/>
      <c r="E484" s="199" t="n"/>
      <c r="F484" s="201" t="n"/>
      <c r="G484" s="205" t="n"/>
      <c r="H484" s="206" t="n"/>
      <c r="I484" s="206" t="n"/>
      <c r="J484" s="201" t="inlineStr">
        <is>
          <t>=</t>
        </is>
      </c>
      <c r="K484" s="199">
        <f>C330</f>
        <v/>
      </c>
      <c r="L484" s="206" t="inlineStr">
        <is>
          <t>Sqm</t>
        </is>
      </c>
    </row>
    <row r="485" ht="15" customFormat="1" customHeight="1" s="206">
      <c r="A485" s="201" t="n"/>
      <c r="B485" s="212" t="n"/>
      <c r="C485" s="247" t="n"/>
      <c r="E485" s="199" t="n"/>
      <c r="G485" s="203" t="inlineStr">
        <is>
          <t>Total</t>
        </is>
      </c>
      <c r="H485" s="202" t="n"/>
      <c r="I485" s="189" t="n"/>
      <c r="J485" s="202" t="n"/>
      <c r="K485" s="189">
        <f>SUM(K467:K469)</f>
        <v/>
      </c>
      <c r="L485" s="191" t="inlineStr">
        <is>
          <t>Sqm</t>
        </is>
      </c>
    </row>
    <row r="486" ht="15" customFormat="1" customHeight="1" s="206">
      <c r="A486" s="201" t="n"/>
      <c r="B486" s="212" t="n"/>
      <c r="C486" s="247" t="n"/>
      <c r="E486" s="199" t="n"/>
      <c r="G486" s="205" t="n"/>
      <c r="H486" s="206" t="n"/>
      <c r="I486" s="199" t="n"/>
      <c r="J486" s="206" t="n"/>
      <c r="K486" s="199" t="n"/>
      <c r="L486" s="247" t="n"/>
    </row>
    <row r="487" ht="219.75" customHeight="1" s="72">
      <c r="A487" s="247">
        <f>A466+1</f>
        <v/>
      </c>
      <c r="B487" s="173" t="inlineStr">
        <is>
          <t>Colour  washing of all shades to give an even shade including all scaffolding: New work (two or more coats) with a base coat of white washing with lime.</t>
        </is>
      </c>
      <c r="C487" s="199" t="n"/>
      <c r="E487" s="199" t="n"/>
      <c r="F487" s="201" t="n"/>
      <c r="G487" s="205" t="n"/>
    </row>
    <row r="488" customFormat="1" s="206">
      <c r="A488" s="247" t="n"/>
      <c r="B488" s="173" t="inlineStr">
        <is>
          <t>Qty. of External Plaster</t>
        </is>
      </c>
      <c r="C488" s="238" t="n">
        <v>1</v>
      </c>
      <c r="D488" s="201" t="inlineStr">
        <is>
          <t>x</t>
        </is>
      </c>
      <c r="E488" s="194">
        <f>K406</f>
        <v/>
      </c>
      <c r="F488" s="250" t="n"/>
      <c r="G488" s="251" t="n"/>
      <c r="H488" s="241" t="n"/>
      <c r="I488" s="241" t="n"/>
      <c r="J488" s="249" t="inlineStr">
        <is>
          <t>=</t>
        </is>
      </c>
      <c r="K488" s="240">
        <f>K406</f>
        <v/>
      </c>
      <c r="L488" s="241" t="inlineStr">
        <is>
          <t>Sqm</t>
        </is>
      </c>
    </row>
    <row r="489" ht="15" customFormat="1" customHeight="1" s="206">
      <c r="A489" s="201" t="n"/>
      <c r="B489" s="212" t="n"/>
      <c r="C489" s="247" t="n"/>
      <c r="E489" s="199" t="n"/>
      <c r="G489" s="205" t="inlineStr">
        <is>
          <t>Total</t>
        </is>
      </c>
      <c r="H489" s="206" t="n"/>
      <c r="I489" s="199" t="n"/>
      <c r="J489" s="206" t="n"/>
      <c r="K489" s="199">
        <f>SUM(K473:K473)</f>
        <v/>
      </c>
      <c r="L489" s="247" t="inlineStr">
        <is>
          <t>Sqm</t>
        </is>
      </c>
    </row>
    <row r="490" customFormat="1" s="206">
      <c r="A490" s="247" t="n"/>
      <c r="B490" s="173" t="inlineStr"/>
      <c r="C490" s="199" t="n"/>
      <c r="E490" s="199" t="n"/>
      <c r="F490" s="201" t="n"/>
      <c r="G490" s="205" t="n"/>
    </row>
    <row r="491" ht="72.75" customFormat="1" customHeight="1" s="206">
      <c r="A491" s="247">
        <f>A472+1</f>
        <v/>
      </c>
      <c r="B491" s="212" t="inlineStr">
        <is>
          <t>Applying priming coat with ready mix pink or Grey primer of approved brand and manufacture on wood work hard and soft wood.</t>
        </is>
      </c>
      <c r="C491" s="199" t="n"/>
      <c r="E491" s="199" t="n"/>
      <c r="F491" s="201" t="n"/>
      <c r="G491" s="205" t="n"/>
    </row>
    <row r="492" ht="36.75" customFormat="1" customHeight="1" s="206">
      <c r="A492" s="201" t="n"/>
      <c r="B492" s="173" t="inlineStr">
        <is>
          <t>Double Leaf door shutters</t>
        </is>
      </c>
      <c r="C492" s="193">
        <f>K459</f>
        <v/>
      </c>
      <c r="D492" s="195" t="n"/>
      <c r="E492" s="194" t="n"/>
      <c r="F492" s="206" t="inlineStr">
        <is>
          <t>Sqm</t>
        </is>
      </c>
      <c r="G492" s="205" t="n"/>
      <c r="H492" s="201" t="inlineStr">
        <is>
          <t>@</t>
        </is>
      </c>
      <c r="I492" s="252" t="n">
        <v>2.25</v>
      </c>
      <c r="J492" s="258" t="inlineStr">
        <is>
          <t>=</t>
        </is>
      </c>
      <c r="K492" s="199">
        <f>C477*I477</f>
        <v/>
      </c>
      <c r="L492" s="201" t="inlineStr">
        <is>
          <t>Sqm</t>
        </is>
      </c>
    </row>
    <row r="493" customFormat="1" s="206">
      <c r="A493" s="201" t="n"/>
      <c r="B493" s="212" t="inlineStr">
        <is>
          <t>Single Leaf door shutters</t>
        </is>
      </c>
      <c r="C493" s="193">
        <f>K463</f>
        <v/>
      </c>
      <c r="D493" s="195" t="n"/>
      <c r="E493" s="194" t="n"/>
      <c r="F493" s="206" t="inlineStr">
        <is>
          <t>Sqm</t>
        </is>
      </c>
      <c r="G493" s="205" t="n"/>
      <c r="H493" s="201" t="inlineStr">
        <is>
          <t>@</t>
        </is>
      </c>
      <c r="I493" s="252" t="n">
        <v>2.25</v>
      </c>
      <c r="J493" s="258" t="inlineStr">
        <is>
          <t>=</t>
        </is>
      </c>
      <c r="K493" s="199">
        <f>C478*I478</f>
        <v/>
      </c>
      <c r="L493" s="201" t="inlineStr">
        <is>
          <t>Sqm</t>
        </is>
      </c>
    </row>
    <row r="494" customFormat="1" s="206">
      <c r="A494" s="201" t="n"/>
      <c r="B494" s="173" t="inlineStr">
        <is>
          <t>Windows</t>
        </is>
      </c>
      <c r="C494" s="193">
        <f>K424</f>
        <v/>
      </c>
      <c r="D494" s="195" t="n"/>
      <c r="E494" s="194" t="n"/>
      <c r="F494" s="206" t="inlineStr">
        <is>
          <t>Sqm</t>
        </is>
      </c>
      <c r="G494" s="205" t="n"/>
      <c r="H494" s="201" t="inlineStr">
        <is>
          <t>@</t>
        </is>
      </c>
      <c r="I494" s="252" t="n">
        <v>2.6</v>
      </c>
      <c r="J494" s="258" t="inlineStr">
        <is>
          <t>=</t>
        </is>
      </c>
      <c r="K494" s="199">
        <f>C479*I479</f>
        <v/>
      </c>
      <c r="L494" s="201" t="inlineStr">
        <is>
          <t>Sqm</t>
        </is>
      </c>
    </row>
    <row r="495" ht="15" customFormat="1" customHeight="1" s="206">
      <c r="A495" s="201" t="n"/>
      <c r="B495" s="212" t="inlineStr">
        <is>
          <t>Collapsible shutters</t>
        </is>
      </c>
      <c r="C495" s="201" t="n">
        <v>3</v>
      </c>
      <c r="D495" s="206" t="inlineStr">
        <is>
          <t>x</t>
        </is>
      </c>
      <c r="E495" s="199" t="n">
        <v>3</v>
      </c>
      <c r="F495" s="206" t="inlineStr">
        <is>
          <t>x</t>
        </is>
      </c>
      <c r="G495" s="205" t="n">
        <v>2.4</v>
      </c>
      <c r="H495" s="201" t="inlineStr">
        <is>
          <t>@</t>
        </is>
      </c>
      <c r="I495" s="252" t="n">
        <v>2</v>
      </c>
      <c r="J495" s="258" t="inlineStr">
        <is>
          <t>=</t>
        </is>
      </c>
      <c r="K495" s="199">
        <f>C480*E480*G480*I480</f>
        <v/>
      </c>
      <c r="L495" s="201" t="inlineStr">
        <is>
          <t>Sqm</t>
        </is>
      </c>
    </row>
    <row r="496" customFormat="1" s="206">
      <c r="A496" s="201" t="n"/>
      <c r="B496" s="212" t="inlineStr">
        <is>
          <t>Railing</t>
        </is>
      </c>
      <c r="C496" s="201" t="n">
        <v>3</v>
      </c>
      <c r="D496" s="206" t="inlineStr">
        <is>
          <t>x</t>
        </is>
      </c>
      <c r="E496" s="199">
        <f>E438</f>
        <v/>
      </c>
      <c r="F496" s="206" t="inlineStr">
        <is>
          <t>x</t>
        </is>
      </c>
      <c r="G496" s="205" t="n">
        <v>1</v>
      </c>
      <c r="H496" s="201" t="inlineStr">
        <is>
          <t>@</t>
        </is>
      </c>
      <c r="I496" s="253" t="n">
        <v>1</v>
      </c>
      <c r="J496" s="242" t="inlineStr">
        <is>
          <t>=</t>
        </is>
      </c>
      <c r="K496" s="240">
        <f>C481*E481*G481*I481</f>
        <v/>
      </c>
      <c r="L496" s="249" t="inlineStr">
        <is>
          <t>Sqm</t>
        </is>
      </c>
    </row>
    <row r="497" ht="73.5" customHeight="1" s="72">
      <c r="A497" s="201" t="n"/>
      <c r="B497" s="173" t="n"/>
      <c r="C497" s="201" t="n"/>
      <c r="E497" s="199" t="n"/>
      <c r="I497" s="203" t="inlineStr">
        <is>
          <t>Total</t>
        </is>
      </c>
      <c r="J497" s="190" t="inlineStr">
        <is>
          <t>=</t>
        </is>
      </c>
      <c r="K497" s="216">
        <f>SUM(K477:K481)</f>
        <v/>
      </c>
      <c r="L497" s="204" t="inlineStr">
        <is>
          <t>Sqm</t>
        </is>
      </c>
    </row>
    <row r="498">
      <c r="A498" s="247" t="n"/>
      <c r="B498" s="212" t="n"/>
      <c r="C498" s="199" t="n"/>
      <c r="E498" s="199" t="n"/>
      <c r="F498" s="201" t="n"/>
      <c r="G498" s="205" t="n"/>
    </row>
    <row r="499" ht="76.5" customHeight="1" s="72">
      <c r="A499" s="247">
        <f>A476+1</f>
        <v/>
      </c>
      <c r="B499" s="173" t="inlineStr">
        <is>
          <t>Painting with enamel paint of approved brand and manufacture to give an even shade two or more coats on new work.</t>
        </is>
      </c>
      <c r="C499" s="199" t="n"/>
      <c r="E499" s="199" t="n"/>
      <c r="F499" s="201" t="n"/>
      <c r="G499" s="205" t="n"/>
    </row>
    <row r="500" ht="20.25" customHeight="1" s="72">
      <c r="A500" s="247" t="n"/>
      <c r="B500" s="212" t="inlineStr">
        <is>
          <t xml:space="preserve">Qty. of priming </t>
        </is>
      </c>
      <c r="C500" s="199" t="n"/>
      <c r="E500" s="199" t="n"/>
      <c r="F500" s="201" t="n"/>
      <c r="G500" s="205" t="n"/>
      <c r="K500" s="228">
        <f>K482</f>
        <v/>
      </c>
      <c r="L500" s="201" t="inlineStr">
        <is>
          <t>Sqm</t>
        </is>
      </c>
    </row>
    <row r="501">
      <c r="A501" s="247" t="n"/>
      <c r="B501" s="212" t="n"/>
      <c r="C501" s="199" t="n"/>
      <c r="E501" s="199" t="n"/>
      <c r="F501" s="201" t="n"/>
      <c r="G501" s="205" t="n"/>
      <c r="K501" s="228" t="n"/>
      <c r="L501" s="201" t="n"/>
    </row>
    <row r="502" ht="90" customHeight="1" s="72">
      <c r="A502" s="247">
        <f>A484+1</f>
        <v/>
      </c>
      <c r="B502" s="173" t="inlineStr">
        <is>
          <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 With 75 mm opening when closed.</t>
        </is>
      </c>
      <c r="C502" s="199" t="n"/>
      <c r="D502" s="206" t="n"/>
      <c r="E502" s="199" t="n"/>
      <c r="F502" s="201" t="n"/>
      <c r="G502" s="205" t="n"/>
      <c r="I502" s="206" t="n"/>
      <c r="K502" s="206" t="n"/>
    </row>
    <row r="503">
      <c r="A503" s="201" t="n"/>
      <c r="B503" s="212" t="inlineStr">
        <is>
          <t>Collapsible shutters</t>
        </is>
      </c>
      <c r="C503" s="201" t="n">
        <v>3</v>
      </c>
      <c r="D503" s="206" t="inlineStr">
        <is>
          <t>x</t>
        </is>
      </c>
      <c r="E503" s="199" t="n">
        <v>3</v>
      </c>
      <c r="F503" s="206" t="inlineStr">
        <is>
          <t>x</t>
        </is>
      </c>
      <c r="G503" s="205" t="n">
        <v>2.4</v>
      </c>
      <c r="H503" s="201" t="n"/>
      <c r="I503" s="252" t="n"/>
      <c r="J503" s="258" t="inlineStr">
        <is>
          <t>=</t>
        </is>
      </c>
      <c r="K503" s="199">
        <f>C488*E488*G488</f>
        <v/>
      </c>
      <c r="L503" s="201" t="inlineStr">
        <is>
          <t>Sqm</t>
        </is>
      </c>
    </row>
    <row r="504" ht="61.5" customFormat="1" customHeight="1" s="206">
      <c r="A504" s="201" t="n"/>
      <c r="C504" s="201" t="n"/>
      <c r="E504" s="199" t="n"/>
      <c r="I504" s="203" t="inlineStr">
        <is>
          <t>Total</t>
        </is>
      </c>
      <c r="J504" s="190" t="inlineStr">
        <is>
          <t>=</t>
        </is>
      </c>
      <c r="K504" s="216">
        <f>SUM(K488:K488)</f>
        <v/>
      </c>
      <c r="L504" s="204" t="inlineStr">
        <is>
          <t>Sqm</t>
        </is>
      </c>
    </row>
    <row r="505" customFormat="1" s="206">
      <c r="A505" s="247" t="n"/>
      <c r="B505" s="173" t="n"/>
      <c r="C505" s="199" t="n"/>
      <c r="E505" s="199" t="n"/>
      <c r="G505" s="205" t="n"/>
    </row>
    <row r="506" ht="123" customFormat="1" customHeight="1" s="206">
      <c r="A506" s="247" t="n">
        <v>20</v>
      </c>
      <c r="B506" s="173" t="inlineStr">
        <is>
          <t xml:space="preserve">Providing brick kharanja in cement sand mortar 1 : 4 in square pattern over roof of ground  floor  75 to 100 mm thick average. </t>
        </is>
      </c>
      <c r="C506" s="199" t="n"/>
      <c r="E506" s="199" t="n"/>
      <c r="F506" s="201" t="n"/>
      <c r="G506" s="205" t="n"/>
    </row>
    <row r="507" customFormat="1" s="206">
      <c r="A507" s="247" t="n"/>
      <c r="B507" s="212" t="inlineStr">
        <is>
          <t>Floor Area (103.10x100.20-85.88x79.71)</t>
        </is>
      </c>
      <c r="C507" s="199" t="n">
        <v>1</v>
      </c>
      <c r="D507" s="206" t="inlineStr">
        <is>
          <t>x</t>
        </is>
      </c>
      <c r="E507" s="199" t="n">
        <v>3485.125199999999</v>
      </c>
      <c r="F507" s="201" t="inlineStr">
        <is>
          <t>x</t>
        </is>
      </c>
      <c r="G507" s="205" t="n">
        <v>1</v>
      </c>
      <c r="J507" s="206" t="inlineStr">
        <is>
          <t>=</t>
        </is>
      </c>
      <c r="K507" s="199" t="n">
        <v>3485.125199999999</v>
      </c>
      <c r="L507" s="206" t="inlineStr">
        <is>
          <t>Sqm</t>
        </is>
      </c>
    </row>
    <row r="508" customFormat="1" s="206">
      <c r="A508" s="247" t="n"/>
      <c r="B508" s="219" t="inlineStr">
        <is>
          <t xml:space="preserve">Staircase </t>
        </is>
      </c>
      <c r="C508" s="199" t="n">
        <v>2</v>
      </c>
      <c r="D508" s="206" t="inlineStr">
        <is>
          <t>x</t>
        </is>
      </c>
      <c r="E508" s="199" t="n">
        <v>7.2</v>
      </c>
      <c r="F508" s="201" t="inlineStr">
        <is>
          <t>x</t>
        </is>
      </c>
      <c r="G508" s="205" t="n">
        <v>5</v>
      </c>
      <c r="J508" s="206" t="inlineStr">
        <is>
          <t>=</t>
        </is>
      </c>
      <c r="K508" s="205" t="n">
        <v>72</v>
      </c>
      <c r="L508" s="206" t="inlineStr">
        <is>
          <t>Sqm</t>
        </is>
      </c>
    </row>
    <row r="509" customFormat="1" s="206">
      <c r="A509" s="201" t="n"/>
      <c r="B509" s="212" t="inlineStr">
        <is>
          <t>Porch</t>
        </is>
      </c>
      <c r="C509" s="247" t="n">
        <v>1</v>
      </c>
      <c r="D509" s="206" t="inlineStr">
        <is>
          <t>x</t>
        </is>
      </c>
      <c r="E509" s="199" t="n">
        <v>3.6</v>
      </c>
      <c r="F509" s="206" t="inlineStr">
        <is>
          <t>x</t>
        </is>
      </c>
      <c r="G509" s="199" t="n">
        <v>5</v>
      </c>
      <c r="I509" s="199" t="n"/>
      <c r="J509" s="258" t="inlineStr">
        <is>
          <t>=</t>
        </is>
      </c>
      <c r="K509" s="199" t="n">
        <v>18</v>
      </c>
      <c r="L509" s="247" t="inlineStr">
        <is>
          <t>Sqm</t>
        </is>
      </c>
      <c r="M509" s="199" t="n"/>
    </row>
    <row r="510" customFormat="1" s="206">
      <c r="A510" s="201" t="n"/>
      <c r="B510" s="212" t="n"/>
      <c r="C510" s="247" t="n"/>
      <c r="E510" s="199" t="n"/>
      <c r="G510" s="203" t="inlineStr">
        <is>
          <t>Total</t>
        </is>
      </c>
      <c r="H510" s="202" t="n"/>
      <c r="I510" s="189" t="n"/>
      <c r="J510" s="202" t="n"/>
      <c r="K510" s="216">
        <f>SUM(K492:K494)</f>
        <v/>
      </c>
      <c r="L510" s="247" t="inlineStr">
        <is>
          <t>Sqm</t>
        </is>
      </c>
    </row>
    <row r="511" ht="15" customFormat="1" customHeight="1" s="206">
      <c r="A511" s="201" t="n"/>
      <c r="B511" s="212" t="n"/>
      <c r="C511" s="247" t="n"/>
      <c r="D511" s="201" t="n"/>
      <c r="E511" s="199" t="n"/>
      <c r="F511" s="201" t="n"/>
      <c r="G511" s="205" t="n"/>
      <c r="H511" s="206" t="n"/>
      <c r="I511" s="199" t="n"/>
      <c r="J511" s="258" t="n"/>
      <c r="K511" s="199" t="n"/>
      <c r="L511" s="247" t="n"/>
    </row>
    <row r="512" ht="15" customFormat="1" customHeight="1" s="206">
      <c r="A512" s="247" t="n">
        <v>21</v>
      </c>
      <c r="B512" s="229" t="inlineStr">
        <is>
          <t>Spreading of hot blown bitumen (IS grade 85/25, 90/25 industrial grade) applied at 175 to 180 C @ rate of 1.75 Kg. per Sqm. complete.</t>
        </is>
      </c>
      <c r="C512" s="199" t="n"/>
      <c r="D512" s="206" t="n"/>
      <c r="E512" s="199" t="inlineStr">
        <is>
          <t>Qty. same as Brick Kharanja</t>
        </is>
      </c>
      <c r="F512" s="201" t="n"/>
      <c r="G512" s="205" t="n"/>
      <c r="I512" s="206" t="n"/>
      <c r="J512" s="258" t="inlineStr">
        <is>
          <t>=</t>
        </is>
      </c>
      <c r="K512" s="199">
        <f>K495</f>
        <v/>
      </c>
      <c r="L512" s="206" t="inlineStr">
        <is>
          <t>Sqm</t>
        </is>
      </c>
    </row>
    <row r="513" ht="109.5" customFormat="1" customHeight="1" s="206">
      <c r="A513" s="247" t="n"/>
      <c r="B513" s="229" t="n"/>
      <c r="C513" s="199" t="n"/>
      <c r="D513" s="206" t="n"/>
      <c r="E513" s="199" t="n"/>
      <c r="F513" s="201" t="n"/>
      <c r="G513" s="205" t="n"/>
      <c r="I513" s="206" t="n"/>
      <c r="K513" s="206" t="n"/>
    </row>
    <row r="514" ht="15" customFormat="1" customHeight="1" s="206">
      <c r="A514" s="247" t="n">
        <v>22</v>
      </c>
      <c r="B514" s="173" t="inlineStr">
        <is>
          <t>Providing batta (gola) 75 mm x 75 mm in cement concrete (1 :2 :4) including finishing with cement mortar 1 : 3 as per standard design.</t>
        </is>
      </c>
      <c r="C514" s="199" t="n"/>
      <c r="D514" s="206" t="n"/>
      <c r="E514" s="199" t="n"/>
      <c r="F514" s="201" t="n"/>
      <c r="G514" s="205" t="n"/>
      <c r="I514" s="206" t="n"/>
      <c r="K514" s="206" t="n"/>
    </row>
    <row r="515" ht="15" customFormat="1" customHeight="1" s="206">
      <c r="A515" s="247" t="n"/>
      <c r="B515" s="173" t="inlineStr">
        <is>
          <t>@' 0.25 M per Sqm of Kharanja</t>
        </is>
      </c>
      <c r="C515" s="199" t="n"/>
      <c r="D515" s="206" t="n"/>
      <c r="E515" s="199">
        <f>K495</f>
        <v/>
      </c>
      <c r="F515" s="201" t="inlineStr">
        <is>
          <t xml:space="preserve">@' 0.25 M per Sqm </t>
        </is>
      </c>
      <c r="G515" s="201" t="n"/>
      <c r="H515" s="201" t="n"/>
      <c r="I515" s="201" t="n"/>
      <c r="J515" s="201" t="inlineStr">
        <is>
          <t>=</t>
        </is>
      </c>
      <c r="K515" s="254">
        <f>E500*0.25</f>
        <v/>
      </c>
      <c r="L515" s="247" t="inlineStr">
        <is>
          <t>Sqm</t>
        </is>
      </c>
    </row>
    <row r="516" ht="42.75" customFormat="1" customHeight="1" s="206">
      <c r="A516" s="247" t="n"/>
      <c r="B516" s="173" t="n"/>
      <c r="C516" s="199" t="n"/>
      <c r="D516" s="206" t="n"/>
      <c r="E516" s="199" t="n"/>
      <c r="F516" s="201" t="n"/>
      <c r="G516" s="201" t="n"/>
      <c r="H516" s="201" t="n"/>
      <c r="I516" s="201" t="n"/>
      <c r="J516" s="201" t="n"/>
      <c r="K516" s="254" t="n"/>
      <c r="L516" s="247" t="n"/>
    </row>
    <row r="517" customFormat="1" s="206">
      <c r="A517" s="247">
        <f>IF(A499,A499+1,#REF!+1)</f>
        <v/>
      </c>
      <c r="B517" s="173" t="inlineStr">
        <is>
          <t xml:space="preserve">Finishing with  25 mm thick cement plaster on roofs in cement sand mortar 1:4 mix including water proofing compound @ 2% of cement used with neat cement finishing, curing etc. complete in all respects. </t>
        </is>
      </c>
      <c r="C517" s="199" t="n"/>
      <c r="D517" s="206" t="n"/>
      <c r="E517" s="199" t="inlineStr">
        <is>
          <t>Qty. same as Brick Kharanja</t>
        </is>
      </c>
      <c r="F517" s="201" t="n"/>
      <c r="G517" s="205" t="n"/>
      <c r="I517" s="206" t="n"/>
      <c r="J517" s="258" t="inlineStr">
        <is>
          <t>=</t>
        </is>
      </c>
      <c r="K517" s="199">
        <f>K495</f>
        <v/>
      </c>
      <c r="L517" s="206" t="inlineStr">
        <is>
          <t>Sqm</t>
        </is>
      </c>
    </row>
    <row r="518" customFormat="1" s="206">
      <c r="A518" s="247" t="n"/>
      <c r="B518" s="173" t="n"/>
      <c r="C518" s="199" t="n"/>
      <c r="D518" s="206" t="n"/>
      <c r="E518" s="199" t="n"/>
      <c r="F518" s="201" t="n"/>
      <c r="G518" s="205" t="n"/>
      <c r="I518" s="206" t="n"/>
      <c r="J518" s="258" t="n"/>
    </row>
    <row r="519" ht="98.25" customFormat="1" customHeight="1" s="206">
      <c r="A519" s="247" t="n">
        <v>24</v>
      </c>
      <c r="B519" s="255" t="inlineStr">
        <is>
          <t>Providing  and fixing 20 mm thick terrazzo tile over roofing fixed in cement       mortar 1 : 4.</t>
        </is>
      </c>
      <c r="C519" s="199" t="n"/>
      <c r="E519" s="199" t="inlineStr">
        <is>
          <t>Qty. same as Brick Kharanja</t>
        </is>
      </c>
      <c r="F519" s="201" t="n"/>
      <c r="G519" s="205" t="n"/>
      <c r="H519" s="206" t="n"/>
      <c r="I519" s="206" t="n"/>
      <c r="J519" s="206" t="inlineStr">
        <is>
          <t>=</t>
        </is>
      </c>
      <c r="K519" s="199" t="n">
        <v>3575.125199999999</v>
      </c>
      <c r="L519" s="206" t="inlineStr">
        <is>
          <t>Sqm</t>
        </is>
      </c>
      <c r="M519" s="206" t="n"/>
      <c r="N519" s="206" t="n"/>
      <c r="O519" s="206" t="n"/>
      <c r="P519" s="206" t="n"/>
      <c r="Q519" s="206" t="n"/>
      <c r="R519" s="206" t="n"/>
      <c r="S519" s="206" t="n"/>
      <c r="T519" s="206" t="n"/>
      <c r="U519" s="206" t="n"/>
      <c r="V519" s="206" t="n"/>
      <c r="W519" s="206" t="n"/>
      <c r="X519" s="206" t="n"/>
      <c r="Y519" s="206" t="n"/>
      <c r="Z519" s="206" t="n"/>
      <c r="AA519" s="206" t="n"/>
      <c r="AB519" s="206" t="n"/>
      <c r="AC519" s="206" t="n"/>
    </row>
    <row r="520" customFormat="1" s="206">
      <c r="A520" s="247" t="n"/>
      <c r="B520" s="229" t="n"/>
      <c r="C520" s="199" t="n"/>
      <c r="E520" s="199" t="n"/>
      <c r="F520" s="201" t="n"/>
      <c r="G520" s="205" t="n"/>
      <c r="H520" s="206" t="n"/>
      <c r="I520" s="206" t="n"/>
      <c r="J520" s="206" t="n"/>
      <c r="K520" s="206" t="n"/>
      <c r="L520" s="206" t="n"/>
      <c r="M520" s="206" t="n"/>
      <c r="N520" s="206" t="n"/>
      <c r="O520" s="206" t="n"/>
      <c r="P520" s="206" t="n"/>
      <c r="Q520" s="206" t="n"/>
      <c r="R520" s="206" t="n"/>
      <c r="S520" s="206" t="n"/>
      <c r="T520" s="206" t="n"/>
      <c r="U520" s="206" t="n"/>
      <c r="V520" s="206" t="n"/>
      <c r="W520" s="206" t="n"/>
      <c r="X520" s="206" t="n"/>
      <c r="Y520" s="206" t="n"/>
      <c r="Z520" s="206" t="n"/>
      <c r="AA520" s="206" t="n"/>
      <c r="AB520" s="206" t="n"/>
      <c r="AC520" s="206" t="n"/>
    </row>
    <row r="521" ht="15" customFormat="1" customHeight="1" s="206">
      <c r="A521" s="247" t="n">
        <v>25</v>
      </c>
      <c r="B521" s="212" t="inlineStr">
        <is>
          <t>P&amp;F 1st quality white glazed tiles of approved make and size (Somani, Johnson etc.) 5 mm thick in wall, floors, steps, pillars etc. laid on bed of neat cement slurry finished with flush pointing in white cement (excluding the cost of cement plaster).</t>
        </is>
      </c>
      <c r="C521" s="199" t="n"/>
      <c r="E521" s="199" t="n"/>
      <c r="F521" s="201" t="n"/>
      <c r="G521" s="205" t="n"/>
    </row>
    <row r="522" ht="147.75" customFormat="1" customHeight="1" s="206">
      <c r="A522" s="201" t="n"/>
      <c r="B522" s="212" t="inlineStr">
        <is>
          <t>Laboratory 11 x 5</t>
        </is>
      </c>
      <c r="C522" s="247" t="n">
        <v>55</v>
      </c>
      <c r="D522" s="201" t="inlineStr">
        <is>
          <t>x</t>
        </is>
      </c>
      <c r="E522" s="199" t="n">
        <v>18</v>
      </c>
      <c r="F522" s="201" t="inlineStr">
        <is>
          <t>x</t>
        </is>
      </c>
      <c r="G522" s="205" t="n">
        <v>1.8</v>
      </c>
      <c r="I522" s="199" t="n"/>
      <c r="J522" s="258" t="inlineStr">
        <is>
          <t>=</t>
        </is>
      </c>
      <c r="K522" s="199">
        <f>IF(C507,C507*E507*G507,"")</f>
        <v/>
      </c>
      <c r="L522" s="247" t="inlineStr">
        <is>
          <t>Sqm</t>
        </is>
      </c>
    </row>
    <row r="523" ht="15" customFormat="1" customHeight="1" s="206">
      <c r="A523" s="201" t="n"/>
      <c r="B523" s="212" t="inlineStr">
        <is>
          <t>Toilets</t>
        </is>
      </c>
      <c r="C523" s="247" t="n">
        <v>3</v>
      </c>
      <c r="D523" s="201" t="inlineStr">
        <is>
          <t>x</t>
        </is>
      </c>
      <c r="E523" s="199" t="n">
        <v>2.7</v>
      </c>
      <c r="F523" s="201" t="inlineStr">
        <is>
          <t>x</t>
        </is>
      </c>
      <c r="G523" s="205" t="n">
        <v>1.5</v>
      </c>
      <c r="I523" s="199" t="n"/>
      <c r="J523" s="258" t="inlineStr">
        <is>
          <t>=</t>
        </is>
      </c>
      <c r="K523" s="199">
        <f>IF(C508,C508*E508*G508,"")</f>
        <v/>
      </c>
      <c r="L523" s="247" t="inlineStr">
        <is>
          <t>Sqm</t>
        </is>
      </c>
    </row>
    <row r="524" customFormat="1" s="206">
      <c r="A524" s="201" t="n"/>
      <c r="B524" s="256" t="inlineStr">
        <is>
          <t>Urinal Floor</t>
        </is>
      </c>
      <c r="C524" s="247" t="n">
        <v>4</v>
      </c>
      <c r="D524" s="201" t="inlineStr">
        <is>
          <t>x</t>
        </is>
      </c>
      <c r="E524" s="199" t="n">
        <v>1.2</v>
      </c>
      <c r="F524" s="201" t="inlineStr">
        <is>
          <t>x</t>
        </is>
      </c>
      <c r="G524" s="205" t="n">
        <v>0.75</v>
      </c>
      <c r="I524" s="199" t="n"/>
      <c r="J524" s="258" t="inlineStr">
        <is>
          <t>=</t>
        </is>
      </c>
      <c r="K524" s="199">
        <f>IF(C509,C509*E509*G509,"")</f>
        <v/>
      </c>
      <c r="L524" s="247" t="inlineStr">
        <is>
          <t>Sqm</t>
        </is>
      </c>
    </row>
    <row r="525" ht="15" customFormat="1" customHeight="1" s="206">
      <c r="A525" s="201" t="n"/>
      <c r="B525" s="212" t="inlineStr">
        <is>
          <t xml:space="preserve">Toilet </t>
        </is>
      </c>
      <c r="C525" s="247" t="n">
        <v>2</v>
      </c>
      <c r="D525" s="201" t="inlineStr">
        <is>
          <t>x</t>
        </is>
      </c>
      <c r="E525" s="199" t="n">
        <v>5.25</v>
      </c>
      <c r="F525" s="201" t="inlineStr">
        <is>
          <t>x</t>
        </is>
      </c>
      <c r="G525" s="205" t="n">
        <v>0.9</v>
      </c>
      <c r="I525" s="199" t="n"/>
      <c r="J525" s="258" t="inlineStr">
        <is>
          <t>=</t>
        </is>
      </c>
      <c r="K525" s="199">
        <f>IF(C510,C510*E510*G510,"")</f>
        <v/>
      </c>
      <c r="L525" s="247" t="inlineStr">
        <is>
          <t>Sqm</t>
        </is>
      </c>
    </row>
    <row r="526" customFormat="1" s="206">
      <c r="A526" s="201" t="n"/>
      <c r="B526" s="192" t="n"/>
      <c r="C526" s="247" t="n"/>
      <c r="E526" s="199" t="n"/>
      <c r="G526" s="257" t="n"/>
      <c r="H526" s="206" t="n"/>
      <c r="I526" s="203" t="inlineStr">
        <is>
          <t>Total</t>
        </is>
      </c>
      <c r="J526" s="190" t="inlineStr">
        <is>
          <t>=</t>
        </is>
      </c>
      <c r="K526" s="216">
        <f>SUM(K507:K510)</f>
        <v/>
      </c>
      <c r="L526" s="191" t="inlineStr">
        <is>
          <t>Sqm</t>
        </is>
      </c>
    </row>
    <row r="527" ht="15" customFormat="1" customHeight="1" s="206">
      <c r="A527" s="201" t="n"/>
      <c r="B527" s="192" t="n"/>
      <c r="C527" s="247" t="n"/>
      <c r="E527" s="199" t="n"/>
      <c r="G527" s="257" t="n"/>
      <c r="H527" s="206" t="n"/>
      <c r="I527" s="205" t="n"/>
      <c r="J527" s="258" t="n"/>
      <c r="K527" s="228" t="n"/>
      <c r="L527" s="247" t="n"/>
    </row>
    <row r="528" ht="15" customHeight="1" s="72">
      <c r="A528" s="247">
        <f>A506+1</f>
        <v/>
      </c>
      <c r="B528" s="212" t="inlineStr">
        <is>
          <t>Providing and fixing on wall face Asbestos Cement rain water pipe including jointing with spun yarn soaked in Bitumen and Cement Mortar 1 : 2 ( 1 Cement : 2 Coarse Sand) complete including MS clamp:  100 mm dia.</t>
        </is>
      </c>
      <c r="C528" s="247" t="n">
        <v>360</v>
      </c>
      <c r="D528" s="201" t="inlineStr">
        <is>
          <t>x</t>
        </is>
      </c>
      <c r="E528" s="199" t="n">
        <v>0.6</v>
      </c>
      <c r="F528" s="201" t="n"/>
      <c r="G528" s="205" t="n"/>
      <c r="I528" s="199" t="n"/>
      <c r="J528" s="258" t="inlineStr">
        <is>
          <t>=</t>
        </is>
      </c>
      <c r="K528" s="199">
        <f>C513*E513</f>
        <v/>
      </c>
      <c r="L528" s="247" t="inlineStr">
        <is>
          <t>RM</t>
        </is>
      </c>
    </row>
    <row r="529">
      <c r="A529" s="201" t="n"/>
      <c r="B529" s="192" t="n"/>
      <c r="C529" s="247" t="n"/>
      <c r="E529" s="199" t="n"/>
      <c r="G529" s="257" t="n"/>
      <c r="H529" s="206" t="n"/>
      <c r="I529" s="203" t="inlineStr">
        <is>
          <t>Total</t>
        </is>
      </c>
      <c r="J529" s="190" t="inlineStr">
        <is>
          <t>=</t>
        </is>
      </c>
      <c r="K529" s="216">
        <f>SUM(K513:K513)</f>
        <v/>
      </c>
      <c r="L529" s="247" t="inlineStr">
        <is>
          <t>RM</t>
        </is>
      </c>
    </row>
    <row r="530">
      <c r="A530" s="201" t="n"/>
      <c r="B530" s="192" t="n"/>
      <c r="C530" s="247" t="n"/>
      <c r="E530" s="199" t="n"/>
      <c r="G530" s="257" t="n"/>
      <c r="H530" s="206" t="n"/>
      <c r="I530" s="205" t="n"/>
      <c r="J530" s="258" t="n"/>
      <c r="K530" s="228" t="n"/>
      <c r="L530" s="247" t="n"/>
    </row>
    <row r="531">
      <c r="A531" s="165" t="n">
        <v>27</v>
      </c>
      <c r="B531" s="212" t="inlineStr">
        <is>
          <t>Providing and fixing precast cement concrete coping 1:2:4 mix 50 mm thick complete as per specification 50 mm thick.</t>
        </is>
      </c>
      <c r="C531" s="301" t="n"/>
      <c r="D531" s="297" t="n"/>
      <c r="E531" s="301" t="n"/>
      <c r="F531" s="199" t="n"/>
      <c r="L531" s="297" t="n"/>
    </row>
    <row r="532">
      <c r="A532" s="201" t="n"/>
      <c r="B532" s="212" t="inlineStr">
        <is>
          <t xml:space="preserve">Coping FF Parapet  </t>
        </is>
      </c>
      <c r="C532" s="247" t="n">
        <v>1</v>
      </c>
      <c r="D532" s="206" t="inlineStr">
        <is>
          <t>x</t>
        </is>
      </c>
      <c r="E532" s="199">
        <f>#REF!</f>
        <v/>
      </c>
      <c r="F532" s="206" t="inlineStr">
        <is>
          <t>x</t>
        </is>
      </c>
      <c r="G532" s="205" t="n">
        <v>0.32</v>
      </c>
      <c r="I532" s="199" t="n"/>
      <c r="J532" s="258" t="inlineStr">
        <is>
          <t>=</t>
        </is>
      </c>
      <c r="K532" s="199">
        <f>IF(C517,C517*E517*G517,"")</f>
        <v/>
      </c>
      <c r="L532" s="247" t="inlineStr">
        <is>
          <t>Sqm</t>
        </is>
      </c>
    </row>
    <row r="533">
      <c r="A533" s="201" t="n"/>
      <c r="B533" s="212" t="n"/>
      <c r="C533" s="247" t="n"/>
      <c r="D533" s="201" t="n"/>
      <c r="E533" s="199" t="n"/>
      <c r="F533" s="201" t="n"/>
      <c r="G533" s="205" t="n"/>
      <c r="H533" s="206" t="n"/>
      <c r="I533" s="203" t="inlineStr">
        <is>
          <t>Total</t>
        </is>
      </c>
      <c r="J533" s="190" t="inlineStr">
        <is>
          <t>=</t>
        </is>
      </c>
      <c r="K533" s="189">
        <f>SUM(K517:K517)</f>
        <v/>
      </c>
      <c r="L533" s="191" t="inlineStr">
        <is>
          <t>Sqm</t>
        </is>
      </c>
    </row>
    <row r="534">
      <c r="A534" s="247" t="n">
        <v>28</v>
      </c>
      <c r="B534" s="212" t="inlineStr">
        <is>
          <t>Dismantling stone rubble masonry including stacking of serviceable material and disposal of unserviceable material within 50 m lead; In lime mortar</t>
        </is>
      </c>
      <c r="C534" s="247" t="n"/>
      <c r="E534" s="199" t="n"/>
      <c r="G534" s="199" t="n"/>
      <c r="I534" s="199" t="n"/>
      <c r="J534" s="258" t="n"/>
      <c r="K534" s="199" t="n"/>
      <c r="L534" s="201" t="n"/>
    </row>
    <row r="535">
      <c r="A535" s="247" t="n"/>
      <c r="B535" s="212" t="inlineStr">
        <is>
          <t>For Columns 2x(245+97)</t>
        </is>
      </c>
      <c r="C535" s="247" t="n">
        <v>684</v>
      </c>
      <c r="D535" s="206" t="inlineStr">
        <is>
          <t>x</t>
        </is>
      </c>
      <c r="E535" s="199" t="n">
        <v>0.3</v>
      </c>
      <c r="F535" s="206" t="inlineStr">
        <is>
          <t>x</t>
        </is>
      </c>
      <c r="G535" s="199" t="n">
        <v>0.23</v>
      </c>
      <c r="I535" s="199" t="n">
        <v>0.75</v>
      </c>
      <c r="J535" s="258" t="inlineStr">
        <is>
          <t>=</t>
        </is>
      </c>
      <c r="K535" s="199">
        <f>IF(C520,C520*E520*G520*I520,"")</f>
        <v/>
      </c>
      <c r="L535" s="201" t="inlineStr">
        <is>
          <t>Cum</t>
        </is>
      </c>
    </row>
    <row r="536">
      <c r="A536" s="201" t="n"/>
      <c r="B536" s="192" t="n"/>
      <c r="E536" s="199" t="n"/>
      <c r="G536" s="257" t="n"/>
      <c r="H536" s="202" t="inlineStr">
        <is>
          <t>Total</t>
        </is>
      </c>
      <c r="I536" s="203" t="n"/>
      <c r="J536" s="190" t="n"/>
      <c r="K536" s="216">
        <f>SUM(K519:K520)</f>
        <v/>
      </c>
      <c r="L536" s="191" t="inlineStr">
        <is>
          <t>Cum</t>
        </is>
      </c>
    </row>
    <row r="537">
      <c r="A537" s="247" t="n">
        <v>29</v>
      </c>
      <c r="B537" s="212" t="inlineStr">
        <is>
          <t>Providing, laying and fixing in position RCC Spun or Hume pipe ISI marked with proper joints in required slope, packed in the gasket of hume pipe or spun yarn and neatly finished with rich grout of  cement mortar 1 : 3 ( 1 cement : 3  sand )  and made perfectly air and water tight including testing of joints, for 150 mm Dia. NP3 pipe</t>
        </is>
      </c>
      <c r="C537" s="247" t="n">
        <v>2</v>
      </c>
      <c r="D537" s="206" t="inlineStr">
        <is>
          <t>x</t>
        </is>
      </c>
      <c r="E537" s="199" t="n">
        <v>15</v>
      </c>
      <c r="G537" s="199" t="n"/>
      <c r="I537" s="199" t="n"/>
      <c r="J537" s="258" t="inlineStr">
        <is>
          <t>=</t>
        </is>
      </c>
      <c r="K537" s="199" t="n">
        <v>30</v>
      </c>
      <c r="L537" s="247" t="inlineStr">
        <is>
          <t>RM</t>
        </is>
      </c>
    </row>
    <row r="538">
      <c r="B538" s="227" t="inlineStr">
        <is>
          <t>NON BSR ITEM</t>
        </is>
      </c>
    </row>
    <row r="539">
      <c r="A539" s="301" t="n">
        <v>30</v>
      </c>
      <c r="B539" s="212" t="inlineStr">
        <is>
          <t>P &amp; F glass boards</t>
        </is>
      </c>
      <c r="C539" s="247" t="n">
        <v>1</v>
      </c>
      <c r="D539" s="206" t="inlineStr">
        <is>
          <t>x</t>
        </is>
      </c>
      <c r="E539" s="199" t="n">
        <v>27</v>
      </c>
      <c r="G539" s="199" t="n"/>
      <c r="I539" s="199" t="n"/>
      <c r="J539" s="258" t="inlineStr">
        <is>
          <t>=</t>
        </is>
      </c>
      <c r="K539" s="199" t="n">
        <v>27</v>
      </c>
      <c r="L539" s="247" t="inlineStr">
        <is>
          <t>Nos.</t>
        </is>
      </c>
    </row>
    <row r="540">
      <c r="A540" s="201" t="n"/>
      <c r="B540" s="192" t="n"/>
      <c r="E540" s="199" t="n"/>
      <c r="G540" s="257" t="n"/>
      <c r="H540" s="206" t="n"/>
      <c r="I540" s="205" t="n"/>
      <c r="J540" s="258" t="n"/>
      <c r="K540" s="228" t="n"/>
      <c r="L540" s="247" t="n"/>
    </row>
    <row r="541">
      <c r="A541" s="201" t="n"/>
      <c r="B541" s="212" t="n"/>
      <c r="C541" s="247" t="n"/>
      <c r="D541" s="201" t="n"/>
      <c r="E541" s="199" t="n"/>
      <c r="F541" s="201" t="n"/>
      <c r="G541" s="205" t="n"/>
      <c r="H541" s="206" t="n"/>
      <c r="I541" s="199" t="n"/>
      <c r="J541" s="258" t="n"/>
      <c r="K541" s="199" t="n"/>
      <c r="L541" s="247" t="n"/>
    </row>
    <row r="542">
      <c r="A542" s="201" t="n"/>
      <c r="B542" s="212" t="n"/>
      <c r="C542" s="247" t="n"/>
      <c r="D542" s="201" t="n"/>
      <c r="E542" s="199" t="n"/>
      <c r="F542" s="201" t="n"/>
      <c r="G542" s="198" t="inlineStr">
        <is>
          <t>CHARTERED   ENGINEER,</t>
        </is>
      </c>
      <c r="H542" s="206" t="n"/>
      <c r="I542" s="199" t="n"/>
      <c r="J542" s="258" t="n"/>
      <c r="K542" s="199" t="n"/>
      <c r="L542" s="247" t="n"/>
    </row>
    <row r="543">
      <c r="G543" s="227" t="inlineStr">
        <is>
          <t>TEJHANS INVESTMENTS, UDAIPUR</t>
        </is>
      </c>
    </row>
  </sheetData>
  <mergeCells count="17">
    <mergeCell ref="G433:H433"/>
    <mergeCell ref="C246:D246"/>
    <mergeCell ref="A2:L2"/>
    <mergeCell ref="C240:D240"/>
    <mergeCell ref="C244:D244"/>
    <mergeCell ref="C237:D237"/>
    <mergeCell ref="C374:D374"/>
    <mergeCell ref="A1:L1"/>
    <mergeCell ref="C243:D243"/>
    <mergeCell ref="C239:D239"/>
    <mergeCell ref="C373:D373"/>
    <mergeCell ref="C242:D242"/>
    <mergeCell ref="C241:D241"/>
    <mergeCell ref="A3:L3"/>
    <mergeCell ref="C245:D245"/>
    <mergeCell ref="A4:L4"/>
    <mergeCell ref="C238:D238"/>
  </mergeCells>
  <printOptions horizontalCentered="1"/>
  <pageMargins left="0.75" right="0.75" top="0.76" bottom="1" header="0.5" footer="0.5"/>
  <pageSetup orientation="portrait" paperSize="9" scale="63" fitToHeight="11" horizontalDpi="180" verticalDpi="180"/>
  <headerFooter alignWithMargins="0">
    <oddHeader/>
    <oddFooter>&amp;LGIRLS PHARMACY BNI&amp;R&amp;D&amp;'  Page-&amp;P</oddFooter>
    <evenHeader/>
    <evenFooter/>
    <firstHeader/>
    <firstFooter/>
  </headerFooter>
  <rowBreaks count="2" manualBreakCount="2">
    <brk id="413" min="0" max="17" man="1"/>
    <brk id="424" min="0" max="16383" man="1"/>
  </rowBreaks>
</worksheet>
</file>

<file path=xl/worksheets/sheet4.xml><?xml version="1.0" encoding="utf-8"?>
<worksheet xmlns="http://schemas.openxmlformats.org/spreadsheetml/2006/main">
  <sheetPr>
    <outlinePr summaryBelow="1" summaryRight="1"/>
    <pageSetUpPr/>
  </sheetPr>
  <dimension ref="A1:K87"/>
  <sheetViews>
    <sheetView zoomScaleNormal="100" zoomScaleSheetLayoutView="100" workbookViewId="0">
      <selection activeCell="C11" sqref="C11"/>
    </sheetView>
    <sheetView topLeftCell="A96" workbookViewId="1">
      <selection activeCell="E98" sqref="E98"/>
    </sheetView>
  </sheetViews>
  <sheetFormatPr baseColWidth="8" defaultRowHeight="15"/>
  <cols>
    <col width="4.44140625" bestFit="1" customWidth="1" style="37" min="1" max="1"/>
    <col width="36.44140625" customWidth="1" style="38" min="2" max="2"/>
    <col width="7.88671875" customWidth="1" style="22" min="3" max="3"/>
    <col width="5.21875" customWidth="1" style="41" min="4" max="4"/>
    <col width="7.44140625" bestFit="1" customWidth="1" style="73" min="5" max="5"/>
    <col width="5.21875" customWidth="1" style="41" min="6" max="6"/>
    <col width="8.44140625" bestFit="1" customWidth="1" style="73" min="7" max="7"/>
  </cols>
  <sheetData>
    <row r="1" ht="45" customFormat="1" customHeight="1" s="88">
      <c r="A1" s="302">
        <f>'gen-abstract'!A2</f>
        <v/>
      </c>
    </row>
    <row r="2" customFormat="1" s="88">
      <c r="A2" s="303" t="inlineStr">
        <is>
          <t>PART 'B'  SANITARY &amp; WATER SUPPLY  WORK</t>
        </is>
      </c>
    </row>
    <row r="3" customFormat="1" s="88">
      <c r="A3" s="304" t="inlineStr">
        <is>
          <t>ABSTRACT OF COST</t>
        </is>
      </c>
      <c r="B3" s="7" t="n"/>
      <c r="C3" s="7" t="n"/>
      <c r="D3" s="7" t="n"/>
      <c r="E3" s="7" t="n"/>
      <c r="F3" s="7" t="n"/>
      <c r="G3" s="7" t="n"/>
    </row>
    <row r="4" customFormat="1" s="88">
      <c r="A4" s="33" t="inlineStr">
        <is>
          <t>S.No.</t>
        </is>
      </c>
      <c r="B4" s="130" t="inlineStr">
        <is>
          <t>Particulars.</t>
        </is>
      </c>
      <c r="C4" s="28" t="inlineStr">
        <is>
          <t xml:space="preserve">Quantity </t>
        </is>
      </c>
      <c r="D4" s="46" t="n"/>
      <c r="E4" s="28" t="inlineStr">
        <is>
          <t>Rate</t>
        </is>
      </c>
      <c r="F4" s="46" t="inlineStr">
        <is>
          <t>Unit</t>
        </is>
      </c>
      <c r="G4" s="70" t="inlineStr">
        <is>
          <t>Amount</t>
        </is>
      </c>
    </row>
    <row r="5" ht="89.25" customHeight="1" s="72">
      <c r="A5" s="1" t="n">
        <v>1</v>
      </c>
      <c r="B5" s="118" t="inlineStr">
        <is>
          <t>P &amp; F Indian Type white glazed vitreous china Ist quality WC Orissa Pan (IS : 2556 Mark) with 100 mm vitreous china P or S trap including cutting and making good the wall and floor. Size 580x440 mm</t>
        </is>
      </c>
      <c r="C5" s="69" t="n">
        <v>3</v>
      </c>
      <c r="D5" s="36" t="inlineStr">
        <is>
          <t>Nos.</t>
        </is>
      </c>
      <c r="E5" s="73" t="n">
        <v>890</v>
      </c>
      <c r="F5" s="41" t="inlineStr">
        <is>
          <t>Each</t>
        </is>
      </c>
      <c r="G5" s="60">
        <f>IF(C5,ROUNDUP(C5*E5,0),"")</f>
        <v/>
      </c>
    </row>
    <row r="6" ht="67.5" customHeight="1" s="72">
      <c r="A6" s="1">
        <f>A5+1</f>
        <v/>
      </c>
      <c r="B6" s="118" t="inlineStr">
        <is>
          <t>P &amp; F Flush cock/Flush valve (IS : 9758 Mark) for WC of approved quality make : C.P. Brass concealed 25 mm</t>
        </is>
      </c>
      <c r="C6" s="69" t="n">
        <v>3</v>
      </c>
      <c r="D6" s="36" t="inlineStr">
        <is>
          <t>Nos.</t>
        </is>
      </c>
      <c r="E6" s="73" t="n">
        <v>650</v>
      </c>
      <c r="F6" s="41" t="inlineStr">
        <is>
          <t>Each</t>
        </is>
      </c>
      <c r="G6" s="60">
        <f>IF(C6,ROUNDUP(C6*E6,0),"")</f>
        <v/>
      </c>
    </row>
    <row r="7" ht="127.5" customHeight="1" s="72">
      <c r="A7" s="1">
        <f>IF(A6,A6+1,#REF!+1)</f>
        <v/>
      </c>
      <c r="B7" s="38" t="inlineStr">
        <is>
          <t xml:space="preserve">P &amp; F WVC wash basin (Ist quality, IS : 2556 Mark) of approved make with C.I. brackets duly painted 1 No. 15 mm C.P. Pillar cock (IS : 8934 Mark) &amp; 32 mm C.P. Brass waste coupling of approved make, 25 mm G.I. waste pipe complete including cutting and making good the wall size 580mmx450mm. </t>
        </is>
      </c>
      <c r="C7" s="69">
        <f>sanitary_MEASUR!K12</f>
        <v/>
      </c>
      <c r="D7" s="36" t="inlineStr">
        <is>
          <t>Nos.</t>
        </is>
      </c>
      <c r="E7" s="73" t="n">
        <v>1250</v>
      </c>
      <c r="F7" s="41" t="inlineStr">
        <is>
          <t>Each</t>
        </is>
      </c>
      <c r="G7" s="60">
        <f>IF(C7,ROUNDUP(C7*E7,0),"")</f>
        <v/>
      </c>
    </row>
    <row r="8" ht="93.75" customHeight="1" s="72">
      <c r="A8" s="1">
        <f>IF(A7,A7+1,A6+1)</f>
        <v/>
      </c>
      <c r="B8" s="38" t="inlineStr">
        <is>
          <t xml:space="preserve">P&amp;F beveled edge mirror of special glass of approved make (Atul or equivalent) complete with 6 mm thick Asbestos Cement  sheet ground fixed to wooden screws &amp; washers sizes 600 x 450 mm x 4 mm thick. </t>
        </is>
      </c>
      <c r="C8" s="69">
        <f>sanitary_MEASUR!K13</f>
        <v/>
      </c>
      <c r="D8" s="36" t="inlineStr">
        <is>
          <t>Nos.</t>
        </is>
      </c>
      <c r="E8" s="73" t="n">
        <v>210</v>
      </c>
      <c r="F8" s="41" t="inlineStr">
        <is>
          <t>Each</t>
        </is>
      </c>
      <c r="G8" s="60">
        <f>IF(C8,ROUNDUP(C8*E8,0),"")</f>
        <v/>
      </c>
    </row>
    <row r="9" ht="45" customHeight="1" s="72">
      <c r="A9" s="1">
        <f>IF(A8,A8+1,A7+1)</f>
        <v/>
      </c>
      <c r="B9" s="118" t="inlineStr">
        <is>
          <t>P &amp; F grating of approved/quality make : Cast iron.</t>
        </is>
      </c>
      <c r="C9" s="69">
        <f>sanitary_MEASUR!K17</f>
        <v/>
      </c>
      <c r="D9" s="36" t="inlineStr">
        <is>
          <t>Nos.</t>
        </is>
      </c>
      <c r="E9" s="73" t="n">
        <v>30</v>
      </c>
      <c r="F9" s="41" t="inlineStr">
        <is>
          <t>Each</t>
        </is>
      </c>
      <c r="G9" s="60">
        <f>IF(C9,ROUNDUP(C9*E9,0),"")</f>
        <v/>
      </c>
    </row>
    <row r="10" ht="45" customHeight="1" s="72">
      <c r="A10" s="1">
        <f>IF(A9,A9+1,A8+1)</f>
        <v/>
      </c>
      <c r="B10" s="38" t="inlineStr">
        <is>
          <t xml:space="preserve">P &amp; F GI Pipes (Internal work) with G.I. fittings (IS : 1239 Mark) &amp; MS clamps, including cutting and making good the wall and floors : </t>
        </is>
      </c>
      <c r="C10" s="68" t="n"/>
      <c r="D10" s="36" t="n"/>
      <c r="G10" s="60">
        <f>IF(C10,ROUNDUP(C10*E10,0),"")</f>
        <v/>
      </c>
    </row>
    <row r="11" ht="24.75" customHeight="1" s="72">
      <c r="A11" s="66" t="inlineStr">
        <is>
          <t>A.</t>
        </is>
      </c>
      <c r="B11" s="38" t="inlineStr">
        <is>
          <t>15 mm Dai nominal bore `B’ Class.</t>
        </is>
      </c>
      <c r="C11" s="68">
        <f>sanitary_MEASUR!K22</f>
        <v/>
      </c>
      <c r="D11" s="36" t="inlineStr">
        <is>
          <t>RM</t>
        </is>
      </c>
      <c r="E11" s="73" t="n">
        <v>70</v>
      </c>
      <c r="F11" s="39" t="inlineStr">
        <is>
          <t>P RM</t>
        </is>
      </c>
      <c r="G11" s="60">
        <f>IF(C11,ROUNDUP(C11*E11,0),"")</f>
        <v/>
      </c>
    </row>
    <row r="12" ht="26.25" customHeight="1" s="72">
      <c r="A12" s="66" t="inlineStr">
        <is>
          <t>B.</t>
        </is>
      </c>
      <c r="B12" s="38" t="inlineStr">
        <is>
          <t xml:space="preserve">25 mm Dai nominal bore `B’ Class </t>
        </is>
      </c>
      <c r="C12" s="68">
        <f>sanitary_MEASUR!K27</f>
        <v/>
      </c>
      <c r="D12" s="36" t="inlineStr">
        <is>
          <t>RM</t>
        </is>
      </c>
      <c r="E12" s="73" t="n">
        <v>117</v>
      </c>
      <c r="F12" s="39" t="inlineStr">
        <is>
          <t>P RM</t>
        </is>
      </c>
      <c r="G12" s="60">
        <f>IF(C12,ROUNDUP(C12*E12,0),"")</f>
        <v/>
      </c>
    </row>
    <row r="13" ht="56.25" customHeight="1" s="72">
      <c r="A13" s="1" t="n">
        <v>7</v>
      </c>
      <c r="B13" s="118" t="inlineStr">
        <is>
          <t xml:space="preserve">P &amp; F GI Pipes (External work) with G.I. fittings (IS : 1239 Mark) , including  trenching and refilling earth etc. : </t>
        </is>
      </c>
      <c r="C13" s="68" t="n"/>
      <c r="D13" s="36" t="n"/>
      <c r="G13" s="60">
        <f>IF(C13,ROUNDUP(C13*E13,0),"")</f>
        <v/>
      </c>
    </row>
    <row r="14" ht="20.25" customHeight="1" s="72">
      <c r="A14" s="66" t="inlineStr">
        <is>
          <t>A.</t>
        </is>
      </c>
      <c r="B14" s="38" t="inlineStr">
        <is>
          <t>25 mm Dai nominal bore `B’ Class.</t>
        </is>
      </c>
      <c r="C14" s="68">
        <f>sanitary_MEASUR!K32</f>
        <v/>
      </c>
      <c r="D14" s="36" t="inlineStr">
        <is>
          <t>RM</t>
        </is>
      </c>
      <c r="E14" s="73" t="n">
        <v>98</v>
      </c>
      <c r="F14" s="39" t="inlineStr">
        <is>
          <t>P RM</t>
        </is>
      </c>
      <c r="G14" s="60">
        <f>IF(C14,ROUNDUP(C14*E14,0),"")</f>
        <v/>
      </c>
    </row>
    <row r="15" ht="54" customHeight="1" s="72">
      <c r="A15" s="37">
        <f>A13+1</f>
        <v/>
      </c>
      <c r="B15" s="38" t="inlineStr">
        <is>
          <t>Making connection of G.I. distribution branch with G.I. main including all fittings . (a) upto 25 mm  Dai.</t>
        </is>
      </c>
      <c r="C15" s="69">
        <f>sanitary_MEASUR!K35</f>
        <v/>
      </c>
      <c r="D15" s="36" t="inlineStr">
        <is>
          <t>Nos.</t>
        </is>
      </c>
      <c r="E15" s="73" t="n">
        <v>100</v>
      </c>
      <c r="F15" s="41" t="inlineStr">
        <is>
          <t>Each</t>
        </is>
      </c>
      <c r="G15" s="60">
        <f>IF(C15,ROUNDUP(C15*E15,0),"")</f>
        <v/>
      </c>
    </row>
    <row r="16" ht="54" customHeight="1" s="72">
      <c r="A16" s="1" t="n">
        <v>9</v>
      </c>
      <c r="B16" s="118" t="inlineStr">
        <is>
          <t xml:space="preserve">P &amp; F Bib Cock (IS : 8931 Mark) superior quality of approved make : Brass 400 gram 15 mm </t>
        </is>
      </c>
      <c r="C16" s="69">
        <f>sanitary_MEASUR!K39</f>
        <v/>
      </c>
      <c r="D16" s="36" t="inlineStr">
        <is>
          <t>Nos.</t>
        </is>
      </c>
      <c r="E16" s="73" t="n">
        <v>120</v>
      </c>
      <c r="F16" s="41" t="inlineStr">
        <is>
          <t>Each</t>
        </is>
      </c>
      <c r="G16" s="60">
        <f>IF(C16,ROUNDUP(C16*E16,0),"")</f>
        <v/>
      </c>
    </row>
    <row r="17" ht="45" customHeight="1" s="72">
      <c r="A17" s="1">
        <f>IF(A16,A16+1,#REF!+1)</f>
        <v/>
      </c>
      <c r="B17" s="118" t="inlineStr">
        <is>
          <t xml:space="preserve">P &amp; F Stop Cock (IS : 8931 Mark) superior quality of approved make : Brass 400 gram 15 mm </t>
        </is>
      </c>
      <c r="C17" s="69">
        <f>sanitary_MEASUR!K42</f>
        <v/>
      </c>
      <c r="D17" s="36" t="inlineStr">
        <is>
          <t>Nos.</t>
        </is>
      </c>
      <c r="E17" s="73" t="n">
        <v>120</v>
      </c>
      <c r="F17" s="41" t="inlineStr">
        <is>
          <t>Each</t>
        </is>
      </c>
      <c r="G17" s="60">
        <f>IF(C17,ROUNDUP(C17*E17,0),"")</f>
        <v/>
      </c>
    </row>
    <row r="18" ht="37.5" customHeight="1" s="72">
      <c r="A18" s="1" t="n">
        <v>11</v>
      </c>
      <c r="B18" s="118" t="inlineStr">
        <is>
          <t xml:space="preserve">P/F full way valve (IS:778 Mark) or wheel valve of approved make: gun metal  </t>
        </is>
      </c>
      <c r="C18" s="69" t="n"/>
      <c r="D18" s="36" t="n"/>
      <c r="G18" s="60">
        <f>IF(C18,ROUNDUP(C18*E18,0),"")</f>
        <v/>
      </c>
    </row>
    <row r="19" ht="21" customHeight="1" s="72">
      <c r="A19" s="1" t="n"/>
      <c r="B19" s="118" t="inlineStr">
        <is>
          <t>(A)  15 mm</t>
        </is>
      </c>
      <c r="C19" s="69">
        <f>sanitary_MEASUR!K46</f>
        <v/>
      </c>
      <c r="D19" s="36" t="inlineStr">
        <is>
          <t>Nos.</t>
        </is>
      </c>
      <c r="E19" s="73" t="n">
        <v>150</v>
      </c>
      <c r="F19" s="41" t="inlineStr">
        <is>
          <t>Each</t>
        </is>
      </c>
      <c r="G19" s="60">
        <f>IF(C19,ROUNDUP(C19*E19,0),"")</f>
        <v/>
      </c>
    </row>
    <row r="20" ht="20.25" customHeight="1" s="72">
      <c r="A20" s="1" t="n"/>
      <c r="B20" s="118" t="inlineStr">
        <is>
          <t>(B) 25 mm</t>
        </is>
      </c>
      <c r="C20" s="69">
        <f>sanitary_MEASUR!K49</f>
        <v/>
      </c>
      <c r="D20" s="36" t="inlineStr">
        <is>
          <t>Nos.</t>
        </is>
      </c>
      <c r="E20" s="73" t="n">
        <v>300</v>
      </c>
      <c r="F20" s="41" t="inlineStr">
        <is>
          <t>Each</t>
        </is>
      </c>
      <c r="G20" s="60">
        <f>IF(C20,ROUNDUP(C20*E20,0),"")</f>
        <v/>
      </c>
    </row>
    <row r="21" ht="99.75" customHeight="1" s="72">
      <c r="A21" s="1">
        <f>IF(A18,A18+1,#REF!+1)</f>
        <v/>
      </c>
      <c r="B21" s="38" t="inlineStr">
        <is>
          <t>P &amp; F PVC Storage Tank confirming to IS standards of approved make with cover, 25 mm Dai 1 M long C.I. over flow pipe &amp; 25 cm. long wash out pipe with plug and socket, including making connection, etc. complete of approved design:</t>
        </is>
      </c>
      <c r="G21" s="60">
        <f>IF(C21,ROUNDUP(C21*E21,0),"")</f>
        <v/>
      </c>
    </row>
    <row r="22" ht="22.5" customHeight="1" s="72">
      <c r="A22" s="1" t="n"/>
      <c r="B22" s="38" t="inlineStr">
        <is>
          <t>(A) 1000 (liters capacity).</t>
        </is>
      </c>
      <c r="C22" s="69" t="n">
        <v>4</v>
      </c>
      <c r="D22" s="36" t="inlineStr">
        <is>
          <t>Nos.</t>
        </is>
      </c>
      <c r="E22" s="73">
        <f>5000</f>
        <v/>
      </c>
      <c r="F22" s="41" t="inlineStr">
        <is>
          <t>Each</t>
        </is>
      </c>
      <c r="G22" s="60">
        <f>IF(C22,ROUNDUP(C22*E22,0),"")</f>
        <v/>
      </c>
    </row>
    <row r="23" ht="20.25" customHeight="1" s="72">
      <c r="A23" s="1" t="n"/>
      <c r="B23" s="38" t="inlineStr">
        <is>
          <t>(B) 500 (liters capacity).</t>
        </is>
      </c>
      <c r="C23" s="69">
        <f>sanitary_MEASUR!K52</f>
        <v/>
      </c>
      <c r="D23" s="36" t="inlineStr">
        <is>
          <t>Nos.</t>
        </is>
      </c>
      <c r="E23" s="73">
        <f>2500</f>
        <v/>
      </c>
      <c r="F23" s="41" t="inlineStr">
        <is>
          <t>Each</t>
        </is>
      </c>
      <c r="G23" s="60">
        <f>IF(C23,ROUNDUP(C23*E23,0),"")</f>
        <v/>
      </c>
    </row>
    <row r="24" ht="39" customHeight="1" s="72">
      <c r="A24" s="1">
        <f>IF(A21,A21+1,A18+1)</f>
        <v/>
      </c>
      <c r="B24" s="118" t="inlineStr">
        <is>
          <t>P &amp; F Ball Cock (IS : 1703 Mark) with Rod &amp; PVC Ball complete :</t>
        </is>
      </c>
      <c r="C24" s="69" t="n"/>
      <c r="D24" s="36" t="n"/>
      <c r="G24" s="60">
        <f>IF(C24,ROUNDUP(C24*E24,0),"")</f>
        <v/>
      </c>
    </row>
    <row r="25" ht="24" customHeight="1" s="72">
      <c r="A25" s="1" t="n"/>
      <c r="B25" s="118" t="inlineStr">
        <is>
          <t>(A)  Brass wt. 400 gram 15 mm.</t>
        </is>
      </c>
      <c r="C25" s="69" t="n">
        <v>5</v>
      </c>
      <c r="D25" s="36" t="inlineStr">
        <is>
          <t>Nos.</t>
        </is>
      </c>
      <c r="E25" s="73" t="n">
        <v>150</v>
      </c>
      <c r="F25" s="41" t="inlineStr">
        <is>
          <t>Each</t>
        </is>
      </c>
      <c r="G25" s="60">
        <f>IF(C25,ROUNDUP(C25*E25,0),"")</f>
        <v/>
      </c>
    </row>
    <row r="26" ht="90" customHeight="1" s="72">
      <c r="A26" s="1">
        <f>IF(A24,A24+1,A21+1)</f>
        <v/>
      </c>
      <c r="B26" s="38" t="inlineStr">
        <is>
          <t xml:space="preserve">Providing and fixing Unplasticized Poly Vinyl Chloride (UPVC) SWR pipes type B for soil and rain and waste discharge system (IS:13592 : 1992 marked) of approved quality/ make including jointing the pipes complete. </t>
        </is>
      </c>
      <c r="C26" s="68" t="n"/>
      <c r="D26" s="39" t="n"/>
      <c r="G26" s="60">
        <f>IF(C26,ROUNDUP(C26*E26,0),"")</f>
        <v/>
      </c>
    </row>
    <row r="27" ht="24.75" customHeight="1" s="72">
      <c r="B27" s="118" t="inlineStr">
        <is>
          <t xml:space="preserve">(A) 110 mm dia. </t>
        </is>
      </c>
      <c r="C27" s="68">
        <f>sanitary_MEASUR!K60</f>
        <v/>
      </c>
      <c r="D27" s="36" t="inlineStr">
        <is>
          <t>RM</t>
        </is>
      </c>
      <c r="E27" s="73">
        <f>200</f>
        <v/>
      </c>
      <c r="F27" s="41" t="inlineStr">
        <is>
          <t>P RM</t>
        </is>
      </c>
      <c r="G27" s="60">
        <f>IF(C27,ROUNDUP(C27*E27,0),"")</f>
        <v/>
      </c>
    </row>
    <row r="28" ht="90" customHeight="1" s="72">
      <c r="A28" s="37" t="n">
        <v>15</v>
      </c>
      <c r="B28" s="38" t="inlineStr">
        <is>
          <t>Providing and fixing Unplasticized Poly Vinyl Chloride (UPVC) SWR pipe fittings type B for soil and rain and waste discharge system (IS:13592 : 1992 marked) of approved quality/ make including jointing the pipes complete.</t>
        </is>
      </c>
      <c r="C28" s="69" t="n"/>
      <c r="D28" s="39" t="n"/>
      <c r="G28" s="60">
        <f>IF(C28,ROUNDUP(C28*E28,0),"")</f>
        <v/>
      </c>
    </row>
    <row r="29" ht="18" customHeight="1" s="72">
      <c r="A29" s="37" t="inlineStr">
        <is>
          <t>A.</t>
        </is>
      </c>
      <c r="B29" s="118" t="inlineStr">
        <is>
          <t>110  mm dia. Offset</t>
        </is>
      </c>
      <c r="C29" s="69" t="n">
        <v>1</v>
      </c>
      <c r="D29" s="36" t="inlineStr">
        <is>
          <t>Nos.</t>
        </is>
      </c>
      <c r="E29" s="73" t="n">
        <v>162</v>
      </c>
      <c r="F29" s="41" t="inlineStr">
        <is>
          <t>Each</t>
        </is>
      </c>
      <c r="G29" s="60">
        <f>IF(C29,ROUNDUP(C29*E29,0),"")</f>
        <v/>
      </c>
    </row>
    <row r="30" ht="18" customHeight="1" s="72">
      <c r="A30" s="37" t="inlineStr">
        <is>
          <t>B.</t>
        </is>
      </c>
      <c r="B30" s="118" t="inlineStr">
        <is>
          <t>110 mm dia. Coupler</t>
        </is>
      </c>
      <c r="C30" s="69" t="n">
        <v>5</v>
      </c>
      <c r="D30" s="36" t="inlineStr">
        <is>
          <t>Nos.</t>
        </is>
      </c>
      <c r="E30" s="73" t="n">
        <v>62</v>
      </c>
      <c r="F30" s="41" t="inlineStr">
        <is>
          <t>Each</t>
        </is>
      </c>
      <c r="G30" s="60">
        <f>IF(C30,ROUNDUP(C30*E30,0),"")</f>
        <v/>
      </c>
    </row>
    <row r="31" ht="18" customHeight="1" s="72">
      <c r="A31" s="37" t="inlineStr">
        <is>
          <t>C.</t>
        </is>
      </c>
      <c r="B31" s="118" t="inlineStr">
        <is>
          <t>110 mm dia. Single 'Y' with Door</t>
        </is>
      </c>
      <c r="C31" s="69" t="n">
        <v>1</v>
      </c>
      <c r="D31" s="36" t="inlineStr">
        <is>
          <t>Nos.</t>
        </is>
      </c>
      <c r="E31" s="73" t="n">
        <v>199</v>
      </c>
      <c r="F31" s="41" t="inlineStr">
        <is>
          <t>Each</t>
        </is>
      </c>
      <c r="G31" s="60">
        <f>IF(C31,ROUNDUP(C31*E31,0),"")</f>
        <v/>
      </c>
    </row>
    <row r="32" ht="18" customHeight="1" s="72">
      <c r="A32" s="37" t="inlineStr">
        <is>
          <t>D.</t>
        </is>
      </c>
      <c r="B32" s="38" t="inlineStr">
        <is>
          <t>100 mm dia. vent  Cowl</t>
        </is>
      </c>
      <c r="C32" s="69">
        <f>sanitary_MEASUR!K65</f>
        <v/>
      </c>
      <c r="D32" s="36" t="inlineStr">
        <is>
          <t>Nos.</t>
        </is>
      </c>
      <c r="E32" s="73" t="n">
        <v>34</v>
      </c>
      <c r="F32" s="41" t="inlineStr">
        <is>
          <t>Each</t>
        </is>
      </c>
      <c r="G32" s="60">
        <f>IF(C32,ROUNDUP(C32*E32,0),"")</f>
        <v/>
      </c>
    </row>
    <row r="33" ht="18" customHeight="1" s="72">
      <c r="A33" s="37" t="inlineStr">
        <is>
          <t>E.</t>
        </is>
      </c>
      <c r="B33" s="118" t="inlineStr">
        <is>
          <t>110 mm dia. Single 'Y'</t>
        </is>
      </c>
      <c r="C33" s="69" t="n">
        <v>1</v>
      </c>
      <c r="D33" s="36" t="inlineStr">
        <is>
          <t>Nos.</t>
        </is>
      </c>
      <c r="E33" s="73" t="n">
        <v>159</v>
      </c>
      <c r="F33" s="41" t="inlineStr">
        <is>
          <t>Each</t>
        </is>
      </c>
      <c r="G33" s="60">
        <f>IF(C33,ROUNDUP(C33*E33,0),"")</f>
        <v/>
      </c>
    </row>
    <row r="34" ht="18" customHeight="1" s="72">
      <c r="A34" s="37" t="inlineStr">
        <is>
          <t>F.</t>
        </is>
      </c>
      <c r="B34" s="118" t="inlineStr">
        <is>
          <t>110 mm dia.  door  Bend</t>
        </is>
      </c>
      <c r="C34" s="69" t="n">
        <v>1</v>
      </c>
      <c r="D34" s="36" t="inlineStr">
        <is>
          <t>Nos.</t>
        </is>
      </c>
      <c r="E34" s="73" t="n">
        <v>111</v>
      </c>
      <c r="F34" s="41" t="inlineStr">
        <is>
          <t>Each</t>
        </is>
      </c>
      <c r="G34" s="60">
        <f>IF(C34,ROUNDUP(C34*E34,0),"")</f>
        <v/>
      </c>
    </row>
    <row r="35" ht="18" customHeight="1" s="72">
      <c r="A35" s="37" t="inlineStr">
        <is>
          <t>G.</t>
        </is>
      </c>
      <c r="B35" s="118" t="inlineStr">
        <is>
          <t>110 mm dia.   Bend 87.5 degree.</t>
        </is>
      </c>
      <c r="C35" s="69" t="n">
        <v>1</v>
      </c>
      <c r="D35" s="36" t="inlineStr">
        <is>
          <t>Nos.</t>
        </is>
      </c>
      <c r="E35" s="73" t="n">
        <v>89</v>
      </c>
      <c r="F35" s="41" t="inlineStr">
        <is>
          <t>Each</t>
        </is>
      </c>
      <c r="G35" s="60">
        <f>IF(C35,ROUNDUP(C35*E35,0),"")</f>
        <v/>
      </c>
    </row>
    <row r="36" ht="90" customHeight="1" s="72">
      <c r="A36" s="37" t="n">
        <v>16</v>
      </c>
      <c r="B36" s="118" t="inlineStr">
        <is>
          <t xml:space="preserve">Providing and fixing Spun Cast Iron  (SCI ) Floor Trap (Nahni) of (IS : 3789mark) approved quality /make with socket down or hinged grating including cutting and making good the floor :- size 100x100 mm. </t>
        </is>
      </c>
      <c r="C36" s="69">
        <f>sanitary_MEASUR!K69</f>
        <v/>
      </c>
      <c r="D36" s="36" t="inlineStr">
        <is>
          <t>Nos.</t>
        </is>
      </c>
      <c r="E36" s="73" t="n">
        <v>140</v>
      </c>
      <c r="F36" s="41" t="inlineStr">
        <is>
          <t>Each</t>
        </is>
      </c>
      <c r="G36" s="60">
        <f>IF(C36,ROUNDUP(C36*E36,0),"")</f>
        <v/>
      </c>
    </row>
    <row r="37" ht="180" customHeight="1" s="72">
      <c r="A37" s="1" t="n">
        <v>17</v>
      </c>
      <c r="B37" s="38" t="inlineStr">
        <is>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Dai. earth work etc. Complete as per approved drawing including disposal of surplus earth within a lead of 50 m.</t>
        </is>
      </c>
      <c r="C37" s="69" t="n"/>
      <c r="D37" s="36" t="n"/>
      <c r="G37" s="60">
        <f>IF(C37,ROUNDUP(C37*E37,0),"")</f>
        <v/>
      </c>
    </row>
    <row r="38" ht="24" customHeight="1" s="72">
      <c r="A38" s="1" t="n"/>
      <c r="B38" s="38" t="inlineStr">
        <is>
          <t>(A) Depth upto 0.5 M</t>
        </is>
      </c>
      <c r="C38" s="69">
        <f>sanitary_MEASUR!K71</f>
        <v/>
      </c>
      <c r="D38" s="36" t="inlineStr">
        <is>
          <t>Nos.</t>
        </is>
      </c>
      <c r="E38" s="73" t="n">
        <v>1500</v>
      </c>
      <c r="F38" s="41" t="inlineStr">
        <is>
          <t>Each</t>
        </is>
      </c>
      <c r="G38" s="60">
        <f>IF(C38,ROUNDUP(C38*E38,0),"")</f>
        <v/>
      </c>
    </row>
    <row r="39" ht="24" customHeight="1" s="72">
      <c r="A39" s="1" t="n"/>
      <c r="B39" s="118" t="inlineStr">
        <is>
          <t>(B) Depth 0.5 M to 1.0 M</t>
        </is>
      </c>
      <c r="C39" s="69">
        <f>sanitary_MEASUR!K72</f>
        <v/>
      </c>
      <c r="D39" s="36" t="inlineStr">
        <is>
          <t>Nos.</t>
        </is>
      </c>
      <c r="E39" s="73" t="n">
        <v>2050</v>
      </c>
      <c r="F39" s="41" t="inlineStr">
        <is>
          <t>Each</t>
        </is>
      </c>
      <c r="G39" s="60">
        <f>IF(C39,ROUNDUP(C39*E39,0),"")</f>
        <v/>
      </c>
    </row>
    <row r="40" ht="42.75" customFormat="1" customHeight="1" s="88">
      <c r="A40" s="1">
        <f>IF(A37,A37+1,#REF!+1)</f>
        <v/>
      </c>
      <c r="B40" s="131" t="inlineStr">
        <is>
          <t>Supplying and fixing  C.I. cover with frame, C.I. gratings for chambers &amp; man holes.</t>
        </is>
      </c>
      <c r="C40" s="68">
        <f>sanitary_MEASUR!K73</f>
        <v/>
      </c>
      <c r="D40" s="88" t="inlineStr">
        <is>
          <t>Kg.</t>
        </is>
      </c>
      <c r="E40" s="91" t="n">
        <v>12</v>
      </c>
      <c r="F40" s="88" t="inlineStr">
        <is>
          <t>P Kg.</t>
        </is>
      </c>
      <c r="G40" s="60">
        <f>IF(C40,ROUNDUP(C40*E40,0),"")</f>
        <v/>
      </c>
    </row>
    <row r="41" ht="117.75" customHeight="1" s="72">
      <c r="A41" s="37" t="n">
        <v>19</v>
      </c>
      <c r="B41" s="38" t="inlineStr">
        <is>
          <t>Providing laying and jointing glazed SW pipes Grade `A’ (IS : 651 marked) of approved make with spun yarn &amp; stiff mixture of cement mortar 1:1 excavation and refilling of earth in all types of soil upto 1.2m depth, SW fittings, including testing of joints etc. complete 100 mm dia.</t>
        </is>
      </c>
      <c r="C41" s="68">
        <f>sanitary_MEASUR!K80</f>
        <v/>
      </c>
      <c r="D41" s="36" t="inlineStr">
        <is>
          <t>RM</t>
        </is>
      </c>
      <c r="E41" s="73" t="n">
        <v>95</v>
      </c>
      <c r="F41" s="41" t="inlineStr">
        <is>
          <t>P RM</t>
        </is>
      </c>
      <c r="G41" s="60">
        <f>IF(C41,ROUNDUP(C41*E41,0),"")</f>
        <v/>
      </c>
    </row>
    <row r="42" ht="91.5" customFormat="1" customHeight="1" s="88">
      <c r="A42" s="67" t="n">
        <v>20</v>
      </c>
      <c r="B42" s="132" t="inlineStr">
        <is>
          <t>Providing &amp; laying CC 1 : 5 : 10 (stone aggregate 40 nominal size) all around SW pipe incl. 15cm thick bed concrete as per Rajasthan PWD specifications (width W=dia of pipe in cm + 40 cm ). 100mm Dai SW pipe</t>
        </is>
      </c>
      <c r="C42" s="91">
        <f>sanitary_MEASUR!K81</f>
        <v/>
      </c>
      <c r="D42" s="88" t="inlineStr">
        <is>
          <t>Rm.</t>
        </is>
      </c>
      <c r="E42" s="91" t="n">
        <v>115</v>
      </c>
      <c r="F42" s="88" t="inlineStr">
        <is>
          <t>Per Rm.</t>
        </is>
      </c>
      <c r="G42" s="60">
        <f>IF(C42,ROUNDUP(C42*E42,0),"")</f>
        <v/>
      </c>
    </row>
    <row r="43" ht="138.75" customHeight="1" s="72">
      <c r="A43" s="65" t="n">
        <v>21</v>
      </c>
      <c r="B43" s="38" t="inlineStr">
        <is>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Internal chamber size 300 x 300 mm</t>
        </is>
      </c>
      <c r="C43" s="69">
        <f>sanitary_MEASUR!K82</f>
        <v/>
      </c>
      <c r="D43" s="88" t="inlineStr">
        <is>
          <t>No.</t>
        </is>
      </c>
      <c r="E43" s="91" t="n">
        <v>500</v>
      </c>
      <c r="F43" s="88" t="inlineStr">
        <is>
          <t>Each</t>
        </is>
      </c>
      <c r="G43" s="60">
        <f>IF(C43,ROUNDUP(C43*E43,0),"")</f>
        <v/>
      </c>
    </row>
    <row r="44" ht="46.5" customHeight="1" s="72">
      <c r="A44" s="89" t="n">
        <v>22</v>
      </c>
      <c r="B44" s="38" t="inlineStr">
        <is>
          <t>P &amp; F 15 mm Dai. Connection pipe of approved quality / make: PVC pipe 450 mm</t>
        </is>
      </c>
      <c r="C44" s="81">
        <f>sanitary_MEASUR!K84</f>
        <v/>
      </c>
      <c r="D44" s="36" t="inlineStr">
        <is>
          <t>Nos.</t>
        </is>
      </c>
      <c r="E44" s="73" t="n">
        <v>35</v>
      </c>
      <c r="F44" s="41" t="inlineStr">
        <is>
          <t>Each</t>
        </is>
      </c>
      <c r="G44" s="60">
        <f>IF(C44,ROUNDUP(C44*E44,0),"")</f>
        <v/>
      </c>
      <c r="J44" s="82" t="n"/>
      <c r="K44" s="20" t="n"/>
    </row>
    <row r="45" ht="84.75" customFormat="1" customHeight="1" s="88">
      <c r="A45" s="67" t="n">
        <v>23</v>
      </c>
      <c r="B45" s="132" t="inlineStr">
        <is>
          <t>P &amp; F  1 st quality WVC Urinal (IS: 2556 mark), with 25mm dia G.I. waste pipe, couplings, concealed iron brackets or screws etc. : Flat Back (small) size 456 x 355 X 265 mm.</t>
        </is>
      </c>
      <c r="C45" s="88" t="n">
        <v>2</v>
      </c>
      <c r="D45" s="88" t="inlineStr">
        <is>
          <t>Nos.</t>
        </is>
      </c>
      <c r="E45" s="91" t="n">
        <v>450</v>
      </c>
      <c r="F45" s="88" t="inlineStr">
        <is>
          <t>Each</t>
        </is>
      </c>
      <c r="G45" s="60">
        <f>IF(C45,ROUNDUP(C45*E45,0),"")</f>
        <v/>
      </c>
    </row>
    <row r="46" ht="99" customFormat="1" customHeight="1" s="88">
      <c r="A46" s="67" t="n">
        <v>24</v>
      </c>
      <c r="B46" s="132" t="inlineStr">
        <is>
          <t>P &amp; F Marble Urinal Partition slab both sides polished of approved design cut from marble size 900 X 600mm Makrana 'Adanga' or Raj Nagar 1st quality White or Andhi Indo-Italian marble. Trap size 150 x 100 mm, 7.20 Kg C.I. cover with frame .</t>
        </is>
      </c>
      <c r="C46" s="88" t="n">
        <v>2</v>
      </c>
      <c r="D46" s="88" t="inlineStr">
        <is>
          <t>No.</t>
        </is>
      </c>
      <c r="E46" s="91" t="n">
        <v>425</v>
      </c>
      <c r="F46" s="88" t="inlineStr">
        <is>
          <t>Each</t>
        </is>
      </c>
      <c r="G46" s="60">
        <f>IF(C46,ROUNDUP(C46*E46,0),"")</f>
        <v/>
      </c>
    </row>
    <row r="47">
      <c r="A47" s="1" t="n"/>
      <c r="D47" s="128" t="inlineStr">
        <is>
          <t xml:space="preserve">Total </t>
        </is>
      </c>
      <c r="E47" s="105" t="n"/>
      <c r="F47" s="127" t="inlineStr">
        <is>
          <t>Rs.</t>
        </is>
      </c>
      <c r="G47" s="128">
        <f>SUM(G5:G46)</f>
        <v/>
      </c>
    </row>
    <row r="48">
      <c r="A48" s="1" t="n"/>
      <c r="D48" s="73" t="n"/>
      <c r="F48" s="24" t="n"/>
      <c r="G48" s="73" t="n"/>
    </row>
    <row r="49" ht="15.75" customHeight="1" s="72">
      <c r="A49" s="1" t="n"/>
      <c r="D49" s="88" t="n"/>
      <c r="E49" s="91" t="n"/>
      <c r="F49" s="60" t="n"/>
      <c r="G49" s="126" t="inlineStr">
        <is>
          <t>CHARTERED   ENGINEER,</t>
        </is>
      </c>
    </row>
    <row r="50" ht="15.75" customFormat="1" customHeight="1" s="125">
      <c r="A50" s="62" t="n"/>
      <c r="E50" s="88" t="n"/>
      <c r="F50" s="48" t="n"/>
      <c r="G50" s="126" t="inlineStr">
        <is>
          <t>TEJHANS INVESTMENTS, UDAIPUR</t>
        </is>
      </c>
    </row>
    <row r="51" ht="15.75" customFormat="1" customHeight="1" s="125">
      <c r="A51" s="62" t="n"/>
      <c r="B51" s="120" t="n"/>
      <c r="C51" s="88" t="n"/>
      <c r="E51" s="88" t="n"/>
      <c r="F51" s="48" t="n"/>
    </row>
    <row r="52" customFormat="1" s="88">
      <c r="A52" s="65" t="n"/>
      <c r="B52" s="132" t="n"/>
      <c r="C52" s="42" t="n"/>
      <c r="E52" s="91" t="n"/>
      <c r="G52" s="60" t="n"/>
      <c r="H52" s="91" t="n"/>
      <c r="J52" s="91" t="n"/>
    </row>
    <row r="53" customFormat="1" s="88">
      <c r="A53" s="65" t="n"/>
      <c r="B53" s="132" t="n"/>
      <c r="C53" s="42" t="n"/>
      <c r="E53" s="91" t="n"/>
      <c r="G53" s="60" t="n"/>
      <c r="H53" s="91" t="n"/>
      <c r="J53" s="91" t="n"/>
    </row>
    <row r="54">
      <c r="A54" s="1" t="n"/>
      <c r="D54" s="73" t="n"/>
      <c r="F54" s="24" t="n"/>
      <c r="G54" s="73" t="n"/>
    </row>
    <row r="55">
      <c r="A55" s="1" t="n"/>
      <c r="B55" s="129" t="n"/>
    </row>
    <row r="56" s="72">
      <c r="A56" s="37" t="n"/>
      <c r="B56" s="38" t="n"/>
      <c r="C56" s="22" t="n"/>
      <c r="D56" s="41" t="n"/>
      <c r="E56" s="73" t="n"/>
      <c r="F56" s="41" t="n"/>
      <c r="G56" s="73" t="n"/>
    </row>
    <row r="57" s="72">
      <c r="A57" s="37" t="n"/>
      <c r="B57" s="38" t="n"/>
      <c r="C57" s="22" t="n"/>
      <c r="D57" s="41" t="n"/>
      <c r="E57" s="73" t="n"/>
      <c r="F57" s="41" t="n"/>
      <c r="G57" s="73" t="n"/>
    </row>
    <row r="58" s="72">
      <c r="A58" s="37" t="n"/>
      <c r="B58" s="38" t="n"/>
      <c r="C58" s="22" t="n"/>
      <c r="D58" s="41" t="n"/>
      <c r="E58" s="73" t="n"/>
      <c r="F58" s="41" t="n"/>
      <c r="G58" s="73" t="n"/>
    </row>
    <row r="59" s="72">
      <c r="A59" s="37" t="n"/>
      <c r="B59" s="38" t="n"/>
      <c r="C59" s="22" t="n"/>
      <c r="D59" s="41" t="n"/>
      <c r="E59" s="73" t="n"/>
      <c r="F59" s="41" t="n"/>
      <c r="G59" s="73" t="n"/>
    </row>
    <row r="60" s="72">
      <c r="A60" s="37" t="n"/>
      <c r="B60" s="38" t="n"/>
      <c r="C60" s="22" t="n"/>
      <c r="D60" s="41" t="n"/>
      <c r="E60" s="73" t="n"/>
      <c r="F60" s="41" t="n"/>
      <c r="G60" s="73" t="n"/>
    </row>
    <row r="61" s="72">
      <c r="A61" s="37" t="n"/>
      <c r="B61" s="38" t="n"/>
      <c r="C61" s="22" t="n"/>
      <c r="D61" s="41" t="n"/>
      <c r="E61" s="73" t="n"/>
      <c r="F61" s="41" t="n"/>
      <c r="G61" s="73" t="n"/>
    </row>
    <row r="62" s="72">
      <c r="A62" s="37" t="n"/>
      <c r="B62" s="38" t="n"/>
      <c r="C62" s="22" t="n"/>
      <c r="D62" s="41" t="n"/>
      <c r="E62" s="73" t="n"/>
      <c r="F62" s="41" t="n"/>
      <c r="G62" s="73" t="n"/>
    </row>
    <row r="63" s="72">
      <c r="A63" s="37" t="n"/>
      <c r="B63" s="38" t="n"/>
      <c r="C63" s="22" t="n"/>
      <c r="D63" s="41" t="n"/>
      <c r="E63" s="73" t="n"/>
      <c r="F63" s="41" t="n"/>
      <c r="G63" s="73" t="n"/>
    </row>
    <row r="64" s="72">
      <c r="A64" s="37" t="n"/>
      <c r="B64" s="38" t="n"/>
      <c r="C64" s="22" t="n"/>
      <c r="D64" s="41" t="n"/>
      <c r="E64" s="73" t="n"/>
      <c r="F64" s="41" t="n"/>
      <c r="G64" s="73" t="n"/>
    </row>
    <row r="65" s="72">
      <c r="A65" s="37" t="n"/>
      <c r="B65" s="38" t="n"/>
      <c r="C65" s="22" t="n"/>
      <c r="D65" s="41" t="n"/>
      <c r="E65" s="73" t="n"/>
      <c r="F65" s="41" t="n"/>
      <c r="G65" s="73" t="n"/>
    </row>
    <row r="66" s="72">
      <c r="A66" s="37" t="n"/>
      <c r="B66" s="38" t="n"/>
      <c r="C66" s="22" t="n"/>
      <c r="D66" s="41" t="n"/>
      <c r="E66" s="73" t="n"/>
      <c r="F66" s="41" t="n"/>
      <c r="G66" s="73" t="n"/>
    </row>
    <row r="67" s="72">
      <c r="A67" s="37" t="n"/>
      <c r="B67" s="38" t="n"/>
      <c r="C67" s="22" t="n"/>
      <c r="D67" s="41" t="n"/>
      <c r="E67" s="73" t="n"/>
      <c r="F67" s="41" t="n"/>
      <c r="G67" s="73" t="n"/>
    </row>
    <row r="68" s="72">
      <c r="A68" s="37" t="n"/>
      <c r="B68" s="38" t="n"/>
      <c r="C68" s="22" t="n"/>
      <c r="D68" s="41" t="n"/>
      <c r="E68" s="73" t="n"/>
      <c r="F68" s="41" t="n"/>
      <c r="G68" s="73" t="n"/>
    </row>
    <row r="69" s="72">
      <c r="A69" s="37" t="n"/>
      <c r="B69" s="38" t="n"/>
      <c r="C69" s="22" t="n"/>
      <c r="D69" s="41" t="n"/>
      <c r="E69" s="73" t="n"/>
      <c r="F69" s="41" t="n"/>
      <c r="G69" s="73" t="n"/>
    </row>
    <row r="70" s="72">
      <c r="A70" s="37" t="n"/>
      <c r="B70" s="38" t="n"/>
      <c r="C70" s="22" t="n"/>
      <c r="D70" s="41" t="n"/>
      <c r="E70" s="73" t="n"/>
      <c r="F70" s="41" t="n"/>
      <c r="G70" s="73" t="n"/>
    </row>
    <row r="71" s="72">
      <c r="A71" s="37" t="n"/>
      <c r="B71" s="38" t="n"/>
      <c r="C71" s="22" t="n"/>
      <c r="D71" s="41" t="n"/>
      <c r="E71" s="73" t="n"/>
      <c r="F71" s="41" t="n"/>
      <c r="G71" s="73" t="n"/>
    </row>
    <row r="72" s="72">
      <c r="A72" s="37" t="n"/>
      <c r="B72" s="38" t="n"/>
      <c r="C72" s="22" t="n"/>
      <c r="D72" s="41" t="n"/>
      <c r="E72" s="73" t="n"/>
      <c r="F72" s="41" t="n"/>
      <c r="G72" s="73" t="n"/>
    </row>
    <row r="73" s="72">
      <c r="A73" s="37" t="n"/>
      <c r="B73" s="38" t="n"/>
      <c r="C73" s="22" t="n"/>
      <c r="D73" s="41" t="n"/>
      <c r="E73" s="73" t="n"/>
      <c r="F73" s="41" t="n"/>
      <c r="G73" s="73" t="n"/>
    </row>
    <row r="74" s="72">
      <c r="A74" s="37" t="n"/>
      <c r="B74" s="38" t="n"/>
      <c r="C74" s="22" t="n"/>
      <c r="D74" s="41" t="n"/>
      <c r="E74" s="73" t="n"/>
      <c r="F74" s="41" t="n"/>
      <c r="G74" s="73" t="n"/>
    </row>
    <row r="75" s="72">
      <c r="A75" s="37" t="n"/>
      <c r="B75" s="38" t="n"/>
      <c r="C75" s="22" t="n"/>
      <c r="D75" s="41" t="n"/>
      <c r="E75" s="73" t="n"/>
      <c r="F75" s="41" t="n"/>
      <c r="G75" s="73" t="n"/>
    </row>
    <row r="76" s="72">
      <c r="A76" s="37" t="n"/>
      <c r="B76" s="38" t="n"/>
      <c r="C76" s="22" t="n"/>
      <c r="D76" s="41" t="n"/>
      <c r="E76" s="73" t="n"/>
      <c r="F76" s="41" t="n"/>
      <c r="G76" s="73" t="n"/>
    </row>
    <row r="77" s="72">
      <c r="A77" s="37" t="n"/>
      <c r="B77" s="38" t="n"/>
      <c r="C77" s="22" t="n"/>
      <c r="D77" s="41" t="n"/>
      <c r="E77" s="73" t="n"/>
      <c r="F77" s="41" t="n"/>
      <c r="G77" s="73" t="n"/>
    </row>
    <row r="78" s="72">
      <c r="A78" s="37" t="n"/>
      <c r="B78" s="38" t="n"/>
      <c r="C78" s="22" t="n"/>
      <c r="D78" s="41" t="n"/>
      <c r="E78" s="73" t="n"/>
      <c r="F78" s="41" t="n"/>
      <c r="G78" s="73" t="n"/>
    </row>
    <row r="79" s="72">
      <c r="A79" s="37" t="n"/>
      <c r="B79" s="38" t="n"/>
      <c r="C79" s="22" t="n"/>
      <c r="D79" s="41" t="n"/>
      <c r="E79" s="73" t="n"/>
      <c r="F79" s="41" t="n"/>
      <c r="G79" s="73" t="n"/>
    </row>
    <row r="80" s="72">
      <c r="A80" s="37" t="n"/>
      <c r="B80" s="38" t="n"/>
      <c r="C80" s="22" t="n"/>
      <c r="D80" s="41" t="n"/>
      <c r="E80" s="73" t="n"/>
      <c r="F80" s="41" t="n"/>
      <c r="G80" s="73" t="n"/>
    </row>
    <row r="81" s="72">
      <c r="A81" s="37" t="n"/>
      <c r="B81" s="38" t="n"/>
      <c r="C81" s="22" t="n"/>
      <c r="D81" s="41" t="n"/>
      <c r="E81" s="73" t="n"/>
      <c r="F81" s="41" t="n"/>
      <c r="G81" s="73" t="n"/>
    </row>
    <row r="82" s="72">
      <c r="A82" s="37" t="n"/>
      <c r="B82" s="38" t="n"/>
      <c r="C82" s="22" t="n"/>
      <c r="D82" s="41" t="n"/>
      <c r="E82" s="73" t="n"/>
      <c r="F82" s="41" t="n"/>
      <c r="G82" s="73" t="n"/>
    </row>
    <row r="83" s="72">
      <c r="A83" s="37" t="n"/>
      <c r="B83" s="38" t="n"/>
      <c r="C83" s="22" t="n"/>
      <c r="D83" s="41" t="n"/>
      <c r="E83" s="73" t="n"/>
      <c r="F83" s="41" t="n"/>
      <c r="G83" s="73" t="n"/>
    </row>
    <row r="84" s="72">
      <c r="A84" s="37" t="n"/>
      <c r="B84" s="38" t="n"/>
      <c r="C84" s="22" t="n"/>
      <c r="D84" s="41" t="n"/>
      <c r="E84" s="73" t="n"/>
      <c r="F84" s="41" t="n"/>
      <c r="G84" s="73" t="n"/>
    </row>
    <row r="85" s="72">
      <c r="A85" s="37" t="n"/>
      <c r="B85" s="38" t="n"/>
      <c r="C85" s="22" t="n"/>
      <c r="D85" s="41" t="n"/>
      <c r="E85" s="73" t="n"/>
      <c r="F85" s="41" t="n"/>
      <c r="G85" s="73" t="n"/>
    </row>
    <row r="86" s="72">
      <c r="A86" s="37" t="n"/>
      <c r="B86" s="38" t="n"/>
      <c r="C86" s="22" t="n"/>
      <c r="D86" s="41" t="n"/>
      <c r="E86" s="73" t="n"/>
      <c r="F86" s="41" t="n"/>
      <c r="G86" s="73" t="n"/>
    </row>
    <row r="87" s="72">
      <c r="A87" s="37" t="n"/>
      <c r="B87" s="38" t="n"/>
      <c r="C87" s="22" t="n"/>
      <c r="D87" s="41" t="n"/>
      <c r="E87" s="73" t="n"/>
      <c r="F87" s="41" t="n"/>
      <c r="G87" s="73" t="n"/>
    </row>
  </sheetData>
  <mergeCells count="3">
    <mergeCell ref="A3:G3"/>
    <mergeCell ref="A2:G2"/>
    <mergeCell ref="A1:G1"/>
  </mergeCells>
  <printOptions horizontalCentered="1"/>
  <pageMargins left="0.75" right="0.75" top="0.76" bottom="1" header="0.5" footer="0.5"/>
  <pageSetup orientation="portrait" paperSize="9" scale="90" fitToHeight="5" firstPageNumber="11" horizontalDpi="180" verticalDpi="180"/>
  <headerFooter alignWithMargins="0">
    <oddHeader/>
    <oddFooter>&amp;LGIRLS PHARMACY BNI&amp;R&amp;D&amp;'  Page-&amp;P</oddFooter>
    <evenHeader/>
    <evenFooter/>
    <firstHeader/>
    <firstFooter/>
  </headerFooter>
  <rowBreaks count="2" manualBreakCount="2">
    <brk id="20" min="0" max="6" man="1"/>
    <brk id="39" min="0" max="16383" man="1"/>
  </rowBreaks>
</worksheet>
</file>

<file path=xl/worksheets/sheet5.xml><?xml version="1.0" encoding="utf-8"?>
<worksheet xmlns="http://schemas.openxmlformats.org/spreadsheetml/2006/main">
  <sheetPr>
    <outlinePr summaryBelow="1" summaryRight="1"/>
    <pageSetUpPr fitToPage="1"/>
  </sheetPr>
  <dimension ref="A1:M91"/>
  <sheetViews>
    <sheetView topLeftCell="A186" zoomScaleNormal="100" workbookViewId="0">
      <selection activeCell="C192" sqref="C192"/>
    </sheetView>
    <sheetView topLeftCell="A186" workbookViewId="1">
      <selection activeCell="A190" sqref="A190"/>
    </sheetView>
  </sheetViews>
  <sheetFormatPr baseColWidth="8" defaultRowHeight="15"/>
  <cols>
    <col width="4.21875" customWidth="1" style="37" min="1" max="1"/>
    <col width="42.109375" customWidth="1" style="38" min="2" max="2"/>
    <col width="4" customWidth="1" style="22" min="3" max="3"/>
    <col width="1.77734375" customWidth="1" style="72" min="4" max="4"/>
    <col width="6.44140625" customWidth="1" style="73" min="5" max="5"/>
    <col width="2.77734375" customWidth="1" style="72" min="6" max="6"/>
    <col width="5.21875" customWidth="1" style="24" min="7" max="7"/>
    <col width="2.88671875" customWidth="1" style="72" min="8" max="8"/>
    <col width="4.5546875" customWidth="1" style="72" min="9" max="9"/>
    <col width="2" customWidth="1" style="72" min="10" max="10"/>
    <col width="8" customWidth="1" style="73" min="11" max="11"/>
    <col width="13.21875" customWidth="1" style="72" min="12" max="12"/>
    <col width="8.88671875" customWidth="1" style="72" min="13" max="16384"/>
  </cols>
  <sheetData>
    <row r="1" ht="36" customFormat="1" customHeight="1" s="88">
      <c r="A1" s="55">
        <f>'gen-abstract'!A2</f>
        <v/>
      </c>
      <c r="B1" s="13" t="n"/>
      <c r="C1" s="14" t="n"/>
      <c r="D1" s="13" t="n"/>
      <c r="E1" s="14" t="n"/>
      <c r="F1" s="13" t="n"/>
      <c r="G1" s="15" t="n"/>
      <c r="H1" s="13" t="n"/>
      <c r="I1" s="13" t="n"/>
      <c r="J1" s="13" t="n"/>
      <c r="K1" s="13" t="n"/>
      <c r="L1" s="13" t="n"/>
    </row>
    <row r="2" customFormat="1" s="88">
      <c r="A2" s="80" t="inlineStr">
        <is>
          <t>PART 'B'  SANITARY &amp; WATER SUPPLY  WORK</t>
        </is>
      </c>
      <c r="B2" s="13" t="n"/>
      <c r="C2" s="44" t="n"/>
      <c r="D2" s="40" t="n"/>
      <c r="E2" s="47" t="n"/>
      <c r="F2" s="40" t="n"/>
      <c r="G2" s="14" t="n"/>
      <c r="H2" s="13" t="n"/>
      <c r="I2" s="13" t="n"/>
      <c r="J2" s="13" t="n"/>
      <c r="K2" s="13" t="n"/>
      <c r="L2" s="13" t="n"/>
    </row>
    <row r="3" ht="18" customFormat="1" customHeight="1" s="88">
      <c r="A3" s="56" t="inlineStr">
        <is>
          <t>DETAILS OF MEASUREMENTS</t>
        </is>
      </c>
      <c r="B3" s="85" t="n"/>
      <c r="C3" s="85" t="n"/>
      <c r="D3" s="13" t="n"/>
      <c r="E3" s="14" t="n"/>
      <c r="F3" s="13" t="n"/>
      <c r="G3" s="15" t="n"/>
      <c r="H3" s="13" t="n"/>
      <c r="I3" s="14" t="n"/>
      <c r="J3" s="13" t="n"/>
      <c r="K3" s="13" t="n"/>
      <c r="L3" s="13" t="n"/>
    </row>
    <row r="4" customFormat="1" s="88">
      <c r="A4" s="33" t="inlineStr">
        <is>
          <t>S.N.</t>
        </is>
      </c>
      <c r="B4" s="26" t="inlineStr">
        <is>
          <t>Particulars</t>
        </is>
      </c>
      <c r="C4" s="30" t="inlineStr">
        <is>
          <t>Nos.</t>
        </is>
      </c>
      <c r="D4" s="27" t="n"/>
      <c r="E4" s="28" t="inlineStr">
        <is>
          <t>Length</t>
        </is>
      </c>
      <c r="F4" s="27" t="n"/>
      <c r="G4" s="31" t="inlineStr">
        <is>
          <t xml:space="preserve">Breadth </t>
        </is>
      </c>
      <c r="H4" s="28" t="n"/>
      <c r="I4" s="28" t="inlineStr">
        <is>
          <t>Height</t>
        </is>
      </c>
      <c r="J4" s="28" t="n"/>
      <c r="K4" s="28" t="inlineStr">
        <is>
          <t>Qty.</t>
        </is>
      </c>
      <c r="L4" s="28" t="inlineStr">
        <is>
          <t>Units</t>
        </is>
      </c>
    </row>
    <row r="5" ht="60" customHeight="1" s="72">
      <c r="A5" s="1" t="n">
        <v>1</v>
      </c>
      <c r="B5" s="18" t="inlineStr">
        <is>
          <t>P &amp; F Indian Type white glazed vitreous china Ist quality WC Orissa Pan (IS : 2556 Mark) with 100 mm vitreous china P or S trap including cutting and making good the wall and floor. Size 580x440 mm</t>
        </is>
      </c>
    </row>
    <row r="6">
      <c r="A6" s="1" t="n"/>
      <c r="B6" s="38" t="n"/>
      <c r="C6" s="22" t="n">
        <v>3</v>
      </c>
      <c r="D6" s="20" t="inlineStr">
        <is>
          <t>x</t>
        </is>
      </c>
      <c r="E6" s="82" t="n">
        <v>1</v>
      </c>
      <c r="G6" s="24" t="n"/>
      <c r="H6" s="7" t="n"/>
      <c r="I6" s="7" t="n"/>
      <c r="J6" s="91">
        <f>IF(K6,"=","")</f>
        <v/>
      </c>
      <c r="K6" s="78">
        <f>C6*E6</f>
        <v/>
      </c>
      <c r="L6" s="77" t="inlineStr">
        <is>
          <t>Nos.</t>
        </is>
      </c>
    </row>
    <row r="7" ht="45" customHeight="1" s="72">
      <c r="A7" s="1">
        <f>A5+1</f>
        <v/>
      </c>
      <c r="B7" s="18" t="inlineStr">
        <is>
          <t>P &amp; F Flush cock/Flush valve (IS : 9758 Mark) for WC of approved quality make : C.P. Brass concealed 25 mm</t>
        </is>
      </c>
      <c r="C7" s="22" t="n"/>
      <c r="D7" s="20" t="n"/>
      <c r="E7" s="82" t="n"/>
      <c r="G7" s="24" t="n"/>
      <c r="J7" s="91">
        <f>IF(K7,"=","")</f>
        <v/>
      </c>
      <c r="K7" s="82" t="n"/>
      <c r="L7" s="20" t="n"/>
    </row>
    <row r="8">
      <c r="A8" s="1" t="n"/>
      <c r="B8" s="38" t="n"/>
      <c r="C8" s="22" t="n">
        <v>3</v>
      </c>
      <c r="D8" s="20" t="inlineStr">
        <is>
          <t>x</t>
        </is>
      </c>
      <c r="E8" s="82" t="n">
        <v>1</v>
      </c>
      <c r="G8" s="24" t="n"/>
      <c r="H8" s="7" t="n"/>
      <c r="I8" s="7" t="n"/>
      <c r="J8" s="91">
        <f>IF(K8,"=","")</f>
        <v/>
      </c>
      <c r="K8" s="78">
        <f>C8*E8</f>
        <v/>
      </c>
      <c r="L8" s="77" t="inlineStr">
        <is>
          <t>Nos.</t>
        </is>
      </c>
    </row>
    <row r="9">
      <c r="A9" s="1" t="n"/>
      <c r="B9" s="38" t="n"/>
      <c r="C9" s="22" t="n"/>
      <c r="D9" s="20" t="n"/>
      <c r="E9" s="82" t="n"/>
      <c r="G9" s="24" t="n"/>
      <c r="H9" t="inlineStr">
        <is>
          <t>Total</t>
        </is>
      </c>
      <c r="J9" s="91">
        <f>IF(K9,"=","")</f>
        <v/>
      </c>
      <c r="K9" s="82">
        <f>SUM(K8:K8)</f>
        <v/>
      </c>
      <c r="L9" s="20" t="inlineStr">
        <is>
          <t>Nos.</t>
        </is>
      </c>
    </row>
    <row r="10">
      <c r="A10" s="1">
        <f>IF(A7,A7+1,A5+1)</f>
        <v/>
      </c>
      <c r="B10" s="38" t="n"/>
      <c r="C10" s="22" t="n"/>
      <c r="D10" s="20" t="n"/>
      <c r="E10" s="82" t="n"/>
      <c r="G10" s="24" t="n"/>
      <c r="J10" s="91">
        <f>IF(K10,"=","")</f>
        <v/>
      </c>
      <c r="K10" s="82" t="n"/>
      <c r="L10" s="20" t="n"/>
    </row>
    <row r="11">
      <c r="A11" s="1" t="n"/>
      <c r="B11" s="18" t="n"/>
      <c r="C11" s="22" t="n">
        <v>3</v>
      </c>
      <c r="D11" s="20" t="inlineStr">
        <is>
          <t>x</t>
        </is>
      </c>
      <c r="E11" s="82" t="n">
        <v>1</v>
      </c>
      <c r="G11" s="24" t="n"/>
      <c r="H11" s="7" t="n"/>
      <c r="I11" s="7" t="n"/>
      <c r="J11" s="91">
        <f>IF(K11,"=","")</f>
        <v/>
      </c>
      <c r="K11" s="78">
        <f>C11*E11</f>
        <v/>
      </c>
      <c r="L11" s="77" t="inlineStr">
        <is>
          <t>Nos.</t>
        </is>
      </c>
    </row>
    <row r="12">
      <c r="A12" s="1" t="n"/>
      <c r="B12" s="38" t="n"/>
      <c r="C12" s="22" t="n"/>
      <c r="D12" s="20" t="n"/>
      <c r="E12" s="82" t="n"/>
      <c r="G12" s="24" t="n"/>
      <c r="H12" t="inlineStr">
        <is>
          <t>Total</t>
        </is>
      </c>
      <c r="J12" s="91">
        <f>IF(K12,"=","")</f>
        <v/>
      </c>
      <c r="K12" s="82">
        <f>SUM(K11:K11)</f>
        <v/>
      </c>
      <c r="L12" s="20" t="inlineStr">
        <is>
          <t>Nos.</t>
        </is>
      </c>
    </row>
    <row r="13" ht="75" customHeight="1" s="72">
      <c r="A13" s="1">
        <f>IF(A10,A10+1,A7+1)</f>
        <v/>
      </c>
      <c r="B13" s="18" t="inlineStr">
        <is>
          <t xml:space="preserve">P&amp;F bevelled edge mirror of special glass of approved make (Atul or equivalent) complete with 6 mm thick Asbestos Cement  sheet ground fixed to wooden screws &amp; washers sizes 600 x 450 mm x 4 mm thick. </t>
        </is>
      </c>
      <c r="C13" s="81">
        <f>K12</f>
        <v/>
      </c>
      <c r="D13" s="20" t="inlineStr">
        <is>
          <t>x</t>
        </is>
      </c>
      <c r="E13" s="82" t="n">
        <v>1</v>
      </c>
      <c r="G13" s="24" t="n"/>
      <c r="J13" s="91">
        <f>IF(K13,"=","")</f>
        <v/>
      </c>
      <c r="K13" s="82">
        <f>C13*E13</f>
        <v/>
      </c>
      <c r="L13" s="20" t="inlineStr">
        <is>
          <t>Nos.</t>
        </is>
      </c>
    </row>
    <row r="14">
      <c r="A14" s="1" t="n"/>
      <c r="B14" s="18" t="n"/>
      <c r="C14" s="81" t="n"/>
      <c r="D14" s="20" t="n"/>
      <c r="E14" s="82" t="n"/>
      <c r="G14" s="24" t="n"/>
      <c r="J14" s="91" t="n"/>
      <c r="K14" s="82" t="n"/>
      <c r="L14" s="20" t="n"/>
    </row>
    <row r="15">
      <c r="A15" s="1" t="n">
        <v>5</v>
      </c>
      <c r="B15" s="18" t="inlineStr">
        <is>
          <t>P &amp; F grating of approved/quality make : Cast iron.</t>
        </is>
      </c>
      <c r="C15" s="22" t="n"/>
      <c r="D15" s="20" t="n"/>
      <c r="E15" s="82" t="n"/>
      <c r="G15" s="24" t="n"/>
      <c r="J15" s="91">
        <f>IF(K15,"=","")</f>
        <v/>
      </c>
      <c r="K15" s="82" t="n"/>
      <c r="L15" s="20" t="n"/>
    </row>
    <row r="16">
      <c r="A16" s="1" t="n"/>
      <c r="B16" s="18" t="inlineStr">
        <is>
          <t xml:space="preserve">G.F. </t>
        </is>
      </c>
      <c r="C16" s="22" t="n">
        <v>6</v>
      </c>
      <c r="D16" s="20" t="inlineStr">
        <is>
          <t>x</t>
        </is>
      </c>
      <c r="E16" s="82" t="n">
        <v>1</v>
      </c>
      <c r="G16" s="24" t="n"/>
      <c r="J16" s="91">
        <f>IF(K16,"=","")</f>
        <v/>
      </c>
      <c r="K16" s="82">
        <f>C16*E16</f>
        <v/>
      </c>
      <c r="L16" s="20" t="inlineStr">
        <is>
          <t>Nos.</t>
        </is>
      </c>
    </row>
    <row r="17">
      <c r="A17" s="1" t="n"/>
      <c r="B17" s="38" t="n"/>
      <c r="C17" s="22" t="n"/>
      <c r="D17" s="20" t="n"/>
      <c r="E17" s="82" t="n"/>
      <c r="G17" s="24" t="n"/>
      <c r="H17" s="105" t="inlineStr">
        <is>
          <t>Total</t>
        </is>
      </c>
      <c r="I17" s="105" t="n"/>
      <c r="J17" s="121">
        <f>IF(K17,"=","")</f>
        <v/>
      </c>
      <c r="K17" s="122">
        <f>SUM(K16:K16)</f>
        <v/>
      </c>
      <c r="L17" s="123" t="inlineStr">
        <is>
          <t>Nos.</t>
        </is>
      </c>
    </row>
    <row r="18" ht="45" customHeight="1" s="72">
      <c r="A18" s="1" t="n">
        <v>6</v>
      </c>
      <c r="B18" s="18" t="inlineStr">
        <is>
          <t xml:space="preserve">P &amp; F GI Pipes (Internal work) with G.I. fittings (IS : 1239 Mark) &amp; MS clamps, including cutting and making good the walls and floors : </t>
        </is>
      </c>
      <c r="C18" s="22" t="n"/>
      <c r="D18" s="20" t="n"/>
      <c r="E18" s="82" t="n"/>
      <c r="G18" s="24" t="n"/>
      <c r="J18" s="91">
        <f>IF(K18,"=","")</f>
        <v/>
      </c>
      <c r="K18" s="82" t="n"/>
      <c r="L18" s="20" t="n"/>
    </row>
    <row r="19">
      <c r="A19" s="66" t="inlineStr">
        <is>
          <t>A.</t>
        </is>
      </c>
      <c r="B19" s="38" t="inlineStr">
        <is>
          <t>15 mm dia nominal bore `B’ Class.</t>
        </is>
      </c>
      <c r="C19" s="22" t="n"/>
      <c r="D19" s="20" t="n"/>
      <c r="E19" s="73" t="n"/>
      <c r="G19" s="24" t="n"/>
      <c r="J19" s="91">
        <f>IF(K19,"=","")</f>
        <v/>
      </c>
      <c r="K19" s="73" t="n"/>
      <c r="L19" s="22" t="n"/>
    </row>
    <row r="20">
      <c r="A20" s="66" t="n"/>
      <c r="B20" s="38" t="inlineStr">
        <is>
          <t>W.C. Internal plumbing</t>
        </is>
      </c>
      <c r="C20" s="22" t="n">
        <v>3</v>
      </c>
      <c r="D20" s="20" t="inlineStr">
        <is>
          <t>x</t>
        </is>
      </c>
      <c r="E20" s="73" t="n">
        <v>4.5</v>
      </c>
      <c r="G20" s="24" t="n"/>
      <c r="J20" s="91">
        <f>IF(K20,"=","")</f>
        <v/>
      </c>
      <c r="K20" s="73">
        <f>C20*E20</f>
        <v/>
      </c>
      <c r="L20" s="22" t="inlineStr">
        <is>
          <t>RM</t>
        </is>
      </c>
    </row>
    <row r="21">
      <c r="A21" s="66" t="n"/>
      <c r="B21" s="38" t="inlineStr">
        <is>
          <t>W.B. Internal plumbing</t>
        </is>
      </c>
      <c r="C21" s="22" t="n">
        <v>3</v>
      </c>
      <c r="D21" s="20" t="inlineStr">
        <is>
          <t>x</t>
        </is>
      </c>
      <c r="E21" s="73" t="n">
        <v>4.5</v>
      </c>
      <c r="G21" s="24" t="n"/>
      <c r="J21" s="91">
        <f>IF(K21,"=","")</f>
        <v/>
      </c>
      <c r="K21" s="73">
        <f>C21*E21</f>
        <v/>
      </c>
      <c r="L21" s="22" t="inlineStr">
        <is>
          <t>RM</t>
        </is>
      </c>
    </row>
    <row r="22">
      <c r="A22" s="66" t="n"/>
      <c r="B22" s="38" t="n"/>
      <c r="C22" s="22" t="n"/>
      <c r="D22" s="20" t="n"/>
      <c r="E22" s="73" t="n"/>
      <c r="G22" s="24" t="n"/>
      <c r="H22" s="105" t="inlineStr">
        <is>
          <t xml:space="preserve">Total </t>
        </is>
      </c>
      <c r="I22" s="105" t="n"/>
      <c r="J22" s="121">
        <f>IF(K22,"=","")</f>
        <v/>
      </c>
      <c r="K22" s="128">
        <f>SUM(K19:K21)</f>
        <v/>
      </c>
      <c r="L22" s="124" t="inlineStr">
        <is>
          <t>RM</t>
        </is>
      </c>
    </row>
    <row r="23">
      <c r="A23" s="66" t="inlineStr">
        <is>
          <t>B.</t>
        </is>
      </c>
      <c r="B23" s="38" t="inlineStr">
        <is>
          <t xml:space="preserve">25 mm dia nominal bore `B’ Class </t>
        </is>
      </c>
      <c r="C23" s="22" t="n"/>
      <c r="D23" s="20" t="n"/>
      <c r="E23" s="82" t="n"/>
      <c r="G23" s="24" t="n"/>
      <c r="J23" s="91">
        <f>IF(K23,"=","")</f>
        <v/>
      </c>
      <c r="K23" s="82" t="n"/>
      <c r="L23" s="20" t="n"/>
    </row>
    <row r="24">
      <c r="A24" s="66" t="n"/>
      <c r="B24" s="18" t="inlineStr">
        <is>
          <t>Uptake pipes</t>
        </is>
      </c>
      <c r="C24" s="22" t="n">
        <v>2</v>
      </c>
      <c r="D24" s="20" t="inlineStr">
        <is>
          <t>x</t>
        </is>
      </c>
      <c r="E24" s="73" t="n">
        <v>16.2</v>
      </c>
      <c r="G24" s="24" t="n"/>
      <c r="J24" s="91">
        <f>IF(K24,"=","")</f>
        <v/>
      </c>
      <c r="K24" s="73">
        <f>C24*E24</f>
        <v/>
      </c>
      <c r="L24" s="22" t="inlineStr">
        <is>
          <t>RM</t>
        </is>
      </c>
    </row>
    <row r="25">
      <c r="A25" s="66" t="n"/>
      <c r="B25" s="18" t="inlineStr">
        <is>
          <t xml:space="preserve">Down take </t>
        </is>
      </c>
      <c r="C25" s="22" t="n">
        <v>3</v>
      </c>
      <c r="D25" s="20" t="inlineStr">
        <is>
          <t>x</t>
        </is>
      </c>
      <c r="E25" s="73" t="n">
        <v>14</v>
      </c>
      <c r="J25" s="91">
        <f>IF(K25,"=","")</f>
        <v/>
      </c>
      <c r="K25" s="73">
        <f>C25*E25</f>
        <v/>
      </c>
      <c r="L25" s="22" t="inlineStr">
        <is>
          <t>RM</t>
        </is>
      </c>
    </row>
    <row r="26">
      <c r="A26" s="66" t="n"/>
      <c r="B26" s="18" t="inlineStr">
        <is>
          <t>Down take for W.C.</t>
        </is>
      </c>
      <c r="C26" s="22" t="n">
        <v>2</v>
      </c>
      <c r="D26" s="20" t="inlineStr">
        <is>
          <t>x</t>
        </is>
      </c>
      <c r="E26" s="73" t="n">
        <v>8.1</v>
      </c>
      <c r="J26" s="91">
        <f>IF(K26,"=","")</f>
        <v/>
      </c>
      <c r="K26" s="73">
        <f>C26*E26</f>
        <v/>
      </c>
      <c r="L26" s="22" t="inlineStr">
        <is>
          <t>RM</t>
        </is>
      </c>
    </row>
    <row r="27">
      <c r="A27" s="66" t="n"/>
      <c r="B27" s="38" t="n"/>
      <c r="C27" s="22" t="n"/>
      <c r="D27" s="20" t="n"/>
      <c r="E27" s="73" t="n"/>
      <c r="G27" s="24" t="n"/>
      <c r="H27" s="105" t="inlineStr">
        <is>
          <t xml:space="preserve">Total </t>
        </is>
      </c>
      <c r="I27" s="105" t="n"/>
      <c r="J27" s="121">
        <f>IF(K27,"=","")</f>
        <v/>
      </c>
      <c r="K27" s="128">
        <f>SUM(K23:K26)</f>
        <v/>
      </c>
      <c r="L27" s="124" t="inlineStr">
        <is>
          <t>RM</t>
        </is>
      </c>
    </row>
    <row r="28" ht="45" customHeight="1" s="72">
      <c r="A28" s="1">
        <f>A18+1</f>
        <v/>
      </c>
      <c r="B28" s="18" t="inlineStr">
        <is>
          <t xml:space="preserve">P &amp; F GI Pipes (External work) with G.I. fittings (IS : 1239 Mark) , including  trenching and refilling earth etc. : </t>
        </is>
      </c>
      <c r="C28" s="22" t="n"/>
      <c r="D28" s="20" t="n"/>
      <c r="E28" s="82" t="n"/>
      <c r="G28" s="24" t="n"/>
      <c r="J28" s="91">
        <f>IF(K28,"=","")</f>
        <v/>
      </c>
      <c r="K28" s="82" t="n"/>
      <c r="L28" s="20" t="n"/>
    </row>
    <row r="29">
      <c r="A29" s="37" t="inlineStr">
        <is>
          <t>A.</t>
        </is>
      </c>
      <c r="B29" s="18" t="inlineStr">
        <is>
          <t>25 mm dia nominal bore `B’ Class.</t>
        </is>
      </c>
      <c r="C29" s="22" t="n"/>
      <c r="D29" s="20" t="n"/>
      <c r="E29" s="82" t="n"/>
      <c r="G29" s="24" t="n"/>
      <c r="J29" s="91">
        <f>IF(K29,"=","")</f>
        <v/>
      </c>
      <c r="K29" s="82" t="n"/>
      <c r="L29" s="20" t="n"/>
    </row>
    <row r="30">
      <c r="A30" s="66" t="n"/>
      <c r="B30" s="38" t="inlineStr">
        <is>
          <t>Ring main</t>
        </is>
      </c>
      <c r="C30" s="22" t="n">
        <v>2</v>
      </c>
      <c r="D30" s="20" t="inlineStr">
        <is>
          <t>x</t>
        </is>
      </c>
      <c r="E30" s="73" t="n">
        <v>30</v>
      </c>
      <c r="G30" s="24" t="n"/>
      <c r="J30" s="91">
        <f>IF(K30,"=","")</f>
        <v/>
      </c>
      <c r="K30" s="73">
        <f>C30*E30</f>
        <v/>
      </c>
      <c r="L30" s="22" t="inlineStr">
        <is>
          <t>RM</t>
        </is>
      </c>
    </row>
    <row r="31">
      <c r="A31" s="66" t="n"/>
      <c r="B31" s="38" t="inlineStr">
        <is>
          <t>Court yard</t>
        </is>
      </c>
      <c r="C31" s="22" t="n">
        <v>4</v>
      </c>
      <c r="D31" s="20" t="inlineStr">
        <is>
          <t>x</t>
        </is>
      </c>
      <c r="E31" s="73" t="n">
        <v>15</v>
      </c>
      <c r="G31" s="24" t="n"/>
      <c r="J31" s="91">
        <f>IF(K31,"=","")</f>
        <v/>
      </c>
      <c r="K31" s="73">
        <f>C31*E31</f>
        <v/>
      </c>
      <c r="L31" s="22" t="inlineStr">
        <is>
          <t>RM</t>
        </is>
      </c>
    </row>
    <row r="32">
      <c r="A32" s="66" t="n"/>
      <c r="B32" s="38" t="n"/>
      <c r="C32" s="22" t="n"/>
      <c r="D32" s="20" t="n"/>
      <c r="E32" s="73" t="n"/>
      <c r="G32" s="24" t="n"/>
      <c r="H32" s="105" t="inlineStr">
        <is>
          <t xml:space="preserve">Total </t>
        </is>
      </c>
      <c r="I32" s="105" t="n"/>
      <c r="J32" s="121">
        <f>IF(K32,"=","")</f>
        <v/>
      </c>
      <c r="K32" s="128">
        <f>SUM(K30:K31)</f>
        <v/>
      </c>
      <c r="L32" s="124" t="inlineStr">
        <is>
          <t>RM</t>
        </is>
      </c>
    </row>
    <row r="33" ht="30" customHeight="1" s="72">
      <c r="A33" s="37">
        <f>A28+1</f>
        <v/>
      </c>
      <c r="B33" s="18" t="inlineStr">
        <is>
          <t>Making connection of G.I. distribution branch with G.I. main including all fittings . (a) upto 25 mm  dia.</t>
        </is>
      </c>
      <c r="C33" s="22" t="n"/>
      <c r="D33" s="20" t="n"/>
      <c r="E33" s="82" t="n"/>
      <c r="G33" s="24" t="n"/>
      <c r="J33" s="91">
        <f>IF(K33,"=","")</f>
        <v/>
      </c>
      <c r="K33" s="82" t="n"/>
      <c r="L33" s="20" t="n"/>
    </row>
    <row r="34">
      <c r="A34" s="1" t="n"/>
      <c r="B34" s="2" t="inlineStr">
        <is>
          <t>Toilets</t>
        </is>
      </c>
      <c r="C34" s="22" t="n">
        <v>3</v>
      </c>
      <c r="D34" s="20" t="inlineStr">
        <is>
          <t>x</t>
        </is>
      </c>
      <c r="E34" s="82" t="n">
        <v>3</v>
      </c>
      <c r="G34" s="24" t="n"/>
      <c r="J34" s="91">
        <f>IF(K34,"=","")</f>
        <v/>
      </c>
      <c r="K34" s="82">
        <f>C34*E34</f>
        <v/>
      </c>
      <c r="L34" s="20" t="inlineStr">
        <is>
          <t>Nos.</t>
        </is>
      </c>
    </row>
    <row r="35">
      <c r="A35" s="1" t="n"/>
      <c r="B35" s="38" t="n"/>
      <c r="C35" s="22" t="n"/>
      <c r="D35" s="20" t="n"/>
      <c r="E35" s="82" t="n"/>
      <c r="G35" s="24" t="n"/>
      <c r="H35" t="inlineStr">
        <is>
          <t>Total</t>
        </is>
      </c>
      <c r="J35" s="91">
        <f>IF(K35,"=","")</f>
        <v/>
      </c>
      <c r="K35" s="82">
        <f>SUM(K34:K34)</f>
        <v/>
      </c>
      <c r="L35" s="20" t="inlineStr">
        <is>
          <t>Nos.</t>
        </is>
      </c>
    </row>
    <row r="36" ht="30" customHeight="1" s="72">
      <c r="A36" s="1">
        <f>A33+1</f>
        <v/>
      </c>
      <c r="B36" s="18" t="inlineStr">
        <is>
          <t xml:space="preserve">P &amp; F Bib Cock (IS : 8931 Mark) superior quality of approved make : Brass 400 gram 15 mm </t>
        </is>
      </c>
      <c r="C36" s="22" t="n"/>
      <c r="D36" s="20" t="n"/>
      <c r="E36" s="82" t="n"/>
      <c r="G36" s="24" t="n"/>
      <c r="J36" s="91">
        <f>IF(K36,"=","")</f>
        <v/>
      </c>
      <c r="K36" s="82" t="n"/>
      <c r="L36" s="20" t="n"/>
    </row>
    <row r="37">
      <c r="A37" s="1" t="n"/>
      <c r="B37" s="38" t="inlineStr">
        <is>
          <t>W.C.</t>
        </is>
      </c>
      <c r="C37" s="22" t="n">
        <v>3</v>
      </c>
      <c r="D37" s="20" t="inlineStr">
        <is>
          <t>x</t>
        </is>
      </c>
      <c r="E37" s="82" t="n">
        <v>1</v>
      </c>
      <c r="G37" s="24" t="n"/>
      <c r="J37" s="91">
        <f>IF(K37,"=","")</f>
        <v/>
      </c>
      <c r="K37" s="82">
        <f>C37*E37</f>
        <v/>
      </c>
      <c r="L37" s="20" t="inlineStr">
        <is>
          <t>Nos.</t>
        </is>
      </c>
    </row>
    <row r="38">
      <c r="A38" s="1" t="n"/>
      <c r="B38" s="38" t="inlineStr">
        <is>
          <t>Court Yard</t>
        </is>
      </c>
      <c r="C38" s="22" t="n">
        <v>1</v>
      </c>
      <c r="D38" s="20" t="inlineStr">
        <is>
          <t>x</t>
        </is>
      </c>
      <c r="E38" s="82" t="n">
        <v>1</v>
      </c>
      <c r="G38" s="24" t="n"/>
      <c r="J38" s="91">
        <f>IF(K38,"=","")</f>
        <v/>
      </c>
      <c r="K38" s="82">
        <f>C38*E38</f>
        <v/>
      </c>
      <c r="L38" s="20" t="inlineStr">
        <is>
          <t>Nos.</t>
        </is>
      </c>
    </row>
    <row r="39">
      <c r="A39" s="1" t="n"/>
      <c r="B39" s="38" t="n"/>
      <c r="C39" s="22" t="n"/>
      <c r="D39" s="20" t="n"/>
      <c r="E39" s="82" t="n"/>
      <c r="G39" s="24" t="n"/>
      <c r="H39" s="105" t="inlineStr">
        <is>
          <t>Total</t>
        </is>
      </c>
      <c r="I39" s="105" t="n"/>
      <c r="J39" s="121">
        <f>IF(K39,"=","")</f>
        <v/>
      </c>
      <c r="K39" s="122">
        <f>SUM(K37:K38)</f>
        <v/>
      </c>
      <c r="L39" s="123" t="inlineStr">
        <is>
          <t>Nos.</t>
        </is>
      </c>
    </row>
    <row r="40" ht="30" customHeight="1" s="72">
      <c r="A40" s="1">
        <f>IF(A36,A36+1,#REF!+1)</f>
        <v/>
      </c>
      <c r="B40" s="18" t="inlineStr">
        <is>
          <t xml:space="preserve">P &amp; F Stop Cock (IS : 8931 Mark) superior quality of approved make : Brass 400 gram 15 mm </t>
        </is>
      </c>
      <c r="C40" s="22" t="n"/>
      <c r="D40" s="20" t="n"/>
      <c r="E40" s="82" t="n"/>
      <c r="G40" s="24" t="n"/>
      <c r="J40" s="91">
        <f>IF(K40,"=","")</f>
        <v/>
      </c>
      <c r="K40" s="82" t="n"/>
      <c r="L40" s="20" t="n"/>
    </row>
    <row r="41">
      <c r="A41" s="1" t="n"/>
      <c r="B41" s="18" t="inlineStr">
        <is>
          <t>W.B.</t>
        </is>
      </c>
      <c r="C41" s="22" t="n">
        <v>3</v>
      </c>
      <c r="D41" s="20" t="inlineStr">
        <is>
          <t>x</t>
        </is>
      </c>
      <c r="E41" s="82" t="n">
        <v>1</v>
      </c>
      <c r="G41" s="24" t="n"/>
      <c r="J41" s="91">
        <f>IF(K41,"=","")</f>
        <v/>
      </c>
      <c r="K41" s="82">
        <f>C41*E41</f>
        <v/>
      </c>
      <c r="L41" s="20" t="inlineStr">
        <is>
          <t>Nos.</t>
        </is>
      </c>
    </row>
    <row r="42">
      <c r="A42" s="1" t="n"/>
      <c r="B42" s="38" t="n"/>
      <c r="C42" s="22" t="n"/>
      <c r="D42" s="20" t="n"/>
      <c r="E42" s="82" t="n"/>
      <c r="G42" s="24" t="n"/>
      <c r="H42" t="inlineStr">
        <is>
          <t>Total</t>
        </is>
      </c>
      <c r="J42" s="91">
        <f>IF(K42,"=","")</f>
        <v/>
      </c>
      <c r="K42" s="82">
        <f>SUM(K41:K41)</f>
        <v/>
      </c>
      <c r="L42" s="20" t="inlineStr">
        <is>
          <t>Nos.</t>
        </is>
      </c>
    </row>
    <row r="43" ht="30" customHeight="1" s="72">
      <c r="A43" s="1" t="n">
        <v>11</v>
      </c>
      <c r="B43" s="18" t="inlineStr">
        <is>
          <t xml:space="preserve">P/F full way valve (IS:778 Mark) or wheel valve of approved make: gun metal  </t>
        </is>
      </c>
      <c r="C43" s="22" t="n"/>
      <c r="D43" s="20" t="n"/>
      <c r="E43" s="82" t="n"/>
      <c r="G43" s="24" t="n"/>
      <c r="J43" s="91">
        <f>IF(K43,"=","")</f>
        <v/>
      </c>
      <c r="K43" s="82" t="n"/>
      <c r="L43" s="20" t="n"/>
    </row>
    <row r="44" s="72">
      <c r="A44" s="1" t="n"/>
      <c r="B44" s="18" t="inlineStr">
        <is>
          <t>(A)  15 mm</t>
        </is>
      </c>
      <c r="C44" s="69" t="n"/>
      <c r="D44" s="36" t="n"/>
      <c r="E44" s="73" t="n"/>
      <c r="F44" s="41" t="n"/>
      <c r="G44" s="91" t="n"/>
      <c r="J44" s="91">
        <f>IF(K44,"=","")</f>
        <v/>
      </c>
    </row>
    <row r="45">
      <c r="A45" s="1" t="n"/>
      <c r="B45" s="2" t="inlineStr">
        <is>
          <t>G.F. units</t>
        </is>
      </c>
      <c r="C45" s="22" t="n">
        <v>3</v>
      </c>
      <c r="D45" s="20" t="inlineStr">
        <is>
          <t>x</t>
        </is>
      </c>
      <c r="E45" s="82" t="n">
        <v>1</v>
      </c>
      <c r="G45" s="24" t="n"/>
      <c r="H45" s="7" t="n"/>
      <c r="I45" s="7" t="n"/>
      <c r="J45" s="91">
        <f>IF(K45,"=","")</f>
        <v/>
      </c>
      <c r="K45" s="78">
        <f>C45*E45</f>
        <v/>
      </c>
      <c r="L45" s="77" t="inlineStr">
        <is>
          <t>Nos.</t>
        </is>
      </c>
    </row>
    <row r="46">
      <c r="A46" s="1" t="n"/>
      <c r="B46" s="38" t="n"/>
      <c r="C46" s="22" t="n"/>
      <c r="D46" s="20" t="n"/>
      <c r="E46" s="82" t="n"/>
      <c r="G46" s="24" t="n"/>
      <c r="H46" t="inlineStr">
        <is>
          <t>Total</t>
        </is>
      </c>
      <c r="J46" s="91">
        <f>IF(K46,"=","")</f>
        <v/>
      </c>
      <c r="K46" s="82">
        <f>SUM(K45)</f>
        <v/>
      </c>
      <c r="L46" s="20" t="inlineStr">
        <is>
          <t>Nos.</t>
        </is>
      </c>
    </row>
    <row r="47" s="72">
      <c r="A47" s="1" t="n"/>
      <c r="B47" s="18" t="inlineStr">
        <is>
          <t>(B) 25 mm</t>
        </is>
      </c>
      <c r="C47" s="69" t="n"/>
      <c r="D47" s="36" t="n"/>
      <c r="E47" s="73" t="n"/>
      <c r="F47" s="41" t="n"/>
      <c r="G47" s="91" t="n"/>
      <c r="J47" s="91">
        <f>IF(K47,"=","")</f>
        <v/>
      </c>
    </row>
    <row r="48">
      <c r="A48" s="1" t="n"/>
      <c r="B48" s="18" t="inlineStr">
        <is>
          <t>Tanks</t>
        </is>
      </c>
      <c r="C48" s="22" t="n">
        <v>2</v>
      </c>
      <c r="D48" s="20" t="inlineStr">
        <is>
          <t>x</t>
        </is>
      </c>
      <c r="E48" s="82" t="n">
        <v>1</v>
      </c>
      <c r="G48" s="24" t="n"/>
      <c r="H48" s="7" t="n"/>
      <c r="I48" s="7" t="n"/>
      <c r="J48" s="91">
        <f>IF(K48,"=","")</f>
        <v/>
      </c>
      <c r="K48" s="78">
        <f>C48*E48</f>
        <v/>
      </c>
      <c r="L48" s="77" t="inlineStr">
        <is>
          <t>Nos.</t>
        </is>
      </c>
    </row>
    <row r="49">
      <c r="A49" s="1" t="n"/>
      <c r="B49" s="38" t="n"/>
      <c r="C49" s="22" t="n"/>
      <c r="D49" s="20" t="n"/>
      <c r="E49" s="82" t="n"/>
      <c r="G49" s="24" t="n"/>
      <c r="H49" t="inlineStr">
        <is>
          <t>Total</t>
        </is>
      </c>
      <c r="J49" s="91">
        <f>IF(K49,"=","")</f>
        <v/>
      </c>
      <c r="K49" s="82">
        <f>SUM(K48:K48)</f>
        <v/>
      </c>
      <c r="L49" s="20" t="inlineStr">
        <is>
          <t>Nos.</t>
        </is>
      </c>
    </row>
    <row r="50" ht="75" customHeight="1" s="72">
      <c r="A50" s="1">
        <f>IF(A43,A43+1,#REF!+1)</f>
        <v/>
      </c>
      <c r="B50" s="18" t="inlineStr">
        <is>
          <t>P &amp; F PVC Storage Tank confirming to IS standards of approved make with cover, 25 mm dia 1 M long C.I. over flow pipe &amp; 25 cm. long wash out pipe with plug and socket, including making connection, etc. complete of approved design:</t>
        </is>
      </c>
      <c r="J50" s="91">
        <f>IF(K50,"=","")</f>
        <v/>
      </c>
    </row>
    <row r="51">
      <c r="A51" s="1" t="n"/>
      <c r="B51" s="18" t="inlineStr">
        <is>
          <t>(A) 1000 (litres capacity).</t>
        </is>
      </c>
      <c r="C51" s="22" t="n">
        <v>4</v>
      </c>
      <c r="D51" s="20" t="inlineStr">
        <is>
          <t>x</t>
        </is>
      </c>
      <c r="E51" s="82" t="n">
        <v>1</v>
      </c>
      <c r="G51" s="24" t="n"/>
      <c r="J51" s="91">
        <f>IF(K51,"=","")</f>
        <v/>
      </c>
      <c r="K51" s="82">
        <f>C51*E51</f>
        <v/>
      </c>
      <c r="L51" s="20" t="inlineStr">
        <is>
          <t>Nos.</t>
        </is>
      </c>
    </row>
    <row r="52">
      <c r="A52" s="1" t="n"/>
      <c r="B52" s="18" t="inlineStr">
        <is>
          <t>(B) 500 (litres capacity).</t>
        </is>
      </c>
      <c r="C52" s="22" t="n">
        <v>1</v>
      </c>
      <c r="D52" s="20" t="inlineStr">
        <is>
          <t>x</t>
        </is>
      </c>
      <c r="E52" s="82" t="n">
        <v>1</v>
      </c>
      <c r="G52" s="24" t="n"/>
      <c r="J52" s="91">
        <f>IF(K52,"=","")</f>
        <v/>
      </c>
      <c r="K52" s="82">
        <f>C52*E52</f>
        <v/>
      </c>
      <c r="L52" s="20" t="inlineStr">
        <is>
          <t>Nos.</t>
        </is>
      </c>
    </row>
    <row r="53" ht="30" customHeight="1" s="72">
      <c r="A53" s="1">
        <f>IF(A50,A50+1,A43+1)</f>
        <v/>
      </c>
      <c r="B53" s="18" t="inlineStr">
        <is>
          <t>P &amp; F Ball Cock (IS : 1703 Mark) with Rod &amp; PVC Ball complete :</t>
        </is>
      </c>
      <c r="J53" s="91">
        <f>IF(K53,"=","")</f>
        <v/>
      </c>
    </row>
    <row r="54">
      <c r="A54" s="1" t="n"/>
      <c r="B54" s="18" t="inlineStr">
        <is>
          <t>(A)  Brass wt. 400 gram 15 mm.</t>
        </is>
      </c>
      <c r="C54" s="22" t="n">
        <v>5</v>
      </c>
      <c r="D54" s="20" t="inlineStr">
        <is>
          <t>x</t>
        </is>
      </c>
      <c r="E54" s="82" t="n">
        <v>1</v>
      </c>
      <c r="G54" s="24" t="n"/>
      <c r="J54" s="91">
        <f>IF(K54,"=","")</f>
        <v/>
      </c>
      <c r="K54" s="82">
        <f>C54*E54</f>
        <v/>
      </c>
      <c r="L54" s="20" t="inlineStr">
        <is>
          <t>Nos.</t>
        </is>
      </c>
    </row>
    <row r="55">
      <c r="A55" s="1">
        <f>IF(A53,A53+1,A50+1)</f>
        <v/>
      </c>
      <c r="B55" s="38" t="n"/>
      <c r="C55" s="22" t="n"/>
      <c r="D55" s="20" t="n"/>
      <c r="E55" s="82" t="n"/>
      <c r="G55" s="24" t="n"/>
      <c r="J55" s="91">
        <f>IF(K55,"=","")</f>
        <v/>
      </c>
      <c r="K55" s="82" t="n"/>
      <c r="L55" s="20" t="n"/>
    </row>
    <row r="56" s="72">
      <c r="A56" s="37" t="n"/>
      <c r="B56" s="18" t="inlineStr">
        <is>
          <t xml:space="preserve">(A) 110 mm dia. </t>
        </is>
      </c>
      <c r="C56" s="68" t="n"/>
      <c r="D56" s="36" t="n"/>
      <c r="E56" s="73" t="n"/>
      <c r="F56" s="41" t="n"/>
      <c r="G56" s="91" t="n"/>
    </row>
    <row r="57">
      <c r="A57" s="66" t="n"/>
      <c r="B57" s="83" t="inlineStr">
        <is>
          <t xml:space="preserve">Horizontal Internal </t>
        </is>
      </c>
      <c r="C57" s="22" t="n"/>
      <c r="D57" s="20" t="n"/>
      <c r="E57" s="73" t="n"/>
      <c r="G57" s="24" t="n"/>
      <c r="J57" s="91">
        <f>IF(K57,"=","")</f>
        <v/>
      </c>
      <c r="K57" s="73" t="n"/>
      <c r="L57" s="22" t="n"/>
    </row>
    <row r="58">
      <c r="A58" s="66" t="n"/>
      <c r="B58" s="38" t="inlineStr">
        <is>
          <t>W.C.</t>
        </is>
      </c>
      <c r="C58" s="22" t="n">
        <v>3</v>
      </c>
      <c r="D58" s="20" t="inlineStr">
        <is>
          <t>x</t>
        </is>
      </c>
      <c r="E58" s="73" t="n">
        <v>2.2</v>
      </c>
      <c r="G58" s="24" t="n"/>
      <c r="J58" s="91">
        <f>IF(K58,"=","")</f>
        <v/>
      </c>
      <c r="K58" s="73">
        <f>C58*E58</f>
        <v/>
      </c>
      <c r="L58" s="22" t="inlineStr">
        <is>
          <t>RM</t>
        </is>
      </c>
    </row>
    <row r="59">
      <c r="A59" s="66" t="n"/>
      <c r="B59" s="38" t="inlineStr">
        <is>
          <t>W.B.</t>
        </is>
      </c>
      <c r="C59" s="22" t="n">
        <v>2</v>
      </c>
      <c r="D59" s="20" t="inlineStr">
        <is>
          <t>x</t>
        </is>
      </c>
      <c r="E59" s="73" t="n">
        <v>2.2</v>
      </c>
      <c r="G59" s="24" t="n"/>
      <c r="J59" s="91">
        <f>IF(K59,"=","")</f>
        <v/>
      </c>
      <c r="K59" s="73">
        <f>C59*E59</f>
        <v/>
      </c>
      <c r="L59" s="22" t="inlineStr">
        <is>
          <t>RM</t>
        </is>
      </c>
    </row>
    <row r="60">
      <c r="A60" s="66" t="n"/>
      <c r="B60" s="38" t="n"/>
      <c r="C60" s="22" t="n"/>
      <c r="D60" s="20" t="n"/>
      <c r="E60" s="73" t="n"/>
      <c r="G60" s="24" t="n"/>
      <c r="H60" t="inlineStr">
        <is>
          <t xml:space="preserve">Total </t>
        </is>
      </c>
      <c r="J60" s="91">
        <f>IF(K60,"=","")</f>
        <v/>
      </c>
      <c r="K60" s="73">
        <f>SUM(K58:K59)</f>
        <v/>
      </c>
      <c r="L60" s="22" t="inlineStr">
        <is>
          <t>RM</t>
        </is>
      </c>
    </row>
    <row r="61" ht="75" customHeight="1" s="72">
      <c r="A61" s="37" t="n">
        <v>15</v>
      </c>
      <c r="B61" s="38" t="inlineStr">
        <is>
          <t>Providing and fixing Unplasticized Poly Vinyl Chloride (UPVC) SWR pipe fittings type B for soil and rain and waste discharge system (IS:13592 : 1992 marked) of approved quality/ make including jointing the pipes complete.</t>
        </is>
      </c>
      <c r="C61" s="22" t="n"/>
      <c r="D61" s="20" t="n"/>
      <c r="E61" s="82" t="n"/>
      <c r="G61" s="24" t="n"/>
      <c r="J61" s="91">
        <f>IF(K61,"=","")</f>
        <v/>
      </c>
      <c r="K61" s="82" t="n"/>
      <c r="L61" s="20" t="n"/>
    </row>
    <row r="62" s="72">
      <c r="A62" s="37" t="inlineStr">
        <is>
          <t>A.</t>
        </is>
      </c>
      <c r="B62" s="18" t="inlineStr">
        <is>
          <t>110  mm dia. Offset</t>
        </is>
      </c>
      <c r="C62" s="69" t="n">
        <v>1</v>
      </c>
      <c r="D62" s="20" t="inlineStr">
        <is>
          <t>x</t>
        </is>
      </c>
      <c r="E62" s="82" t="n">
        <v>1</v>
      </c>
      <c r="G62" s="24" t="n"/>
      <c r="J62" s="91">
        <f>IF(K62,"=","")</f>
        <v/>
      </c>
      <c r="K62" s="82">
        <f>C62*E62</f>
        <v/>
      </c>
      <c r="L62" s="20" t="inlineStr">
        <is>
          <t>Nos.</t>
        </is>
      </c>
    </row>
    <row r="63" s="72">
      <c r="A63" s="37" t="inlineStr">
        <is>
          <t>B.</t>
        </is>
      </c>
      <c r="B63" s="18" t="inlineStr">
        <is>
          <t>110 mm dia. Coupler</t>
        </is>
      </c>
      <c r="C63" s="69" t="n">
        <v>5</v>
      </c>
      <c r="D63" s="20" t="inlineStr">
        <is>
          <t>x</t>
        </is>
      </c>
      <c r="E63" s="82" t="n">
        <v>1</v>
      </c>
      <c r="G63" s="24" t="n"/>
      <c r="J63" s="91">
        <f>IF(K63,"=","")</f>
        <v/>
      </c>
      <c r="K63" s="82">
        <f>C63*E63</f>
        <v/>
      </c>
      <c r="L63" s="20" t="inlineStr">
        <is>
          <t>Nos.</t>
        </is>
      </c>
    </row>
    <row r="64" s="72">
      <c r="A64" s="37" t="inlineStr">
        <is>
          <t>C.</t>
        </is>
      </c>
      <c r="B64" s="18" t="inlineStr">
        <is>
          <t>110 mm dia. Single 'Y' with Door</t>
        </is>
      </c>
      <c r="C64" s="69" t="n">
        <v>1</v>
      </c>
      <c r="D64" s="20" t="inlineStr">
        <is>
          <t>x</t>
        </is>
      </c>
      <c r="E64" s="82" t="n">
        <v>1</v>
      </c>
      <c r="G64" s="24" t="n"/>
      <c r="J64" s="91">
        <f>IF(K64,"=","")</f>
        <v/>
      </c>
      <c r="K64" s="82">
        <f>C64*E64</f>
        <v/>
      </c>
      <c r="L64" s="20" t="inlineStr">
        <is>
          <t>Nos.</t>
        </is>
      </c>
    </row>
    <row r="65" s="72">
      <c r="A65" s="37" t="inlineStr">
        <is>
          <t>D.</t>
        </is>
      </c>
      <c r="B65" s="2" t="inlineStr">
        <is>
          <t>100 mm dia. vent  Cowl</t>
        </is>
      </c>
      <c r="C65" s="69" t="n">
        <v>3</v>
      </c>
      <c r="D65" s="20" t="inlineStr">
        <is>
          <t>x</t>
        </is>
      </c>
      <c r="E65" s="82" t="n">
        <v>1</v>
      </c>
      <c r="G65" s="24" t="n"/>
      <c r="J65" s="91">
        <f>IF(K65,"=","")</f>
        <v/>
      </c>
      <c r="K65" s="82">
        <f>C65*E65</f>
        <v/>
      </c>
      <c r="L65" s="20" t="inlineStr">
        <is>
          <t>Nos.</t>
        </is>
      </c>
    </row>
    <row r="66" s="72">
      <c r="A66" s="37" t="inlineStr">
        <is>
          <t>E.</t>
        </is>
      </c>
      <c r="B66" s="18" t="inlineStr">
        <is>
          <t>110 mm dia. Single 'Y'</t>
        </is>
      </c>
      <c r="C66" s="69" t="n">
        <v>1</v>
      </c>
      <c r="D66" s="20" t="inlineStr">
        <is>
          <t>x</t>
        </is>
      </c>
      <c r="E66" s="82" t="n">
        <v>1</v>
      </c>
      <c r="G66" s="24" t="n"/>
      <c r="J66" s="91">
        <f>IF(K66,"=","")</f>
        <v/>
      </c>
      <c r="K66" s="82">
        <f>C66*E66</f>
        <v/>
      </c>
      <c r="L66" s="20" t="inlineStr">
        <is>
          <t>Nos.</t>
        </is>
      </c>
    </row>
    <row r="67">
      <c r="A67" s="37" t="inlineStr">
        <is>
          <t>F.</t>
        </is>
      </c>
      <c r="B67" s="18" t="inlineStr">
        <is>
          <t>110 mm dia.  door  Bend</t>
        </is>
      </c>
      <c r="C67" s="69" t="n">
        <v>1</v>
      </c>
      <c r="D67" s="20" t="inlineStr">
        <is>
          <t>x</t>
        </is>
      </c>
      <c r="E67" s="82" t="n">
        <v>1</v>
      </c>
      <c r="G67" s="24" t="n"/>
      <c r="J67" s="91">
        <f>IF(K67,"=","")</f>
        <v/>
      </c>
      <c r="K67" s="82">
        <f>C67*E67</f>
        <v/>
      </c>
      <c r="L67" s="20" t="inlineStr">
        <is>
          <t>Nos.</t>
        </is>
      </c>
    </row>
    <row r="68">
      <c r="A68" s="37" t="inlineStr">
        <is>
          <t>G.</t>
        </is>
      </c>
      <c r="B68" s="18" t="inlineStr">
        <is>
          <t>110 mm dia.   Bend 87.5 degree.</t>
        </is>
      </c>
      <c r="C68" s="69" t="n">
        <v>1</v>
      </c>
      <c r="D68" s="20" t="inlineStr">
        <is>
          <t>x</t>
        </is>
      </c>
      <c r="E68" s="82" t="n">
        <v>1</v>
      </c>
      <c r="G68" s="24" t="n"/>
      <c r="J68" s="91">
        <f>IF(K68,"=","")</f>
        <v/>
      </c>
      <c r="K68" s="82">
        <f>C68*E68</f>
        <v/>
      </c>
      <c r="L68" s="20" t="inlineStr">
        <is>
          <t>Nos.</t>
        </is>
      </c>
    </row>
    <row r="69" ht="75" customHeight="1" s="72">
      <c r="A69" s="37">
        <f>A61+1</f>
        <v/>
      </c>
      <c r="B69" s="18" t="inlineStr">
        <is>
          <t xml:space="preserve">Providing and fixing Spun Cast Iron  (SCI ) Floor Trap (Nahni) of (IS : 3789mark) approved quality /make with socket down or hinged grating including cutting and making good the floor :- size 100x100 mm. </t>
        </is>
      </c>
      <c r="C69" s="22" t="n">
        <v>2</v>
      </c>
      <c r="D69" s="20" t="inlineStr">
        <is>
          <t>x</t>
        </is>
      </c>
      <c r="E69" s="82" t="n">
        <v>1</v>
      </c>
      <c r="G69" s="24" t="n"/>
      <c r="J69" s="91">
        <f>IF(K69,"=","")</f>
        <v/>
      </c>
      <c r="K69" s="82">
        <f>C69*E69</f>
        <v/>
      </c>
      <c r="L69" s="20" t="inlineStr">
        <is>
          <t>Nos.</t>
        </is>
      </c>
    </row>
    <row r="70" ht="150" customHeight="1" s="72">
      <c r="A70" s="1" t="n">
        <v>17</v>
      </c>
      <c r="B70" s="18" t="inlineStr">
        <is>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dia. earth work etc. Complete as per approved drawing including disposal of surplus earth within a lead of 50 m</t>
        </is>
      </c>
      <c r="C70" s="22" t="n"/>
      <c r="E70" s="82" t="n"/>
      <c r="G70" s="24" t="n"/>
      <c r="J70" s="91">
        <f>IF(K70,"=","")</f>
        <v/>
      </c>
      <c r="K70" s="82" t="n"/>
      <c r="L70" s="20" t="n"/>
    </row>
    <row r="71" s="72">
      <c r="A71" s="1" t="n"/>
      <c r="B71" s="38" t="inlineStr">
        <is>
          <t>(A) Depth upto 0.5 M</t>
        </is>
      </c>
      <c r="C71" s="22" t="n">
        <v>2</v>
      </c>
      <c r="D71" s="20" t="inlineStr">
        <is>
          <t>x'.</t>
        </is>
      </c>
      <c r="E71" s="82" t="n">
        <v>1</v>
      </c>
      <c r="G71" s="24" t="n"/>
      <c r="J71" s="91">
        <f>IF(K71,"=","")</f>
        <v/>
      </c>
      <c r="K71" s="82">
        <f>C71*E71</f>
        <v/>
      </c>
      <c r="L71" s="20" t="inlineStr">
        <is>
          <t>Nos.</t>
        </is>
      </c>
    </row>
    <row r="72" s="72">
      <c r="A72" s="1" t="n"/>
      <c r="B72" s="18" t="inlineStr">
        <is>
          <t>(B) Depth 0.5 M to 1.0 M</t>
        </is>
      </c>
      <c r="C72" s="22" t="n">
        <v>1</v>
      </c>
      <c r="D72" s="20" t="inlineStr">
        <is>
          <t>x</t>
        </is>
      </c>
      <c r="E72" s="82" t="n">
        <v>1</v>
      </c>
      <c r="G72" s="24" t="n"/>
      <c r="J72" s="91">
        <f>IF(K72,"=","")</f>
        <v/>
      </c>
      <c r="K72" s="82">
        <f>C72*E72</f>
        <v/>
      </c>
      <c r="L72" s="20" t="inlineStr">
        <is>
          <t>Nos.</t>
        </is>
      </c>
    </row>
    <row r="73" ht="30" customFormat="1" customHeight="1" s="88">
      <c r="A73" s="1">
        <f>IF(A70,A70+1,#REF!+1)</f>
        <v/>
      </c>
      <c r="B73" s="292" t="inlineStr">
        <is>
          <t>S &amp; F C.I. cover with frame, C.I. gratings for chambers &amp; man holes.</t>
        </is>
      </c>
      <c r="C73" s="22" t="n">
        <v>3</v>
      </c>
      <c r="D73" s="20" t="inlineStr">
        <is>
          <t>x</t>
        </is>
      </c>
      <c r="E73" s="82" t="n">
        <v>25</v>
      </c>
      <c r="G73" s="24" t="n"/>
      <c r="J73" s="91">
        <f>IF(K73,"=","")</f>
        <v/>
      </c>
      <c r="K73" s="82">
        <f>C73*E73</f>
        <v/>
      </c>
      <c r="L73" s="22" t="inlineStr">
        <is>
          <t>Kg.</t>
        </is>
      </c>
    </row>
    <row r="74" s="72">
      <c r="A74" s="37" t="n"/>
      <c r="B74" s="18" t="n"/>
      <c r="C74" s="22" t="n"/>
      <c r="D74" s="20" t="n"/>
      <c r="E74" s="82" t="n"/>
      <c r="G74" s="24" t="n"/>
      <c r="J74" s="91">
        <f>IF(K74,"=","")</f>
        <v/>
      </c>
      <c r="K74" s="82" t="n"/>
      <c r="L74" s="20" t="n"/>
    </row>
    <row r="75" ht="90" customHeight="1" s="72">
      <c r="A75" s="37">
        <f>A73+1</f>
        <v/>
      </c>
      <c r="B75" s="263" t="inlineStr">
        <is>
          <t>Providing laying and jointing glazed SW pipes Grade `A’ (IS : 651 marked) of approved make with spun yarn &amp; stiff mixture of cement mortar 1:1 excavation and refilling of earth in all types of soil upto 1.2m depth, SW fittings, including testing of joints etc. complete 100 mm dia.</t>
        </is>
      </c>
      <c r="C75" s="68" t="n"/>
      <c r="D75" s="36" t="n"/>
      <c r="E75" s="73" t="n"/>
      <c r="F75" s="41" t="n"/>
      <c r="G75" s="91" t="n"/>
      <c r="J75" s="91">
        <f>IF(K75,"=","")</f>
        <v/>
      </c>
      <c r="K75" s="73" t="n"/>
      <c r="L75" s="22" t="n"/>
    </row>
    <row r="76">
      <c r="A76" s="66" t="n"/>
      <c r="B76" s="83" t="inlineStr">
        <is>
          <t>Horizontal External</t>
        </is>
      </c>
      <c r="C76" s="22" t="n"/>
      <c r="D76" s="20" t="n"/>
      <c r="E76" s="73" t="n"/>
      <c r="G76" s="24" t="n"/>
      <c r="J76" s="91">
        <f>IF(K76,"=","")</f>
        <v/>
      </c>
      <c r="K76" s="73" t="n"/>
      <c r="L76" s="22" t="n"/>
    </row>
    <row r="77">
      <c r="A77" s="66" t="n"/>
      <c r="B77" s="38" t="inlineStr">
        <is>
          <t>Left Line</t>
        </is>
      </c>
      <c r="C77" s="22" t="n">
        <v>1</v>
      </c>
      <c r="D77" s="20" t="inlineStr">
        <is>
          <t>x</t>
        </is>
      </c>
      <c r="E77" s="73" t="n">
        <v>18</v>
      </c>
      <c r="G77" s="24" t="n"/>
      <c r="J77" s="91">
        <f>IF(K77,"=","")</f>
        <v/>
      </c>
      <c r="K77" s="73">
        <f>C77*E77</f>
        <v/>
      </c>
      <c r="L77" s="22" t="inlineStr">
        <is>
          <t>RM</t>
        </is>
      </c>
    </row>
    <row r="78">
      <c r="A78" s="66" t="n"/>
      <c r="B78" s="38" t="inlineStr">
        <is>
          <t>Back Line</t>
        </is>
      </c>
      <c r="C78" s="22" t="n">
        <v>1</v>
      </c>
      <c r="D78" s="20" t="inlineStr">
        <is>
          <t>x</t>
        </is>
      </c>
      <c r="E78" s="73" t="n">
        <v>7</v>
      </c>
      <c r="G78" s="24" t="n"/>
      <c r="J78" s="91">
        <f>IF(K78,"=","")</f>
        <v/>
      </c>
      <c r="K78" s="73">
        <f>C78*E78</f>
        <v/>
      </c>
      <c r="L78" s="22" t="inlineStr">
        <is>
          <t>RM</t>
        </is>
      </c>
    </row>
    <row r="79">
      <c r="A79" s="66" t="n"/>
      <c r="B79" s="38" t="inlineStr">
        <is>
          <t>To Existing ST</t>
        </is>
      </c>
      <c r="C79" s="22" t="n">
        <v>1</v>
      </c>
      <c r="D79" s="20" t="inlineStr">
        <is>
          <t>x</t>
        </is>
      </c>
      <c r="E79" s="73" t="n">
        <v>18</v>
      </c>
      <c r="G79" s="24" t="n"/>
      <c r="J79" s="91">
        <f>IF(K79,"=","")</f>
        <v/>
      </c>
      <c r="K79" s="73">
        <f>C79*E79</f>
        <v/>
      </c>
      <c r="L79" s="22" t="inlineStr">
        <is>
          <t>RM</t>
        </is>
      </c>
    </row>
    <row r="80">
      <c r="A80" s="66" t="n"/>
      <c r="B80" s="38" t="n"/>
      <c r="C80" s="22" t="n"/>
      <c r="D80" s="20" t="n"/>
      <c r="E80" s="73" t="n"/>
      <c r="G80" s="24" t="n"/>
      <c r="H80" s="105" t="inlineStr">
        <is>
          <t xml:space="preserve">Total </t>
        </is>
      </c>
      <c r="I80" s="105" t="n"/>
      <c r="J80" s="121">
        <f>IF(K80,"=","")</f>
        <v/>
      </c>
      <c r="K80" s="128">
        <f>SUM(K77:K79)</f>
        <v/>
      </c>
      <c r="L80" s="124" t="inlineStr">
        <is>
          <t>RM</t>
        </is>
      </c>
    </row>
    <row r="81" ht="75" customFormat="1" customHeight="1" s="88">
      <c r="A81" s="67">
        <f>A75+1</f>
        <v/>
      </c>
      <c r="B81" s="84" t="inlineStr">
        <is>
          <t>Providing &amp; laying CC 1 : 5 : 10 (stone aggregate 40 nominal size) all around SW pipe incl. 15cm thick bed concrete as per Rajasthan PWD specifications (width W=dia of pipe in cm + 40 cm ). 100mm dia SW pipe</t>
        </is>
      </c>
      <c r="G81" s="91" t="n"/>
      <c r="J81" s="91">
        <f>IF(K81,"=","")</f>
        <v/>
      </c>
      <c r="K81" s="91">
        <f>K80</f>
        <v/>
      </c>
      <c r="L81" s="88" t="inlineStr">
        <is>
          <t>RM</t>
        </is>
      </c>
    </row>
    <row r="82" ht="120" customHeight="1" s="72">
      <c r="A82" s="65">
        <f>A81+1</f>
        <v/>
      </c>
      <c r="B82" s="134" t="inlineStr">
        <is>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Trap size 150 x 100 mm, 7.20 Kg C.I. cover with frame . Internal chamber size 300 x 300 mm</t>
        </is>
      </c>
      <c r="C82" s="22" t="n">
        <v>3</v>
      </c>
      <c r="D82" s="20" t="inlineStr">
        <is>
          <t>x</t>
        </is>
      </c>
      <c r="E82" s="82" t="n">
        <v>1</v>
      </c>
      <c r="G82" s="24" t="n"/>
      <c r="J82" s="91">
        <f>IF(K82,"=","")</f>
        <v/>
      </c>
      <c r="K82" s="82">
        <f>C82*E82</f>
        <v/>
      </c>
      <c r="L82" s="20" t="inlineStr">
        <is>
          <t>Nos.</t>
        </is>
      </c>
    </row>
    <row r="83" s="72">
      <c r="A83" s="89" t="n"/>
      <c r="B83" s="38" t="n"/>
      <c r="C83" s="22" t="n"/>
      <c r="D83" s="20" t="n"/>
      <c r="E83" s="82" t="n"/>
      <c r="G83" s="24" t="n"/>
      <c r="J83" s="91">
        <f>IF(K83,"=","")</f>
        <v/>
      </c>
      <c r="K83" s="82" t="n"/>
      <c r="L83" s="20" t="n"/>
    </row>
    <row r="84" ht="30" customHeight="1" s="72">
      <c r="A84" s="89" t="n">
        <v>22</v>
      </c>
      <c r="B84" s="38" t="inlineStr">
        <is>
          <t>P &amp; F 15 mm dia. Connection pipe of approved quality / make: PVC pipe 450 mm</t>
        </is>
      </c>
      <c r="C84" s="22" t="n">
        <v>3</v>
      </c>
      <c r="D84" s="20" t="inlineStr">
        <is>
          <t>x</t>
        </is>
      </c>
      <c r="E84" s="82" t="n">
        <v>1</v>
      </c>
      <c r="G84" s="24" t="n"/>
      <c r="J84" s="91">
        <f>IF(K84,"=","")</f>
        <v/>
      </c>
      <c r="K84" s="82">
        <f>C84*E84</f>
        <v/>
      </c>
      <c r="L84" s="20" t="inlineStr">
        <is>
          <t>Nos.</t>
        </is>
      </c>
    </row>
    <row r="85">
      <c r="A85" s="1" t="n"/>
    </row>
    <row r="87" s="72">
      <c r="A87" s="1" t="n"/>
      <c r="B87" s="38" t="n"/>
      <c r="C87" s="88" t="n"/>
      <c r="D87" s="88" t="n"/>
      <c r="E87" s="91" t="n"/>
      <c r="F87" s="60" t="n"/>
      <c r="G87" s="60" t="n"/>
    </row>
    <row r="88" ht="15.75" customFormat="1" customHeight="1" s="125">
      <c r="A88" s="62" t="n"/>
      <c r="B88" s="120" t="n"/>
      <c r="C88" s="88" t="n"/>
      <c r="D88" s="87" t="inlineStr">
        <is>
          <t>CHARTERED   ENGINEER,</t>
        </is>
      </c>
      <c r="E88" s="88" t="n"/>
      <c r="F88" s="48" t="n"/>
      <c r="H88" s="88" t="n"/>
    </row>
    <row r="89" ht="15.75" customFormat="1" customHeight="1" s="125">
      <c r="A89" s="62" t="n"/>
      <c r="B89" s="120" t="n"/>
      <c r="C89" s="88" t="n"/>
      <c r="D89" s="62" t="inlineStr">
        <is>
          <t>TEJHANS INVESTMENTS, UDAIPUR</t>
        </is>
      </c>
      <c r="E89" s="88" t="n"/>
      <c r="F89" s="48" t="n"/>
      <c r="H89" s="88" t="n"/>
    </row>
    <row r="90" customFormat="1" s="88">
      <c r="A90" s="65" t="n"/>
      <c r="B90" s="132" t="n"/>
      <c r="C90" s="42" t="n"/>
      <c r="E90" s="91" t="n"/>
      <c r="G90" s="60" t="n"/>
      <c r="I90" s="91" t="n"/>
      <c r="K90" s="91" t="n"/>
    </row>
    <row r="91" customFormat="1" s="88">
      <c r="A91" s="65" t="n"/>
      <c r="B91" s="132" t="n"/>
      <c r="C91" s="42" t="n"/>
      <c r="E91" s="91" t="n"/>
      <c r="G91" s="60" t="n"/>
      <c r="I91" s="91" t="n"/>
      <c r="K91" s="91" t="n"/>
    </row>
  </sheetData>
  <printOptions horizontalCentered="1"/>
  <pageMargins left="0.75" right="0.75" top="0.76" bottom="1" header="0.5" footer="0.5"/>
  <pageSetup orientation="portrait" paperSize="9" scale="74" fitToHeight="11" firstPageNumber="29" horizontalDpi="180" verticalDpi="180"/>
  <headerFooter alignWithMargins="0">
    <oddHeader/>
    <oddFooter>&amp;LGIRLS PHARMACY BNI&amp;R&amp;D&amp;'  Page-&amp;P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543"/>
  <sheetViews>
    <sheetView zoomScaleNormal="100" workbookViewId="0">
      <selection activeCell="A1" sqref="A1"/>
    </sheetView>
    <sheetView workbookViewId="1">
      <selection activeCell="A1" sqref="A1"/>
    </sheetView>
  </sheetViews>
  <sheetFormatPr baseColWidth="8" defaultRowHeight="15"/>
  <cols>
    <col width="3.44140625" customWidth="1" style="88" min="1" max="1"/>
    <col width="22.5546875" customWidth="1" style="88" min="2" max="2"/>
    <col width="1.5546875" customWidth="1" style="104" min="3" max="3"/>
    <col width="49.6640625" customWidth="1" style="88" min="4" max="4"/>
    <col width="8.88671875" customWidth="1" style="88" min="5" max="16384"/>
  </cols>
  <sheetData>
    <row r="1" ht="18" customHeight="1" s="72">
      <c r="A1" s="55">
        <f>'gen-abstract'!A2</f>
        <v/>
      </c>
      <c r="B1" s="74" t="n"/>
      <c r="C1" s="92" t="n"/>
      <c r="D1" s="93" t="n"/>
    </row>
    <row r="2" ht="18" customHeight="1" s="72">
      <c r="B2" s="94" t="n"/>
      <c r="D2" s="91" t="n"/>
    </row>
    <row r="3" ht="15.75" customHeight="1" s="72">
      <c r="A3" s="48" t="inlineStr">
        <is>
          <t>Technical  Report</t>
        </is>
      </c>
      <c r="B3" s="85" t="n"/>
      <c r="C3" s="96" t="n"/>
      <c r="D3" s="13" t="n"/>
    </row>
    <row r="5" ht="34.5" customHeight="1" s="72">
      <c r="A5" s="53" t="inlineStr">
        <is>
          <t xml:space="preserve">1. Name of Work </t>
        </is>
      </c>
      <c r="C5" s="96" t="inlineStr">
        <is>
          <t>:</t>
        </is>
      </c>
      <c r="D5" s="84" t="inlineStr">
        <is>
          <t>Construction of Police Station at AMET</t>
        </is>
      </c>
    </row>
    <row r="6" ht="15.75" customHeight="1" s="72">
      <c r="A6" s="53" t="n"/>
      <c r="C6" s="96" t="n"/>
      <c r="D6" s="65" t="n"/>
    </row>
    <row r="7" ht="15.75" customHeight="1" s="72">
      <c r="A7" s="53" t="inlineStr">
        <is>
          <t>2. Administrative Sanction</t>
        </is>
      </c>
      <c r="C7" s="96" t="inlineStr">
        <is>
          <t>:</t>
        </is>
      </c>
      <c r="D7" s="292" t="n"/>
    </row>
    <row r="8" ht="15.75" customHeight="1" s="72">
      <c r="A8" s="53" t="n"/>
      <c r="C8" s="96" t="n"/>
      <c r="D8" s="292" t="n"/>
    </row>
    <row r="9" ht="30" customHeight="1" s="72">
      <c r="A9" s="53" t="inlineStr">
        <is>
          <t>3.Location</t>
        </is>
      </c>
      <c r="C9" s="96" t="inlineStr">
        <is>
          <t>:</t>
        </is>
      </c>
      <c r="D9" s="292" t="inlineStr">
        <is>
          <t>The proposed Hostels shall be constructed at AMET, Rajsamand</t>
        </is>
      </c>
    </row>
    <row r="10" ht="15.75" customHeight="1" s="72">
      <c r="A10" s="97" t="n"/>
      <c r="C10" s="96" t="n"/>
      <c r="D10" s="292" t="n"/>
    </row>
    <row r="11" ht="45" customHeight="1" s="72">
      <c r="A11" s="98" t="inlineStr">
        <is>
          <t xml:space="preserve">4. Specifications </t>
        </is>
      </c>
      <c r="C11" s="96" t="inlineStr">
        <is>
          <t>:</t>
        </is>
      </c>
      <c r="D11" s="292" t="inlineStr">
        <is>
          <t>The general specifications adopted for the work are in accordance with the P.W.D. detailed specifications.  Brief specifications are narrated below:-</t>
        </is>
      </c>
    </row>
    <row r="12" ht="15.75" customHeight="1" s="72">
      <c r="B12" s="98" t="n"/>
      <c r="C12" s="96" t="n"/>
      <c r="D12" s="292" t="n"/>
    </row>
    <row r="13" ht="21" customHeight="1" s="72">
      <c r="B13" s="99" t="inlineStr">
        <is>
          <t>I  Foundation concrete</t>
        </is>
      </c>
      <c r="C13" s="96" t="inlineStr">
        <is>
          <t>:</t>
        </is>
      </c>
      <c r="D13" s="292" t="inlineStr">
        <is>
          <t>Cement concrete 1:5:10  , 150 mm thick.</t>
        </is>
      </c>
    </row>
    <row r="14">
      <c r="B14" s="99" t="n"/>
      <c r="C14" s="96" t="n"/>
      <c r="D14" s="100" t="n"/>
    </row>
    <row r="15">
      <c r="B15" s="49" t="inlineStr">
        <is>
          <t xml:space="preserve">II Masonry for Foundation </t>
        </is>
      </c>
      <c r="C15" s="96" t="inlineStr">
        <is>
          <t>:</t>
        </is>
      </c>
      <c r="D15" s="292" t="inlineStr">
        <is>
          <t>Random rubble stone masonry in cement sand mortar 1:6</t>
        </is>
      </c>
    </row>
    <row r="16">
      <c r="B16" s="10" t="n"/>
      <c r="C16" s="96" t="n"/>
      <c r="D16" s="51" t="n"/>
    </row>
    <row r="17">
      <c r="B17" s="49" t="inlineStr">
        <is>
          <t>III Damp proof coarse</t>
        </is>
      </c>
      <c r="C17" s="96" t="inlineStr">
        <is>
          <t>:</t>
        </is>
      </c>
      <c r="D17" s="292" t="inlineStr">
        <is>
          <t>75 mm thick P.C.C. M-15.</t>
        </is>
      </c>
    </row>
    <row r="18" ht="17.25" customHeight="1" s="72">
      <c r="B18" s="10" t="n"/>
      <c r="C18" s="96" t="n"/>
      <c r="D18" s="51" t="n"/>
    </row>
    <row r="19">
      <c r="B19" s="10" t="inlineStr">
        <is>
          <t>IV Super structure masonry</t>
        </is>
      </c>
      <c r="C19" s="96" t="inlineStr">
        <is>
          <t>:</t>
        </is>
      </c>
      <c r="D19" s="292" t="inlineStr">
        <is>
          <t>Stone  masonry in cement sand mortar 1:6 walls.</t>
        </is>
      </c>
    </row>
    <row r="20">
      <c r="B20" s="10" t="n"/>
      <c r="C20" s="96" t="n"/>
      <c r="D20" s="292" t="n"/>
    </row>
    <row r="21">
      <c r="B21" s="10" t="inlineStr">
        <is>
          <t xml:space="preserve">V Lintels </t>
        </is>
      </c>
      <c r="C21" s="96" t="inlineStr">
        <is>
          <t>:</t>
        </is>
      </c>
      <c r="D21" s="100" t="inlineStr">
        <is>
          <t>R.C.C. M-15 with M.S. reinforcement.</t>
        </is>
      </c>
    </row>
    <row r="22" ht="20.25" customHeight="1" s="72">
      <c r="B22" s="10" t="n"/>
      <c r="C22" s="96" t="n"/>
      <c r="D22" s="100" t="n"/>
    </row>
    <row r="23">
      <c r="B23" s="49" t="inlineStr">
        <is>
          <t xml:space="preserve">VI Partition </t>
        </is>
      </c>
      <c r="C23" s="96" t="inlineStr">
        <is>
          <t>:</t>
        </is>
      </c>
      <c r="D23" s="292" t="inlineStr">
        <is>
          <t>Bricks class 75 in cement sand mortar 1:4 (115 mm thick)</t>
        </is>
      </c>
    </row>
    <row r="24">
      <c r="B24" s="10" t="n"/>
      <c r="C24" s="96" t="n"/>
      <c r="D24" s="51" t="n"/>
    </row>
    <row r="25" ht="18" customHeight="1" s="72">
      <c r="B25" s="49" t="inlineStr">
        <is>
          <t>VII  Base of Flooring</t>
        </is>
      </c>
      <c r="C25" s="96" t="inlineStr">
        <is>
          <t>:</t>
        </is>
      </c>
      <c r="D25" s="292" t="inlineStr">
        <is>
          <t xml:space="preserve">100 mm thick in 1:5 :10 mix </t>
        </is>
      </c>
    </row>
    <row r="26" ht="18" customHeight="1" s="72">
      <c r="B26" s="49" t="n"/>
      <c r="C26" s="96" t="n"/>
      <c r="D26" s="292" t="n"/>
    </row>
    <row r="27">
      <c r="B27" s="49" t="inlineStr">
        <is>
          <t xml:space="preserve">VIII Flooring  </t>
        </is>
      </c>
      <c r="C27" s="96" t="n"/>
      <c r="D27" s="84" t="inlineStr">
        <is>
          <t>40 mm thick marble chips flooring.</t>
        </is>
      </c>
    </row>
    <row r="28">
      <c r="B28" s="49" t="n"/>
      <c r="C28" s="96" t="n"/>
      <c r="D28" s="292" t="n"/>
    </row>
    <row r="29" ht="15.75" customHeight="1" s="72">
      <c r="B29" s="101" t="inlineStr">
        <is>
          <t>(c) White Glazed Tiles</t>
        </is>
      </c>
      <c r="C29" s="96" t="inlineStr">
        <is>
          <t>:</t>
        </is>
      </c>
      <c r="D29" s="102" t="inlineStr">
        <is>
          <t>Hostel Building</t>
        </is>
      </c>
    </row>
    <row r="30">
      <c r="B30" s="67" t="n"/>
      <c r="C30" s="96" t="n"/>
      <c r="D30" s="84" t="inlineStr">
        <is>
          <t>In Urinals 1200 mm high Dado, in WC's 900 mm High Dado.</t>
        </is>
      </c>
    </row>
    <row r="31">
      <c r="B31" s="67" t="n"/>
      <c r="C31" s="96" t="n"/>
      <c r="D31" s="292" t="n"/>
    </row>
    <row r="32" ht="30" customHeight="1" s="72">
      <c r="B32" s="49" t="inlineStr">
        <is>
          <t xml:space="preserve">IX  Plaster </t>
        </is>
      </c>
      <c r="C32" s="96" t="inlineStr">
        <is>
          <t>:</t>
        </is>
      </c>
      <c r="D32" s="84" t="inlineStr">
        <is>
          <t xml:space="preserve"> 20 mm thick in cement mortar 1:6 over stone masonry and 20 mm thick in cement mortar 1:6 over brick masonry.</t>
        </is>
      </c>
    </row>
    <row r="33">
      <c r="B33" s="10" t="n"/>
      <c r="C33" s="96" t="n"/>
      <c r="D33" s="84" t="n"/>
    </row>
    <row r="34">
      <c r="B34" s="49" t="inlineStr">
        <is>
          <t xml:space="preserve">X Joinery frames </t>
        </is>
      </c>
      <c r="C34" s="96" t="inlineStr">
        <is>
          <t>:</t>
        </is>
      </c>
      <c r="D34" s="292" t="inlineStr">
        <is>
          <t>Door frames of mild steel selection (EZ-7 Section)</t>
        </is>
      </c>
    </row>
    <row r="35" ht="21" customHeight="1" s="72">
      <c r="B35" s="10" t="n"/>
      <c r="C35" s="96" t="n"/>
      <c r="D35" s="292" t="n"/>
    </row>
    <row r="36" ht="90" customHeight="1" s="72">
      <c r="B36" s="49" t="inlineStr">
        <is>
          <t>XI Door Shutters</t>
        </is>
      </c>
      <c r="C36" s="96" t="inlineStr">
        <is>
          <t>:</t>
        </is>
      </c>
      <c r="D36" s="84" t="inlineStr">
        <is>
          <t>35 mm thick fully panelled doors with Assam Teak wood frame with 12 mm thick Shuttering Ply Panels for doors 1005 to 1200 mm wide and for other doors 30 mm thick fully panelled doors with Assam Teak wood frame with 9 mm thick Shuttering Ply Panels.</t>
        </is>
      </c>
    </row>
    <row r="37">
      <c r="B37" s="10" t="n"/>
      <c r="C37" s="96" t="n"/>
      <c r="D37" s="51" t="n"/>
    </row>
    <row r="38" ht="30" customHeight="1" s="72">
      <c r="B38" s="49" t="inlineStr">
        <is>
          <t>XII Finishing</t>
        </is>
      </c>
      <c r="C38" s="96" t="inlineStr">
        <is>
          <t>:</t>
        </is>
      </c>
      <c r="D38" s="84" t="inlineStr">
        <is>
          <t xml:space="preserve">Colour washing at  outside, white washing at inside all rooms and ceilings; enamel paints on  wood and steel work. </t>
        </is>
      </c>
    </row>
    <row r="39">
      <c r="B39" s="10" t="n"/>
      <c r="C39" s="96" t="n"/>
      <c r="D39" s="51" t="n"/>
    </row>
    <row r="40" ht="15.75" customHeight="1" s="72">
      <c r="A40" s="88" t="n"/>
      <c r="B40" s="103" t="inlineStr">
        <is>
          <t xml:space="preserve">Sanitary work </t>
        </is>
      </c>
      <c r="C40" s="96" t="inlineStr">
        <is>
          <t>:</t>
        </is>
      </c>
      <c r="D40" s="51" t="inlineStr">
        <is>
          <t>As per P.W.D. specification.</t>
        </is>
      </c>
    </row>
    <row r="41" ht="15.75" customHeight="1" s="72">
      <c r="A41" s="98" t="n"/>
      <c r="C41" s="96" t="n"/>
      <c r="D41" s="51" t="n"/>
    </row>
    <row r="42" ht="15.75" customHeight="1" s="72">
      <c r="A42" s="98" t="inlineStr">
        <is>
          <t xml:space="preserve">5. Scope of work </t>
        </is>
      </c>
      <c r="C42" s="96" t="inlineStr">
        <is>
          <t>:</t>
        </is>
      </c>
      <c r="D42" s="51" t="n"/>
    </row>
    <row r="43">
      <c r="B43" s="10" t="n"/>
      <c r="C43" s="96" t="n"/>
      <c r="D43" s="84" t="n"/>
    </row>
    <row r="44" ht="15.75" customHeight="1" s="72">
      <c r="B44" s="76" t="inlineStr">
        <is>
          <t>Police Station Building</t>
        </is>
      </c>
      <c r="C44" s="96" t="n"/>
      <c r="D44" s="88" t="inlineStr">
        <is>
          <t>Plinth Area GF 328 Sqm, FF 10.50 Sqm. Total 339.50 Sqm</t>
        </is>
      </c>
    </row>
    <row r="45" ht="60" customHeight="1" s="72">
      <c r="B45" s="10" t="n"/>
      <c r="C45" s="96" t="n"/>
      <c r="D45" s="84" t="inlineStr">
        <is>
          <t>Ground Floor with  Barrack, Wireless Room, Record Room, SHO Room, IO Room, Malkhana, Office &amp; Male Female lockups, store, staircase 2 toilet blocks. In First floor only head room.</t>
        </is>
      </c>
    </row>
    <row r="46" ht="15.75" customHeight="1" s="72">
      <c r="A46" s="98" t="n"/>
      <c r="B46" s="102" t="n"/>
      <c r="C46" s="96" t="n"/>
      <c r="D46" s="51" t="n"/>
    </row>
    <row r="47" ht="15.75" customHeight="1" s="72">
      <c r="A47" s="98" t="inlineStr">
        <is>
          <t>6. Basis of Estimate</t>
        </is>
      </c>
      <c r="C47" s="96" t="inlineStr">
        <is>
          <t>:</t>
        </is>
      </c>
      <c r="D47" s="292" t="inlineStr">
        <is>
          <t xml:space="preserve">Estimate prepared on the basis of PWD B.S.R. -1998. </t>
        </is>
      </c>
    </row>
    <row r="48" ht="15.75" customHeight="1" s="72">
      <c r="A48" s="98" t="n"/>
      <c r="C48" s="96" t="n"/>
      <c r="D48" s="51" t="n"/>
    </row>
    <row r="49" ht="30.75" customHeight="1" s="72">
      <c r="A49" s="98" t="inlineStr">
        <is>
          <t>7. Estimated Cost</t>
        </is>
      </c>
      <c r="C49" s="96" t="inlineStr">
        <is>
          <t>:</t>
        </is>
      </c>
      <c r="D49" s="292" t="inlineStr">
        <is>
          <t xml:space="preserve">Estimated cost of work comes to Rs. 20.00 Lacs. It includes the Prorata charges  @ 13%. </t>
        </is>
      </c>
    </row>
    <row r="50" ht="15.75" customHeight="1" s="72">
      <c r="A50" s="98" t="n"/>
      <c r="C50" s="96" t="n"/>
      <c r="D50" s="292" t="n"/>
    </row>
    <row r="51" ht="15.75" customHeight="1" s="72">
      <c r="A51" s="53" t="inlineStr">
        <is>
          <t>8. Drawings</t>
        </is>
      </c>
      <c r="C51" s="96" t="inlineStr">
        <is>
          <t>:</t>
        </is>
      </c>
      <c r="D51" s="292" t="inlineStr">
        <is>
          <t>Plan,  elevation &amp; section are enclosed.</t>
        </is>
      </c>
    </row>
    <row r="54" ht="15.75" customFormat="1" customHeight="1" s="125">
      <c r="A54" s="87" t="inlineStr">
        <is>
          <t>ASSISTANT ENGINEER,</t>
        </is>
      </c>
      <c r="C54" s="87" t="n"/>
      <c r="D54" s="126" t="inlineStr">
        <is>
          <t>EXECUTIVE  ENGINEER,</t>
        </is>
      </c>
      <c r="H54" s="88" t="n"/>
    </row>
    <row r="55" ht="15.75" customFormat="1" customHeight="1" s="125">
      <c r="A55" s="87" t="inlineStr">
        <is>
          <t>P.W.D. Sub Div.- AMET</t>
        </is>
      </c>
      <c r="C55" s="87" t="n"/>
      <c r="D55" s="126" t="inlineStr">
        <is>
          <t>P.W.D. Div.- AMET</t>
        </is>
      </c>
      <c r="H55" s="88" t="n"/>
    </row>
    <row r="56" ht="15.75" customHeight="1" s="72">
      <c r="D56" s="64" t="n"/>
    </row>
    <row r="57" ht="15.75" customHeight="1" s="72">
      <c r="D57" s="62" t="n"/>
    </row>
    <row r="61">
      <c r="A61" s="88" t="n"/>
      <c r="B61" s="88" t="n"/>
      <c r="C61" s="104" t="n"/>
      <c r="D61" s="88" t="n"/>
    </row>
    <row r="62">
      <c r="A62" s="88" t="n"/>
      <c r="B62" s="88" t="n"/>
      <c r="C62" s="104" t="n"/>
      <c r="D62" s="88" t="n"/>
    </row>
    <row r="63">
      <c r="A63" s="88" t="n"/>
      <c r="B63" s="88" t="n"/>
      <c r="C63" s="104" t="n"/>
      <c r="D63" s="88" t="n"/>
    </row>
    <row r="64">
      <c r="A64" s="88" t="n"/>
      <c r="B64" s="88" t="n"/>
      <c r="C64" s="104" t="n"/>
      <c r="D64" s="88" t="n"/>
    </row>
    <row r="65">
      <c r="A65" s="88" t="n"/>
      <c r="B65" s="88" t="n"/>
      <c r="C65" s="104" t="n"/>
      <c r="D65" s="88" t="n"/>
    </row>
    <row r="66">
      <c r="A66" s="88" t="n"/>
      <c r="B66" s="88" t="n"/>
      <c r="C66" s="104" t="n"/>
      <c r="D66" s="88" t="n"/>
    </row>
    <row r="67">
      <c r="A67" s="88" t="n"/>
      <c r="B67" s="88" t="n"/>
      <c r="C67" s="104" t="n"/>
      <c r="D67" s="88" t="n"/>
    </row>
    <row r="68">
      <c r="A68" s="88" t="n"/>
      <c r="B68" s="88" t="n"/>
      <c r="C68" s="104" t="n"/>
      <c r="D68" s="88" t="n"/>
    </row>
    <row r="69">
      <c r="A69" s="88" t="n"/>
      <c r="B69" s="88" t="n"/>
      <c r="C69" s="104" t="n"/>
      <c r="D69" s="88" t="n"/>
    </row>
    <row r="70">
      <c r="A70" s="88" t="n"/>
      <c r="B70" s="88" t="n"/>
      <c r="C70" s="104" t="n"/>
      <c r="D70" s="88" t="n"/>
    </row>
    <row r="71">
      <c r="A71" s="88" t="n"/>
      <c r="B71" s="88" t="n"/>
      <c r="C71" s="104" t="n"/>
      <c r="D71" s="88" t="n"/>
    </row>
    <row r="72">
      <c r="A72" s="88" t="n"/>
      <c r="B72" s="88" t="n"/>
      <c r="C72" s="104" t="n"/>
      <c r="D72" s="88" t="n"/>
    </row>
    <row r="73">
      <c r="A73" s="88" t="n"/>
      <c r="B73" s="88" t="n"/>
      <c r="C73" s="104" t="n"/>
      <c r="D73" s="88" t="n"/>
    </row>
    <row r="74">
      <c r="A74" s="88" t="n"/>
      <c r="B74" s="88" t="n"/>
      <c r="C74" s="104" t="n"/>
      <c r="D74" s="88" t="n"/>
    </row>
    <row r="75">
      <c r="A75" s="88" t="n"/>
      <c r="B75" s="88" t="n"/>
      <c r="C75" s="104" t="n"/>
      <c r="D75" s="88" t="n"/>
    </row>
    <row r="76">
      <c r="A76" s="88" t="n"/>
      <c r="B76" s="88" t="n"/>
      <c r="C76" s="104" t="n"/>
      <c r="D76" s="88" t="n"/>
    </row>
    <row r="77">
      <c r="A77" s="88" t="n"/>
      <c r="B77" s="88" t="n"/>
      <c r="C77" s="104" t="n"/>
      <c r="D77" s="88" t="n"/>
    </row>
    <row r="78">
      <c r="A78" s="88" t="n"/>
      <c r="B78" s="88" t="n"/>
      <c r="C78" s="104" t="n"/>
      <c r="D78" s="88" t="n"/>
    </row>
    <row r="79">
      <c r="A79" s="88" t="n"/>
      <c r="B79" s="88" t="n"/>
      <c r="C79" s="104" t="n"/>
      <c r="D79" s="88" t="n"/>
    </row>
    <row r="80">
      <c r="A80" s="88" t="n"/>
      <c r="B80" s="88" t="n"/>
      <c r="C80" s="104" t="n"/>
      <c r="D80" s="88" t="n"/>
    </row>
    <row r="81">
      <c r="A81" s="88" t="n"/>
      <c r="B81" s="88" t="n"/>
      <c r="C81" s="104" t="n"/>
      <c r="D81" s="88" t="n"/>
    </row>
    <row r="82">
      <c r="A82" s="88" t="n"/>
      <c r="B82" s="88" t="n"/>
      <c r="C82" s="104" t="n"/>
      <c r="D82" s="88" t="n"/>
    </row>
    <row r="83">
      <c r="A83" s="88" t="n"/>
      <c r="B83" s="88" t="n"/>
      <c r="C83" s="104" t="n"/>
      <c r="D83" s="88" t="n"/>
    </row>
    <row r="84">
      <c r="A84" s="88" t="n"/>
      <c r="B84" s="88" t="n"/>
      <c r="C84" s="104" t="n"/>
      <c r="D84" s="88" t="n"/>
    </row>
    <row r="85">
      <c r="A85" s="88" t="n"/>
      <c r="B85" s="88" t="n"/>
      <c r="C85" s="104" t="n"/>
      <c r="D85" s="88" t="n"/>
    </row>
    <row r="86">
      <c r="A86" s="88" t="n"/>
      <c r="B86" s="88" t="n"/>
      <c r="C86" s="104" t="n"/>
      <c r="D86" s="88" t="n"/>
    </row>
    <row r="87">
      <c r="A87" s="88" t="n"/>
      <c r="B87" s="88" t="n"/>
      <c r="C87" s="104" t="n"/>
      <c r="D87" s="88" t="n"/>
    </row>
    <row r="88">
      <c r="A88" s="88" t="n"/>
      <c r="B88" s="88" t="n"/>
      <c r="C88" s="104" t="n"/>
      <c r="D88" s="88" t="n"/>
    </row>
    <row r="89">
      <c r="A89" s="88" t="n"/>
      <c r="B89" s="88" t="n"/>
      <c r="C89" s="104" t="n"/>
      <c r="D89" s="88" t="n"/>
    </row>
    <row r="90">
      <c r="A90" s="88" t="n"/>
      <c r="B90" s="88" t="n"/>
      <c r="C90" s="104" t="n"/>
      <c r="D90" s="88" t="n"/>
    </row>
    <row r="91">
      <c r="A91" s="88" t="n"/>
      <c r="B91" s="88" t="n"/>
      <c r="C91" s="104" t="n"/>
      <c r="D91" s="88" t="n"/>
    </row>
    <row r="92">
      <c r="A92" s="88" t="n"/>
      <c r="B92" s="88" t="n"/>
      <c r="C92" s="104" t="n"/>
      <c r="D92" s="88" t="n"/>
    </row>
    <row r="93">
      <c r="A93" s="88" t="n"/>
      <c r="B93" s="88" t="n"/>
      <c r="C93" s="104" t="n"/>
      <c r="D93" s="88" t="n"/>
    </row>
    <row r="94">
      <c r="A94" s="88" t="n"/>
      <c r="B94" s="88" t="n"/>
      <c r="C94" s="104" t="n"/>
      <c r="D94" s="88" t="n"/>
    </row>
    <row r="95">
      <c r="A95" s="88" t="n"/>
      <c r="B95" s="88" t="n"/>
      <c r="C95" s="104" t="n"/>
      <c r="D95" s="88" t="n"/>
    </row>
    <row r="96">
      <c r="A96" s="88" t="n"/>
      <c r="B96" s="88" t="n"/>
      <c r="C96" s="104" t="n"/>
      <c r="D96" s="88" t="n"/>
    </row>
    <row r="97">
      <c r="A97" s="88" t="n"/>
      <c r="B97" s="88" t="n"/>
      <c r="C97" s="104" t="n"/>
      <c r="D97" s="88" t="n"/>
    </row>
    <row r="98">
      <c r="A98" s="88" t="n"/>
      <c r="B98" s="88" t="n"/>
      <c r="C98" s="104" t="n"/>
      <c r="D98" s="88" t="n"/>
    </row>
    <row r="99">
      <c r="A99" s="88" t="n"/>
      <c r="B99" s="88" t="n"/>
      <c r="C99" s="104" t="n"/>
      <c r="D99" s="88" t="n"/>
    </row>
    <row r="100">
      <c r="A100" s="88" t="n"/>
      <c r="B100" s="88" t="n"/>
      <c r="C100" s="104" t="n"/>
      <c r="D100" s="88" t="n"/>
    </row>
    <row r="101">
      <c r="A101" s="88" t="n"/>
      <c r="B101" s="88" t="n"/>
      <c r="C101" s="104" t="n"/>
      <c r="D101" s="88" t="n"/>
    </row>
    <row r="102">
      <c r="A102" s="88" t="n"/>
      <c r="B102" s="88" t="n"/>
      <c r="C102" s="104" t="n"/>
      <c r="D102" s="88" t="n"/>
    </row>
    <row r="103">
      <c r="A103" s="88" t="n"/>
      <c r="B103" s="88" t="n"/>
      <c r="C103" s="104" t="n"/>
      <c r="D103" s="88" t="n"/>
    </row>
    <row r="104">
      <c r="A104" s="88" t="n"/>
      <c r="B104" s="88" t="n"/>
      <c r="C104" s="104" t="n"/>
      <c r="D104" s="88" t="n"/>
    </row>
    <row r="105">
      <c r="A105" s="88" t="n"/>
      <c r="B105" s="88" t="n"/>
      <c r="C105" s="104" t="n"/>
      <c r="D105" s="88" t="n"/>
    </row>
    <row r="106">
      <c r="A106" s="88" t="n"/>
      <c r="B106" s="88" t="n"/>
      <c r="C106" s="104" t="n"/>
      <c r="D106" s="88" t="n"/>
    </row>
    <row r="107">
      <c r="A107" s="88" t="n"/>
      <c r="B107" s="88" t="n"/>
      <c r="C107" s="104" t="n"/>
      <c r="D107" s="88" t="n"/>
    </row>
    <row r="108">
      <c r="A108" s="88" t="n"/>
      <c r="B108" s="88" t="n"/>
      <c r="C108" s="104" t="n"/>
      <c r="D108" s="88" t="n"/>
    </row>
    <row r="109">
      <c r="A109" s="88" t="n"/>
      <c r="B109" s="88" t="n"/>
      <c r="C109" s="104" t="n"/>
      <c r="D109" s="88" t="n"/>
    </row>
    <row r="110">
      <c r="A110" s="88" t="n"/>
      <c r="B110" s="88" t="n"/>
      <c r="C110" s="104" t="n"/>
      <c r="D110" s="88" t="n"/>
    </row>
    <row r="111">
      <c r="A111" s="88" t="n"/>
      <c r="B111" s="88" t="n"/>
      <c r="C111" s="104" t="n"/>
      <c r="D111" s="88" t="n"/>
    </row>
    <row r="112">
      <c r="A112" s="88" t="n"/>
      <c r="B112" s="88" t="n"/>
      <c r="C112" s="104" t="n"/>
      <c r="D112" s="88" t="n"/>
    </row>
    <row r="113">
      <c r="A113" s="88" t="n"/>
      <c r="B113" s="88" t="n"/>
      <c r="C113" s="104" t="n"/>
      <c r="D113" s="88" t="n"/>
    </row>
    <row r="114">
      <c r="A114" s="88" t="n"/>
      <c r="B114" s="88" t="n"/>
      <c r="C114" s="104" t="n"/>
      <c r="D114" s="88" t="n"/>
    </row>
    <row r="115">
      <c r="A115" s="88" t="n"/>
      <c r="B115" s="88" t="n"/>
      <c r="C115" s="104" t="n"/>
      <c r="D115" s="88" t="n"/>
    </row>
    <row r="116">
      <c r="A116" s="88" t="n"/>
      <c r="B116" s="88" t="n"/>
      <c r="C116" s="104" t="n"/>
      <c r="D116" s="88" t="n"/>
    </row>
    <row r="117">
      <c r="A117" s="88" t="n"/>
      <c r="B117" s="88" t="n"/>
      <c r="C117" s="104" t="n"/>
      <c r="D117" s="88" t="n"/>
    </row>
    <row r="118">
      <c r="A118" s="88" t="n"/>
      <c r="B118" s="88" t="n"/>
      <c r="C118" s="104" t="n"/>
      <c r="D118" s="88" t="n"/>
    </row>
    <row r="119">
      <c r="A119" s="88" t="n"/>
      <c r="B119" s="88" t="n"/>
      <c r="C119" s="104" t="n"/>
      <c r="D119" s="88" t="n"/>
    </row>
    <row r="120">
      <c r="A120" s="88" t="n"/>
      <c r="B120" s="88" t="n"/>
      <c r="C120" s="104" t="n"/>
      <c r="D120" s="88" t="n"/>
    </row>
    <row r="121">
      <c r="A121" s="88" t="n"/>
      <c r="B121" s="88" t="n"/>
      <c r="C121" s="104" t="n"/>
      <c r="D121" s="88" t="n"/>
    </row>
    <row r="122">
      <c r="A122" s="88" t="n"/>
      <c r="B122" s="88" t="n"/>
      <c r="C122" s="104" t="n"/>
      <c r="D122" s="88" t="n"/>
    </row>
    <row r="123">
      <c r="A123" s="88" t="n"/>
      <c r="B123" s="88" t="n"/>
      <c r="C123" s="104" t="n"/>
      <c r="D123" s="88" t="n"/>
    </row>
    <row r="124">
      <c r="A124" s="88" t="n"/>
      <c r="B124" s="88" t="n"/>
      <c r="C124" s="104" t="n"/>
      <c r="D124" s="88" t="n"/>
    </row>
    <row r="125">
      <c r="A125" s="88" t="n"/>
      <c r="B125" s="88" t="n"/>
      <c r="C125" s="104" t="n"/>
      <c r="D125" s="88" t="n"/>
    </row>
    <row r="126">
      <c r="A126" s="88" t="n"/>
      <c r="B126" s="88" t="n"/>
      <c r="C126" s="104" t="n"/>
      <c r="D126" s="88" t="n"/>
    </row>
    <row r="127">
      <c r="A127" s="88" t="n"/>
      <c r="B127" s="88" t="n"/>
      <c r="C127" s="104" t="n"/>
      <c r="D127" s="88" t="n"/>
    </row>
    <row r="128">
      <c r="A128" s="88" t="n"/>
      <c r="B128" s="88" t="n"/>
      <c r="C128" s="104" t="n"/>
      <c r="D128" s="88" t="n"/>
    </row>
    <row r="129">
      <c r="A129" s="88" t="n"/>
      <c r="B129" s="88" t="n"/>
      <c r="C129" s="104" t="n"/>
      <c r="D129" s="88" t="n"/>
    </row>
    <row r="130">
      <c r="A130" s="88" t="n"/>
      <c r="B130" s="88" t="n"/>
      <c r="C130" s="104" t="n"/>
      <c r="D130" s="88" t="n"/>
    </row>
    <row r="131">
      <c r="A131" s="88" t="n"/>
      <c r="B131" s="88" t="n"/>
      <c r="C131" s="104" t="n"/>
      <c r="D131" s="88" t="n"/>
    </row>
    <row r="132">
      <c r="A132" s="88" t="n"/>
      <c r="B132" s="88" t="n"/>
      <c r="C132" s="104" t="n"/>
      <c r="D132" s="88" t="n"/>
    </row>
    <row r="133">
      <c r="A133" s="88" t="n"/>
      <c r="B133" s="88" t="n"/>
      <c r="C133" s="104" t="n"/>
      <c r="D133" s="88" t="n"/>
    </row>
    <row r="134">
      <c r="A134" s="88" t="n"/>
      <c r="B134" s="88" t="n"/>
      <c r="C134" s="104" t="n"/>
      <c r="D134" s="88" t="n"/>
    </row>
    <row r="135">
      <c r="A135" s="88" t="n"/>
      <c r="B135" s="88" t="n"/>
      <c r="C135" s="104" t="n"/>
      <c r="D135" s="88" t="n"/>
    </row>
    <row r="136">
      <c r="A136" s="88" t="n"/>
      <c r="B136" s="88" t="n"/>
      <c r="C136" s="104" t="n"/>
      <c r="D136" s="88" t="n"/>
    </row>
    <row r="137">
      <c r="A137" s="88" t="n"/>
      <c r="B137" s="88" t="n"/>
      <c r="C137" s="104" t="n"/>
      <c r="D137" s="88" t="n"/>
    </row>
    <row r="138">
      <c r="A138" s="88" t="n"/>
      <c r="B138" s="88" t="n"/>
      <c r="C138" s="104" t="n"/>
      <c r="D138" s="88" t="n"/>
    </row>
    <row r="139">
      <c r="A139" s="88" t="n"/>
      <c r="B139" s="88" t="n"/>
      <c r="C139" s="104" t="n"/>
      <c r="D139" s="88" t="n"/>
    </row>
    <row r="140">
      <c r="A140" s="88" t="n"/>
      <c r="B140" s="88" t="n"/>
      <c r="C140" s="104" t="n"/>
      <c r="D140" s="88" t="n"/>
    </row>
    <row r="141">
      <c r="A141" s="88" t="n"/>
      <c r="B141" s="88" t="n"/>
      <c r="C141" s="104" t="n"/>
      <c r="D141" s="88" t="n"/>
    </row>
    <row r="142">
      <c r="A142" s="88" t="n"/>
      <c r="B142" s="88" t="n"/>
      <c r="C142" s="104" t="n"/>
      <c r="D142" s="88" t="n"/>
    </row>
    <row r="143">
      <c r="A143" s="88" t="n"/>
      <c r="B143" s="88" t="n"/>
      <c r="C143" s="104" t="n"/>
      <c r="D143" s="88" t="n"/>
    </row>
    <row r="144">
      <c r="A144" s="88" t="n"/>
      <c r="B144" s="88" t="n"/>
      <c r="C144" s="104" t="n"/>
      <c r="D144" s="88" t="n"/>
    </row>
    <row r="145">
      <c r="A145" s="88" t="n"/>
      <c r="B145" s="88" t="n"/>
      <c r="C145" s="104" t="n"/>
      <c r="D145" s="88" t="n"/>
    </row>
    <row r="146">
      <c r="A146" s="88" t="n"/>
      <c r="B146" s="88" t="n"/>
      <c r="C146" s="104" t="n"/>
      <c r="D146" s="88" t="n"/>
    </row>
    <row r="147">
      <c r="A147" s="88" t="n"/>
      <c r="B147" s="88" t="n"/>
      <c r="C147" s="104" t="n"/>
      <c r="D147" s="88" t="n"/>
    </row>
    <row r="148">
      <c r="A148" s="88" t="n"/>
      <c r="B148" s="88" t="n"/>
      <c r="C148" s="104" t="n"/>
      <c r="D148" s="88" t="n"/>
    </row>
    <row r="149">
      <c r="A149" s="88" t="n"/>
      <c r="B149" s="88" t="n"/>
      <c r="C149" s="104" t="n"/>
      <c r="D149" s="88" t="n"/>
    </row>
    <row r="150">
      <c r="A150" s="88" t="n"/>
      <c r="B150" s="88" t="n"/>
      <c r="C150" s="104" t="n"/>
      <c r="D150" s="88" t="n"/>
    </row>
    <row r="151">
      <c r="A151" s="88" t="n"/>
      <c r="B151" s="88" t="n"/>
      <c r="C151" s="104" t="n"/>
      <c r="D151" s="88" t="n"/>
    </row>
    <row r="152">
      <c r="A152" s="88" t="n"/>
      <c r="B152" s="88" t="n"/>
      <c r="C152" s="104" t="n"/>
      <c r="D152" s="88" t="n"/>
    </row>
    <row r="153">
      <c r="A153" s="88" t="n"/>
      <c r="B153" s="88" t="n"/>
      <c r="C153" s="104" t="n"/>
      <c r="D153" s="88" t="n"/>
    </row>
    <row r="154">
      <c r="A154" s="88" t="n"/>
      <c r="B154" s="88" t="n"/>
      <c r="C154" s="104" t="n"/>
      <c r="D154" s="88" t="n"/>
    </row>
    <row r="155">
      <c r="A155" s="88" t="n"/>
      <c r="B155" s="88" t="n"/>
      <c r="C155" s="104" t="n"/>
      <c r="D155" s="88" t="n"/>
    </row>
    <row r="156">
      <c r="A156" s="88" t="n"/>
      <c r="B156" s="88" t="n"/>
      <c r="C156" s="104" t="n"/>
      <c r="D156" s="88" t="n"/>
    </row>
    <row r="157">
      <c r="A157" s="88" t="n"/>
      <c r="B157" s="88" t="n"/>
      <c r="C157" s="104" t="n"/>
      <c r="D157" s="88" t="n"/>
    </row>
    <row r="158">
      <c r="A158" s="88" t="n"/>
      <c r="B158" s="88" t="n"/>
      <c r="C158" s="104" t="n"/>
      <c r="D158" s="88" t="n"/>
    </row>
    <row r="159">
      <c r="A159" s="88" t="n"/>
      <c r="B159" s="88" t="n"/>
      <c r="C159" s="104" t="n"/>
      <c r="D159" s="88" t="n"/>
    </row>
    <row r="160">
      <c r="A160" s="88" t="n"/>
      <c r="B160" s="88" t="n"/>
      <c r="C160" s="104" t="n"/>
      <c r="D160" s="88" t="n"/>
    </row>
    <row r="161">
      <c r="A161" s="88" t="n"/>
      <c r="B161" s="88" t="n"/>
      <c r="C161" s="104" t="n"/>
      <c r="D161" s="88" t="n"/>
    </row>
    <row r="162">
      <c r="A162" s="88" t="n"/>
      <c r="B162" s="88" t="n"/>
      <c r="C162" s="104" t="n"/>
      <c r="D162" s="88" t="n"/>
    </row>
    <row r="163">
      <c r="A163" s="88" t="n"/>
      <c r="B163" s="88" t="n"/>
      <c r="C163" s="104" t="n"/>
      <c r="D163" s="88" t="n"/>
    </row>
    <row r="164">
      <c r="A164" s="88" t="n"/>
      <c r="B164" s="88" t="n"/>
      <c r="C164" s="104" t="n"/>
      <c r="D164" s="88" t="n"/>
    </row>
    <row r="165">
      <c r="A165" s="88" t="n"/>
      <c r="B165" s="88" t="n"/>
      <c r="C165" s="104" t="n"/>
      <c r="D165" s="88" t="n"/>
    </row>
    <row r="166">
      <c r="A166" s="88" t="n"/>
      <c r="B166" s="88" t="n"/>
      <c r="C166" s="104" t="n"/>
      <c r="D166" s="88" t="n"/>
    </row>
    <row r="167">
      <c r="A167" s="88" t="n"/>
      <c r="B167" s="88" t="n"/>
      <c r="C167" s="104" t="n"/>
      <c r="D167" s="88" t="n"/>
    </row>
    <row r="168">
      <c r="A168" s="88" t="n"/>
      <c r="B168" s="88" t="n"/>
      <c r="C168" s="104" t="n"/>
      <c r="D168" s="88" t="n"/>
    </row>
    <row r="169">
      <c r="A169" s="88" t="n"/>
      <c r="B169" s="88" t="n"/>
      <c r="C169" s="104" t="n"/>
      <c r="D169" s="88" t="n"/>
    </row>
    <row r="170">
      <c r="A170" s="88" t="n"/>
      <c r="B170" s="88" t="n"/>
      <c r="C170" s="104" t="n"/>
      <c r="D170" s="88" t="n"/>
    </row>
    <row r="171">
      <c r="A171" s="88" t="n"/>
      <c r="B171" s="88" t="n"/>
      <c r="C171" s="104" t="n"/>
      <c r="D171" s="88" t="n"/>
    </row>
    <row r="172">
      <c r="A172" s="88" t="n"/>
      <c r="B172" s="88" t="n"/>
      <c r="C172" s="104" t="n"/>
      <c r="D172" s="88" t="n"/>
    </row>
    <row r="173">
      <c r="A173" s="88" t="n"/>
      <c r="B173" s="88" t="n"/>
      <c r="C173" s="104" t="n"/>
      <c r="D173" s="88" t="n"/>
    </row>
    <row r="174">
      <c r="A174" s="88" t="n"/>
      <c r="B174" s="88" t="n"/>
      <c r="C174" s="104" t="n"/>
      <c r="D174" s="88" t="n"/>
    </row>
    <row r="175">
      <c r="A175" s="88" t="n"/>
      <c r="B175" s="88" t="n"/>
      <c r="C175" s="104" t="n"/>
      <c r="D175" s="88" t="n"/>
    </row>
    <row r="176">
      <c r="A176" s="88" t="n"/>
      <c r="B176" s="88" t="n"/>
      <c r="C176" s="104" t="n"/>
      <c r="D176" s="88" t="n"/>
    </row>
    <row r="177">
      <c r="A177" s="88" t="n"/>
      <c r="B177" s="88" t="n"/>
      <c r="C177" s="104" t="n"/>
      <c r="D177" s="88" t="n"/>
    </row>
    <row r="178">
      <c r="A178" s="88" t="n"/>
      <c r="B178" s="88" t="n"/>
      <c r="C178" s="104" t="n"/>
      <c r="D178" s="88" t="n"/>
    </row>
    <row r="179">
      <c r="A179" s="88" t="n"/>
      <c r="B179" s="88" t="n"/>
      <c r="C179" s="104" t="n"/>
      <c r="D179" s="88" t="n"/>
    </row>
    <row r="180">
      <c r="A180" s="88" t="n"/>
      <c r="B180" s="88" t="n"/>
      <c r="C180" s="104" t="n"/>
      <c r="D180" s="88" t="n"/>
    </row>
    <row r="181">
      <c r="A181" s="88" t="n"/>
      <c r="B181" s="88" t="n"/>
      <c r="C181" s="104" t="n"/>
      <c r="D181" s="88" t="n"/>
    </row>
    <row r="182">
      <c r="A182" s="88" t="n"/>
      <c r="B182" s="88" t="n"/>
      <c r="C182" s="104" t="n"/>
      <c r="D182" s="88" t="n"/>
    </row>
    <row r="183">
      <c r="A183" s="88" t="n"/>
      <c r="B183" s="88" t="n"/>
      <c r="C183" s="104" t="n"/>
      <c r="D183" s="88" t="n"/>
    </row>
    <row r="184">
      <c r="A184" s="88" t="n"/>
      <c r="B184" s="88" t="n"/>
      <c r="C184" s="104" t="n"/>
      <c r="D184" s="88" t="n"/>
    </row>
    <row r="185">
      <c r="A185" s="88" t="n"/>
      <c r="B185" s="88" t="n"/>
      <c r="C185" s="104" t="n"/>
      <c r="D185" s="88" t="n"/>
    </row>
    <row r="186">
      <c r="A186" s="88" t="n"/>
      <c r="B186" s="88" t="n"/>
      <c r="C186" s="104" t="n"/>
      <c r="D186" s="88" t="n"/>
    </row>
    <row r="187">
      <c r="A187" s="88" t="n"/>
      <c r="B187" s="88" t="n"/>
      <c r="C187" s="104" t="n"/>
      <c r="D187" s="88" t="n"/>
    </row>
    <row r="188">
      <c r="A188" s="88" t="n"/>
      <c r="B188" s="88" t="n"/>
      <c r="C188" s="104" t="n"/>
      <c r="D188" s="88" t="n"/>
    </row>
    <row r="189">
      <c r="A189" s="88" t="n"/>
      <c r="B189" s="88" t="n"/>
      <c r="C189" s="104" t="n"/>
      <c r="D189" s="88" t="n"/>
    </row>
    <row r="190">
      <c r="A190" s="88" t="n"/>
      <c r="B190" s="88" t="n"/>
      <c r="C190" s="104" t="n"/>
      <c r="D190" s="88" t="n"/>
    </row>
    <row r="191">
      <c r="A191" s="88" t="n"/>
      <c r="B191" s="88" t="n"/>
      <c r="C191" s="104" t="n"/>
      <c r="D191" s="88" t="n"/>
    </row>
    <row r="192">
      <c r="A192" s="88" t="n"/>
      <c r="B192" s="88" t="n"/>
      <c r="C192" s="104" t="n"/>
      <c r="D192" s="88" t="n"/>
    </row>
    <row r="193">
      <c r="A193" s="88" t="n"/>
      <c r="B193" s="88" t="n"/>
      <c r="C193" s="104" t="n"/>
      <c r="D193" s="88" t="n"/>
    </row>
    <row r="194">
      <c r="A194" s="88" t="n"/>
      <c r="B194" s="88" t="n"/>
      <c r="C194" s="104" t="n"/>
      <c r="D194" s="88" t="n"/>
    </row>
    <row r="195">
      <c r="A195" s="88" t="n"/>
      <c r="B195" s="88" t="n"/>
      <c r="C195" s="104" t="n"/>
      <c r="D195" s="88" t="n"/>
    </row>
    <row r="196">
      <c r="A196" s="88" t="n"/>
      <c r="B196" s="88" t="n"/>
      <c r="C196" s="104" t="n"/>
      <c r="D196" s="88" t="n"/>
    </row>
    <row r="197">
      <c r="A197" s="88" t="n"/>
      <c r="B197" s="88" t="n"/>
      <c r="C197" s="104" t="n"/>
      <c r="D197" s="88" t="n"/>
    </row>
    <row r="198">
      <c r="A198" s="88" t="n"/>
      <c r="B198" s="88" t="n"/>
      <c r="C198" s="104" t="n"/>
      <c r="D198" s="88" t="n"/>
    </row>
    <row r="199">
      <c r="A199" s="88" t="n"/>
      <c r="B199" s="88" t="n"/>
      <c r="C199" s="104" t="n"/>
      <c r="D199" s="88" t="n"/>
    </row>
    <row r="200">
      <c r="A200" s="88" t="n"/>
      <c r="B200" s="88" t="n"/>
      <c r="C200" s="104" t="n"/>
      <c r="D200" s="88" t="n"/>
    </row>
    <row r="201">
      <c r="A201" s="88" t="n"/>
      <c r="B201" s="88" t="n"/>
      <c r="C201" s="104" t="n"/>
      <c r="D201" s="88" t="n"/>
    </row>
    <row r="202">
      <c r="A202" s="88" t="n"/>
      <c r="B202" s="88" t="n"/>
      <c r="C202" s="104" t="n"/>
      <c r="D202" s="88" t="n"/>
    </row>
    <row r="203">
      <c r="A203" s="88" t="n"/>
      <c r="B203" s="88" t="n"/>
      <c r="C203" s="104" t="n"/>
      <c r="D203" s="88" t="n"/>
    </row>
    <row r="204">
      <c r="A204" s="88" t="n"/>
      <c r="B204" s="88" t="n"/>
      <c r="C204" s="104" t="n"/>
      <c r="D204" s="88" t="n"/>
    </row>
    <row r="205">
      <c r="A205" s="88" t="n"/>
      <c r="B205" s="88" t="n"/>
      <c r="C205" s="104" t="n"/>
      <c r="D205" s="88" t="n"/>
    </row>
    <row r="206">
      <c r="A206" s="88" t="n"/>
      <c r="B206" s="88" t="n"/>
      <c r="C206" s="104" t="n"/>
      <c r="D206" s="88" t="n"/>
    </row>
    <row r="207">
      <c r="A207" s="88" t="n"/>
      <c r="B207" s="88" t="n"/>
      <c r="C207" s="104" t="n"/>
      <c r="D207" s="88" t="n"/>
    </row>
    <row r="208">
      <c r="A208" s="88" t="n"/>
      <c r="B208" s="88" t="n"/>
      <c r="C208" s="104" t="n"/>
      <c r="D208" s="88" t="n"/>
    </row>
    <row r="209">
      <c r="A209" s="88" t="n"/>
      <c r="B209" s="88" t="n"/>
      <c r="C209" s="104" t="n"/>
      <c r="D209" s="88" t="n"/>
    </row>
    <row r="210">
      <c r="A210" s="88" t="n"/>
      <c r="B210" s="88" t="n"/>
      <c r="C210" s="104" t="n"/>
      <c r="D210" s="88" t="n"/>
    </row>
    <row r="211">
      <c r="A211" s="88" t="n"/>
      <c r="B211" s="88" t="n"/>
      <c r="C211" s="104" t="n"/>
      <c r="D211" s="88" t="n"/>
    </row>
    <row r="212">
      <c r="A212" s="88" t="n"/>
      <c r="B212" s="88" t="n"/>
      <c r="C212" s="104" t="n"/>
      <c r="D212" s="88" t="n"/>
    </row>
    <row r="213">
      <c r="A213" s="88" t="n"/>
      <c r="B213" s="88" t="n"/>
      <c r="C213" s="104" t="n"/>
      <c r="D213" s="88" t="n"/>
    </row>
    <row r="214">
      <c r="A214" s="88" t="n"/>
      <c r="B214" s="88" t="n"/>
      <c r="C214" s="104" t="n"/>
      <c r="D214" s="88" t="n"/>
    </row>
    <row r="215">
      <c r="A215" s="88" t="n"/>
      <c r="B215" s="88" t="n"/>
      <c r="C215" s="104" t="n"/>
      <c r="D215" s="88" t="n"/>
    </row>
    <row r="216">
      <c r="A216" s="88" t="n"/>
      <c r="B216" s="88" t="n"/>
      <c r="C216" s="104" t="n"/>
      <c r="D216" s="88" t="n"/>
    </row>
    <row r="217">
      <c r="A217" s="88" t="n"/>
      <c r="B217" s="88" t="n"/>
      <c r="C217" s="104" t="n"/>
      <c r="D217" s="88" t="n"/>
    </row>
    <row r="218">
      <c r="A218" s="88" t="n"/>
      <c r="B218" s="88" t="n"/>
      <c r="C218" s="104" t="n"/>
      <c r="D218" s="88" t="n"/>
    </row>
    <row r="219">
      <c r="A219" s="88" t="n"/>
      <c r="B219" s="88" t="n"/>
      <c r="C219" s="104" t="n"/>
      <c r="D219" s="88" t="n"/>
    </row>
    <row r="220">
      <c r="A220" s="88" t="n"/>
      <c r="B220" s="88" t="n"/>
      <c r="C220" s="104" t="n"/>
      <c r="D220" s="88" t="n"/>
    </row>
    <row r="221">
      <c r="A221" s="88" t="n"/>
      <c r="B221" s="88" t="n"/>
      <c r="C221" s="104" t="n"/>
      <c r="D221" s="88" t="n"/>
    </row>
    <row r="222">
      <c r="A222" s="88" t="n"/>
      <c r="B222" s="88" t="n"/>
      <c r="C222" s="104" t="n"/>
      <c r="D222" s="88" t="n"/>
    </row>
    <row r="223">
      <c r="A223" s="88" t="n"/>
      <c r="B223" s="88" t="n"/>
      <c r="C223" s="104" t="n"/>
      <c r="D223" s="88" t="n"/>
    </row>
    <row r="224">
      <c r="A224" s="88" t="n"/>
      <c r="B224" s="88" t="n"/>
      <c r="C224" s="104" t="n"/>
      <c r="D224" s="88" t="n"/>
    </row>
    <row r="225">
      <c r="A225" s="88" t="n"/>
      <c r="B225" s="88" t="n"/>
      <c r="C225" s="104" t="n"/>
      <c r="D225" s="88" t="n"/>
    </row>
    <row r="226">
      <c r="A226" s="88" t="n"/>
      <c r="B226" s="88" t="n"/>
      <c r="C226" s="104" t="n"/>
      <c r="D226" s="88" t="n"/>
    </row>
    <row r="227">
      <c r="A227" s="88" t="n"/>
      <c r="B227" s="88" t="n"/>
      <c r="C227" s="104" t="n"/>
      <c r="D227" s="88" t="n"/>
    </row>
    <row r="228">
      <c r="A228" s="88" t="n"/>
      <c r="B228" s="88" t="n"/>
      <c r="C228" s="104" t="n"/>
      <c r="D228" s="88" t="n"/>
    </row>
    <row r="229">
      <c r="A229" s="88" t="n"/>
      <c r="B229" s="88" t="n"/>
      <c r="C229" s="104" t="n"/>
      <c r="D229" s="88" t="n"/>
    </row>
    <row r="230">
      <c r="A230" s="88" t="n"/>
      <c r="B230" s="88" t="n"/>
      <c r="C230" s="104" t="n"/>
      <c r="D230" s="88" t="n"/>
    </row>
    <row r="231">
      <c r="A231" s="88" t="n"/>
      <c r="B231" s="88" t="n"/>
      <c r="C231" s="104" t="n"/>
      <c r="D231" s="88" t="n"/>
    </row>
    <row r="232">
      <c r="A232" s="88" t="n"/>
      <c r="B232" s="88" t="n"/>
      <c r="C232" s="104" t="n"/>
      <c r="D232" s="88" t="n"/>
    </row>
    <row r="233">
      <c r="A233" s="88" t="n"/>
      <c r="B233" s="88" t="n"/>
      <c r="C233" s="104" t="n"/>
      <c r="D233" s="88" t="n"/>
    </row>
    <row r="234">
      <c r="A234" s="88" t="n"/>
      <c r="B234" s="88" t="n"/>
      <c r="C234" s="104" t="n"/>
      <c r="D234" s="88" t="n"/>
    </row>
    <row r="235">
      <c r="A235" s="88" t="n"/>
      <c r="B235" s="88" t="n"/>
      <c r="C235" s="104" t="n"/>
      <c r="D235" s="88" t="n"/>
    </row>
    <row r="236">
      <c r="A236" s="88" t="n"/>
      <c r="B236" s="88" t="n"/>
      <c r="C236" s="104" t="n"/>
      <c r="D236" s="88" t="n"/>
    </row>
    <row r="237">
      <c r="A237" s="88" t="n"/>
      <c r="B237" s="88" t="n"/>
      <c r="C237" s="104" t="n"/>
      <c r="D237" s="88" t="n"/>
    </row>
    <row r="238">
      <c r="A238" s="88" t="n"/>
      <c r="B238" s="88" t="n"/>
      <c r="C238" s="104" t="n"/>
      <c r="D238" s="88" t="n"/>
    </row>
    <row r="239">
      <c r="A239" s="88" t="n"/>
      <c r="B239" s="88" t="n"/>
      <c r="C239" s="104" t="n"/>
      <c r="D239" s="88" t="n"/>
    </row>
    <row r="240">
      <c r="A240" s="88" t="n"/>
      <c r="B240" s="88" t="n"/>
      <c r="C240" s="104" t="n"/>
      <c r="D240" s="88" t="n"/>
    </row>
    <row r="241">
      <c r="A241" s="88" t="n"/>
      <c r="B241" s="88" t="n"/>
      <c r="C241" s="104" t="n"/>
      <c r="D241" s="88" t="n"/>
    </row>
    <row r="242">
      <c r="A242" s="88" t="n"/>
      <c r="B242" s="88" t="n"/>
      <c r="C242" s="104" t="n"/>
      <c r="D242" s="88" t="n"/>
    </row>
    <row r="243">
      <c r="A243" s="88" t="n"/>
      <c r="B243" s="88" t="n"/>
      <c r="C243" s="104" t="n"/>
      <c r="D243" s="88" t="n"/>
    </row>
    <row r="244">
      <c r="A244" s="88" t="n"/>
      <c r="B244" s="88" t="n"/>
      <c r="C244" s="104" t="n"/>
      <c r="D244" s="88" t="n"/>
    </row>
    <row r="245">
      <c r="A245" s="88" t="n"/>
      <c r="B245" s="88" t="n"/>
      <c r="C245" s="104" t="n"/>
      <c r="D245" s="88" t="n"/>
    </row>
    <row r="246">
      <c r="A246" s="88" t="n"/>
      <c r="B246" s="88" t="n"/>
      <c r="C246" s="104" t="n"/>
      <c r="D246" s="88" t="n"/>
    </row>
    <row r="247">
      <c r="A247" s="88" t="n"/>
      <c r="B247" s="88" t="n"/>
      <c r="C247" s="104" t="n"/>
      <c r="D247" s="88" t="n"/>
    </row>
    <row r="248">
      <c r="A248" s="88" t="n"/>
      <c r="B248" s="88" t="n"/>
      <c r="C248" s="104" t="n"/>
      <c r="D248" s="88" t="n"/>
    </row>
    <row r="249">
      <c r="A249" s="88" t="n"/>
      <c r="B249" s="88" t="n"/>
      <c r="C249" s="104" t="n"/>
      <c r="D249" s="88" t="n"/>
    </row>
    <row r="250">
      <c r="A250" s="88" t="n"/>
      <c r="B250" s="88" t="n"/>
      <c r="C250" s="104" t="n"/>
      <c r="D250" s="88" t="n"/>
    </row>
    <row r="251">
      <c r="A251" s="88" t="n"/>
      <c r="B251" s="88" t="n"/>
      <c r="C251" s="104" t="n"/>
      <c r="D251" s="88" t="n"/>
    </row>
    <row r="252">
      <c r="A252" s="88" t="n"/>
      <c r="B252" s="88" t="n"/>
      <c r="C252" s="104" t="n"/>
      <c r="D252" s="88" t="n"/>
    </row>
    <row r="253">
      <c r="A253" s="88" t="n"/>
      <c r="B253" s="88" t="n"/>
      <c r="C253" s="104" t="n"/>
      <c r="D253" s="88" t="n"/>
    </row>
    <row r="254">
      <c r="A254" s="88" t="n"/>
      <c r="B254" s="88" t="n"/>
      <c r="C254" s="104" t="n"/>
      <c r="D254" s="88" t="n"/>
    </row>
    <row r="255">
      <c r="A255" s="88" t="n"/>
      <c r="B255" s="88" t="n"/>
      <c r="C255" s="104" t="n"/>
      <c r="D255" s="88" t="n"/>
    </row>
    <row r="256">
      <c r="A256" s="88" t="n"/>
      <c r="B256" s="88" t="n"/>
      <c r="C256" s="104" t="n"/>
      <c r="D256" s="88" t="n"/>
    </row>
    <row r="257">
      <c r="A257" s="88" t="n"/>
      <c r="B257" s="88" t="n"/>
      <c r="C257" s="104" t="n"/>
      <c r="D257" s="88" t="n"/>
    </row>
    <row r="258">
      <c r="A258" s="88" t="n"/>
      <c r="B258" s="88" t="n"/>
      <c r="C258" s="104" t="n"/>
      <c r="D258" s="88" t="n"/>
    </row>
    <row r="259">
      <c r="A259" s="88" t="n"/>
      <c r="B259" s="88" t="n"/>
      <c r="C259" s="104" t="n"/>
      <c r="D259" s="88" t="n"/>
    </row>
    <row r="260">
      <c r="A260" s="88" t="n"/>
      <c r="B260" s="88" t="n"/>
      <c r="C260" s="104" t="n"/>
      <c r="D260" s="88" t="n"/>
    </row>
    <row r="261">
      <c r="A261" s="88" t="n"/>
      <c r="B261" s="88" t="n"/>
      <c r="C261" s="104" t="n"/>
      <c r="D261" s="88" t="n"/>
    </row>
    <row r="262">
      <c r="A262" s="88" t="n"/>
      <c r="B262" s="88" t="n"/>
      <c r="C262" s="104" t="n"/>
      <c r="D262" s="88" t="n"/>
    </row>
    <row r="263">
      <c r="A263" s="88" t="n"/>
      <c r="B263" s="88" t="n"/>
      <c r="C263" s="104" t="n"/>
      <c r="D263" s="88" t="n"/>
    </row>
    <row r="264">
      <c r="A264" s="88" t="n"/>
      <c r="B264" s="88" t="n"/>
      <c r="C264" s="104" t="n"/>
      <c r="D264" s="88" t="n"/>
    </row>
    <row r="265">
      <c r="A265" s="88" t="n"/>
      <c r="B265" s="88" t="n"/>
      <c r="C265" s="104" t="n"/>
      <c r="D265" s="88" t="n"/>
    </row>
    <row r="266">
      <c r="A266" s="88" t="n"/>
      <c r="B266" s="88" t="n"/>
      <c r="C266" s="104" t="n"/>
      <c r="D266" s="88" t="n"/>
    </row>
    <row r="267">
      <c r="A267" s="88" t="n"/>
      <c r="B267" s="88" t="n"/>
      <c r="C267" s="104" t="n"/>
      <c r="D267" s="88" t="n"/>
    </row>
    <row r="268">
      <c r="A268" s="88" t="n"/>
      <c r="B268" s="88" t="n"/>
      <c r="C268" s="104" t="n"/>
      <c r="D268" s="88" t="n"/>
    </row>
    <row r="269">
      <c r="A269" s="88" t="n"/>
      <c r="B269" s="88" t="n"/>
      <c r="C269" s="104" t="n"/>
      <c r="D269" s="88" t="n"/>
    </row>
    <row r="270">
      <c r="A270" s="88" t="n"/>
      <c r="B270" s="88" t="n"/>
      <c r="C270" s="104" t="n"/>
      <c r="D270" s="88" t="n"/>
    </row>
    <row r="271">
      <c r="A271" s="88" t="n"/>
      <c r="B271" s="88" t="n"/>
      <c r="C271" s="104" t="n"/>
      <c r="D271" s="88" t="n"/>
    </row>
    <row r="272">
      <c r="A272" s="88" t="n"/>
      <c r="B272" s="88" t="n"/>
      <c r="C272" s="104" t="n"/>
      <c r="D272" s="88" t="n"/>
    </row>
    <row r="273">
      <c r="A273" s="88" t="n"/>
      <c r="B273" s="88" t="n"/>
      <c r="C273" s="104" t="n"/>
      <c r="D273" s="88" t="n"/>
    </row>
    <row r="274">
      <c r="A274" s="88" t="n"/>
      <c r="B274" s="88" t="n"/>
      <c r="C274" s="104" t="n"/>
      <c r="D274" s="88" t="n"/>
    </row>
    <row r="275">
      <c r="A275" s="88" t="n"/>
      <c r="B275" s="88" t="n"/>
      <c r="C275" s="104" t="n"/>
      <c r="D275" s="88" t="n"/>
    </row>
    <row r="276">
      <c r="A276" s="88" t="n"/>
      <c r="B276" s="88" t="n"/>
      <c r="C276" s="104" t="n"/>
      <c r="D276" s="88" t="n"/>
    </row>
    <row r="277">
      <c r="A277" s="88" t="n"/>
      <c r="B277" s="88" t="n"/>
      <c r="C277" s="104" t="n"/>
      <c r="D277" s="88" t="n"/>
    </row>
    <row r="278">
      <c r="A278" s="88" t="n"/>
      <c r="B278" s="88" t="n"/>
      <c r="C278" s="104" t="n"/>
      <c r="D278" s="88" t="n"/>
    </row>
    <row r="279">
      <c r="A279" s="88" t="n"/>
      <c r="B279" s="88" t="n"/>
      <c r="C279" s="104" t="n"/>
      <c r="D279" s="88" t="n"/>
    </row>
    <row r="280">
      <c r="A280" s="88" t="n"/>
      <c r="B280" s="88" t="n"/>
      <c r="C280" s="104" t="n"/>
      <c r="D280" s="88" t="n"/>
    </row>
    <row r="281">
      <c r="A281" s="88" t="n"/>
      <c r="B281" s="88" t="n"/>
      <c r="C281" s="104" t="n"/>
      <c r="D281" s="88" t="n"/>
    </row>
    <row r="282">
      <c r="A282" s="88" t="n"/>
      <c r="B282" s="88" t="n"/>
      <c r="C282" s="104" t="n"/>
      <c r="D282" s="88" t="n"/>
    </row>
    <row r="283">
      <c r="A283" s="88" t="n"/>
      <c r="B283" s="88" t="n"/>
      <c r="C283" s="104" t="n"/>
      <c r="D283" s="88" t="n"/>
    </row>
    <row r="284">
      <c r="A284" s="88" t="n"/>
      <c r="B284" s="88" t="n"/>
      <c r="C284" s="104" t="n"/>
      <c r="D284" s="88" t="n"/>
    </row>
    <row r="285">
      <c r="A285" s="88" t="n"/>
      <c r="B285" s="88" t="n"/>
      <c r="C285" s="104" t="n"/>
      <c r="D285" s="88" t="n"/>
    </row>
    <row r="286">
      <c r="A286" s="88" t="n"/>
      <c r="B286" s="88" t="n"/>
      <c r="C286" s="104" t="n"/>
      <c r="D286" s="88" t="n"/>
    </row>
    <row r="287">
      <c r="A287" s="88" t="n"/>
      <c r="B287" s="88" t="n"/>
      <c r="C287" s="104" t="n"/>
      <c r="D287" s="88" t="n"/>
    </row>
    <row r="288">
      <c r="A288" s="88" t="n"/>
      <c r="B288" s="88" t="n"/>
      <c r="C288" s="104" t="n"/>
      <c r="D288" s="88" t="n"/>
    </row>
    <row r="289">
      <c r="A289" s="88" t="n"/>
      <c r="B289" s="88" t="n"/>
      <c r="C289" s="104" t="n"/>
      <c r="D289" s="88" t="n"/>
    </row>
    <row r="290">
      <c r="A290" s="88" t="n"/>
      <c r="B290" s="88" t="n"/>
      <c r="C290" s="104" t="n"/>
      <c r="D290" s="88" t="n"/>
    </row>
    <row r="291">
      <c r="A291" s="88" t="n"/>
      <c r="B291" s="88" t="n"/>
      <c r="C291" s="104" t="n"/>
      <c r="D291" s="88" t="n"/>
    </row>
    <row r="292">
      <c r="A292" s="88" t="n"/>
      <c r="B292" s="88" t="n"/>
      <c r="C292" s="104" t="n"/>
      <c r="D292" s="88" t="n"/>
    </row>
    <row r="293">
      <c r="A293" s="88" t="n"/>
      <c r="B293" s="88" t="n"/>
      <c r="C293" s="104" t="n"/>
      <c r="D293" s="88" t="n"/>
    </row>
    <row r="294">
      <c r="A294" s="88" t="n"/>
      <c r="B294" s="88" t="n"/>
      <c r="C294" s="104" t="n"/>
      <c r="D294" s="88" t="n"/>
    </row>
    <row r="295">
      <c r="A295" s="88" t="n"/>
      <c r="B295" s="88" t="n"/>
      <c r="C295" s="104" t="n"/>
      <c r="D295" s="88" t="n"/>
    </row>
    <row r="296">
      <c r="A296" s="88" t="n"/>
      <c r="B296" s="88" t="n"/>
      <c r="C296" s="104" t="n"/>
      <c r="D296" s="88" t="n"/>
    </row>
    <row r="297">
      <c r="A297" s="88" t="n"/>
      <c r="B297" s="88" t="n"/>
      <c r="C297" s="104" t="n"/>
      <c r="D297" s="88" t="n"/>
    </row>
    <row r="298">
      <c r="A298" s="88" t="n"/>
      <c r="B298" s="88" t="n"/>
      <c r="C298" s="104" t="n"/>
      <c r="D298" s="88" t="n"/>
    </row>
    <row r="299">
      <c r="A299" s="88" t="n"/>
      <c r="B299" s="88" t="n"/>
      <c r="C299" s="104" t="n"/>
      <c r="D299" s="88" t="n"/>
    </row>
    <row r="300">
      <c r="A300" s="88" t="n"/>
      <c r="B300" s="88" t="n"/>
      <c r="C300" s="104" t="n"/>
      <c r="D300" s="88" t="n"/>
    </row>
    <row r="301">
      <c r="A301" s="88" t="n"/>
      <c r="B301" s="88" t="n"/>
      <c r="C301" s="104" t="n"/>
      <c r="D301" s="88" t="n"/>
    </row>
    <row r="302">
      <c r="A302" s="88" t="n"/>
      <c r="B302" s="88" t="n"/>
      <c r="C302" s="104" t="n"/>
      <c r="D302" s="88" t="n"/>
    </row>
    <row r="303">
      <c r="A303" s="88" t="n"/>
      <c r="B303" s="88" t="n"/>
      <c r="C303" s="104" t="n"/>
      <c r="D303" s="88" t="n"/>
    </row>
    <row r="304">
      <c r="A304" s="88" t="n"/>
      <c r="B304" s="88" t="n"/>
      <c r="C304" s="104" t="n"/>
      <c r="D304" s="88" t="n"/>
    </row>
    <row r="305">
      <c r="A305" s="88" t="n"/>
      <c r="B305" s="88" t="n"/>
      <c r="C305" s="104" t="n"/>
      <c r="D305" s="88" t="n"/>
    </row>
    <row r="306">
      <c r="A306" s="88" t="n"/>
      <c r="B306" s="88" t="n"/>
      <c r="C306" s="104" t="n"/>
      <c r="D306" s="88" t="n"/>
    </row>
    <row r="307">
      <c r="A307" s="88" t="n"/>
      <c r="B307" s="88" t="n"/>
      <c r="C307" s="104" t="n"/>
      <c r="D307" s="88" t="n"/>
    </row>
    <row r="308">
      <c r="A308" s="88" t="n"/>
      <c r="B308" s="88" t="n"/>
      <c r="C308" s="104" t="n"/>
      <c r="D308" s="88" t="n"/>
    </row>
    <row r="309">
      <c r="A309" s="88" t="n"/>
      <c r="B309" s="88" t="n"/>
      <c r="C309" s="104" t="n"/>
      <c r="D309" s="88" t="n"/>
    </row>
    <row r="310">
      <c r="A310" s="88" t="n"/>
      <c r="B310" s="88" t="n"/>
      <c r="C310" s="104" t="n"/>
      <c r="D310" s="88" t="n"/>
    </row>
    <row r="311">
      <c r="A311" s="88" t="n"/>
      <c r="B311" s="88" t="n"/>
      <c r="C311" s="104" t="n"/>
      <c r="D311" s="88" t="n"/>
    </row>
    <row r="312">
      <c r="A312" s="88" t="n"/>
      <c r="B312" s="88" t="n"/>
      <c r="C312" s="104" t="n"/>
      <c r="D312" s="88" t="n"/>
    </row>
    <row r="313">
      <c r="A313" s="88" t="n"/>
      <c r="B313" s="88" t="n"/>
      <c r="C313" s="104" t="n"/>
      <c r="D313" s="88" t="n"/>
    </row>
    <row r="314">
      <c r="A314" s="88" t="n"/>
      <c r="B314" s="88" t="n"/>
      <c r="C314" s="104" t="n"/>
      <c r="D314" s="88" t="n"/>
    </row>
    <row r="315">
      <c r="A315" s="88" t="n"/>
      <c r="B315" s="88" t="n"/>
      <c r="C315" s="104" t="n"/>
      <c r="D315" s="88" t="n"/>
    </row>
    <row r="316">
      <c r="A316" s="88" t="n"/>
      <c r="B316" s="88" t="n"/>
      <c r="C316" s="104" t="n"/>
      <c r="D316" s="88" t="n"/>
    </row>
    <row r="317">
      <c r="A317" s="88" t="n"/>
      <c r="B317" s="88" t="n"/>
      <c r="C317" s="104" t="n"/>
      <c r="D317" s="88" t="n"/>
    </row>
    <row r="318">
      <c r="A318" s="88" t="n"/>
      <c r="B318" s="88" t="n"/>
      <c r="C318" s="104" t="n"/>
      <c r="D318" s="88" t="n"/>
    </row>
    <row r="319">
      <c r="A319" s="88" t="n"/>
      <c r="B319" s="88" t="n"/>
      <c r="C319" s="104" t="n"/>
      <c r="D319" s="88" t="n"/>
    </row>
    <row r="320">
      <c r="A320" s="88" t="n"/>
      <c r="B320" s="88" t="n"/>
      <c r="C320" s="104" t="n"/>
      <c r="D320" s="88" t="n"/>
    </row>
    <row r="321">
      <c r="A321" s="88" t="n"/>
      <c r="B321" s="88" t="n"/>
      <c r="C321" s="104" t="n"/>
      <c r="D321" s="88" t="n"/>
    </row>
    <row r="322">
      <c r="A322" s="88" t="n"/>
      <c r="B322" s="88" t="n"/>
      <c r="C322" s="104" t="n"/>
      <c r="D322" s="88" t="n"/>
    </row>
    <row r="323">
      <c r="A323" s="88" t="n"/>
      <c r="B323" s="88" t="n"/>
      <c r="C323" s="104" t="n"/>
      <c r="D323" s="88" t="n"/>
    </row>
    <row r="324">
      <c r="A324" s="88" t="n"/>
      <c r="B324" s="88" t="n"/>
      <c r="C324" s="104" t="n"/>
      <c r="D324" s="88" t="n"/>
    </row>
    <row r="325">
      <c r="A325" s="88" t="n"/>
      <c r="B325" s="88" t="n"/>
      <c r="C325" s="104" t="n"/>
      <c r="D325" s="88" t="n"/>
    </row>
    <row r="326">
      <c r="A326" s="88" t="n"/>
      <c r="B326" s="88" t="n"/>
      <c r="C326" s="104" t="n"/>
      <c r="D326" s="88" t="n"/>
    </row>
    <row r="327">
      <c r="A327" s="88" t="n"/>
      <c r="B327" s="88" t="n"/>
      <c r="C327" s="104" t="n"/>
      <c r="D327" s="88" t="n"/>
    </row>
    <row r="328">
      <c r="A328" s="88" t="n"/>
      <c r="B328" s="88" t="n"/>
      <c r="C328" s="104" t="n"/>
      <c r="D328" s="88" t="n"/>
    </row>
    <row r="329">
      <c r="A329" s="88" t="n"/>
      <c r="B329" s="88" t="n"/>
      <c r="C329" s="104" t="n"/>
      <c r="D329" s="88" t="n"/>
    </row>
    <row r="330">
      <c r="A330" s="88" t="n"/>
      <c r="B330" s="88" t="n"/>
      <c r="C330" s="104" t="n"/>
      <c r="D330" s="88" t="n"/>
    </row>
    <row r="331">
      <c r="A331" s="88" t="n"/>
      <c r="B331" s="88" t="n"/>
      <c r="C331" s="104" t="n"/>
      <c r="D331" s="88" t="n"/>
    </row>
    <row r="332">
      <c r="A332" s="88" t="n"/>
      <c r="B332" s="88" t="n"/>
      <c r="C332" s="104" t="n"/>
      <c r="D332" s="88" t="n"/>
    </row>
    <row r="333">
      <c r="A333" s="88" t="n"/>
      <c r="B333" s="88" t="n"/>
      <c r="C333" s="104" t="n"/>
      <c r="D333" s="88" t="n"/>
    </row>
    <row r="334">
      <c r="A334" s="88" t="n"/>
      <c r="B334" s="88" t="n"/>
      <c r="C334" s="104" t="n"/>
      <c r="D334" s="88" t="n"/>
    </row>
    <row r="335">
      <c r="A335" s="88" t="n"/>
      <c r="B335" s="88" t="n"/>
      <c r="C335" s="104" t="n"/>
      <c r="D335" s="88" t="n"/>
    </row>
    <row r="336">
      <c r="A336" s="88" t="n"/>
      <c r="B336" s="88" t="n"/>
      <c r="C336" s="104" t="n"/>
      <c r="D336" s="88" t="n"/>
    </row>
    <row r="337">
      <c r="A337" s="88" t="n"/>
      <c r="B337" s="88" t="n"/>
      <c r="C337" s="104" t="n"/>
      <c r="D337" s="88" t="n"/>
    </row>
    <row r="338">
      <c r="A338" s="88" t="n"/>
      <c r="B338" s="88" t="n"/>
      <c r="C338" s="104" t="n"/>
      <c r="D338" s="88" t="n"/>
    </row>
    <row r="339">
      <c r="A339" s="88" t="n"/>
      <c r="B339" s="88" t="n"/>
      <c r="C339" s="104" t="n"/>
      <c r="D339" s="88" t="n"/>
    </row>
    <row r="340">
      <c r="A340" s="88" t="n"/>
      <c r="B340" s="88" t="n"/>
      <c r="C340" s="104" t="n"/>
      <c r="D340" s="88" t="n"/>
    </row>
    <row r="341">
      <c r="A341" s="88" t="n"/>
      <c r="B341" s="88" t="n"/>
      <c r="C341" s="104" t="n"/>
      <c r="D341" s="88" t="n"/>
    </row>
    <row r="342">
      <c r="A342" s="88" t="n"/>
      <c r="B342" s="88" t="n"/>
      <c r="C342" s="104" t="n"/>
      <c r="D342" s="88" t="n"/>
    </row>
    <row r="343">
      <c r="A343" s="88" t="n"/>
      <c r="B343" s="88" t="n"/>
      <c r="C343" s="104" t="n"/>
      <c r="D343" s="88" t="n"/>
    </row>
    <row r="344">
      <c r="A344" s="88" t="n"/>
      <c r="B344" s="88" t="n"/>
      <c r="C344" s="104" t="n"/>
      <c r="D344" s="88" t="n"/>
    </row>
    <row r="345">
      <c r="A345" s="88" t="n"/>
      <c r="B345" s="88" t="n"/>
      <c r="C345" s="104" t="n"/>
      <c r="D345" s="88" t="n"/>
    </row>
    <row r="346">
      <c r="A346" s="88" t="n"/>
      <c r="B346" s="88" t="n"/>
      <c r="C346" s="104" t="n"/>
      <c r="D346" s="88" t="n"/>
    </row>
    <row r="347">
      <c r="A347" s="88" t="n"/>
      <c r="B347" s="88" t="n"/>
      <c r="C347" s="104" t="n"/>
      <c r="D347" s="88" t="n"/>
    </row>
    <row r="348">
      <c r="A348" s="88" t="n"/>
      <c r="B348" s="88" t="n"/>
      <c r="C348" s="104" t="n"/>
      <c r="D348" s="88" t="n"/>
    </row>
    <row r="349">
      <c r="A349" s="88" t="n"/>
      <c r="B349" s="88" t="n"/>
      <c r="C349" s="104" t="n"/>
      <c r="D349" s="88" t="n"/>
    </row>
    <row r="350">
      <c r="A350" s="88" t="n"/>
      <c r="B350" s="88" t="n"/>
      <c r="C350" s="104" t="n"/>
      <c r="D350" s="88" t="n"/>
    </row>
    <row r="351">
      <c r="A351" s="88" t="n"/>
      <c r="B351" s="88" t="n"/>
      <c r="C351" s="104" t="n"/>
      <c r="D351" s="88" t="n"/>
    </row>
    <row r="352">
      <c r="A352" s="88" t="n"/>
      <c r="B352" s="88" t="n"/>
      <c r="C352" s="104" t="n"/>
      <c r="D352" s="88" t="n"/>
    </row>
    <row r="353">
      <c r="A353" s="88" t="n"/>
      <c r="B353" s="88" t="n"/>
      <c r="C353" s="104" t="n"/>
      <c r="D353" s="88" t="n"/>
    </row>
    <row r="354">
      <c r="A354" s="88" t="n"/>
      <c r="B354" s="88" t="n"/>
      <c r="C354" s="104" t="n"/>
      <c r="D354" s="88" t="n"/>
    </row>
    <row r="355">
      <c r="A355" s="88" t="n"/>
      <c r="B355" s="88" t="n"/>
      <c r="C355" s="104" t="n"/>
      <c r="D355" s="88" t="n"/>
    </row>
    <row r="356">
      <c r="A356" s="88" t="n"/>
      <c r="B356" s="88" t="n"/>
      <c r="C356" s="104" t="n"/>
      <c r="D356" s="88" t="n"/>
    </row>
    <row r="357">
      <c r="A357" s="88" t="n"/>
      <c r="B357" s="88" t="n"/>
      <c r="C357" s="104" t="n"/>
      <c r="D357" s="88" t="n"/>
    </row>
    <row r="358">
      <c r="A358" s="88" t="n"/>
      <c r="B358" s="88" t="n"/>
      <c r="C358" s="104" t="n"/>
      <c r="D358" s="88" t="n"/>
    </row>
    <row r="359">
      <c r="A359" s="88" t="n"/>
      <c r="B359" s="88" t="n"/>
      <c r="C359" s="104" t="n"/>
      <c r="D359" s="88" t="n"/>
    </row>
    <row r="360">
      <c r="A360" s="88" t="n"/>
      <c r="B360" s="88" t="n"/>
      <c r="C360" s="104" t="n"/>
      <c r="D360" s="88" t="n"/>
    </row>
    <row r="361">
      <c r="A361" s="88" t="n"/>
      <c r="B361" s="88" t="n"/>
      <c r="C361" s="104" t="n"/>
      <c r="D361" s="88" t="n"/>
    </row>
    <row r="362">
      <c r="A362" s="88" t="n"/>
      <c r="B362" s="88" t="n"/>
      <c r="C362" s="104" t="n"/>
      <c r="D362" s="88" t="n"/>
    </row>
    <row r="363">
      <c r="A363" s="88" t="n"/>
      <c r="B363" s="88" t="n"/>
      <c r="C363" s="104" t="n"/>
      <c r="D363" s="88" t="n"/>
    </row>
    <row r="364">
      <c r="A364" s="88" t="n"/>
      <c r="B364" s="88" t="n"/>
      <c r="C364" s="104" t="n"/>
      <c r="D364" s="88" t="n"/>
    </row>
    <row r="365">
      <c r="A365" s="88" t="n"/>
      <c r="B365" s="88" t="n"/>
      <c r="C365" s="104" t="n"/>
      <c r="D365" s="88" t="n"/>
    </row>
    <row r="366">
      <c r="A366" s="88" t="n"/>
      <c r="B366" s="88" t="n"/>
      <c r="C366" s="104" t="n"/>
      <c r="D366" s="88" t="n"/>
    </row>
    <row r="367">
      <c r="A367" s="88" t="n"/>
      <c r="B367" s="88" t="n"/>
      <c r="C367" s="104" t="n"/>
      <c r="D367" s="88" t="n"/>
    </row>
    <row r="368">
      <c r="A368" s="88" t="n"/>
      <c r="B368" s="88" t="n"/>
      <c r="C368" s="104" t="n"/>
      <c r="D368" s="88" t="n"/>
    </row>
    <row r="369">
      <c r="A369" s="88" t="n"/>
      <c r="B369" s="88" t="n"/>
      <c r="C369" s="104" t="n"/>
      <c r="D369" s="88" t="n"/>
    </row>
    <row r="370">
      <c r="A370" s="88" t="n"/>
      <c r="B370" s="88" t="n"/>
      <c r="C370" s="104" t="n"/>
      <c r="D370" s="88" t="n"/>
    </row>
    <row r="371">
      <c r="A371" s="88" t="n"/>
      <c r="B371" s="88" t="n"/>
      <c r="C371" s="104" t="n"/>
      <c r="D371" s="88" t="n"/>
    </row>
    <row r="372">
      <c r="A372" s="88" t="n"/>
      <c r="B372" s="88" t="n"/>
      <c r="C372" s="104" t="n"/>
      <c r="D372" s="88" t="n"/>
    </row>
    <row r="373">
      <c r="A373" s="88" t="n"/>
      <c r="B373" s="88" t="n"/>
      <c r="C373" s="104" t="n"/>
      <c r="D373" s="88" t="n"/>
    </row>
    <row r="374">
      <c r="A374" s="88" t="n"/>
      <c r="B374" s="88" t="n"/>
      <c r="C374" s="104" t="n"/>
      <c r="D374" s="88" t="n"/>
    </row>
    <row r="375">
      <c r="A375" s="88" t="n"/>
      <c r="B375" s="88" t="n"/>
      <c r="C375" s="104" t="n"/>
      <c r="D375" s="88" t="n"/>
    </row>
    <row r="376">
      <c r="A376" s="88" t="n"/>
      <c r="B376" s="88" t="n"/>
      <c r="C376" s="104" t="n"/>
      <c r="D376" s="88" t="n"/>
    </row>
    <row r="377">
      <c r="A377" s="88" t="n"/>
      <c r="B377" s="88" t="n"/>
      <c r="C377" s="104" t="n"/>
      <c r="D377" s="88" t="n"/>
    </row>
    <row r="378">
      <c r="A378" s="88" t="n"/>
      <c r="B378" s="88" t="n"/>
      <c r="C378" s="104" t="n"/>
      <c r="D378" s="88" t="n"/>
    </row>
    <row r="379">
      <c r="A379" s="88" t="n"/>
      <c r="B379" s="88" t="n"/>
      <c r="C379" s="104" t="n"/>
      <c r="D379" s="88" t="n"/>
    </row>
    <row r="380">
      <c r="A380" s="88" t="n"/>
      <c r="B380" s="88" t="n"/>
      <c r="C380" s="104" t="n"/>
      <c r="D380" s="88" t="n"/>
    </row>
    <row r="381">
      <c r="A381" s="88" t="n"/>
      <c r="B381" s="88" t="n"/>
      <c r="C381" s="104" t="n"/>
      <c r="D381" s="88" t="n"/>
    </row>
    <row r="382">
      <c r="A382" s="88" t="n"/>
      <c r="B382" s="88" t="n"/>
      <c r="C382" s="104" t="n"/>
      <c r="D382" s="88" t="n"/>
    </row>
    <row r="383">
      <c r="A383" s="88" t="n"/>
      <c r="B383" s="88" t="n"/>
      <c r="C383" s="104" t="n"/>
      <c r="D383" s="88" t="n"/>
    </row>
    <row r="384">
      <c r="A384" s="88" t="n"/>
      <c r="B384" s="88" t="n"/>
      <c r="C384" s="104" t="n"/>
      <c r="D384" s="88" t="n"/>
    </row>
    <row r="385">
      <c r="A385" s="88" t="n"/>
      <c r="B385" s="88" t="n"/>
      <c r="C385" s="104" t="n"/>
      <c r="D385" s="88" t="n"/>
    </row>
    <row r="386">
      <c r="A386" s="88" t="n"/>
      <c r="B386" s="88" t="n"/>
      <c r="C386" s="104" t="n"/>
      <c r="D386" s="88" t="n"/>
    </row>
    <row r="387">
      <c r="A387" s="88" t="n"/>
      <c r="B387" s="88" t="n"/>
      <c r="C387" s="104" t="n"/>
      <c r="D387" s="88" t="n"/>
    </row>
    <row r="388">
      <c r="A388" s="88" t="n"/>
      <c r="B388" s="88" t="n"/>
      <c r="C388" s="104" t="n"/>
      <c r="D388" s="88" t="n"/>
    </row>
    <row r="389">
      <c r="A389" s="88" t="n"/>
      <c r="B389" s="88" t="n"/>
      <c r="C389" s="104" t="n"/>
      <c r="D389" s="88" t="n"/>
    </row>
    <row r="390">
      <c r="A390" s="88" t="n"/>
      <c r="B390" s="88" t="n"/>
      <c r="C390" s="104" t="n"/>
      <c r="D390" s="88" t="n"/>
    </row>
    <row r="391">
      <c r="A391" s="88" t="n"/>
      <c r="B391" s="88" t="n"/>
      <c r="C391" s="104" t="n"/>
      <c r="D391" s="88" t="n"/>
    </row>
    <row r="392">
      <c r="A392" s="88" t="n"/>
      <c r="B392" s="88" t="n"/>
      <c r="C392" s="104" t="n"/>
      <c r="D392" s="88" t="n"/>
    </row>
    <row r="393">
      <c r="A393" s="88" t="n"/>
      <c r="B393" s="88" t="n"/>
      <c r="C393" s="104" t="n"/>
      <c r="D393" s="88" t="n"/>
    </row>
    <row r="394">
      <c r="A394" s="88" t="n"/>
      <c r="B394" s="88" t="n"/>
      <c r="C394" s="104" t="n"/>
      <c r="D394" s="88" t="n"/>
    </row>
    <row r="395">
      <c r="A395" s="88" t="n"/>
      <c r="B395" s="88" t="n"/>
      <c r="C395" s="104" t="n"/>
      <c r="D395" s="88" t="n"/>
    </row>
    <row r="396">
      <c r="A396" s="88" t="n"/>
      <c r="B396" s="88" t="n"/>
      <c r="C396" s="104" t="n"/>
      <c r="D396" s="88" t="n"/>
    </row>
    <row r="397">
      <c r="A397" s="88" t="n"/>
      <c r="B397" s="88" t="n"/>
      <c r="C397" s="104" t="n"/>
      <c r="D397" s="88" t="n"/>
    </row>
    <row r="398">
      <c r="A398" s="88" t="n"/>
      <c r="B398" s="88" t="n"/>
      <c r="C398" s="104" t="n"/>
      <c r="D398" s="88" t="n"/>
    </row>
    <row r="399">
      <c r="A399" s="88" t="n"/>
      <c r="B399" s="88" t="n"/>
      <c r="C399" s="104" t="n"/>
      <c r="D399" s="88" t="n"/>
    </row>
    <row r="400">
      <c r="A400" s="88" t="n"/>
      <c r="B400" s="88" t="n"/>
      <c r="C400" s="104" t="n"/>
      <c r="D400" s="88" t="n"/>
    </row>
    <row r="401">
      <c r="A401" s="88" t="n"/>
      <c r="B401" s="88" t="n"/>
      <c r="C401" s="104" t="n"/>
      <c r="D401" s="88" t="n"/>
    </row>
    <row r="402">
      <c r="A402" s="88" t="n"/>
      <c r="B402" s="88" t="n"/>
      <c r="C402" s="104" t="n"/>
      <c r="D402" s="88" t="n"/>
    </row>
    <row r="403">
      <c r="A403" s="88" t="n"/>
      <c r="B403" s="88" t="n"/>
      <c r="C403" s="104" t="n"/>
      <c r="D403" s="88" t="n"/>
    </row>
    <row r="404">
      <c r="A404" s="88" t="n"/>
      <c r="B404" s="88" t="n"/>
      <c r="C404" s="104" t="n"/>
      <c r="D404" s="88" t="n"/>
    </row>
    <row r="405">
      <c r="A405" s="88" t="n"/>
      <c r="B405" s="88" t="n"/>
      <c r="C405" s="104" t="n"/>
      <c r="D405" s="88" t="n"/>
    </row>
    <row r="406">
      <c r="A406" s="88" t="n"/>
      <c r="B406" s="88" t="n"/>
      <c r="C406" s="104" t="n"/>
      <c r="D406" s="88" t="n"/>
    </row>
    <row r="407">
      <c r="A407" s="88" t="n"/>
      <c r="B407" s="88" t="n"/>
      <c r="C407" s="104" t="n"/>
      <c r="D407" s="88" t="n"/>
    </row>
    <row r="408">
      <c r="A408" s="88" t="n"/>
      <c r="B408" s="88" t="n"/>
      <c r="C408" s="104" t="n"/>
      <c r="D408" s="88" t="n"/>
    </row>
    <row r="409">
      <c r="A409" s="88" t="n"/>
      <c r="B409" s="88" t="n"/>
      <c r="C409" s="104" t="n"/>
      <c r="D409" s="88" t="n"/>
    </row>
    <row r="410">
      <c r="A410" s="88" t="n"/>
      <c r="B410" s="88" t="n"/>
      <c r="C410" s="104" t="n"/>
      <c r="D410" s="88" t="n"/>
    </row>
    <row r="411">
      <c r="A411" s="88" t="n"/>
      <c r="B411" s="88" t="n"/>
      <c r="C411" s="104" t="n"/>
      <c r="D411" s="88" t="n"/>
    </row>
    <row r="412">
      <c r="A412" s="88" t="n"/>
      <c r="B412" s="88" t="n"/>
      <c r="C412" s="104" t="n"/>
      <c r="D412" s="88" t="n"/>
    </row>
    <row r="413">
      <c r="A413" s="88" t="n"/>
      <c r="B413" s="88" t="n"/>
      <c r="C413" s="104" t="n"/>
      <c r="D413" s="88" t="n"/>
    </row>
    <row r="414">
      <c r="A414" s="88" t="n"/>
      <c r="B414" s="88" t="n"/>
      <c r="C414" s="104" t="n"/>
      <c r="D414" s="88" t="n"/>
    </row>
    <row r="415">
      <c r="A415" s="88" t="n"/>
      <c r="B415" s="88" t="n"/>
      <c r="C415" s="104" t="n"/>
      <c r="D415" s="88" t="n"/>
    </row>
    <row r="416">
      <c r="A416" s="88" t="n"/>
      <c r="B416" s="88" t="n"/>
      <c r="C416" s="104" t="n"/>
      <c r="D416" s="88" t="n"/>
    </row>
    <row r="417">
      <c r="A417" s="88" t="n"/>
      <c r="B417" s="88" t="n"/>
      <c r="C417" s="104" t="n"/>
      <c r="D417" s="88" t="n"/>
    </row>
    <row r="418">
      <c r="A418" s="88" t="n"/>
      <c r="B418" s="88" t="n"/>
      <c r="C418" s="104" t="n"/>
      <c r="D418" s="88" t="n"/>
    </row>
    <row r="419">
      <c r="A419" s="88" t="n"/>
      <c r="B419" s="88" t="n"/>
      <c r="C419" s="104" t="n"/>
      <c r="D419" s="88" t="n"/>
    </row>
    <row r="420">
      <c r="A420" s="88" t="n"/>
      <c r="B420" s="88" t="n"/>
      <c r="C420" s="104" t="n"/>
      <c r="D420" s="88" t="n"/>
    </row>
    <row r="421">
      <c r="A421" s="88" t="n"/>
      <c r="B421" s="88" t="n"/>
      <c r="C421" s="104" t="n"/>
      <c r="D421" s="88" t="n"/>
    </row>
    <row r="422">
      <c r="A422" s="88" t="n"/>
      <c r="B422" s="88" t="n"/>
      <c r="C422" s="104" t="n"/>
      <c r="D422" s="88" t="n"/>
    </row>
    <row r="423">
      <c r="A423" s="88" t="n"/>
      <c r="B423" s="88" t="n"/>
      <c r="C423" s="104" t="n"/>
      <c r="D423" s="88" t="n"/>
    </row>
    <row r="424">
      <c r="A424" s="88" t="n"/>
      <c r="B424" s="88" t="n"/>
      <c r="C424" s="104" t="n"/>
      <c r="D424" s="88" t="n"/>
    </row>
    <row r="425">
      <c r="A425" s="88" t="n"/>
      <c r="B425" s="88" t="n"/>
      <c r="C425" s="104" t="n"/>
      <c r="D425" s="88" t="n"/>
    </row>
    <row r="426">
      <c r="A426" s="88" t="n"/>
      <c r="B426" s="88" t="n"/>
      <c r="C426" s="104" t="n"/>
      <c r="D426" s="88" t="n"/>
    </row>
    <row r="427">
      <c r="A427" s="88" t="n"/>
      <c r="B427" s="88" t="n"/>
      <c r="C427" s="104" t="n"/>
      <c r="D427" s="88" t="n"/>
    </row>
    <row r="428">
      <c r="A428" s="88" t="n"/>
      <c r="B428" s="88" t="n"/>
      <c r="C428" s="104" t="n"/>
      <c r="D428" s="88" t="n"/>
    </row>
    <row r="429">
      <c r="A429" s="88" t="n"/>
      <c r="B429" s="88" t="n"/>
      <c r="C429" s="104" t="n"/>
      <c r="D429" s="88" t="n"/>
    </row>
    <row r="430">
      <c r="A430" s="88" t="n"/>
      <c r="B430" s="88" t="n"/>
      <c r="C430" s="104" t="n"/>
      <c r="D430" s="88" t="n"/>
    </row>
    <row r="431">
      <c r="A431" s="88" t="n"/>
      <c r="B431" s="88" t="n"/>
      <c r="C431" s="104" t="n"/>
      <c r="D431" s="88" t="n"/>
    </row>
    <row r="432">
      <c r="A432" s="88" t="n"/>
      <c r="B432" s="88" t="n"/>
      <c r="C432" s="104" t="n"/>
      <c r="D432" s="88" t="n"/>
    </row>
    <row r="433">
      <c r="A433" s="88" t="n"/>
      <c r="B433" s="88" t="n"/>
      <c r="C433" s="104" t="n"/>
      <c r="D433" s="88" t="n"/>
    </row>
    <row r="434">
      <c r="A434" s="88" t="n"/>
      <c r="B434" s="88" t="n"/>
      <c r="C434" s="104" t="n"/>
      <c r="D434" s="88" t="n"/>
    </row>
    <row r="435">
      <c r="A435" s="88" t="n"/>
      <c r="B435" s="88" t="n"/>
      <c r="C435" s="104" t="n"/>
      <c r="D435" s="88" t="n"/>
    </row>
    <row r="436">
      <c r="A436" s="88" t="n"/>
      <c r="B436" s="88" t="n"/>
      <c r="C436" s="104" t="n"/>
      <c r="D436" s="88" t="n"/>
    </row>
    <row r="437">
      <c r="A437" s="88" t="n"/>
      <c r="B437" s="88" t="n"/>
      <c r="C437" s="104" t="n"/>
      <c r="D437" s="88" t="n"/>
    </row>
    <row r="438">
      <c r="A438" s="88" t="n"/>
      <c r="B438" s="88" t="n"/>
      <c r="C438" s="104" t="n"/>
      <c r="D438" s="88" t="n"/>
    </row>
    <row r="439">
      <c r="A439" s="88" t="n"/>
      <c r="B439" s="88" t="n"/>
      <c r="C439" s="104" t="n"/>
      <c r="D439" s="88" t="n"/>
    </row>
    <row r="440">
      <c r="A440" s="88" t="n"/>
      <c r="B440" s="88" t="n"/>
      <c r="C440" s="104" t="n"/>
      <c r="D440" s="88" t="n"/>
    </row>
    <row r="441">
      <c r="A441" s="88" t="n"/>
      <c r="B441" s="88" t="n"/>
      <c r="C441" s="104" t="n"/>
      <c r="D441" s="88" t="n"/>
    </row>
    <row r="442">
      <c r="A442" s="88" t="n"/>
      <c r="B442" s="88" t="n"/>
      <c r="C442" s="104" t="n"/>
      <c r="D442" s="88" t="n"/>
    </row>
    <row r="443">
      <c r="A443" s="88" t="n"/>
      <c r="B443" s="88" t="n"/>
      <c r="C443" s="104" t="n"/>
      <c r="D443" s="88" t="n"/>
    </row>
    <row r="444">
      <c r="A444" s="88" t="n"/>
      <c r="B444" s="88" t="n"/>
      <c r="C444" s="104" t="n"/>
      <c r="D444" s="88" t="n"/>
    </row>
    <row r="445">
      <c r="A445" s="88" t="n"/>
      <c r="B445" s="88" t="n"/>
      <c r="C445" s="104" t="n"/>
      <c r="D445" s="88" t="n"/>
    </row>
    <row r="446">
      <c r="A446" s="88" t="n"/>
      <c r="B446" s="88" t="n"/>
      <c r="C446" s="104" t="n"/>
      <c r="D446" s="88" t="n"/>
    </row>
    <row r="447">
      <c r="A447" s="88" t="n"/>
      <c r="B447" s="88" t="n"/>
      <c r="C447" s="104" t="n"/>
      <c r="D447" s="88" t="n"/>
    </row>
    <row r="448">
      <c r="A448" s="88" t="n"/>
      <c r="B448" s="88" t="n"/>
      <c r="C448" s="104" t="n"/>
      <c r="D448" s="88" t="n"/>
    </row>
    <row r="449">
      <c r="A449" s="88" t="n"/>
      <c r="B449" s="88" t="n"/>
      <c r="C449" s="104" t="n"/>
      <c r="D449" s="88" t="n"/>
    </row>
    <row r="450">
      <c r="A450" s="88" t="n"/>
      <c r="B450" s="88" t="n"/>
      <c r="C450" s="104" t="n"/>
      <c r="D450" s="88" t="n"/>
    </row>
    <row r="451">
      <c r="A451" s="88" t="n"/>
      <c r="B451" s="88" t="n"/>
      <c r="C451" s="104" t="n"/>
      <c r="D451" s="88" t="n"/>
    </row>
    <row r="452">
      <c r="A452" s="88" t="n"/>
      <c r="B452" s="88" t="n"/>
      <c r="C452" s="104" t="n"/>
      <c r="D452" s="88" t="n"/>
    </row>
    <row r="453">
      <c r="A453" s="88" t="n"/>
      <c r="B453" s="88" t="n"/>
      <c r="C453" s="104" t="n"/>
      <c r="D453" s="88" t="n"/>
    </row>
    <row r="454">
      <c r="A454" s="88" t="n"/>
      <c r="B454" s="88" t="n"/>
      <c r="C454" s="104" t="n"/>
      <c r="D454" s="88" t="n"/>
    </row>
    <row r="455">
      <c r="A455" s="88" t="n"/>
      <c r="B455" s="88" t="n"/>
      <c r="C455" s="104" t="n"/>
      <c r="D455" s="88" t="n"/>
    </row>
    <row r="456">
      <c r="A456" s="88" t="n"/>
      <c r="B456" s="88" t="n"/>
      <c r="C456" s="104" t="n"/>
      <c r="D456" s="88" t="n"/>
    </row>
    <row r="457">
      <c r="A457" s="88" t="n"/>
      <c r="B457" s="88" t="n"/>
      <c r="C457" s="104" t="n"/>
      <c r="D457" s="88" t="n"/>
    </row>
    <row r="458">
      <c r="A458" s="88" t="n"/>
      <c r="B458" s="88" t="n"/>
      <c r="C458" s="104" t="n"/>
      <c r="D458" s="88" t="n"/>
    </row>
    <row r="459">
      <c r="A459" s="88" t="n"/>
      <c r="B459" s="88" t="n"/>
      <c r="C459" s="104" t="n"/>
      <c r="D459" s="88" t="n"/>
    </row>
    <row r="460">
      <c r="A460" s="88" t="n"/>
      <c r="B460" s="88" t="n"/>
      <c r="C460" s="104" t="n"/>
      <c r="D460" s="88" t="n"/>
    </row>
    <row r="461">
      <c r="A461" s="88" t="n"/>
      <c r="B461" s="88" t="n"/>
      <c r="C461" s="104" t="n"/>
      <c r="D461" s="88" t="n"/>
    </row>
    <row r="462">
      <c r="A462" s="88" t="n"/>
      <c r="B462" s="88" t="n"/>
      <c r="C462" s="104" t="n"/>
      <c r="D462" s="88" t="n"/>
    </row>
    <row r="463">
      <c r="A463" s="88" t="n"/>
      <c r="B463" s="88" t="n"/>
      <c r="C463" s="104" t="n"/>
      <c r="D463" s="88" t="n"/>
    </row>
    <row r="464">
      <c r="A464" s="88" t="n"/>
      <c r="B464" s="88" t="n"/>
      <c r="C464" s="104" t="n"/>
      <c r="D464" s="88" t="n"/>
    </row>
    <row r="465">
      <c r="A465" s="88" t="n"/>
      <c r="B465" s="88" t="n"/>
      <c r="C465" s="104" t="n"/>
      <c r="D465" s="88" t="n"/>
    </row>
    <row r="466">
      <c r="A466" s="88" t="n"/>
      <c r="B466" s="88" t="n"/>
      <c r="C466" s="104" t="n"/>
      <c r="D466" s="88" t="n"/>
    </row>
    <row r="467">
      <c r="A467" s="88" t="n"/>
      <c r="B467" s="88" t="n"/>
      <c r="C467" s="104" t="n"/>
      <c r="D467" s="88" t="n"/>
    </row>
    <row r="468">
      <c r="A468" s="88" t="n"/>
      <c r="B468" s="88" t="n"/>
      <c r="C468" s="104" t="n"/>
      <c r="D468" s="88" t="n"/>
    </row>
    <row r="469">
      <c r="A469" s="88" t="n"/>
      <c r="B469" s="88" t="n"/>
      <c r="C469" s="104" t="n"/>
      <c r="D469" s="88" t="n"/>
    </row>
    <row r="470">
      <c r="A470" s="88" t="n"/>
      <c r="B470" s="88" t="n"/>
      <c r="C470" s="104" t="n"/>
      <c r="D470" s="88" t="n"/>
    </row>
    <row r="471">
      <c r="A471" s="88" t="n"/>
      <c r="B471" s="88" t="n"/>
      <c r="C471" s="104" t="n"/>
      <c r="D471" s="88" t="n"/>
    </row>
    <row r="472">
      <c r="A472" s="88" t="n"/>
      <c r="B472" s="88" t="n"/>
      <c r="C472" s="104" t="n"/>
      <c r="D472" s="88" t="n"/>
    </row>
    <row r="473">
      <c r="A473" s="88" t="n"/>
      <c r="B473" s="88" t="n"/>
      <c r="C473" s="104" t="n"/>
      <c r="D473" s="88" t="n"/>
    </row>
    <row r="474">
      <c r="A474" s="88" t="n"/>
      <c r="B474" s="88" t="n"/>
      <c r="C474" s="104" t="n"/>
      <c r="D474" s="88" t="n"/>
    </row>
    <row r="475">
      <c r="A475" s="88" t="n"/>
      <c r="B475" s="88" t="n"/>
      <c r="C475" s="104" t="n"/>
      <c r="D475" s="88" t="n"/>
    </row>
    <row r="476">
      <c r="A476" s="88" t="n"/>
      <c r="B476" s="88" t="n"/>
      <c r="C476" s="104" t="n"/>
      <c r="D476" s="88" t="n"/>
    </row>
    <row r="477">
      <c r="A477" s="88" t="n"/>
      <c r="B477" s="88" t="n"/>
      <c r="C477" s="104" t="n"/>
      <c r="D477" s="88" t="n"/>
    </row>
    <row r="478">
      <c r="A478" s="88" t="n"/>
      <c r="B478" s="88" t="n"/>
      <c r="C478" s="104" t="n"/>
      <c r="D478" s="88" t="n"/>
    </row>
    <row r="479">
      <c r="A479" s="88" t="n"/>
      <c r="B479" s="88" t="n"/>
      <c r="C479" s="104" t="n"/>
      <c r="D479" s="88" t="n"/>
    </row>
    <row r="480">
      <c r="A480" s="88" t="n"/>
      <c r="B480" s="88" t="n"/>
      <c r="C480" s="104" t="n"/>
      <c r="D480" s="88" t="n"/>
    </row>
    <row r="481">
      <c r="A481" s="88" t="n"/>
      <c r="B481" s="88" t="n"/>
      <c r="C481" s="104" t="n"/>
      <c r="D481" s="88" t="n"/>
    </row>
    <row r="482">
      <c r="A482" s="88" t="n"/>
      <c r="B482" s="88" t="n"/>
      <c r="C482" s="104" t="n"/>
      <c r="D482" s="88" t="n"/>
    </row>
    <row r="483">
      <c r="A483" s="88" t="n"/>
      <c r="B483" s="88" t="n"/>
      <c r="C483" s="104" t="n"/>
      <c r="D483" s="88" t="n"/>
    </row>
    <row r="484">
      <c r="A484" s="88" t="n"/>
      <c r="B484" s="88" t="n"/>
      <c r="C484" s="104" t="n"/>
      <c r="D484" s="88" t="n"/>
    </row>
    <row r="485">
      <c r="A485" s="88" t="n"/>
      <c r="B485" s="88" t="n"/>
      <c r="C485" s="104" t="n"/>
      <c r="D485" s="88" t="n"/>
    </row>
    <row r="486">
      <c r="A486" s="88" t="n"/>
      <c r="B486" s="88" t="n"/>
      <c r="C486" s="104" t="n"/>
      <c r="D486" s="88" t="n"/>
    </row>
    <row r="487">
      <c r="A487" s="88" t="n"/>
      <c r="B487" s="88" t="n"/>
      <c r="C487" s="104" t="n"/>
      <c r="D487" s="88" t="n"/>
    </row>
    <row r="488">
      <c r="A488" s="88" t="n"/>
      <c r="B488" s="88" t="n"/>
      <c r="C488" s="104" t="n"/>
      <c r="D488" s="88" t="n"/>
    </row>
    <row r="489">
      <c r="A489" s="88" t="n"/>
      <c r="B489" s="88" t="n"/>
      <c r="C489" s="104" t="n"/>
      <c r="D489" s="88" t="n"/>
    </row>
    <row r="490">
      <c r="A490" s="88" t="n"/>
      <c r="B490" s="88" t="n"/>
      <c r="C490" s="104" t="n"/>
      <c r="D490" s="88" t="n"/>
    </row>
    <row r="491">
      <c r="A491" s="88" t="n"/>
      <c r="B491" s="88" t="n"/>
      <c r="C491" s="104" t="n"/>
      <c r="D491" s="88" t="n"/>
    </row>
    <row r="492">
      <c r="A492" s="88" t="n"/>
      <c r="B492" s="88" t="n"/>
      <c r="C492" s="104" t="n"/>
      <c r="D492" s="88" t="n"/>
    </row>
    <row r="493">
      <c r="A493" s="88" t="n"/>
      <c r="B493" s="88" t="n"/>
      <c r="C493" s="104" t="n"/>
      <c r="D493" s="88" t="n"/>
    </row>
    <row r="494">
      <c r="A494" s="88" t="n"/>
      <c r="B494" s="88" t="n"/>
      <c r="C494" s="104" t="n"/>
      <c r="D494" s="88" t="n"/>
    </row>
    <row r="495">
      <c r="A495" s="88" t="n"/>
      <c r="B495" s="88" t="n"/>
      <c r="C495" s="104" t="n"/>
      <c r="D495" s="88" t="n"/>
    </row>
    <row r="496">
      <c r="A496" s="88" t="n"/>
      <c r="B496" s="88" t="n"/>
      <c r="C496" s="104" t="n"/>
      <c r="D496" s="88" t="n"/>
    </row>
    <row r="497">
      <c r="A497" s="88" t="n"/>
      <c r="B497" s="88" t="n"/>
      <c r="C497" s="104" t="n"/>
      <c r="D497" s="88" t="n"/>
    </row>
    <row r="498">
      <c r="A498" s="88" t="n"/>
      <c r="B498" s="88" t="n"/>
      <c r="C498" s="104" t="n"/>
      <c r="D498" s="88" t="n"/>
    </row>
    <row r="499">
      <c r="A499" s="88" t="n"/>
      <c r="B499" s="88" t="n"/>
      <c r="C499" s="104" t="n"/>
      <c r="D499" s="88" t="n"/>
    </row>
    <row r="500">
      <c r="A500" s="88" t="n"/>
      <c r="B500" s="88" t="n"/>
      <c r="C500" s="104" t="n"/>
      <c r="D500" s="88" t="n"/>
    </row>
    <row r="501">
      <c r="A501" s="88" t="n"/>
      <c r="B501" s="88" t="n"/>
      <c r="C501" s="104" t="n"/>
      <c r="D501" s="88" t="n"/>
    </row>
    <row r="502">
      <c r="A502" s="88" t="n"/>
      <c r="B502" s="88" t="n"/>
      <c r="C502" s="104" t="n"/>
      <c r="D502" s="88" t="n"/>
    </row>
    <row r="503">
      <c r="A503" s="88" t="n"/>
      <c r="B503" s="88" t="n"/>
      <c r="C503" s="104" t="n"/>
      <c r="D503" s="88" t="n"/>
    </row>
    <row r="504">
      <c r="A504" s="88" t="n"/>
      <c r="B504" s="88" t="n"/>
      <c r="C504" s="104" t="n"/>
      <c r="D504" s="88" t="n"/>
    </row>
    <row r="505">
      <c r="A505" s="88" t="n"/>
      <c r="B505" s="88" t="n"/>
      <c r="C505" s="104" t="n"/>
      <c r="D505" s="88" t="n"/>
    </row>
    <row r="506">
      <c r="A506" s="88" t="n"/>
      <c r="B506" s="88" t="n"/>
      <c r="C506" s="104" t="n"/>
      <c r="D506" s="88" t="n"/>
    </row>
    <row r="507">
      <c r="A507" s="88" t="n"/>
      <c r="B507" s="88" t="n"/>
      <c r="C507" s="104" t="n"/>
      <c r="D507" s="88" t="n"/>
    </row>
    <row r="508">
      <c r="A508" s="88" t="n"/>
      <c r="B508" s="88" t="n"/>
      <c r="C508" s="104" t="n"/>
      <c r="D508" s="88" t="n"/>
    </row>
    <row r="509">
      <c r="A509" s="88" t="n"/>
      <c r="B509" s="88" t="n"/>
      <c r="C509" s="104" t="n"/>
      <c r="D509" s="88" t="n"/>
    </row>
    <row r="510">
      <c r="A510" s="88" t="n"/>
      <c r="B510" s="88" t="n"/>
      <c r="C510" s="104" t="n"/>
      <c r="D510" s="88" t="n"/>
    </row>
    <row r="511">
      <c r="A511" s="88" t="n"/>
      <c r="B511" s="88" t="n"/>
      <c r="C511" s="104" t="n"/>
      <c r="D511" s="88" t="n"/>
    </row>
    <row r="512">
      <c r="A512" s="88" t="n"/>
      <c r="B512" s="88" t="n"/>
      <c r="C512" s="104" t="n"/>
      <c r="D512" s="88" t="n"/>
    </row>
    <row r="513">
      <c r="A513" s="88" t="n"/>
      <c r="B513" s="88" t="n"/>
      <c r="C513" s="104" t="n"/>
      <c r="D513" s="88" t="n"/>
    </row>
    <row r="514">
      <c r="A514" s="88" t="n"/>
      <c r="B514" s="88" t="n"/>
      <c r="C514" s="104" t="n"/>
      <c r="D514" s="88" t="n"/>
    </row>
    <row r="515">
      <c r="A515" s="88" t="n"/>
      <c r="B515" s="88" t="n"/>
      <c r="C515" s="104" t="n"/>
      <c r="D515" s="88" t="n"/>
    </row>
    <row r="516">
      <c r="A516" s="88" t="n"/>
      <c r="B516" s="88" t="n"/>
      <c r="C516" s="104" t="n"/>
      <c r="D516" s="88" t="n"/>
    </row>
    <row r="517">
      <c r="A517" s="88" t="n"/>
      <c r="B517" s="88" t="n"/>
      <c r="C517" s="104" t="n"/>
      <c r="D517" s="88" t="n"/>
    </row>
    <row r="518">
      <c r="A518" s="88" t="n"/>
      <c r="B518" s="88" t="n"/>
      <c r="C518" s="104" t="n"/>
      <c r="D518" s="88" t="n"/>
    </row>
    <row r="519">
      <c r="A519" s="88" t="n"/>
      <c r="B519" s="88" t="n"/>
      <c r="C519" s="104" t="n"/>
      <c r="D519" s="88" t="n"/>
    </row>
    <row r="520">
      <c r="A520" s="88" t="n"/>
      <c r="B520" s="88" t="n"/>
      <c r="C520" s="104" t="n"/>
      <c r="D520" s="88" t="n"/>
    </row>
    <row r="521">
      <c r="A521" s="88" t="n"/>
      <c r="B521" s="88" t="n"/>
      <c r="C521" s="104" t="n"/>
      <c r="D521" s="88" t="n"/>
    </row>
    <row r="522">
      <c r="A522" s="88" t="n"/>
      <c r="B522" s="88" t="n"/>
      <c r="C522" s="104" t="n"/>
      <c r="D522" s="88" t="n"/>
    </row>
    <row r="523">
      <c r="A523" s="88" t="n"/>
      <c r="B523" s="88" t="n"/>
      <c r="C523" s="104" t="n"/>
      <c r="D523" s="88" t="n"/>
    </row>
    <row r="524">
      <c r="A524" s="88" t="n"/>
      <c r="B524" s="88" t="n"/>
      <c r="C524" s="104" t="n"/>
      <c r="D524" s="88" t="n"/>
    </row>
    <row r="525">
      <c r="A525" s="88" t="n"/>
      <c r="B525" s="88" t="n"/>
      <c r="C525" s="104" t="n"/>
      <c r="D525" s="88" t="n"/>
    </row>
    <row r="526">
      <c r="A526" s="88" t="n"/>
      <c r="B526" s="88" t="n"/>
      <c r="C526" s="104" t="n"/>
      <c r="D526" s="88" t="n"/>
    </row>
    <row r="527">
      <c r="A527" s="88" t="n"/>
      <c r="B527" s="88" t="n"/>
      <c r="C527" s="104" t="n"/>
      <c r="D527" s="88" t="n"/>
    </row>
    <row r="528">
      <c r="A528" s="88" t="n"/>
      <c r="B528" s="88" t="n"/>
      <c r="C528" s="104" t="n"/>
      <c r="D528" s="88" t="n"/>
    </row>
    <row r="529">
      <c r="A529" s="88" t="n"/>
      <c r="B529" s="88" t="n"/>
      <c r="C529" s="104" t="n"/>
      <c r="D529" s="88" t="n"/>
    </row>
    <row r="530">
      <c r="A530" s="88" t="n"/>
      <c r="B530" s="88" t="n"/>
      <c r="C530" s="104" t="n"/>
      <c r="D530" s="88" t="n"/>
    </row>
    <row r="531">
      <c r="A531" s="88" t="n"/>
      <c r="B531" s="88" t="n"/>
      <c r="C531" s="104" t="n"/>
      <c r="D531" s="88" t="n"/>
    </row>
    <row r="532">
      <c r="A532" s="88" t="n"/>
      <c r="B532" s="88" t="n"/>
      <c r="C532" s="104" t="n"/>
      <c r="D532" s="88" t="n"/>
    </row>
    <row r="533">
      <c r="A533" s="88" t="n"/>
      <c r="B533" s="88" t="n"/>
      <c r="C533" s="104" t="n"/>
      <c r="D533" s="88" t="n"/>
    </row>
    <row r="534">
      <c r="A534" s="88" t="n"/>
      <c r="B534" s="88" t="n"/>
      <c r="C534" s="104" t="n"/>
      <c r="D534" s="88" t="n"/>
    </row>
    <row r="535">
      <c r="A535" s="88" t="n"/>
      <c r="B535" s="88" t="n"/>
      <c r="C535" s="104" t="n"/>
      <c r="D535" s="88" t="n"/>
    </row>
    <row r="536">
      <c r="A536" s="88" t="n"/>
      <c r="B536" s="88" t="n"/>
      <c r="C536" s="104" t="n"/>
      <c r="D536" s="88" t="n"/>
    </row>
    <row r="537">
      <c r="A537" s="88" t="n"/>
      <c r="B537" s="88" t="n"/>
      <c r="C537" s="104" t="n"/>
      <c r="D537" s="88" t="n"/>
    </row>
    <row r="538">
      <c r="A538" s="88" t="n"/>
      <c r="B538" s="88" t="n"/>
      <c r="C538" s="104" t="n"/>
      <c r="D538" s="88" t="n"/>
    </row>
    <row r="539">
      <c r="A539" s="88" t="n"/>
      <c r="B539" s="88" t="n"/>
      <c r="C539" s="104" t="n"/>
      <c r="D539" s="88" t="n"/>
    </row>
    <row r="540">
      <c r="A540" s="88" t="n"/>
      <c r="B540" s="88" t="n"/>
      <c r="C540" s="104" t="n"/>
      <c r="D540" s="88" t="n"/>
    </row>
    <row r="541">
      <c r="A541" s="88" t="n"/>
      <c r="B541" s="88" t="n"/>
      <c r="C541" s="104" t="n"/>
      <c r="D541" s="88" t="n"/>
    </row>
    <row r="542">
      <c r="A542" s="88" t="n"/>
      <c r="B542" s="88" t="n"/>
      <c r="C542" s="104" t="n"/>
      <c r="D542" s="88" t="n"/>
    </row>
    <row r="543">
      <c r="A543" s="88" t="n"/>
      <c r="B543" s="88" t="n"/>
      <c r="C543" s="104" t="n"/>
      <c r="D543" s="88" t="n"/>
    </row>
  </sheetData>
  <printOptions horizontalCentered="1"/>
  <pageMargins left="1.25" right="0.34" top="0.55" bottom="0.74" header="0" footer="0"/>
  <pageSetup orientation="portrait" paperSize="9" scale="91" fitToHeight="2" horizontalDpi="180" verticalDpi="180"/>
  <headerFooter alignWithMargins="0">
    <oddHeader>&amp;C </oddHeader>
    <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F19" sqref="F19"/>
    </sheetView>
    <sheetView workbookViewId="1">
      <selection activeCell="A1" sqref="A1"/>
    </sheetView>
  </sheetViews>
  <sheetFormatPr baseColWidth="8" defaultRowHeight="15"/>
  <cols>
    <col width="16.33203125" bestFit="1" customWidth="1" style="72" min="1" max="1"/>
    <col width="9.77734375" bestFit="1" customWidth="1" style="75" min="2" max="2"/>
    <col width="5.44140625" customWidth="1" style="72" min="3" max="3"/>
    <col width="8.88671875" customWidth="1" style="109" min="4" max="5"/>
  </cols>
  <sheetData>
    <row r="1" ht="30.75" customFormat="1" customHeight="1" s="108">
      <c r="A1" s="110" t="inlineStr">
        <is>
          <t>Particulars</t>
        </is>
      </c>
      <c r="B1" s="112" t="inlineStr">
        <is>
          <t>Size in MM</t>
        </is>
      </c>
      <c r="C1" s="111" t="n"/>
      <c r="D1" s="110" t="inlineStr">
        <is>
          <t>In 380 mm Wall</t>
        </is>
      </c>
      <c r="E1" s="110" t="inlineStr">
        <is>
          <t>In Partition Wall</t>
        </is>
      </c>
    </row>
    <row r="2">
      <c r="A2" t="inlineStr">
        <is>
          <t>Steel Shutter</t>
        </is>
      </c>
      <c r="B2" s="75" t="inlineStr">
        <is>
          <t>1200x2100</t>
        </is>
      </c>
      <c r="C2" t="inlineStr">
        <is>
          <t>D1</t>
        </is>
      </c>
      <c r="D2" s="109" t="n">
        <v>3</v>
      </c>
    </row>
    <row r="3">
      <c r="A3" t="inlineStr">
        <is>
          <t>Double Leaf Shutter</t>
        </is>
      </c>
      <c r="B3" s="75" t="inlineStr">
        <is>
          <t>1200x2100</t>
        </is>
      </c>
      <c r="C3" t="inlineStr">
        <is>
          <t>D2</t>
        </is>
      </c>
      <c r="D3" s="109" t="n">
        <v>2</v>
      </c>
      <c r="F3" t="n">
        <v>35</v>
      </c>
    </row>
    <row r="4">
      <c r="A4" t="inlineStr">
        <is>
          <t>Double Leaf Shutter</t>
        </is>
      </c>
      <c r="B4" s="75" t="inlineStr">
        <is>
          <t>900x2100</t>
        </is>
      </c>
      <c r="C4" t="inlineStr">
        <is>
          <t>D3</t>
        </is>
      </c>
      <c r="D4" s="109" t="n">
        <v>2</v>
      </c>
      <c r="F4" t="n">
        <v>35</v>
      </c>
    </row>
    <row r="5">
      <c r="A5" t="inlineStr">
        <is>
          <t>Single Leaf Shutter</t>
        </is>
      </c>
      <c r="B5" s="75" t="inlineStr">
        <is>
          <t>1050x2100</t>
        </is>
      </c>
      <c r="C5" t="inlineStr">
        <is>
          <t>D4</t>
        </is>
      </c>
      <c r="D5" s="109" t="n">
        <v>3</v>
      </c>
      <c r="F5" t="n">
        <v>35</v>
      </c>
    </row>
    <row r="6">
      <c r="A6" t="inlineStr">
        <is>
          <t>Single Leaf Shutter</t>
        </is>
      </c>
      <c r="B6" s="75" t="inlineStr">
        <is>
          <t>900x2100</t>
        </is>
      </c>
      <c r="C6" t="inlineStr">
        <is>
          <t>D5</t>
        </is>
      </c>
      <c r="D6" s="109" t="n">
        <v>4</v>
      </c>
      <c r="F6" t="n">
        <v>35</v>
      </c>
    </row>
    <row r="7">
      <c r="A7" t="inlineStr">
        <is>
          <t>Single Leaf Shutter</t>
        </is>
      </c>
      <c r="B7" s="75" t="inlineStr">
        <is>
          <t>750x2100</t>
        </is>
      </c>
      <c r="C7" t="inlineStr">
        <is>
          <t>D6</t>
        </is>
      </c>
      <c r="D7" s="109" t="n">
        <v>0</v>
      </c>
      <c r="E7" s="109" t="n">
        <v>4</v>
      </c>
      <c r="F7" t="n">
        <v>30</v>
      </c>
    </row>
    <row r="9">
      <c r="A9" t="inlineStr">
        <is>
          <t>Windows</t>
        </is>
      </c>
      <c r="B9" s="75" t="inlineStr">
        <is>
          <t>1800x1700</t>
        </is>
      </c>
      <c r="C9" t="inlineStr">
        <is>
          <t>W1</t>
        </is>
      </c>
      <c r="D9" s="109" t="n">
        <v>6</v>
      </c>
    </row>
    <row r="10">
      <c r="A10" t="inlineStr">
        <is>
          <t>Windows</t>
        </is>
      </c>
      <c r="B10" s="75" t="inlineStr">
        <is>
          <t>1200x1700</t>
        </is>
      </c>
      <c r="C10" t="inlineStr">
        <is>
          <t>W2</t>
        </is>
      </c>
      <c r="D10" s="109" t="n">
        <v>4</v>
      </c>
    </row>
    <row r="11">
      <c r="A11" t="inlineStr">
        <is>
          <t>Windows</t>
        </is>
      </c>
      <c r="B11" s="75" t="inlineStr">
        <is>
          <t>900x1700</t>
        </is>
      </c>
      <c r="C11" t="inlineStr">
        <is>
          <t>W3</t>
        </is>
      </c>
      <c r="D11" s="109" t="n">
        <v>10</v>
      </c>
    </row>
    <row r="12">
      <c r="A12" t="inlineStr">
        <is>
          <t>Vents</t>
        </is>
      </c>
      <c r="B12" s="75" t="inlineStr">
        <is>
          <t>1200x600</t>
        </is>
      </c>
      <c r="C12" t="inlineStr">
        <is>
          <t>V1</t>
        </is>
      </c>
      <c r="D12" s="109" t="n">
        <v>1</v>
      </c>
    </row>
    <row r="13">
      <c r="A13" t="inlineStr">
        <is>
          <t>Vents</t>
        </is>
      </c>
      <c r="B13" s="75" t="inlineStr">
        <is>
          <t>900x600</t>
        </is>
      </c>
      <c r="C13" t="inlineStr">
        <is>
          <t>V2</t>
        </is>
      </c>
      <c r="D13" s="109" t="n">
        <v>1</v>
      </c>
    </row>
    <row r="14">
      <c r="A14" t="inlineStr">
        <is>
          <t>Vents</t>
        </is>
      </c>
      <c r="B14" s="75" t="inlineStr">
        <is>
          <t>600x600</t>
        </is>
      </c>
      <c r="C14" t="inlineStr">
        <is>
          <t>V3</t>
        </is>
      </c>
      <c r="D14" s="109" t="n">
        <v>5</v>
      </c>
    </row>
  </sheetData>
  <printOptions horizontalCentered="1" gridLines="1" gridLinesSet="0"/>
  <pageMargins left="0.7480314960629921" right="0.7480314960629921" top="0.984251968503937" bottom="0.984251968503937" header="0.5118110236220472" footer="0.5118110236220472"/>
  <pageSetup orientation="portrait" paperSize="9" horizontalDpi="200" verticalDpi="200"/>
</worksheet>
</file>

<file path=xl/worksheets/sheet8.xml><?xml version="1.0" encoding="utf-8"?>
<worksheet xmlns="http://schemas.openxmlformats.org/spreadsheetml/2006/main">
  <sheetPr>
    <outlinePr summaryBelow="1" summaryRight="1"/>
    <pageSetUpPr/>
  </sheetPr>
  <dimension ref="A1:J16"/>
  <sheetViews>
    <sheetView workbookViewId="0">
      <selection activeCell="A1" sqref="A1"/>
    </sheetView>
    <sheetView workbookViewId="1">
      <selection activeCell="A1" sqref="A1"/>
    </sheetView>
  </sheetViews>
  <sheetFormatPr baseColWidth="8" defaultRowHeight="15"/>
  <sheetData>
    <row r="1">
      <c r="A1" s="65" t="n">
        <v>1</v>
      </c>
      <c r="B1" s="10" t="inlineStr">
        <is>
          <t>x</t>
        </is>
      </c>
      <c r="C1" s="178" t="n">
        <v>11.75</v>
      </c>
      <c r="D1" s="10">
        <f>ROUND(C1*0.3048,2)</f>
        <v/>
      </c>
    </row>
    <row r="2">
      <c r="C2" t="n">
        <v>21</v>
      </c>
      <c r="G2" s="199" t="n">
        <v>115</v>
      </c>
      <c r="H2" s="10">
        <f>ROUND(G2*0.3048,2)</f>
        <v/>
      </c>
    </row>
    <row r="3">
      <c r="C3" t="n">
        <v>21</v>
      </c>
      <c r="G3" s="199" t="n">
        <v>153.5</v>
      </c>
      <c r="H3" s="10">
        <f>ROUND(G3*0.3048,2)</f>
        <v/>
      </c>
      <c r="I3">
        <f>H2+H3</f>
        <v/>
      </c>
      <c r="J3">
        <f>I3/2</f>
        <v/>
      </c>
    </row>
    <row r="4">
      <c r="C4" t="n">
        <v>17.5</v>
      </c>
      <c r="G4" s="199" t="n">
        <v>159</v>
      </c>
      <c r="H4" s="10">
        <f>ROUND(G4*0.3048,2)</f>
        <v/>
      </c>
    </row>
    <row r="5">
      <c r="C5" s="73">
        <f>SUM(C1:C4)</f>
        <v/>
      </c>
      <c r="D5" s="10">
        <f>ROUND(C5*0.3048,2)</f>
        <v/>
      </c>
      <c r="G5" s="199" t="n">
        <v>51.5</v>
      </c>
      <c r="H5" s="10">
        <f>ROUND(G5*0.3048,2)</f>
        <v/>
      </c>
    </row>
    <row r="6">
      <c r="C6" t="n">
        <v>21</v>
      </c>
      <c r="D6" s="10">
        <f>ROUND(C6*0.3048,2)</f>
        <v/>
      </c>
      <c r="E6" s="267" t="inlineStr">
        <is>
          <t>=</t>
        </is>
      </c>
      <c r="G6" s="199" t="n"/>
    </row>
    <row r="7">
      <c r="C7" t="n">
        <v>69</v>
      </c>
      <c r="D7" s="10">
        <f>ROUND(C7*0.3048,2)</f>
        <v/>
      </c>
      <c r="G7" s="199" t="n"/>
    </row>
    <row r="8">
      <c r="E8">
        <f>SUM(D5:D6)</f>
        <v/>
      </c>
      <c r="G8" s="199" t="n"/>
    </row>
    <row r="9">
      <c r="G9" s="199" t="n"/>
    </row>
    <row r="14">
      <c r="G14">
        <f>1.8^2</f>
        <v/>
      </c>
    </row>
    <row r="15">
      <c r="G15">
        <f>1.05^2</f>
        <v/>
      </c>
    </row>
    <row r="16">
      <c r="G16">
        <f>SUM(G14:G15)</f>
        <v/>
      </c>
      <c r="H16">
        <f>G16^0.5</f>
        <v/>
      </c>
    </row>
  </sheetData>
  <printOptions gridLines="1" gridLinesSet="0"/>
  <pageMargins left="0.75" right="0.75" top="1" bottom="1" header="0.5" footer="0.5"/>
  <pageSetup orientation="portrait" horizontalDpi="200" verticalDpi="200"/>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RAJKUMAR</dc:creator>
  <dcterms:created xmlns:dcterms="http://purl.org/dc/terms/" xmlns:xsi="http://www.w3.org/2001/XMLSchema-instance" xsi:type="dcterms:W3CDTF">1999-05-10T10:55:35Z</dcterms:created>
  <dcterms:modified xmlns:dcterms="http://purl.org/dc/terms/" xmlns:xsi="http://www.w3.org/2001/XMLSchema-instance" xsi:type="dcterms:W3CDTF">2025-11-16T20:42:31Z</dcterms:modified>
  <cp:lastModifiedBy>Rajkumar</cp:lastModifiedBy>
  <cp:lastPrinted>2004-02-08T08:25:37Z</cp:lastPrinted>
</cp:coreProperties>
</file>