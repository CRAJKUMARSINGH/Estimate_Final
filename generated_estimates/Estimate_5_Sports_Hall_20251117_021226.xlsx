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hidden" minimized="0" showHorizontalScroll="1" showVerticalScroll="1" showSheetTabs="1" xWindow="-15" yWindow="1680" windowWidth="9570" windowHeight="3105" tabRatio="880" firstSheet="2" activeTab="2" autoFilterDateGrouping="1"/>
    <workbookView visibility="hidden" minimized="0" showHorizontalScroll="1" showVerticalScroll="1" showSheetTabs="1" xWindow="0" yWindow="210" windowWidth="9720" windowHeight="6345" tabRatio="922" firstSheet="0" activeTab="0" autoFilterDateGrouping="1"/>
  </bookViews>
  <sheets>
    <sheet xmlns:r="http://schemas.openxmlformats.org/officeDocument/2006/relationships" name="gen-abstract" sheetId="1" state="visible" r:id="rId1"/>
    <sheet xmlns:r="http://schemas.openxmlformats.org/officeDocument/2006/relationships" name="GF1_ABS" sheetId="2" state="visible" r:id="rId2"/>
    <sheet xmlns:r="http://schemas.openxmlformats.org/officeDocument/2006/relationships" name="GF1_MES" sheetId="3" state="visible" r:id="rId3"/>
  </sheets>
  <definedNames>
    <definedName name="_xlnm.Print_Titles" localSheetId="1">'GF1_ABS'!$5:$5</definedName>
    <definedName name="_xlnm.Print_Titles" localSheetId="2">'GF1_MES'!$5:$5</definedName>
  </definedNames>
  <calcPr calcId="152511" fullCalcOnLoad="1"/>
</workbook>
</file>

<file path=xl/styles.xml><?xml version="1.0" encoding="utf-8"?>
<styleSheet xmlns="http://schemas.openxmlformats.org/spreadsheetml/2006/main">
  <numFmts count="0"/>
  <fonts count="12">
    <font>
      <name val="Arial"/>
      <sz val="12"/>
    </font>
    <font>
      <name val="Arial"/>
      <b val="1"/>
      <sz val="12"/>
    </font>
    <font>
      <name val="Arial"/>
      <family val="2"/>
      <sz val="12"/>
    </font>
    <font>
      <name val="Arial"/>
      <family val="2"/>
      <sz val="12"/>
    </font>
    <font>
      <name val="Arial"/>
      <family val="2"/>
      <sz val="14"/>
    </font>
    <font>
      <name val="Arial"/>
      <family val="2"/>
      <sz val="10"/>
    </font>
    <font>
      <name val="Arial"/>
      <family val="2"/>
      <b val="1"/>
      <sz val="12"/>
    </font>
    <font>
      <name val="Arial"/>
      <family val="2"/>
      <sz val="11"/>
    </font>
    <font>
      <name val="Arial"/>
      <family val="2"/>
      <b val="1"/>
      <sz val="11"/>
    </font>
    <font>
      <name val="Arial"/>
      <family val="2"/>
      <b val="1"/>
      <i val="1"/>
      <sz val="11"/>
      <u val="single"/>
    </font>
    <font>
      <name val="Arial"/>
      <family val="2"/>
      <b val="1"/>
      <sz val="11"/>
      <u val="single"/>
    </font>
    <font>
      <name val="Arial"/>
      <family val="2"/>
      <i val="1"/>
      <sz val="11"/>
      <u val="single"/>
    </font>
  </fonts>
  <fills count="2">
    <fill>
      <patternFill/>
    </fill>
    <fill>
      <patternFill patternType="gray125"/>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62">
    <xf numFmtId="0" fontId="0" fillId="0" borderId="0" pivotButton="0" quotePrefix="0" xfId="0"/>
    <xf numFmtId="0" fontId="0" fillId="0" borderId="0" applyAlignment="1" pivotButton="0" quotePrefix="0" xfId="0">
      <alignment horizontal="centerContinuous"/>
    </xf>
    <xf numFmtId="2" fontId="0" fillId="0" borderId="0" pivotButton="0" quotePrefix="0" xfId="0"/>
    <xf numFmtId="0" fontId="0" fillId="0" borderId="0" applyAlignment="1" pivotButton="0" quotePrefix="1" xfId="0">
      <alignment horizontal="left"/>
    </xf>
    <xf numFmtId="2" fontId="0" fillId="0" borderId="1" pivotButton="0" quotePrefix="0" xfId="0"/>
    <xf numFmtId="0" fontId="0" fillId="0" borderId="0" pivotButton="0" quotePrefix="0" xfId="0"/>
    <xf numFmtId="0" fontId="3" fillId="0" borderId="0" pivotButton="0" quotePrefix="0" xfId="0"/>
    <xf numFmtId="0" fontId="3" fillId="0" borderId="0" applyAlignment="1" pivotButton="0" quotePrefix="0" xfId="0">
      <alignment horizontal="centerContinuous"/>
    </xf>
    <xf numFmtId="2" fontId="3" fillId="0" borderId="0" applyAlignment="1" pivotButton="0" quotePrefix="0" xfId="0">
      <alignment horizontal="centerContinuous"/>
    </xf>
    <xf numFmtId="0" fontId="1" fillId="0" borderId="0" applyAlignment="1" pivotButton="0" quotePrefix="0" xfId="0">
      <alignment horizontal="centerContinuous"/>
    </xf>
    <xf numFmtId="0" fontId="3" fillId="0" borderId="0" applyAlignment="1" pivotButton="0" quotePrefix="1" xfId="0">
      <alignment horizontal="left" vertical="top" wrapText="1"/>
    </xf>
    <xf numFmtId="0" fontId="3" fillId="0" borderId="0" applyAlignment="1" pivotButton="0" quotePrefix="1" xfId="0">
      <alignment horizontal="centerContinuous" vertical="top"/>
    </xf>
    <xf numFmtId="2" fontId="0" fillId="0" borderId="0" applyAlignment="1" pivotButton="0" quotePrefix="0" xfId="0">
      <alignment horizontal="left"/>
    </xf>
    <xf numFmtId="2" fontId="0" fillId="0" borderId="0" applyAlignment="1" pivotButton="0" quotePrefix="0" xfId="0">
      <alignment horizontal="centerContinuous"/>
    </xf>
    <xf numFmtId="0" fontId="3" fillId="0" borderId="0" applyAlignment="1" pivotButton="0" quotePrefix="1" xfId="0">
      <alignment horizontal="left" vertical="top"/>
    </xf>
    <xf numFmtId="0" fontId="4" fillId="0" borderId="0" applyAlignment="1" pivotButton="0" quotePrefix="0" xfId="0">
      <alignment horizontal="centerContinuous" vertical="top" wrapText="1"/>
    </xf>
    <xf numFmtId="2" fontId="6" fillId="0" borderId="0" applyAlignment="1" pivotButton="0" quotePrefix="0" xfId="0">
      <alignment horizontal="left"/>
    </xf>
    <xf numFmtId="0" fontId="3" fillId="0" borderId="0" applyAlignment="1" pivotButton="0" quotePrefix="0" xfId="0">
      <alignment horizontal="left" vertical="top" wrapText="1"/>
    </xf>
    <xf numFmtId="0" fontId="6" fillId="0" borderId="0" applyAlignment="1" pivotButton="0" quotePrefix="0" xfId="0">
      <alignment vertical="top"/>
    </xf>
    <xf numFmtId="0" fontId="0" fillId="0" borderId="0" applyAlignment="1" pivotButton="0" quotePrefix="1" xfId="0">
      <alignment horizontal="center"/>
    </xf>
    <xf numFmtId="0" fontId="6" fillId="0" borderId="0" applyAlignment="1" pivotButton="0" quotePrefix="1" xfId="0">
      <alignment horizontal="left" vertical="top"/>
    </xf>
    <xf numFmtId="0" fontId="0" fillId="0" borderId="0" applyAlignment="1" pivotButton="0" quotePrefix="0" xfId="0">
      <alignment horizontal="right"/>
    </xf>
    <xf numFmtId="1" fontId="3" fillId="0" borderId="1" applyAlignment="1" pivotButton="0" quotePrefix="0" xfId="0">
      <alignment horizontal="right"/>
    </xf>
    <xf numFmtId="0" fontId="3" fillId="0" borderId="0" applyAlignment="1" pivotButton="0" quotePrefix="0" xfId="0">
      <alignment horizontal="left" vertical="top" wrapText="1"/>
    </xf>
    <xf numFmtId="0" fontId="0" fillId="0" borderId="0" applyAlignment="1" pivotButton="0" quotePrefix="0" xfId="0">
      <alignment horizontal="centerContinuous"/>
    </xf>
    <xf numFmtId="2" fontId="6" fillId="0" borderId="0" applyAlignment="1" pivotButton="0" quotePrefix="0" xfId="0">
      <alignment horizontal="right"/>
    </xf>
    <xf numFmtId="0" fontId="3" fillId="0" borderId="0" pivotButton="0" quotePrefix="0" xfId="0"/>
    <xf numFmtId="2" fontId="3" fillId="0" borderId="0" applyAlignment="1" pivotButton="0" quotePrefix="0" xfId="0">
      <alignment horizontal="right" vertical="top" wrapText="1"/>
    </xf>
    <xf numFmtId="2" fontId="0" fillId="0" borderId="2" pivotButton="0" quotePrefix="0" xfId="0"/>
    <xf numFmtId="0" fontId="6" fillId="0" borderId="0" pivotButton="0" quotePrefix="0" xfId="0"/>
    <xf numFmtId="0" fontId="3" fillId="0" borderId="0" applyAlignment="1" pivotButton="0" quotePrefix="1" xfId="0">
      <alignment horizontal="left" vertical="top" wrapText="1"/>
    </xf>
    <xf numFmtId="2" fontId="1" fillId="0" borderId="0" applyAlignment="1" pivotButton="0" quotePrefix="0" xfId="0">
      <alignment horizontal="center"/>
    </xf>
    <xf numFmtId="1" fontId="3" fillId="0" borderId="0" applyAlignment="1" pivotButton="0" quotePrefix="0" xfId="0">
      <alignment horizontal="right" vertical="top"/>
    </xf>
    <xf numFmtId="2" fontId="3" fillId="0" borderId="0" applyAlignment="1" pivotButton="0" quotePrefix="0" xfId="0">
      <alignment horizontal="right" vertical="top"/>
    </xf>
    <xf numFmtId="1" fontId="3" fillId="0" borderId="0" applyAlignment="1" pivotButton="0" quotePrefix="0" xfId="0">
      <alignment horizontal="right" vertical="top"/>
    </xf>
    <xf numFmtId="0" fontId="0" fillId="0" borderId="2" applyAlignment="1" pivotButton="0" quotePrefix="0" xfId="0">
      <alignment vertical="top"/>
    </xf>
    <xf numFmtId="2" fontId="0" fillId="0" borderId="2" applyAlignment="1" pivotButton="0" quotePrefix="0" xfId="0">
      <alignment vertical="top"/>
    </xf>
    <xf numFmtId="0" fontId="2" fillId="0" borderId="0" applyAlignment="1" pivotButton="0" quotePrefix="0" xfId="0">
      <alignment horizontal="left" vertical="top" wrapText="1"/>
    </xf>
    <xf numFmtId="0" fontId="2" fillId="0" borderId="0" applyAlignment="1" pivotButton="0" quotePrefix="1" xfId="0">
      <alignment horizontal="left" vertical="top"/>
    </xf>
    <xf numFmtId="0" fontId="7" fillId="0" borderId="0" applyAlignment="1" pivotButton="0" quotePrefix="0" xfId="0">
      <alignment horizontal="center" vertical="top"/>
    </xf>
    <xf numFmtId="0" fontId="7" fillId="0" borderId="0" applyAlignment="1" pivotButton="0" quotePrefix="0" xfId="0">
      <alignment horizontal="justify" vertical="top" wrapText="1"/>
    </xf>
    <xf numFmtId="0" fontId="7" fillId="0" borderId="0" applyAlignment="1" pivotButton="0" quotePrefix="0" xfId="0">
      <alignment vertical="top"/>
    </xf>
    <xf numFmtId="49" fontId="7" fillId="0" borderId="0" applyAlignment="1" pivotButton="0" quotePrefix="0" xfId="0">
      <alignment horizontal="center" vertical="top"/>
    </xf>
    <xf numFmtId="2" fontId="7" fillId="0" borderId="0" applyAlignment="1" pivotButton="0" quotePrefix="0" xfId="0">
      <alignment vertical="top"/>
    </xf>
    <xf numFmtId="0" fontId="2" fillId="0" borderId="2" applyAlignment="1" pivotButton="0" quotePrefix="0" xfId="0">
      <alignment horizontal="center" vertical="top"/>
    </xf>
    <xf numFmtId="0" fontId="2" fillId="0" borderId="2" applyAlignment="1" pivotButton="0" quotePrefix="0" xfId="0">
      <alignment horizontal="center" vertical="top" wrapText="1"/>
    </xf>
    <xf numFmtId="0" fontId="2" fillId="0" borderId="3" applyAlignment="1" pivotButton="0" quotePrefix="0" xfId="0">
      <alignment horizontal="center" vertical="top"/>
    </xf>
    <xf numFmtId="0" fontId="2" fillId="0" borderId="3" applyAlignment="1" pivotButton="0" quotePrefix="0" xfId="0">
      <alignment horizontal="justify" vertical="top" wrapText="1"/>
    </xf>
    <xf numFmtId="49" fontId="2" fillId="0" borderId="3" applyAlignment="1" pivotButton="0" quotePrefix="0" xfId="0">
      <alignment horizontal="center" vertical="top"/>
    </xf>
    <xf numFmtId="2" fontId="2" fillId="0" borderId="0" pivotButton="0" quotePrefix="0" xfId="0"/>
    <xf numFmtId="0" fontId="2" fillId="0" borderId="0" pivotButton="0" quotePrefix="0" xfId="0"/>
    <xf numFmtId="0" fontId="2" fillId="0" borderId="0" applyAlignment="1" pivotButton="0" quotePrefix="0" xfId="0">
      <alignment horizontal="left" vertical="top"/>
    </xf>
    <xf numFmtId="0" fontId="2" fillId="0" borderId="0" applyAlignment="1" pivotButton="0" quotePrefix="0" xfId="0">
      <alignment horizontal="justify" vertical="top" wrapText="1"/>
    </xf>
    <xf numFmtId="1" fontId="2" fillId="0" borderId="3" applyAlignment="1" pivotButton="0" quotePrefix="0" xfId="0">
      <alignment horizontal="left" vertical="top"/>
    </xf>
    <xf numFmtId="0" fontId="2" fillId="0" borderId="3" applyAlignment="1" pivotButton="0" quotePrefix="1" xfId="0">
      <alignment horizontal="justify" vertical="top" wrapText="1"/>
    </xf>
    <xf numFmtId="0" fontId="2" fillId="0" borderId="3" applyAlignment="1" pivotButton="0" quotePrefix="0" xfId="0">
      <alignment horizontal="left" vertical="top"/>
    </xf>
    <xf numFmtId="0" fontId="2" fillId="0" borderId="3" applyAlignment="1" pivotButton="0" quotePrefix="0" xfId="0">
      <alignment horizontal="justify" vertical="top" wrapText="1"/>
    </xf>
    <xf numFmtId="0" fontId="2" fillId="0" borderId="0" pivotButton="0" quotePrefix="0" xfId="0"/>
    <xf numFmtId="0" fontId="6" fillId="0" borderId="0" pivotButton="0" quotePrefix="0" xfId="0"/>
    <xf numFmtId="2" fontId="2" fillId="0" borderId="0" pivotButton="0" quotePrefix="0" xfId="0"/>
    <xf numFmtId="0" fontId="6" fillId="0" borderId="0" applyAlignment="1" pivotButton="0" quotePrefix="0" xfId="0">
      <alignment vertical="top"/>
    </xf>
    <xf numFmtId="0" fontId="6" fillId="0" borderId="0" applyAlignment="1" pivotButton="0" quotePrefix="0" xfId="0">
      <alignment horizontal="justify" vertical="top"/>
    </xf>
    <xf numFmtId="0" fontId="2" fillId="0" borderId="0" applyAlignment="1" pivotButton="0" quotePrefix="0" xfId="0">
      <alignment vertical="top"/>
    </xf>
    <xf numFmtId="2" fontId="2" fillId="0" borderId="2" applyAlignment="1" pivotButton="0" quotePrefix="0" xfId="0">
      <alignment horizontal="center" vertical="top"/>
    </xf>
    <xf numFmtId="1" fontId="2" fillId="0" borderId="2" applyAlignment="1" pivotButton="0" quotePrefix="0" xfId="0">
      <alignment horizontal="center" vertical="top"/>
    </xf>
    <xf numFmtId="2" fontId="2" fillId="0" borderId="3" applyAlignment="1" pivotButton="0" quotePrefix="0" xfId="0">
      <alignment horizontal="center" vertical="top"/>
    </xf>
    <xf numFmtId="1" fontId="2" fillId="0" borderId="3" applyAlignment="1" pivotButton="0" quotePrefix="0" xfId="0">
      <alignment horizontal="center" vertical="top"/>
    </xf>
    <xf numFmtId="0" fontId="2" fillId="0" borderId="3" applyAlignment="1" pivotButton="0" quotePrefix="1" xfId="0">
      <alignment horizontal="center" vertical="top"/>
    </xf>
    <xf numFmtId="0" fontId="2" fillId="0" borderId="0" applyAlignment="1" pivotButton="0" quotePrefix="0" xfId="0">
      <alignment horizontal="center" vertical="top"/>
    </xf>
    <xf numFmtId="2" fontId="2" fillId="0" borderId="1" applyAlignment="1" pivotButton="0" quotePrefix="0" xfId="0">
      <alignment horizontal="center" vertical="top"/>
    </xf>
    <xf numFmtId="2" fontId="2" fillId="0" borderId="0" applyAlignment="1" pivotButton="0" quotePrefix="0" xfId="0">
      <alignment horizontal="center" vertical="top"/>
    </xf>
    <xf numFmtId="0" fontId="6" fillId="0" borderId="0" applyAlignment="1" pivotButton="0" quotePrefix="0" xfId="0">
      <alignment horizontal="center" vertical="top"/>
    </xf>
    <xf numFmtId="0" fontId="6" fillId="0" borderId="0" applyAlignment="1" pivotButton="0" quotePrefix="1" xfId="0">
      <alignment horizontal="center" vertical="top"/>
    </xf>
    <xf numFmtId="0" fontId="7" fillId="0" borderId="0" applyAlignment="1" pivotButton="0" quotePrefix="0" xfId="0">
      <alignment vertical="top"/>
    </xf>
    <xf numFmtId="0" fontId="7" fillId="0" borderId="2" applyAlignment="1" pivotButton="0" quotePrefix="0" xfId="0">
      <alignment horizontal="center" vertical="top"/>
    </xf>
    <xf numFmtId="0" fontId="7" fillId="0" borderId="2" applyAlignment="1" pivotButton="0" quotePrefix="0" xfId="0">
      <alignment horizontal="center" vertical="top" wrapText="1"/>
    </xf>
    <xf numFmtId="2" fontId="7" fillId="0" borderId="2" applyAlignment="1" pivotButton="0" quotePrefix="0" xfId="0">
      <alignment horizontal="center" vertical="top"/>
    </xf>
    <xf numFmtId="0" fontId="7" fillId="0" borderId="0" applyAlignment="1" pivotButton="0" quotePrefix="0" xfId="0">
      <alignment horizontal="center" vertical="top"/>
    </xf>
    <xf numFmtId="0" fontId="7" fillId="0" borderId="0" applyAlignment="1" pivotButton="0" quotePrefix="0" xfId="0">
      <alignment horizontal="left" vertical="top"/>
    </xf>
    <xf numFmtId="0" fontId="9" fillId="0" borderId="0" applyAlignment="1" pivotButton="0" quotePrefix="0" xfId="0">
      <alignment horizontal="justify" vertical="top" wrapText="1"/>
    </xf>
    <xf numFmtId="2" fontId="7" fillId="0" borderId="0" applyAlignment="1" pivotButton="0" quotePrefix="0" xfId="0">
      <alignment vertical="top"/>
    </xf>
    <xf numFmtId="2" fontId="7" fillId="0" borderId="0" applyAlignment="1" pivotButton="0" quotePrefix="0" xfId="0">
      <alignment horizontal="right" vertical="top"/>
    </xf>
    <xf numFmtId="0" fontId="10" fillId="0" borderId="0" applyAlignment="1" pivotButton="0" quotePrefix="0" xfId="0">
      <alignment horizontal="justify" vertical="top" wrapText="1"/>
    </xf>
    <xf numFmtId="0" fontId="7" fillId="0" borderId="0" applyAlignment="1" pivotButton="0" quotePrefix="1" xfId="0">
      <alignment horizontal="left" vertical="top"/>
    </xf>
    <xf numFmtId="0" fontId="7" fillId="0" borderId="0" applyAlignment="1" pivotButton="0" quotePrefix="0" xfId="0">
      <alignment horizontal="justify" vertical="top" wrapText="1"/>
    </xf>
    <xf numFmtId="0" fontId="7" fillId="0" borderId="0" applyAlignment="1" pivotButton="0" quotePrefix="1" xfId="0">
      <alignment vertical="top"/>
    </xf>
    <xf numFmtId="2" fontId="7" fillId="0" borderId="2" applyAlignment="1" pivotButton="0" quotePrefix="0" xfId="0">
      <alignment vertical="top"/>
    </xf>
    <xf numFmtId="0" fontId="7" fillId="0" borderId="2" applyAlignment="1" pivotButton="0" quotePrefix="1" xfId="0">
      <alignment vertical="top"/>
    </xf>
    <xf numFmtId="0" fontId="7" fillId="0" borderId="2" applyAlignment="1" pivotButton="0" quotePrefix="0" xfId="0">
      <alignment horizontal="left" vertical="top"/>
    </xf>
    <xf numFmtId="0" fontId="7" fillId="0" borderId="0" applyAlignment="1" pivotButton="0" quotePrefix="1" xfId="0">
      <alignment vertical="top"/>
    </xf>
    <xf numFmtId="0" fontId="7" fillId="0" borderId="0" applyAlignment="1" pivotButton="0" quotePrefix="0" xfId="0">
      <alignment horizontal="left" vertical="top"/>
    </xf>
    <xf numFmtId="0" fontId="8" fillId="0" borderId="0" applyAlignment="1" pivotButton="0" quotePrefix="0" xfId="0">
      <alignment horizontal="justify" vertical="top" wrapText="1"/>
    </xf>
    <xf numFmtId="2" fontId="7" fillId="0" borderId="0" applyAlignment="1" pivotButton="0" quotePrefix="1" xfId="0">
      <alignment horizontal="centerContinuous" vertical="top"/>
    </xf>
    <xf numFmtId="2" fontId="7" fillId="0" borderId="0" applyAlignment="1" pivotButton="0" quotePrefix="0" xfId="0">
      <alignment horizontal="centerContinuous" vertical="top"/>
    </xf>
    <xf numFmtId="0" fontId="7" fillId="0" borderId="0" applyAlignment="1" pivotButton="0" quotePrefix="0" xfId="0">
      <alignment horizontal="centerContinuous" vertical="top"/>
    </xf>
    <xf numFmtId="0" fontId="8" fillId="0" borderId="0" applyAlignment="1" pivotButton="0" quotePrefix="1" xfId="0">
      <alignment vertical="top"/>
    </xf>
    <xf numFmtId="2" fontId="8" fillId="0" borderId="0" applyAlignment="1" pivotButton="0" quotePrefix="0" xfId="0">
      <alignment vertical="top"/>
    </xf>
    <xf numFmtId="0" fontId="8" fillId="0" borderId="0" applyAlignment="1" pivotButton="0" quotePrefix="0" xfId="0">
      <alignment horizontal="left" vertical="top"/>
    </xf>
    <xf numFmtId="0" fontId="7" fillId="0" borderId="0" applyAlignment="1" pivotButton="0" quotePrefix="1" xfId="0">
      <alignment horizontal="justify" vertical="top" wrapText="1"/>
    </xf>
    <xf numFmtId="0" fontId="7" fillId="0" borderId="0" applyAlignment="1" pivotButton="0" quotePrefix="0" xfId="0">
      <alignment horizontal="right" vertical="top"/>
    </xf>
    <xf numFmtId="0" fontId="7" fillId="0" borderId="0" applyAlignment="1" pivotButton="0" quotePrefix="0" xfId="0">
      <alignment horizontal="right" vertical="top"/>
    </xf>
    <xf numFmtId="2" fontId="7" fillId="0" borderId="0" applyAlignment="1" pivotButton="0" quotePrefix="0" xfId="0">
      <alignment horizontal="right" vertical="top"/>
    </xf>
    <xf numFmtId="0" fontId="7" fillId="0" borderId="0" applyAlignment="1" pivotButton="0" quotePrefix="1" xfId="0">
      <alignment horizontal="right" vertical="top"/>
    </xf>
    <xf numFmtId="0" fontId="7" fillId="0" borderId="0" applyAlignment="1" pivotButton="0" quotePrefix="1" xfId="0">
      <alignment horizontal="left" vertical="top"/>
    </xf>
    <xf numFmtId="2" fontId="8" fillId="0" borderId="2" applyAlignment="1" pivotButton="0" quotePrefix="0" xfId="0">
      <alignment vertical="top"/>
    </xf>
    <xf numFmtId="0" fontId="8" fillId="0" borderId="2" applyAlignment="1" pivotButton="0" quotePrefix="0" xfId="0">
      <alignment vertical="top"/>
    </xf>
    <xf numFmtId="2" fontId="8" fillId="0" borderId="2" applyAlignment="1" pivotButton="0" quotePrefix="0" xfId="0">
      <alignment horizontal="right" vertical="top"/>
    </xf>
    <xf numFmtId="0" fontId="8" fillId="0" borderId="2" applyAlignment="1" pivotButton="0" quotePrefix="1" xfId="0">
      <alignment horizontal="left" vertical="top"/>
    </xf>
    <xf numFmtId="0" fontId="2" fillId="0" borderId="0" applyAlignment="1" pivotButton="0" quotePrefix="0" xfId="0">
      <alignment wrapText="1"/>
    </xf>
    <xf numFmtId="2" fontId="2" fillId="0" borderId="0" applyAlignment="1" pivotButton="0" quotePrefix="0" xfId="0">
      <alignment wrapText="1"/>
    </xf>
    <xf numFmtId="2" fontId="7" fillId="0" borderId="1" applyAlignment="1" pivotButton="0" quotePrefix="0" xfId="0">
      <alignment vertical="top"/>
    </xf>
    <xf numFmtId="0" fontId="7" fillId="0" borderId="1" applyAlignment="1" pivotButton="0" quotePrefix="0" xfId="0">
      <alignment vertical="top"/>
    </xf>
    <xf numFmtId="2" fontId="7" fillId="0" borderId="1" applyAlignment="1" pivotButton="0" quotePrefix="0" xfId="0">
      <alignment horizontal="right" vertical="top"/>
    </xf>
    <xf numFmtId="0" fontId="7" fillId="0" borderId="2" applyAlignment="1" pivotButton="0" quotePrefix="0" xfId="0">
      <alignment vertical="top"/>
    </xf>
    <xf numFmtId="0" fontId="7" fillId="0" borderId="2" applyAlignment="1" pivotButton="0" quotePrefix="1" xfId="0">
      <alignment horizontal="left" vertical="top"/>
    </xf>
    <xf numFmtId="0" fontId="7" fillId="0" borderId="0" applyAlignment="1" pivotButton="0" quotePrefix="1" xfId="0">
      <alignment horizontal="left" vertical="top" wrapText="1"/>
    </xf>
    <xf numFmtId="0" fontId="11" fillId="0" borderId="0" applyAlignment="1" pivotButton="0" quotePrefix="0" xfId="0">
      <alignment horizontal="justify" vertical="top" wrapText="1"/>
    </xf>
    <xf numFmtId="2" fontId="2" fillId="0" borderId="0" applyAlignment="1" pivotButton="0" quotePrefix="0" xfId="0">
      <alignment vertical="top" wrapText="1"/>
    </xf>
    <xf numFmtId="2" fontId="8" fillId="0" borderId="0" applyAlignment="1" pivotButton="0" quotePrefix="0" xfId="0">
      <alignment horizontal="right" vertical="top"/>
    </xf>
    <xf numFmtId="0" fontId="8" fillId="0" borderId="0" applyAlignment="1" pivotButton="0" quotePrefix="0" xfId="0">
      <alignment horizontal="right" vertical="top"/>
    </xf>
    <xf numFmtId="0" fontId="8" fillId="0" borderId="2" applyAlignment="1" pivotButton="0" quotePrefix="0" xfId="0">
      <alignment horizontal="left" vertical="top"/>
    </xf>
    <xf numFmtId="1" fontId="7" fillId="0" borderId="0" applyAlignment="1" pivotButton="0" quotePrefix="0" xfId="0">
      <alignment vertical="top"/>
    </xf>
    <xf numFmtId="1" fontId="7" fillId="0" borderId="0" applyAlignment="1" pivotButton="0" quotePrefix="0" xfId="0">
      <alignment horizontal="right" vertical="top"/>
    </xf>
    <xf numFmtId="1" fontId="7" fillId="0" borderId="0" applyAlignment="1" pivotButton="0" quotePrefix="0" xfId="0">
      <alignment horizontal="right" vertical="top"/>
    </xf>
    <xf numFmtId="1" fontId="7" fillId="0" borderId="0" applyAlignment="1" pivotButton="0" quotePrefix="0" xfId="0">
      <alignment vertical="top"/>
    </xf>
    <xf numFmtId="2" fontId="7" fillId="0" borderId="2" applyAlignment="1" pivotButton="0" quotePrefix="0" xfId="0">
      <alignment horizontal="right" vertical="top"/>
    </xf>
    <xf numFmtId="1" fontId="7" fillId="0" borderId="2" applyAlignment="1" pivotButton="0" quotePrefix="0" xfId="0">
      <alignment vertical="top"/>
    </xf>
    <xf numFmtId="2" fontId="7" fillId="0" borderId="0" applyAlignment="1" pivotButton="0" quotePrefix="0" xfId="0">
      <alignment horizontal="left" vertical="top"/>
    </xf>
    <xf numFmtId="0" fontId="9" fillId="0" borderId="0" applyAlignment="1" pivotButton="0" quotePrefix="1" xfId="0">
      <alignment horizontal="justify" vertical="top" wrapText="1"/>
    </xf>
    <xf numFmtId="0" fontId="7" fillId="0" borderId="0" applyAlignment="1" pivotButton="0" quotePrefix="1" xfId="0">
      <alignment horizontal="center" vertical="top"/>
    </xf>
    <xf numFmtId="0" fontId="7" fillId="0" borderId="0" applyAlignment="1" pivotButton="0" quotePrefix="0" xfId="0">
      <alignment vertical="top" wrapText="1"/>
    </xf>
    <xf numFmtId="2" fontId="7" fillId="0" borderId="2" applyAlignment="1" pivotButton="0" quotePrefix="1" xfId="0">
      <alignment horizontal="center" vertical="top"/>
    </xf>
    <xf numFmtId="2" fontId="7" fillId="0" borderId="0" applyAlignment="1" pivotButton="0" quotePrefix="1" xfId="0">
      <alignment horizontal="center" vertical="top"/>
    </xf>
    <xf numFmtId="2" fontId="8" fillId="0" borderId="0" applyAlignment="1" pivotButton="0" quotePrefix="1" xfId="0">
      <alignment horizontal="left" vertical="top"/>
    </xf>
    <xf numFmtId="0" fontId="8" fillId="0" borderId="0" applyAlignment="1" pivotButton="0" quotePrefix="0" xfId="0">
      <alignment vertical="top"/>
    </xf>
    <xf numFmtId="2" fontId="7" fillId="0" borderId="0" applyAlignment="1" pivotButton="0" quotePrefix="0" xfId="0">
      <alignment horizontal="center" vertical="top"/>
    </xf>
    <xf numFmtId="0" fontId="7" fillId="0" borderId="0" applyAlignment="1" pivotButton="0" quotePrefix="0" xfId="0">
      <alignment horizontal="justify" vertical="top" wrapText="1"/>
    </xf>
    <xf numFmtId="0" fontId="7" fillId="0" borderId="0" applyAlignment="1" pivotButton="0" quotePrefix="1" xfId="0">
      <alignment horizontal="centerContinuous" vertical="top"/>
    </xf>
    <xf numFmtId="0" fontId="7" fillId="0" borderId="1" applyAlignment="1" pivotButton="0" quotePrefix="1" xfId="0">
      <alignment horizontal="left" vertical="top"/>
    </xf>
    <xf numFmtId="2" fontId="7" fillId="0" borderId="0" applyAlignment="1" pivotButton="0" quotePrefix="1" xfId="0">
      <alignment horizontal="center" vertical="top"/>
    </xf>
    <xf numFmtId="2" fontId="8" fillId="0" borderId="0" applyAlignment="1" pivotButton="0" quotePrefix="0" xfId="0">
      <alignment vertical="top"/>
    </xf>
    <xf numFmtId="0" fontId="5" fillId="0" borderId="0" pivotButton="0" quotePrefix="0" xfId="0"/>
    <xf numFmtId="0" fontId="5" fillId="0" borderId="0" applyAlignment="1" pivotButton="0" quotePrefix="1" xfId="0">
      <alignment horizontal="left"/>
    </xf>
    <xf numFmtId="2" fontId="2" fillId="0" borderId="0" applyAlignment="1" pivotButton="0" quotePrefix="0" xfId="0">
      <alignment horizontal="right"/>
    </xf>
    <xf numFmtId="0" fontId="7" fillId="0" borderId="0" applyAlignment="1" pivotButton="0" quotePrefix="0" xfId="0">
      <alignment horizontal="justify" vertical="top" wrapText="1"/>
    </xf>
    <xf numFmtId="2" fontId="8" fillId="0" borderId="3" applyAlignment="1" pivotButton="0" quotePrefix="0" xfId="0">
      <alignment vertical="top"/>
    </xf>
    <xf numFmtId="0" fontId="2" fillId="0" borderId="0" applyAlignment="1" pivotButton="0" quotePrefix="0" xfId="0">
      <alignment horizontal="left"/>
    </xf>
    <xf numFmtId="1" fontId="7" fillId="0" borderId="0" applyAlignment="1" pivotButton="0" quotePrefix="0" xfId="0">
      <alignment horizontal="center" vertical="top"/>
    </xf>
    <xf numFmtId="1" fontId="2" fillId="0" borderId="0" applyAlignment="1" pivotButton="0" quotePrefix="0" xfId="0">
      <alignment horizontal="center" vertical="top"/>
    </xf>
    <xf numFmtId="0" fontId="0" fillId="0" borderId="2" applyAlignment="1" pivotButton="0" quotePrefix="0" xfId="0">
      <alignment horizontal="right"/>
    </xf>
    <xf numFmtId="0" fontId="6" fillId="0" borderId="0" applyAlignment="1" pivotButton="0" quotePrefix="0" xfId="0">
      <alignment horizontal="center" vertical="top"/>
    </xf>
    <xf numFmtId="0" fontId="2" fillId="0" borderId="0" applyAlignment="1" pivotButton="0" quotePrefix="0" xfId="0">
      <alignment horizontal="left" vertical="top" wrapText="1"/>
    </xf>
    <xf numFmtId="0" fontId="3" fillId="0" borderId="0" applyAlignment="1" pivotButton="0" quotePrefix="1" xfId="0">
      <alignment horizontal="left" vertical="top" wrapText="1"/>
    </xf>
    <xf numFmtId="0" fontId="2" fillId="0" borderId="0" applyAlignment="1" pivotButton="0" quotePrefix="0" xfId="0">
      <alignment horizontal="center"/>
    </xf>
    <xf numFmtId="0" fontId="6" fillId="0" borderId="0" applyAlignment="1" pivotButton="0" quotePrefix="0" xfId="0">
      <alignment horizontal="center"/>
    </xf>
    <xf numFmtId="0" fontId="2" fillId="0" borderId="0" applyAlignment="1" pivotButton="0" quotePrefix="0" xfId="0">
      <alignment horizontal="center" vertical="top" wrapText="1"/>
    </xf>
    <xf numFmtId="2" fontId="8" fillId="0" borderId="0" applyAlignment="1" pivotButton="0" quotePrefix="0" xfId="0">
      <alignment horizontal="center" vertical="top"/>
    </xf>
    <xf numFmtId="0" fontId="8" fillId="0" borderId="0" applyAlignment="1" pivotButton="0" quotePrefix="0" xfId="0">
      <alignment horizontal="center" vertical="top"/>
    </xf>
    <xf numFmtId="0" fontId="7" fillId="0" borderId="0" applyAlignment="1" pivotButton="0" quotePrefix="0" xfId="0">
      <alignment horizontal="center" vertical="top"/>
    </xf>
    <xf numFmtId="2" fontId="7" fillId="0" borderId="0" applyAlignment="1" pivotButton="0" quotePrefix="0" xfId="0">
      <alignment horizontal="center" vertical="top"/>
    </xf>
    <xf numFmtId="0" fontId="7" fillId="0" borderId="0" applyAlignment="1" pivotButton="0" quotePrefix="0" xfId="0">
      <alignment horizontal="center" vertical="top" wrapText="1"/>
    </xf>
    <xf numFmtId="0" fontId="0" fillId="0" borderId="2"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outlinePr summaryBelow="1" summaryRight="1"/>
    <pageSetUpPr fitToPage="1"/>
  </sheetPr>
  <dimension ref="A2:H24"/>
  <sheetViews>
    <sheetView topLeftCell="A13" zoomScale="75" workbookViewId="0">
      <selection activeCell="E29" sqref="E29"/>
    </sheetView>
    <sheetView tabSelected="1" workbookViewId="1">
      <selection activeCell="A2" sqref="A2"/>
    </sheetView>
  </sheetViews>
  <sheetFormatPr baseColWidth="8" defaultRowHeight="15"/>
  <cols>
    <col width="4.44140625" customWidth="1" style="5" min="1" max="1"/>
    <col width="18.109375" customWidth="1" style="5" min="5" max="5"/>
    <col width="11.44140625" customWidth="1" style="5" min="6" max="6"/>
    <col width="12.5546875" customWidth="1" style="2" min="7" max="7"/>
  </cols>
  <sheetData>
    <row r="2" ht="36" customFormat="1" customHeight="1" s="26">
      <c r="A2" s="15" t="inlineStr">
        <is>
          <t>NAME OF WORK :- Construction of Hall with Dome Roof at Arthuna   [SIZE 16 M X 24 M]</t>
        </is>
      </c>
      <c r="B2" s="7" t="n"/>
      <c r="C2" s="7" t="n"/>
      <c r="D2" s="7" t="n"/>
      <c r="E2" s="8" t="n"/>
      <c r="F2" s="7" t="n"/>
      <c r="G2" s="8" t="n"/>
    </row>
    <row r="3" customFormat="1" s="26">
      <c r="A3" s="11" t="n"/>
      <c r="B3" s="7" t="n"/>
      <c r="C3" s="7" t="n"/>
      <c r="D3" s="7" t="n"/>
      <c r="E3" s="8" t="n"/>
      <c r="F3" s="7" t="n"/>
      <c r="G3" s="8" t="n"/>
    </row>
    <row r="4" ht="15.75" customHeight="1" s="5">
      <c r="A4" s="9" t="inlineStr">
        <is>
          <t>GENERAL ABSTRACT OF COST</t>
        </is>
      </c>
      <c r="B4" s="24" t="n"/>
      <c r="C4" s="24" t="n"/>
      <c r="D4" s="24" t="n"/>
      <c r="E4" s="24" t="n"/>
      <c r="F4" s="24" t="n"/>
      <c r="G4" s="13" t="n"/>
    </row>
    <row r="5">
      <c r="A5" s="24" t="n"/>
      <c r="B5" s="24" t="n"/>
      <c r="C5" s="24" t="n"/>
      <c r="D5" s="24" t="n"/>
      <c r="E5" s="24" t="n"/>
      <c r="F5" s="24" t="n"/>
      <c r="G5" s="13" t="n"/>
    </row>
    <row r="6" customFormat="1" s="26">
      <c r="B6" s="151" t="inlineStr">
        <is>
          <t xml:space="preserve">PART 'A'  CIVIL WORK GROUND FLOOR </t>
        </is>
      </c>
      <c r="F6" s="34" t="inlineStr">
        <is>
          <t>Rs.</t>
        </is>
      </c>
      <c r="G6" s="33">
        <f>GF1_ABS!G28</f>
        <v/>
      </c>
    </row>
    <row r="7" customFormat="1" s="26">
      <c r="B7" s="151" t="n"/>
      <c r="C7" s="152" t="n"/>
      <c r="D7" s="152" t="n"/>
      <c r="E7" s="152" t="n"/>
      <c r="F7" s="34" t="n"/>
      <c r="G7" s="33" t="n"/>
    </row>
    <row r="8" customFormat="1" s="26">
      <c r="B8" s="38" t="inlineStr">
        <is>
          <t>PART 'B'  ELECTRIC  WORK @ 12% OF Civil Work</t>
        </is>
      </c>
      <c r="C8" s="23" t="n"/>
      <c r="D8" s="23" t="n"/>
      <c r="E8" s="152" t="n"/>
      <c r="F8" s="34" t="inlineStr">
        <is>
          <t>Rs.</t>
        </is>
      </c>
      <c r="G8" s="27">
        <f>G6*0.12</f>
        <v/>
      </c>
    </row>
    <row r="9" customFormat="1" s="26">
      <c r="B9" s="14" t="n"/>
      <c r="C9" s="23" t="n"/>
      <c r="D9" s="23" t="n"/>
      <c r="E9" s="23" t="n"/>
      <c r="F9" s="34" t="n"/>
      <c r="G9" s="27" t="n"/>
    </row>
    <row r="10">
      <c r="F10" s="35" t="inlineStr">
        <is>
          <t>TOTAL Rs.</t>
        </is>
      </c>
      <c r="G10" s="36">
        <f>SUM(G6:G8)</f>
        <v/>
      </c>
    </row>
    <row r="12">
      <c r="B12" s="146" t="inlineStr">
        <is>
          <t>Add @ 2 % for Electric Fixtures On Civil Work Part 'A'</t>
        </is>
      </c>
    </row>
    <row r="13">
      <c r="C13" s="21" t="inlineStr">
        <is>
          <t>i.e. on Rs.</t>
        </is>
      </c>
      <c r="D13" s="13">
        <f>G6</f>
        <v/>
      </c>
      <c r="E13" s="24" t="n"/>
      <c r="F13" s="22" t="inlineStr">
        <is>
          <t>Rs.</t>
        </is>
      </c>
      <c r="G13" s="4">
        <f>ROUNDUP(D13*0.02,0)</f>
        <v/>
      </c>
    </row>
    <row r="14">
      <c r="C14" s="21" t="n"/>
      <c r="D14" s="13" t="n"/>
      <c r="E14" s="149" t="inlineStr">
        <is>
          <t>GRAND TOTAL Rs.</t>
        </is>
      </c>
      <c r="F14" s="161" t="n"/>
      <c r="G14" s="28">
        <f>SUM(G10:G13)</f>
        <v/>
      </c>
    </row>
    <row r="16" ht="15.75" customHeight="1" s="5">
      <c r="F16" s="21" t="inlineStr">
        <is>
          <t>SAY Rs.</t>
        </is>
      </c>
      <c r="G16" s="31">
        <f>ROUND(G14/100000,2)</f>
        <v/>
      </c>
    </row>
    <row r="17" ht="15.75" customHeight="1" s="5">
      <c r="D17" s="3" t="n"/>
      <c r="E17" s="12" t="n"/>
      <c r="F17" s="19" t="n"/>
      <c r="G17" s="25" t="inlineStr">
        <is>
          <t>Lacs.</t>
        </is>
      </c>
    </row>
    <row r="18" ht="15.75" customHeight="1" s="5">
      <c r="G18" s="16" t="n"/>
    </row>
    <row r="19" ht="15.75" customHeight="1" s="5">
      <c r="G19" s="16" t="n"/>
    </row>
    <row r="20" ht="15.75" customFormat="1" customHeight="1" s="58">
      <c r="A20" s="60" t="n"/>
      <c r="D20" s="3" t="n"/>
      <c r="E20" s="150" t="inlineStr">
        <is>
          <t>CHARTERED   ENGINEER,</t>
        </is>
      </c>
      <c r="H20" s="26" t="n"/>
    </row>
    <row r="21" ht="15.75" customFormat="1" customHeight="1" s="58">
      <c r="A21" s="60" t="n"/>
      <c r="E21" s="150" t="inlineStr">
        <is>
          <t>RKS TECHNO-LEGAL CONSULTANTS, UDAIPUR</t>
        </is>
      </c>
      <c r="H21" s="26" t="n"/>
    </row>
    <row r="23" ht="15.75" customHeight="1" s="5">
      <c r="E23" s="20" t="n"/>
    </row>
    <row r="24" ht="15.75" customHeight="1" s="5">
      <c r="E24" s="60" t="n"/>
    </row>
  </sheetData>
  <mergeCells count="4">
    <mergeCell ref="E20:G20"/>
    <mergeCell ref="B6:E6"/>
    <mergeCell ref="E14:F14"/>
    <mergeCell ref="E21:G21"/>
  </mergeCells>
  <printOptions horizontalCentered="1"/>
  <pageMargins left="0.75" right="0.75" top="1" bottom="1" header="0.5" footer="0.5"/>
  <pageSetup orientation="portrait" paperSize="9" scale="98" fitToHeight="11" horizontalDpi="180" verticalDpi="180"/>
  <headerFooter alignWithMargins="0">
    <oddHeader/>
    <oddFooter>&amp;C&amp;A&amp;RPage &amp;P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46"/>
  <sheetViews>
    <sheetView topLeftCell="A17" zoomScale="75" zoomScaleNormal="100" workbookViewId="0">
      <selection activeCell="C21" sqref="C21"/>
    </sheetView>
    <sheetView topLeftCell="A2" workbookViewId="1">
      <selection activeCell="G7" sqref="G7"/>
    </sheetView>
  </sheetViews>
  <sheetFormatPr baseColWidth="8" defaultRowHeight="15"/>
  <cols>
    <col width="5.33203125" bestFit="1" customWidth="1" style="51" min="1" max="1"/>
    <col width="35" customWidth="1" style="52" min="2" max="2"/>
    <col width="7.6640625" bestFit="1" customWidth="1" style="70" min="3" max="3"/>
    <col width="6.109375" customWidth="1" style="68" min="4" max="4"/>
    <col width="6.44140625" bestFit="1" customWidth="1" style="70" min="5" max="5"/>
    <col width="6.33203125" bestFit="1" customWidth="1" style="68" min="6" max="6"/>
    <col width="10.44140625" bestFit="1" customWidth="1" style="68" min="7" max="7"/>
    <col width="9.77734375" bestFit="1" customWidth="1" style="57" min="8" max="8"/>
    <col width="8.88671875" customWidth="1" style="57" min="9" max="16384"/>
  </cols>
  <sheetData>
    <row r="1" ht="15" customHeight="1" s="5">
      <c r="A1" s="155">
        <f>'gen-abstract'!A2</f>
        <v/>
      </c>
    </row>
    <row r="2"/>
    <row r="3">
      <c r="A3" s="153" t="inlineStr">
        <is>
          <t xml:space="preserve">PART 'A'  CIVIL WORK BASEMENT, GROUND FLOOR </t>
        </is>
      </c>
    </row>
    <row r="4" ht="15.75" customHeight="1" s="5">
      <c r="A4" s="154" t="inlineStr">
        <is>
          <t>ABSTRACT OF COST</t>
        </is>
      </c>
    </row>
    <row r="5">
      <c r="A5" s="44" t="inlineStr">
        <is>
          <t>S.No.</t>
        </is>
      </c>
      <c r="B5" s="45" t="inlineStr">
        <is>
          <t>Particulars.</t>
        </is>
      </c>
      <c r="C5" s="63" t="inlineStr">
        <is>
          <t xml:space="preserve">Quantity </t>
        </is>
      </c>
      <c r="D5" s="44" t="n"/>
      <c r="E5" s="63" t="inlineStr">
        <is>
          <t>Rate</t>
        </is>
      </c>
      <c r="F5" s="44" t="inlineStr">
        <is>
          <t>Unit</t>
        </is>
      </c>
      <c r="G5" s="64" t="inlineStr">
        <is>
          <t>Amount</t>
        </is>
      </c>
    </row>
    <row r="6" ht="165" customFormat="1" customHeight="1" s="57">
      <c r="A6" s="46" t="n">
        <v>1</v>
      </c>
      <c r="B6" s="56" t="inlineStr">
        <is>
          <t xml:space="preserve">Earth work in excavation by mechanical means (Hydraulic Excavator )/ manual means in foundation trenches or drains (not exceeding 1.5 m in width or 10 sqm on plan) including dressing of sides and ramming of bottoms, lift upto 1.5 m, including taking out the excavated soil and depositing and refilling of jhiri with watering &amp; ramming and disposal of surplus excavated soil as directed with in a lead of 50 meter. All kinds of soils </t>
        </is>
      </c>
      <c r="C6" s="65">
        <f>GF1_MES!K22</f>
        <v/>
      </c>
      <c r="D6" s="48" t="inlineStr">
        <is>
          <t>Cum</t>
        </is>
      </c>
      <c r="E6" s="46" t="n">
        <v>204.7</v>
      </c>
      <c r="F6" s="48" t="inlineStr">
        <is>
          <t>P Cum</t>
        </is>
      </c>
      <c r="G6" s="65">
        <f>C6*E6</f>
        <v/>
      </c>
    </row>
    <row r="7" ht="111" customHeight="1" s="5">
      <c r="A7" s="46" t="n">
        <v>2</v>
      </c>
      <c r="B7" s="56" t="inlineStr">
        <is>
          <t>Filling available excavated earth (excluding rock) in trenches, plinth side of foundation etc. in layers not exceeding 20 cm. in depth , consolidating  each deposited layer by ramming and watering including lead upto 50Mtr. and lift upto 1.5Mtr.</t>
        </is>
      </c>
      <c r="C7" s="65">
        <f>GF1_MES!K34</f>
        <v/>
      </c>
      <c r="D7" s="48" t="inlineStr">
        <is>
          <t>Cum</t>
        </is>
      </c>
      <c r="E7" s="46" t="n">
        <v>73.59999999999999</v>
      </c>
      <c r="F7" s="48" t="inlineStr">
        <is>
          <t>P Cum</t>
        </is>
      </c>
      <c r="G7" s="65">
        <f>C7*E7</f>
        <v/>
      </c>
    </row>
    <row r="8" ht="105" customHeight="1" s="5">
      <c r="A8" s="46" t="n">
        <v>3</v>
      </c>
      <c r="B8" s="56" t="inlineStr">
        <is>
          <t>Providing and laying in position cement concrete including curing compaction etc. of specified grade excluding the cost of centering and shuttering =All up to plinth leve 1:4:8 (1Cement :4 Coarse  Sand :8 Graded stone aggregate 40 mm nominal size</t>
        </is>
      </c>
      <c r="C8" s="65">
        <f>GF1_MES!K38</f>
        <v/>
      </c>
      <c r="D8" s="48" t="inlineStr">
        <is>
          <t>Cum</t>
        </is>
      </c>
      <c r="E8" s="46" t="n">
        <v>3797.3</v>
      </c>
      <c r="F8" s="48" t="inlineStr">
        <is>
          <t>P Cum</t>
        </is>
      </c>
      <c r="G8" s="65">
        <f>C8*E8</f>
        <v/>
      </c>
    </row>
    <row r="9" ht="135" customHeight="1" s="5">
      <c r="A9" s="46" t="n">
        <v>4</v>
      </c>
      <c r="B9" s="56" t="inlineStr">
        <is>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is>
      </c>
      <c r="C9" s="65">
        <f>GF1_MES!K45</f>
        <v/>
      </c>
      <c r="D9" s="48" t="inlineStr">
        <is>
          <t>Cum</t>
        </is>
      </c>
      <c r="E9" s="46">
        <f>4934+69</f>
        <v/>
      </c>
      <c r="F9" s="48" t="inlineStr">
        <is>
          <t>P Cum</t>
        </is>
      </c>
      <c r="G9" s="65">
        <f>C9*E9</f>
        <v/>
      </c>
    </row>
    <row r="10" ht="90" customHeight="1" s="5">
      <c r="A10" s="46" t="n">
        <v>5</v>
      </c>
      <c r="B10" s="56" t="inlineStr">
        <is>
          <t>Centering and shuttering with plywood or steel sheets including strutting, propping, bracing both ways and removal of formwork for foundations in basements rafts, footings, strap beams, bases of columns , etc. up to plinth level.</t>
        </is>
      </c>
      <c r="C10" s="65">
        <f>GF1_MES!K49</f>
        <v/>
      </c>
      <c r="D10" s="48" t="inlineStr">
        <is>
          <t>Sqm</t>
        </is>
      </c>
      <c r="E10" s="46" t="n">
        <v>180.55</v>
      </c>
      <c r="F10" s="48" t="inlineStr">
        <is>
          <t>P Sqm</t>
        </is>
      </c>
      <c r="G10" s="65">
        <f>C10*E10</f>
        <v/>
      </c>
    </row>
    <row r="11" ht="103.5" customHeight="1" s="5">
      <c r="A11" s="46" t="n">
        <v>6</v>
      </c>
      <c r="B11" s="56" t="inlineStr">
        <is>
          <t>Providing and fabricating reinforcement for R.C.C. work including straightening, cutting, bending, placing in position and binding (including cost of binding wire) all complete up to floor three level. Tremo Mechanically treated bars</t>
        </is>
      </c>
      <c r="C11" s="66">
        <f>GF1_MES!K53</f>
        <v/>
      </c>
      <c r="D11" s="48" t="inlineStr">
        <is>
          <t>Kg</t>
        </is>
      </c>
      <c r="E11" s="46" t="n">
        <v>88.55</v>
      </c>
      <c r="F11" s="48" t="inlineStr">
        <is>
          <t>P Kg</t>
        </is>
      </c>
      <c r="G11" s="65">
        <f>C11*E11</f>
        <v/>
      </c>
    </row>
    <row r="12" ht="75" customHeight="1" s="5">
      <c r="A12" s="46" t="n">
        <v>7</v>
      </c>
      <c r="B12" s="56" t="inlineStr">
        <is>
          <t>Brick work with F.P.S. bricks of class designation 75 in superstructure above plinth level upto floor V level in all shapes and sizes in :  : Cement mortar 1 : 6 (1 cement : 6 coarse sand)</t>
        </is>
      </c>
      <c r="C12" s="65">
        <f>GF1_MES!K63</f>
        <v/>
      </c>
      <c r="D12" s="48" t="inlineStr">
        <is>
          <t>Cum</t>
        </is>
      </c>
      <c r="E12" s="46" t="n">
        <v>5738.5</v>
      </c>
      <c r="F12" s="48" t="inlineStr">
        <is>
          <t>P Cum</t>
        </is>
      </c>
      <c r="G12" s="65">
        <f>C12*E12</f>
        <v/>
      </c>
    </row>
    <row r="13" ht="81.75" customHeight="1" s="5">
      <c r="A13" s="46" t="n">
        <v>8</v>
      </c>
      <c r="B13" s="56" t="inlineStr">
        <is>
          <t>Random Rubble stone masonry for foundation and plinth in Cement Sand mortar above 30 CM thick wall in: Cement Mortar 1:6 ( 1-Cement : 6-Sand).</t>
        </is>
      </c>
      <c r="C13" s="65">
        <f>GF1_MES!K65</f>
        <v/>
      </c>
      <c r="D13" s="48" t="inlineStr">
        <is>
          <t>Cum</t>
        </is>
      </c>
      <c r="E13" s="46" t="n">
        <v>3263.7</v>
      </c>
      <c r="F13" s="48" t="inlineStr">
        <is>
          <t>P Cum</t>
        </is>
      </c>
      <c r="G13" s="65">
        <f>C13*E13</f>
        <v/>
      </c>
    </row>
    <row r="14" ht="45" customFormat="1" customHeight="1" s="62">
      <c r="A14" s="66" t="n">
        <v>9</v>
      </c>
      <c r="B14" s="54" t="inlineStr">
        <is>
          <t>Plaster on new surface on walls in cement sand mortar 1:6 including raking of joints etc. complete fine finished : 20 mm thick.</t>
        </is>
      </c>
      <c r="C14" s="65">
        <f>GF1_MES!K83</f>
        <v/>
      </c>
      <c r="D14" s="46" t="inlineStr">
        <is>
          <t>Sqm</t>
        </is>
      </c>
      <c r="E14" s="65" t="n">
        <v>218.5</v>
      </c>
      <c r="F14" s="67" t="inlineStr">
        <is>
          <t>P Sqm</t>
        </is>
      </c>
      <c r="G14" s="65">
        <f>IF(C14,ROUNDUP(C14*E14,0),"")</f>
        <v/>
      </c>
    </row>
    <row r="15" ht="220.5" customHeight="1" s="5">
      <c r="A15" s="46" t="n">
        <v>10</v>
      </c>
      <c r="B15" s="56" t="inlineStr">
        <is>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is>
      </c>
      <c r="C15" s="65">
        <f>GF1_MES!K88</f>
        <v/>
      </c>
      <c r="D15" s="48" t="inlineStr">
        <is>
          <t>Kg</t>
        </is>
      </c>
      <c r="E15" s="46" t="n">
        <v>95.45</v>
      </c>
      <c r="F15" s="48" t="inlineStr">
        <is>
          <t>P Kg</t>
        </is>
      </c>
      <c r="G15" s="65">
        <f>C15*E15</f>
        <v/>
      </c>
    </row>
    <row r="16" ht="315" customFormat="1" customHeight="1" s="58">
      <c r="A16" s="46" t="n">
        <v>12.65</v>
      </c>
      <c r="B16" s="56" t="inlineStr">
        <is>
          <t>Providing &amp; fixing steel glazed doors, windows and ventilators shutters of standred rolled steel section joint mitred and welded with steel 13x3mm lugs 10 Cm. long embedded in cement concrete blocks 15x10x10 Cm. of 1:3:6 (1-Cement:3-coarse sand:6-graded stone aggregate 20 mm nominal size) or with wooden plugs and screws or rawl plugs and screws or with fixing clips or with bolts and nuts as required, including providing and fixing of plain glass panes 4mm thick with copper glazing clips and special metal-sash putty of approved make, or metal beading with screws complete including priming coat of approved steel primer, excluding the cost of metal beading and other fittings except necessary hinges of pivots steel handles and peg stay etc. as required. Patially fixed and partially openable fixed area not exceed 33%</t>
        </is>
      </c>
      <c r="C16" s="65">
        <f>GF1_MES!K91</f>
        <v/>
      </c>
      <c r="D16" s="48" t="inlineStr">
        <is>
          <t>Sqm</t>
        </is>
      </c>
      <c r="E16" s="46" t="n">
        <v>3553.5</v>
      </c>
      <c r="F16" s="67" t="inlineStr">
        <is>
          <t>P Sqm</t>
        </is>
      </c>
      <c r="G16" s="65">
        <f>C16*E16</f>
        <v/>
      </c>
    </row>
    <row r="17" ht="75" customFormat="1" customHeight="1" s="58">
      <c r="A17" s="46" t="n">
        <v>13.8</v>
      </c>
      <c r="B17" s="56" t="inlineStr">
        <is>
          <t>Supplying and fixing fixed wire gauge of 14 mesh x 24 gauge to the metal frame of rolled section by metal beading 20x3mm with suitable screw at not exceeding 150 mm distance.</t>
        </is>
      </c>
      <c r="C17" s="65">
        <f>GF1_MES!K98</f>
        <v/>
      </c>
      <c r="D17" s="48" t="inlineStr">
        <is>
          <t>Sqm</t>
        </is>
      </c>
      <c r="E17" s="46" t="n">
        <v>709.55</v>
      </c>
      <c r="F17" s="46" t="n"/>
      <c r="G17" s="65">
        <f>C17*E17</f>
        <v/>
      </c>
    </row>
    <row r="18" ht="30" customFormat="1" customHeight="1" s="57">
      <c r="A18" s="46" t="n">
        <v>14.95</v>
      </c>
      <c r="B18" s="56" t="inlineStr">
        <is>
          <t>Providing and fixing Square bars or other flat welded to window, ventilators etc.</t>
        </is>
      </c>
      <c r="C18" s="65">
        <f>GF1_MES!K95</f>
        <v/>
      </c>
      <c r="D18" s="48" t="inlineStr">
        <is>
          <t>Kg</t>
        </is>
      </c>
      <c r="E18" s="46" t="n">
        <v>74.75</v>
      </c>
      <c r="F18" s="46" t="n"/>
      <c r="G18" s="65">
        <f>C18*E18</f>
        <v/>
      </c>
      <c r="I18" s="59" t="n"/>
    </row>
    <row r="19" ht="105" customHeight="1" s="5">
      <c r="A19" s="46" t="n">
        <v>16.1</v>
      </c>
      <c r="B19" s="56" t="inlineStr">
        <is>
          <t>Polished Blue Kota Stone flooring skirting, laid over 20 mm thick base of C.M. 1:4 and jointed with grey cement slurry to match the shade of the slab including rubbing and polishing complete : For area of each slab up to 2001 to 5000  Sq. Cm : (A) 25 mm thick slab.</t>
        </is>
      </c>
      <c r="C19" s="65">
        <f>GF1_MES!K101</f>
        <v/>
      </c>
      <c r="D19" s="48" t="inlineStr">
        <is>
          <t>Sqm</t>
        </is>
      </c>
      <c r="E19" s="46" t="n">
        <v>1176.45</v>
      </c>
      <c r="F19" s="46" t="n"/>
      <c r="G19" s="65">
        <f>C19*E19</f>
        <v/>
      </c>
    </row>
    <row r="20" ht="30" customHeight="1" s="5">
      <c r="A20" s="46" t="n">
        <v>17.25</v>
      </c>
      <c r="B20" s="56" t="inlineStr">
        <is>
          <t>Random rubble dry stone Kharanja under floor.</t>
        </is>
      </c>
      <c r="C20" s="65">
        <f>GF1_MES!K106</f>
        <v/>
      </c>
      <c r="D20" s="48" t="inlineStr">
        <is>
          <t>Cum</t>
        </is>
      </c>
      <c r="E20" s="46" t="n">
        <v>1071.8</v>
      </c>
      <c r="F20" s="48" t="inlineStr">
        <is>
          <t>P Cum</t>
        </is>
      </c>
      <c r="G20" s="65">
        <f>C20*E20</f>
        <v/>
      </c>
    </row>
    <row r="21" ht="45" customHeight="1" s="5">
      <c r="A21" s="53" t="n">
        <v>18.4</v>
      </c>
      <c r="B21" s="56" t="inlineStr">
        <is>
          <t>White washing with lime to give an even shade including all scaffolding: New work (two or more coats).</t>
        </is>
      </c>
      <c r="C21" s="65">
        <f>GF1_MES!K113</f>
        <v/>
      </c>
      <c r="D21" s="46" t="inlineStr">
        <is>
          <t>Sqm</t>
        </is>
      </c>
      <c r="E21" s="65" t="n">
        <v>12.65</v>
      </c>
      <c r="F21" s="67" t="inlineStr">
        <is>
          <t>P Sqm</t>
        </is>
      </c>
      <c r="G21" s="65">
        <f>IF(C21,ROUNDUP(C21*E21,0),"")</f>
        <v/>
      </c>
    </row>
    <row r="22" ht="60" customHeight="1" s="5">
      <c r="A22" s="53" t="n">
        <v>19.55</v>
      </c>
      <c r="B22" s="54" t="inlineStr">
        <is>
          <t>Colour  washing of all shades to give an even shade including all scaffolding: New work (two or more coats) with a base coat of white washing with lime.</t>
        </is>
      </c>
      <c r="C22" s="65">
        <f>GF1_MES!K117</f>
        <v/>
      </c>
      <c r="D22" s="46" t="inlineStr">
        <is>
          <t>Sqm</t>
        </is>
      </c>
      <c r="E22" s="65" t="n">
        <v>16.1</v>
      </c>
      <c r="F22" s="67" t="inlineStr">
        <is>
          <t>P Sqm</t>
        </is>
      </c>
      <c r="G22" s="65">
        <f>IF(C22,ROUNDUP(C22*E22,0),"")</f>
        <v/>
      </c>
    </row>
    <row r="23" ht="60" customHeight="1" s="5">
      <c r="A23" s="53" t="n">
        <v>20.7</v>
      </c>
      <c r="B23" s="56" t="inlineStr">
        <is>
          <t>Applying priming coat with ready mix pink or Grey primer of approved brand and manufacture on wood work hard and soft wood.</t>
        </is>
      </c>
      <c r="C23" s="65">
        <f>GF1_MES!K122</f>
        <v/>
      </c>
      <c r="D23" s="46" t="inlineStr">
        <is>
          <t>Sqm</t>
        </is>
      </c>
      <c r="E23" s="65" t="n">
        <v>33.35</v>
      </c>
      <c r="F23" s="67" t="inlineStr">
        <is>
          <t>P Sqm</t>
        </is>
      </c>
      <c r="G23" s="65">
        <f>IF(C23,ROUNDUP(C23*E23,0),"")</f>
        <v/>
      </c>
    </row>
    <row r="24" ht="45" customHeight="1" s="5">
      <c r="A24" s="53">
        <f>A23+1</f>
        <v/>
      </c>
      <c r="B24" s="54" t="inlineStr">
        <is>
          <t>Painting with enamel paint of approved brand and manufacture to give an even shade two or more coats on new work.</t>
        </is>
      </c>
      <c r="C24" s="65">
        <f>GF1_MES!K125</f>
        <v/>
      </c>
      <c r="D24" s="46" t="inlineStr">
        <is>
          <t>Sqm</t>
        </is>
      </c>
      <c r="E24" s="65" t="n">
        <v>79.34999999999999</v>
      </c>
      <c r="F24" s="67" t="inlineStr">
        <is>
          <t>P Sqm</t>
        </is>
      </c>
      <c r="G24" s="65">
        <f>IF(C24,ROUNDUP(C24*E24,0),"")</f>
        <v/>
      </c>
    </row>
    <row r="25" ht="300" customHeight="1" s="5">
      <c r="A25" s="53" t="n">
        <v>23</v>
      </c>
      <c r="B25" s="56" t="inlineStr">
        <is>
          <t>Supply and installation of Multi Rib Proofing/cladding Sheet Manufacture out of  0.50mm TCT (Total Coated Thickness) high tensile Zinc aluminum alloy coated galvalume steel (as per 150gsm zinc aluminum coated 550Mpa tuekd strength) confirming to IS: 1397/astm A-792 sheet to have wide pens 30mm high NB at 250 centre and centre width of 1020mm sheets be casted with regular modified polyster system on a continuous with line on centre for face and with a polyster coating respectively sheet shall have proportionality with siphoned plate made to prevent leakage sheet shall be fixed by more of sell drilling lift tapping hot dip zinc coated hox head fasterner of size 12x14x55mm long. The sheet shall be supplied in cost one length and for a minimum up to 12mts with all scaffolding.</t>
        </is>
      </c>
      <c r="C25" s="65">
        <f>GF1_MES!K128</f>
        <v/>
      </c>
      <c r="D25" s="46" t="inlineStr">
        <is>
          <t>Sqm</t>
        </is>
      </c>
      <c r="E25" s="65" t="n">
        <v>792.35</v>
      </c>
      <c r="F25" s="67" t="inlineStr">
        <is>
          <t>P Sqm</t>
        </is>
      </c>
      <c r="G25" s="65">
        <f>IF(C25,ROUNDUP(C25*E25,0),"")</f>
        <v/>
      </c>
    </row>
    <row r="26" ht="60" customHeight="1" s="5">
      <c r="A26" s="53" t="n">
        <v>24.15</v>
      </c>
      <c r="B26" s="56" t="inlineStr">
        <is>
          <t>Add extra for 0.60mm TCT (Total Coated Thickness) high tensile Zinc aluminum alloy coated galvalume steel sheet in place of 0.50mm thick</t>
        </is>
      </c>
      <c r="C26" s="65">
        <f>C25</f>
        <v/>
      </c>
      <c r="D26" s="46" t="inlineStr">
        <is>
          <t>Sqm</t>
        </is>
      </c>
      <c r="E26" s="65" t="n">
        <v>118.85</v>
      </c>
      <c r="F26" s="67" t="inlineStr">
        <is>
          <t>P Sqm</t>
        </is>
      </c>
      <c r="G26" s="65">
        <f>IF(C26,ROUNDUP(C26*E26,0),"")</f>
        <v/>
      </c>
    </row>
    <row r="27" ht="90" customHeight="1" s="5">
      <c r="A27" s="55" t="n">
        <v>25.3</v>
      </c>
      <c r="B27" s="56" t="inlineStr">
        <is>
          <t xml:space="preserve">Structural steel work riveted,  bolted or welded in built up sections, trusses and framed work, including cutting, hoisting   (height upto 10 m) , fixing in position and applying a priming coat of approved steel primer all complete:  </t>
        </is>
      </c>
      <c r="C27" s="65">
        <f>GF1_MES!K131</f>
        <v/>
      </c>
      <c r="D27" s="46" t="inlineStr">
        <is>
          <t>Kg</t>
        </is>
      </c>
      <c r="E27" s="65" t="n">
        <v>93.15000000000001</v>
      </c>
      <c r="F27" s="46" t="inlineStr">
        <is>
          <t>P Kg</t>
        </is>
      </c>
      <c r="G27" s="65">
        <f>IF(C27,C27*E27,"")</f>
        <v/>
      </c>
      <c r="H27" s="59" t="n"/>
    </row>
    <row r="28">
      <c r="C28" s="68" t="n"/>
      <c r="E28" s="69" t="inlineStr">
        <is>
          <t xml:space="preserve">Total </t>
        </is>
      </c>
      <c r="F28" s="69" t="inlineStr">
        <is>
          <t>Rs.</t>
        </is>
      </c>
      <c r="G28" s="69">
        <f>SUM(G1:G27)</f>
        <v/>
      </c>
    </row>
    <row r="29">
      <c r="C29" s="68" t="n"/>
      <c r="F29" s="70" t="n"/>
      <c r="G29" s="70" t="n"/>
    </row>
    <row r="30">
      <c r="C30" s="68" t="n"/>
      <c r="F30" s="70" t="n"/>
      <c r="G30" s="70" t="n"/>
    </row>
    <row r="31" ht="15.75" customHeight="1" s="5">
      <c r="A31" s="60" t="n"/>
      <c r="B31" s="61" t="n"/>
      <c r="C31" s="68" t="n"/>
      <c r="D31" s="150" t="inlineStr">
        <is>
          <t>CHARTERED   ENGINEER,</t>
        </is>
      </c>
      <c r="E31" s="68" t="n"/>
      <c r="F31" s="150" t="n"/>
      <c r="G31" s="150" t="n"/>
    </row>
    <row r="32" ht="15.75" customHeight="1" s="5">
      <c r="A32" s="60" t="n"/>
      <c r="B32" s="61" t="n"/>
      <c r="C32" s="68" t="n"/>
      <c r="D32" s="150" t="inlineStr">
        <is>
          <t>RKS TECHNO-LEGAL CONSULTANTS, UDAIPUR</t>
        </is>
      </c>
      <c r="E32" s="68" t="n"/>
      <c r="F32" s="150" t="n"/>
      <c r="G32" s="150" t="n"/>
    </row>
    <row r="33">
      <c r="A33" s="57" t="n"/>
      <c r="C33" s="68" t="n"/>
      <c r="E33" s="68" t="n"/>
    </row>
    <row r="34" ht="15.75" customHeight="1" s="5">
      <c r="A34" s="57" t="n"/>
      <c r="C34" s="72" t="n"/>
      <c r="E34" s="68" t="n"/>
    </row>
    <row r="35" ht="15.75" customHeight="1" s="5">
      <c r="A35" s="57" t="n"/>
      <c r="C35" s="150" t="n"/>
      <c r="E35" s="68" t="n"/>
    </row>
    <row r="36">
      <c r="A36" s="57" t="n"/>
      <c r="C36" s="68" t="n"/>
      <c r="E36" s="68" t="n"/>
    </row>
    <row r="37">
      <c r="A37" s="57" t="n"/>
      <c r="C37" s="68" t="n"/>
      <c r="E37" s="68" t="n"/>
    </row>
    <row r="38">
      <c r="A38" s="57" t="n"/>
      <c r="C38" s="68" t="n"/>
      <c r="E38" s="68" t="n"/>
    </row>
    <row r="39">
      <c r="A39" s="57" t="n"/>
      <c r="C39" s="68" t="n"/>
      <c r="E39" s="68" t="n"/>
    </row>
    <row r="40">
      <c r="A40" s="57" t="n"/>
      <c r="C40" s="68" t="n"/>
      <c r="E40" s="68" t="n"/>
    </row>
    <row r="41">
      <c r="A41" s="57" t="n"/>
      <c r="C41" s="68" t="n"/>
      <c r="E41" s="68" t="n"/>
    </row>
    <row r="42">
      <c r="A42" s="57" t="n"/>
      <c r="C42" s="68" t="n"/>
      <c r="E42" s="68" t="n"/>
    </row>
    <row r="43">
      <c r="A43" s="57" t="n"/>
      <c r="C43" s="68" t="n"/>
      <c r="E43" s="68" t="n"/>
    </row>
    <row r="44">
      <c r="A44" s="57" t="n"/>
      <c r="C44" s="68" t="n"/>
      <c r="E44" s="68" t="n"/>
    </row>
    <row r="45">
      <c r="A45" s="57" t="n"/>
      <c r="C45" s="68" t="n"/>
      <c r="E45" s="68" t="n"/>
    </row>
    <row r="46">
      <c r="A46" s="57" t="n"/>
      <c r="C46" s="68" t="n"/>
      <c r="E46" s="68" t="n"/>
    </row>
  </sheetData>
  <mergeCells count="3">
    <mergeCell ref="A3:G3"/>
    <mergeCell ref="A4:G4"/>
    <mergeCell ref="A1:G2"/>
  </mergeCells>
  <dataValidations count="4">
    <dataValidation sqref="C6 C8:C14 C16:C20" showDropDown="0" showInputMessage="1" showErrorMessage="1" allowBlank="1" errorTitle="Invalid Entry" error="Only Numeric Values are allowed. " promptTitle="Quantity" prompt="Please enter the Quantity for this item. " type="decimal">
      <formula1>0</formula1>
      <formula2>999999999999999</formula2>
    </dataValidation>
    <dataValidation sqref="C7 C15 E7 E15" showDropDown="0" showInputMessage="1" showErrorMessage="1" allowBlank="1" errorTitle="Invalid Entry" error="Only Numeric Values are allowed. " type="decimal">
      <formula1>0</formula1>
      <formula2>999999999999999</formula2>
    </dataValidation>
    <dataValidation sqref="E6 E8:E13 E16:E20 F17:F19" showDropDown="0" showInputMessage="1" showErrorMessage="1" allowBlank="1" errorTitle="Invalid Entry" error="Only Numeric Values are allowed. " promptTitle="Estimated Rate" prompt="Please enter the Estimated Rate for this item. " type="decimal">
      <formula1>0</formula1>
      <formula2>999999999999999</formula2>
    </dataValidation>
    <dataValidation sqref="A6:A13 A15:A20" showDropDown="0" showInputMessage="1" showErrorMessage="1" allowBlank="1" errorTitle="Invalid Entry" error="Only Numeric Values are allowed." type="decimal">
      <formula1>0</formula1>
      <formula2>999999999999999</formula2>
    </dataValidation>
  </dataValidations>
  <printOptions horizontalCentered="1"/>
  <pageMargins left="0.75" right="0.75" top="0.76" bottom="1" header="0.5" footer="0.5"/>
  <pageSetup orientation="portrait" paperSize="9" scale="93" fitToHeight="22" horizontalDpi="180" verticalDpi="180"/>
  <headerFooter alignWithMargins="0">
    <oddHeader/>
    <oddFooter>&amp;C&amp;A&amp;R&amp;P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M150"/>
  <sheetViews>
    <sheetView tabSelected="1" topLeftCell="A145" zoomScaleNormal="75" zoomScaleSheetLayoutView="75" workbookViewId="0">
      <selection activeCell="E146" sqref="E146"/>
    </sheetView>
    <sheetView topLeftCell="A165" workbookViewId="1">
      <selection activeCell="A173" sqref="A173"/>
    </sheetView>
  </sheetViews>
  <sheetFormatPr baseColWidth="8" defaultRowHeight="14.25"/>
  <cols>
    <col width="3.88671875" bestFit="1" customWidth="1" style="90" min="1" max="1"/>
    <col width="33" customWidth="1" style="144" min="2" max="2"/>
    <col width="4.77734375" bestFit="1" customWidth="1" style="90" min="3" max="3"/>
    <col width="1.5546875" customWidth="1" style="73" min="4" max="4"/>
    <col width="6.44140625" bestFit="1" customWidth="1" style="80" min="5" max="5"/>
    <col width="1.88671875" customWidth="1" style="73" min="6" max="6"/>
    <col width="5.88671875" customWidth="1" style="101" min="7" max="7"/>
    <col width="4" customWidth="1" style="73" min="8" max="8"/>
    <col width="3.77734375" customWidth="1" style="80" min="9" max="9"/>
    <col width="3.21875" bestFit="1" customWidth="1" style="73" min="10" max="10"/>
    <col width="6.5546875" bestFit="1" customWidth="1" style="80" min="11" max="11"/>
    <col width="4.44140625" bestFit="1" customWidth="1" style="73" min="12" max="12"/>
    <col width="8.88671875" customWidth="1" style="73" min="13" max="16384"/>
  </cols>
  <sheetData>
    <row r="1" ht="14.25" customFormat="1" customHeight="1" s="73">
      <c r="A1" s="160">
        <f>'gen-abstract'!A2</f>
        <v/>
      </c>
    </row>
    <row r="2" ht="15" customFormat="1" customHeight="1" s="73"/>
    <row r="3" ht="15" customFormat="1" customHeight="1" s="73">
      <c r="A3" s="157" t="inlineStr">
        <is>
          <t xml:space="preserve">PART 'A'  CIVIL WORK FIRST  FLOOR </t>
        </is>
      </c>
    </row>
    <row r="4" customFormat="1" s="73">
      <c r="A4" s="158" t="inlineStr">
        <is>
          <t>DETAILS OF MEASUREMENTS</t>
        </is>
      </c>
    </row>
    <row r="5" customFormat="1" s="158">
      <c r="A5" s="74" t="inlineStr">
        <is>
          <t>S.N.</t>
        </is>
      </c>
      <c r="B5" s="75" t="inlineStr">
        <is>
          <t>Particulars</t>
        </is>
      </c>
      <c r="C5" s="74" t="inlineStr">
        <is>
          <t>Nos.</t>
        </is>
      </c>
      <c r="D5" s="74" t="n"/>
      <c r="E5" s="76" t="inlineStr">
        <is>
          <t>Length</t>
        </is>
      </c>
      <c r="F5" s="74" t="n"/>
      <c r="G5" s="76" t="inlineStr">
        <is>
          <t xml:space="preserve">Breadth </t>
        </is>
      </c>
      <c r="H5" s="76" t="n"/>
      <c r="I5" s="76" t="inlineStr">
        <is>
          <t>Height</t>
        </is>
      </c>
      <c r="J5" s="76" t="n"/>
      <c r="K5" s="76" t="inlineStr">
        <is>
          <t>Qty.</t>
        </is>
      </c>
      <c r="L5" s="76" t="inlineStr">
        <is>
          <t>Units</t>
        </is>
      </c>
    </row>
    <row r="6" customFormat="1" s="73">
      <c r="A6" s="158" t="n"/>
      <c r="B6" s="79" t="inlineStr">
        <is>
          <t>Center to center distances</t>
        </is>
      </c>
      <c r="C6" s="80" t="n"/>
      <c r="E6" s="80" t="n"/>
      <c r="G6" s="101" t="n"/>
    </row>
    <row r="7" ht="15" customFormat="1" customHeight="1" s="73">
      <c r="A7" s="158" t="n"/>
      <c r="B7" s="82" t="inlineStr">
        <is>
          <t xml:space="preserve">Ground Floor </t>
        </is>
      </c>
      <c r="C7" s="80" t="n"/>
      <c r="E7" s="80" t="n"/>
      <c r="G7" s="101" t="n"/>
    </row>
    <row r="8" ht="30" customFormat="1" customHeight="1" s="73">
      <c r="A8" s="158" t="n"/>
      <c r="B8" s="82" t="inlineStr">
        <is>
          <t xml:space="preserve"> Main walls 230 mm th. in x and Y Direction</t>
        </is>
      </c>
      <c r="C8" s="80" t="n"/>
      <c r="E8" s="80" t="n"/>
      <c r="G8" s="101" t="n"/>
    </row>
    <row r="9" ht="15" customFormat="1" customHeight="1" s="73">
      <c r="A9" s="129" t="n"/>
      <c r="B9" s="144" t="n"/>
      <c r="C9" s="90" t="n">
        <v>2</v>
      </c>
      <c r="D9" s="73" t="inlineStr">
        <is>
          <t>x</t>
        </is>
      </c>
      <c r="E9" s="145" t="n">
        <v>16.45</v>
      </c>
      <c r="G9" s="101" t="n"/>
      <c r="I9" s="80" t="n"/>
      <c r="J9" s="89" t="inlineStr">
        <is>
          <t>=</t>
        </is>
      </c>
      <c r="K9" s="80">
        <f>IF(C9,C9*E9,"")</f>
        <v/>
      </c>
      <c r="L9" s="90" t="inlineStr">
        <is>
          <t>RM</t>
        </is>
      </c>
      <c r="M9" s="80" t="n"/>
    </row>
    <row r="10" ht="15" customFormat="1" customHeight="1" s="73">
      <c r="A10" s="158" t="n"/>
      <c r="B10" s="144" t="n"/>
      <c r="C10" s="90" t="n">
        <v>2</v>
      </c>
      <c r="D10" s="73" t="inlineStr">
        <is>
          <t>x</t>
        </is>
      </c>
      <c r="E10" s="145" t="n">
        <v>13.98</v>
      </c>
      <c r="G10" s="101" t="n"/>
      <c r="I10" s="80" t="n"/>
      <c r="J10" s="73" t="inlineStr">
        <is>
          <t>=</t>
        </is>
      </c>
      <c r="K10" s="80">
        <f>IF(C9,C9*E9,"")</f>
        <v/>
      </c>
      <c r="L10" s="90" t="inlineStr">
        <is>
          <t>RM</t>
        </is>
      </c>
      <c r="M10" s="80" t="n"/>
    </row>
    <row r="11" customFormat="1" s="73">
      <c r="A11" s="158" t="n"/>
      <c r="B11" s="144" t="n"/>
      <c r="C11" s="90" t="n">
        <v>2</v>
      </c>
      <c r="D11" s="73" t="inlineStr">
        <is>
          <t>x</t>
        </is>
      </c>
      <c r="E11" s="145" t="n">
        <v>16.45</v>
      </c>
      <c r="G11" s="101" t="n"/>
      <c r="I11" s="80" t="n"/>
      <c r="J11" s="73" t="inlineStr">
        <is>
          <t>=</t>
        </is>
      </c>
      <c r="K11" s="80">
        <f>IF(C9,C9*E9,"")</f>
        <v/>
      </c>
      <c r="L11" s="90" t="inlineStr">
        <is>
          <t>RM</t>
        </is>
      </c>
      <c r="M11" s="80" t="n"/>
    </row>
    <row r="12" customFormat="1" s="73">
      <c r="A12" s="158" t="n"/>
      <c r="B12" s="144" t="n"/>
      <c r="C12" s="90" t="n">
        <v>2</v>
      </c>
      <c r="D12" s="73" t="inlineStr">
        <is>
          <t>x</t>
        </is>
      </c>
      <c r="E12" s="145" t="n">
        <v>18.92</v>
      </c>
      <c r="G12" s="101" t="n"/>
      <c r="I12" s="80" t="n"/>
      <c r="J12" s="73" t="inlineStr">
        <is>
          <t>=</t>
        </is>
      </c>
      <c r="K12" s="80">
        <f>IF(C9,C9*E9,"")</f>
        <v/>
      </c>
      <c r="L12" s="90" t="inlineStr">
        <is>
          <t>RM</t>
        </is>
      </c>
      <c r="M12" s="80" t="n"/>
    </row>
    <row r="13" ht="15" customFormat="1" customHeight="1" s="73">
      <c r="A13" s="129" t="n"/>
      <c r="C13" s="90" t="n">
        <v>2</v>
      </c>
      <c r="D13" s="73" t="inlineStr">
        <is>
          <t>x</t>
        </is>
      </c>
      <c r="E13" s="145">
        <f>E9*1.5</f>
        <v/>
      </c>
      <c r="G13" s="101" t="n"/>
      <c r="I13" s="80" t="n"/>
      <c r="J13" s="89" t="inlineStr">
        <is>
          <t>=</t>
        </is>
      </c>
      <c r="K13" s="80">
        <f>IF(C10,C10*E10,"")</f>
        <v/>
      </c>
      <c r="L13" s="90" t="inlineStr">
        <is>
          <t>RM</t>
        </is>
      </c>
      <c r="M13" s="80" t="n"/>
    </row>
    <row r="14" customFormat="1" s="73">
      <c r="A14" s="158" t="n"/>
      <c r="B14" s="144" t="n"/>
      <c r="C14" s="90" t="n">
        <v>2</v>
      </c>
      <c r="D14" s="73" t="inlineStr">
        <is>
          <t>x</t>
        </is>
      </c>
      <c r="E14" s="145" t="n">
        <v>11.88</v>
      </c>
      <c r="G14" s="101" t="n"/>
      <c r="I14" s="80" t="n"/>
      <c r="J14" s="73" t="inlineStr">
        <is>
          <t>=</t>
        </is>
      </c>
      <c r="K14" s="80">
        <f>IF(C9,C9*E9,"")</f>
        <v/>
      </c>
      <c r="L14" s="90" t="inlineStr">
        <is>
          <t>RM</t>
        </is>
      </c>
      <c r="M14" s="80" t="n"/>
    </row>
    <row r="15" customFormat="1" s="73">
      <c r="A15" s="158" t="n"/>
      <c r="B15" s="144" t="n"/>
      <c r="C15" s="90" t="n">
        <v>2</v>
      </c>
      <c r="D15" s="73" t="inlineStr">
        <is>
          <t>x</t>
        </is>
      </c>
      <c r="E15" s="145" t="n">
        <v>13.98</v>
      </c>
      <c r="G15" s="101" t="n"/>
      <c r="I15" s="80" t="n"/>
      <c r="J15" s="73" t="inlineStr">
        <is>
          <t>=</t>
        </is>
      </c>
      <c r="K15" s="80">
        <f>IF(C9,C9*E9,"")</f>
        <v/>
      </c>
      <c r="L15" s="90" t="inlineStr">
        <is>
          <t>RM</t>
        </is>
      </c>
      <c r="M15" s="80" t="n"/>
    </row>
    <row r="16" ht="30" customFormat="1" customHeight="1" s="73">
      <c r="A16" s="158" t="n"/>
      <c r="B16" s="144" t="n"/>
      <c r="C16" s="90" t="n">
        <v>2</v>
      </c>
      <c r="D16" s="73" t="inlineStr">
        <is>
          <t>x</t>
        </is>
      </c>
      <c r="E16" s="145" t="n">
        <v>16.08</v>
      </c>
      <c r="G16" s="101" t="n"/>
      <c r="I16" s="80" t="n"/>
      <c r="J16" s="73" t="inlineStr">
        <is>
          <t>=</t>
        </is>
      </c>
      <c r="K16" s="80">
        <f>IF(C9,C9*E9,"")</f>
        <v/>
      </c>
      <c r="L16" s="90" t="inlineStr">
        <is>
          <t>RM</t>
        </is>
      </c>
      <c r="M16" s="80" t="n"/>
    </row>
    <row r="17" ht="15" customFormat="1" customHeight="1" s="73">
      <c r="A17" s="129" t="n"/>
      <c r="B17" s="144" t="n"/>
      <c r="C17" s="90" t="n"/>
      <c r="E17" s="80" t="n"/>
      <c r="G17" s="101" t="n"/>
      <c r="I17" s="86" t="inlineStr">
        <is>
          <t>TOTAL</t>
        </is>
      </c>
      <c r="J17" s="87" t="inlineStr">
        <is>
          <t>=</t>
        </is>
      </c>
      <c r="K17" s="86">
        <f>SUM(K9:K10)</f>
        <v/>
      </c>
      <c r="L17" s="88" t="inlineStr">
        <is>
          <t>RM</t>
        </is>
      </c>
    </row>
    <row r="18" customFormat="1" s="73">
      <c r="A18" s="129" t="n"/>
      <c r="B18" s="144" t="n"/>
      <c r="C18" s="90" t="n"/>
      <c r="E18" s="80" t="n"/>
      <c r="G18" s="101" t="n"/>
      <c r="I18" s="80" t="n"/>
      <c r="J18" s="89" t="n"/>
      <c r="K18" s="80" t="n"/>
      <c r="L18" s="90" t="n"/>
    </row>
    <row r="19" ht="15" customFormat="1" customHeight="1" s="73">
      <c r="A19" s="158" t="n"/>
      <c r="B19" s="82" t="inlineStr">
        <is>
          <t>PARAPET WALL 230 MM</t>
        </is>
      </c>
      <c r="C19" s="80" t="n"/>
      <c r="E19" s="80" t="n"/>
      <c r="G19" s="101" t="n"/>
    </row>
    <row r="20" ht="114" customFormat="1" customHeight="1" s="73">
      <c r="A20" s="129" t="n"/>
      <c r="B20" s="144" t="inlineStr">
        <is>
          <t>Back Side</t>
        </is>
      </c>
      <c r="C20" s="90" t="n">
        <v>1</v>
      </c>
      <c r="D20" s="73" t="inlineStr">
        <is>
          <t>x</t>
        </is>
      </c>
      <c r="E20" s="80" t="n">
        <v>0</v>
      </c>
      <c r="G20" s="101" t="n"/>
      <c r="I20" s="80" t="n"/>
      <c r="J20" s="89" t="inlineStr">
        <is>
          <t>=</t>
        </is>
      </c>
      <c r="K20" s="80">
        <f>IF(C14,C14*E14,"")</f>
        <v/>
      </c>
      <c r="L20" s="90" t="inlineStr">
        <is>
          <t>RM</t>
        </is>
      </c>
    </row>
    <row r="21" customFormat="1" s="73">
      <c r="A21" s="158" t="n"/>
      <c r="B21" s="144" t="n"/>
      <c r="C21" s="90" t="n">
        <v>2</v>
      </c>
      <c r="D21" s="73" t="inlineStr">
        <is>
          <t>x</t>
        </is>
      </c>
      <c r="E21" s="145" t="n">
        <v>10.1</v>
      </c>
      <c r="G21" s="101" t="n"/>
      <c r="I21" s="80" t="n"/>
      <c r="J21" s="73" t="inlineStr">
        <is>
          <t>=</t>
        </is>
      </c>
      <c r="K21" s="80">
        <f>IF(C9,C9*E9,"")</f>
        <v/>
      </c>
      <c r="L21" s="90" t="inlineStr">
        <is>
          <t>RM</t>
        </is>
      </c>
      <c r="M21" s="80" t="n"/>
    </row>
    <row r="22" ht="15" customFormat="1" customHeight="1" s="73">
      <c r="A22" s="158" t="n"/>
      <c r="B22" s="144" t="n"/>
      <c r="C22" s="90" t="n">
        <v>2</v>
      </c>
      <c r="D22" s="73" t="inlineStr">
        <is>
          <t>x</t>
        </is>
      </c>
      <c r="E22" s="145" t="n">
        <v>11.88</v>
      </c>
      <c r="G22" s="101" t="n"/>
      <c r="I22" s="80" t="n"/>
      <c r="J22" s="73" t="inlineStr">
        <is>
          <t>=</t>
        </is>
      </c>
      <c r="K22" s="80">
        <f>IF(C9,C9*E9,"")</f>
        <v/>
      </c>
      <c r="L22" s="90" t="inlineStr">
        <is>
          <t>RM</t>
        </is>
      </c>
      <c r="M22" s="80" t="n"/>
    </row>
    <row r="23" ht="85.5" customFormat="1" customHeight="1" s="73">
      <c r="A23" s="158" t="n"/>
      <c r="B23" s="144" t="n"/>
      <c r="C23" s="90" t="n">
        <v>2</v>
      </c>
      <c r="D23" s="73" t="inlineStr">
        <is>
          <t>x</t>
        </is>
      </c>
      <c r="E23" s="145" t="n">
        <v>13.66</v>
      </c>
      <c r="G23" s="101" t="n"/>
      <c r="I23" s="80" t="n"/>
      <c r="J23" s="73" t="inlineStr">
        <is>
          <t>=</t>
        </is>
      </c>
      <c r="K23" s="80">
        <f>IF(C9,C9*E9,"")</f>
        <v/>
      </c>
      <c r="L23" s="90" t="inlineStr">
        <is>
          <t>RM</t>
        </is>
      </c>
      <c r="M23" s="80" t="n"/>
    </row>
    <row r="24" customFormat="1" s="73">
      <c r="A24" s="129" t="n"/>
      <c r="B24" s="144" t="n"/>
      <c r="C24" s="90" t="n"/>
      <c r="E24" s="80" t="n"/>
      <c r="G24" s="101" t="n"/>
      <c r="I24" s="86" t="inlineStr">
        <is>
          <t>TOTAL</t>
        </is>
      </c>
      <c r="J24" s="87" t="inlineStr">
        <is>
          <t>=</t>
        </is>
      </c>
      <c r="K24" s="86">
        <f>SUM(K14:K14)</f>
        <v/>
      </c>
      <c r="L24" s="88" t="inlineStr">
        <is>
          <t>RM</t>
        </is>
      </c>
    </row>
    <row r="25" customFormat="1" s="73">
      <c r="A25" s="158" t="n"/>
      <c r="B25" s="82" t="inlineStr">
        <is>
          <t xml:space="preserve"> Brick Partition walls in X and Y Direction</t>
        </is>
      </c>
      <c r="C25" s="80" t="n"/>
      <c r="E25" s="80" t="n"/>
      <c r="G25" s="101" t="n"/>
    </row>
    <row r="26" ht="15" customFormat="1" customHeight="1" s="73">
      <c r="A26" s="129" t="n"/>
      <c r="B26" s="144" t="n"/>
      <c r="C26" s="90" t="n">
        <v>1</v>
      </c>
      <c r="D26" s="73" t="inlineStr">
        <is>
          <t>x</t>
        </is>
      </c>
      <c r="E26" s="80" t="n">
        <v>0</v>
      </c>
      <c r="F26" s="62" t="n"/>
      <c r="G26" s="101" t="n"/>
      <c r="I26" s="80" t="n"/>
      <c r="J26" s="89" t="inlineStr">
        <is>
          <t>=</t>
        </is>
      </c>
      <c r="K26" s="80">
        <f>IF(C17,C17*E17,"")</f>
        <v/>
      </c>
      <c r="L26" s="90" t="inlineStr">
        <is>
          <t>RM</t>
        </is>
      </c>
    </row>
    <row r="27" customFormat="1" s="73">
      <c r="A27" s="158" t="n"/>
      <c r="B27" s="144" t="n"/>
      <c r="C27" s="90" t="n"/>
      <c r="E27" s="80" t="n"/>
      <c r="G27" s="101" t="n"/>
      <c r="I27" s="86" t="inlineStr">
        <is>
          <t>TOTAL</t>
        </is>
      </c>
      <c r="J27" s="113" t="inlineStr">
        <is>
          <t>=</t>
        </is>
      </c>
      <c r="K27" s="86">
        <f>SUM(K9:K10)</f>
        <v/>
      </c>
      <c r="L27" s="88" t="inlineStr">
        <is>
          <t>RM</t>
        </is>
      </c>
    </row>
    <row r="28" ht="15" customFormat="1" customHeight="1" s="73">
      <c r="A28" s="158" t="n"/>
      <c r="B28" s="144" t="n"/>
      <c r="C28" s="90" t="n"/>
      <c r="E28" s="80" t="n"/>
      <c r="G28" s="101" t="n"/>
      <c r="I28" s="86" t="inlineStr">
        <is>
          <t>TOTAL</t>
        </is>
      </c>
      <c r="J28" s="113" t="inlineStr">
        <is>
          <t>=</t>
        </is>
      </c>
      <c r="K28" s="86">
        <f>SUM(K9:K10)</f>
        <v/>
      </c>
      <c r="L28" s="88" t="inlineStr">
        <is>
          <t>RM</t>
        </is>
      </c>
    </row>
    <row r="29" customFormat="1" s="73">
      <c r="A29" s="158" t="n"/>
      <c r="B29" s="144" t="n"/>
      <c r="C29" s="90" t="n"/>
      <c r="E29" s="80" t="n"/>
      <c r="G29" s="101" t="n"/>
      <c r="I29" s="86" t="inlineStr">
        <is>
          <t>TOTAL</t>
        </is>
      </c>
      <c r="J29" s="113" t="inlineStr">
        <is>
          <t>=</t>
        </is>
      </c>
      <c r="K29" s="86">
        <f>SUM(K9:K10)</f>
        <v/>
      </c>
      <c r="L29" s="88" t="inlineStr">
        <is>
          <t>RM</t>
        </is>
      </c>
    </row>
    <row r="30" ht="15" customFormat="1" customHeight="1" s="73">
      <c r="A30" s="129" t="n"/>
      <c r="B30" s="144" t="n"/>
      <c r="C30" s="90" t="n"/>
      <c r="E30" s="80" t="n"/>
      <c r="G30" s="101" t="n"/>
      <c r="I30" s="86" t="inlineStr">
        <is>
          <t>TOTAL</t>
        </is>
      </c>
      <c r="J30" s="87" t="inlineStr">
        <is>
          <t>=</t>
        </is>
      </c>
      <c r="K30" s="86">
        <f>SUM(K17:K17)</f>
        <v/>
      </c>
      <c r="L30" s="88" t="inlineStr">
        <is>
          <t>RM</t>
        </is>
      </c>
    </row>
    <row r="31" ht="15" customFormat="1" customHeight="1" s="73">
      <c r="A31" s="158" t="n"/>
      <c r="B31" s="91" t="n"/>
      <c r="D31" s="92" t="n"/>
      <c r="E31" s="93" t="n"/>
      <c r="F31" s="103" t="n"/>
      <c r="G31" s="93" t="n"/>
      <c r="H31" s="94" t="n"/>
      <c r="J31" s="95" t="n"/>
      <c r="K31" s="140" t="n"/>
      <c r="L31" s="97" t="n"/>
    </row>
    <row r="32" ht="15" customFormat="1" customHeight="1" s="73">
      <c r="A32" s="158" t="n">
        <v>1</v>
      </c>
      <c r="B32" s="98" t="inlineStr">
        <is>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is>
      </c>
      <c r="C32" s="80" t="n"/>
      <c r="E32" s="80" t="n"/>
      <c r="G32" s="101" t="n"/>
    </row>
    <row r="33" customFormat="1" s="73">
      <c r="A33" s="129" t="n"/>
      <c r="B33" s="144" t="n"/>
      <c r="C33" s="100" t="n">
        <v>1</v>
      </c>
      <c r="D33" s="100" t="inlineStr">
        <is>
          <t>x</t>
        </is>
      </c>
      <c r="E33" s="101">
        <f>E9</f>
        <v/>
      </c>
      <c r="F33" s="100" t="inlineStr">
        <is>
          <t>x</t>
        </is>
      </c>
      <c r="G33" s="101">
        <f>E10</f>
        <v/>
      </c>
      <c r="H33" s="100" t="inlineStr">
        <is>
          <t>x</t>
        </is>
      </c>
      <c r="I33" s="101" t="n">
        <v>1.2</v>
      </c>
      <c r="J33" s="102" t="inlineStr">
        <is>
          <t>=</t>
        </is>
      </c>
      <c r="K33" s="101">
        <f>IF(C21,C21*E21*G21*I21,"")</f>
        <v/>
      </c>
      <c r="L33" s="103" t="inlineStr">
        <is>
          <t>Cum</t>
        </is>
      </c>
    </row>
    <row r="34" ht="15" customFormat="1" customHeight="1" s="73">
      <c r="A34" s="158" t="n"/>
      <c r="B34" s="144" t="n"/>
      <c r="C34" s="90" t="n">
        <v>2</v>
      </c>
      <c r="D34" s="73" t="inlineStr">
        <is>
          <t>x</t>
        </is>
      </c>
      <c r="E34" s="145" t="n">
        <v>8.58</v>
      </c>
      <c r="G34" s="101" t="n"/>
      <c r="I34" s="80" t="n"/>
      <c r="J34" s="73" t="inlineStr">
        <is>
          <t>=</t>
        </is>
      </c>
      <c r="K34" s="80">
        <f>IF(C9,C9*E9,"")</f>
        <v/>
      </c>
      <c r="L34" s="90" t="inlineStr">
        <is>
          <t>RM</t>
        </is>
      </c>
      <c r="M34" s="80" t="n"/>
    </row>
    <row r="35" ht="99.75" customFormat="1" customHeight="1" s="73">
      <c r="A35" s="158" t="n"/>
      <c r="B35" s="144" t="n"/>
      <c r="C35" s="90" t="n">
        <v>2</v>
      </c>
      <c r="D35" s="73" t="inlineStr">
        <is>
          <t>x</t>
        </is>
      </c>
      <c r="E35" s="145" t="n">
        <v>10.1</v>
      </c>
      <c r="G35" s="101" t="n"/>
      <c r="I35" s="80" t="n"/>
      <c r="J35" s="73" t="inlineStr">
        <is>
          <t>=</t>
        </is>
      </c>
      <c r="K35" s="80">
        <f>IF(C9,C9*E9,"")</f>
        <v/>
      </c>
      <c r="L35" s="90" t="inlineStr">
        <is>
          <t>RM</t>
        </is>
      </c>
      <c r="M35" s="80" t="n"/>
    </row>
    <row r="36" customFormat="1" s="73">
      <c r="A36" s="158" t="n"/>
      <c r="B36" s="144" t="n"/>
      <c r="C36" s="90" t="n">
        <v>2</v>
      </c>
      <c r="D36" s="73" t="inlineStr">
        <is>
          <t>x</t>
        </is>
      </c>
      <c r="E36" s="145" t="n">
        <v>11.61</v>
      </c>
      <c r="G36" s="101" t="n"/>
      <c r="I36" s="80" t="n"/>
      <c r="J36" s="73" t="inlineStr">
        <is>
          <t>=</t>
        </is>
      </c>
      <c r="K36" s="80">
        <f>IF(C9,C9*E9,"")</f>
        <v/>
      </c>
      <c r="L36" s="90" t="inlineStr">
        <is>
          <t>RM</t>
        </is>
      </c>
      <c r="M36" s="80" t="n"/>
    </row>
    <row r="37" ht="15" customFormat="1" customHeight="1" s="73">
      <c r="A37" s="129" t="n"/>
      <c r="B37" s="144" t="n"/>
      <c r="C37" s="90" t="n"/>
      <c r="E37" s="104" t="n"/>
      <c r="F37" s="105" t="n"/>
      <c r="G37" s="106" t="inlineStr">
        <is>
          <t xml:space="preserve">Total </t>
        </is>
      </c>
      <c r="H37" s="105" t="n"/>
      <c r="I37" s="104" t="n"/>
      <c r="J37" s="105" t="n"/>
      <c r="K37" s="104">
        <f>SUM(K21:K21)</f>
        <v/>
      </c>
      <c r="L37" s="107" t="inlineStr">
        <is>
          <t>Cum</t>
        </is>
      </c>
    </row>
    <row r="38" ht="15" customFormat="1" customHeight="1" s="73">
      <c r="A38" s="158" t="n">
        <v>2</v>
      </c>
      <c r="B38" s="98" t="inlineStr">
        <is>
          <t>Filling available excavated earth (excluding rock) in trenches, plinth side of foundation etc. in layers not exceeding 20 cm. in depth , consolidating  each deposited layer by ramming and watering including lead upto 50Mtr. and lift upto 1.5Mtr.</t>
        </is>
      </c>
      <c r="C38" s="80" t="n"/>
      <c r="E38" s="80" t="n"/>
      <c r="G38" s="101" t="n"/>
      <c r="I38" s="73">
        <f>E24*G24</f>
        <v/>
      </c>
    </row>
    <row r="39" ht="128.25" customFormat="1" customHeight="1" s="73">
      <c r="A39" s="129" t="n"/>
      <c r="B39" s="144" t="inlineStr">
        <is>
          <t>Average Width (49.83+18.44)/2=34.14</t>
        </is>
      </c>
      <c r="C39" s="100" t="n"/>
      <c r="D39" s="100" t="n"/>
      <c r="E39" s="101" t="n"/>
      <c r="F39" s="100" t="n"/>
      <c r="G39" s="101" t="n"/>
      <c r="H39" s="100" t="n"/>
      <c r="I39" s="101" t="n"/>
      <c r="J39" s="102" t="n"/>
      <c r="K39" s="101" t="n"/>
      <c r="L39" s="103" t="n"/>
    </row>
    <row r="40" customFormat="1" s="73">
      <c r="A40" s="129" t="n"/>
      <c r="B40" s="144" t="inlineStr">
        <is>
          <t xml:space="preserve">Area of Open Excavation </t>
        </is>
      </c>
      <c r="C40" s="100" t="n">
        <v>1</v>
      </c>
      <c r="D40" s="100" t="inlineStr">
        <is>
          <t>x</t>
        </is>
      </c>
      <c r="E40" s="101">
        <f>E21</f>
        <v/>
      </c>
      <c r="F40" s="100" t="inlineStr">
        <is>
          <t>x</t>
        </is>
      </c>
      <c r="G40" s="101">
        <f>G21</f>
        <v/>
      </c>
      <c r="H40" s="100" t="n"/>
      <c r="I40" s="101" t="n"/>
      <c r="J40" s="102" t="inlineStr">
        <is>
          <t>=</t>
        </is>
      </c>
      <c r="K40" s="101">
        <f>IF(C25,C25*E25*G25,"")</f>
        <v/>
      </c>
      <c r="L40" s="90" t="inlineStr">
        <is>
          <t>Sqm</t>
        </is>
      </c>
    </row>
    <row r="41" ht="15" customFormat="1" customHeight="1" s="73">
      <c r="A41" s="129" t="n"/>
      <c r="B41" s="82" t="inlineStr">
        <is>
          <t>Deductions</t>
        </is>
      </c>
      <c r="C41" s="90" t="n"/>
      <c r="E41" s="80" t="n"/>
      <c r="G41" s="101" t="n"/>
      <c r="H41" s="73" t="n"/>
      <c r="I41" s="80" t="n"/>
      <c r="J41" s="103" t="n"/>
      <c r="K41" s="80" t="n"/>
      <c r="L41" s="90" t="n"/>
    </row>
    <row r="42" ht="15" customFormat="1" customHeight="1" s="73">
      <c r="A42" s="129" t="n"/>
      <c r="B42" s="144" t="inlineStr">
        <is>
          <t>Footing Area</t>
        </is>
      </c>
      <c r="C42" s="90" t="n"/>
      <c r="E42" s="80" t="n"/>
      <c r="G42" s="80" t="n"/>
      <c r="I42" s="80" t="n"/>
      <c r="J42" s="89" t="n"/>
      <c r="K42" s="80" t="n"/>
      <c r="L42" s="90" t="n"/>
    </row>
    <row r="43" ht="15" customFormat="1" customHeight="1" s="73">
      <c r="A43" s="129" t="n"/>
      <c r="B43" s="108" t="inlineStr">
        <is>
          <t>C1</t>
        </is>
      </c>
      <c r="C43" s="90">
        <f>ROUNDUP(E10/4,0)*2</f>
        <v/>
      </c>
      <c r="D43" s="73" t="inlineStr">
        <is>
          <t>x</t>
        </is>
      </c>
      <c r="E43" s="109" t="n">
        <v>2</v>
      </c>
      <c r="F43" s="80" t="inlineStr">
        <is>
          <t>x</t>
        </is>
      </c>
      <c r="G43" s="109" t="n">
        <v>2.3</v>
      </c>
      <c r="I43" s="80" t="n"/>
      <c r="J43" s="89" t="inlineStr">
        <is>
          <t>=</t>
        </is>
      </c>
      <c r="K43" s="80">
        <f>IF(C28,C28*E28*G28,"")</f>
        <v/>
      </c>
      <c r="L43" s="90" t="inlineStr">
        <is>
          <t>Sqm</t>
        </is>
      </c>
    </row>
    <row r="44" ht="15" customFormat="1" customHeight="1" s="73">
      <c r="A44" s="129" t="n"/>
      <c r="B44" s="144" t="n"/>
      <c r="C44" s="90" t="n"/>
      <c r="E44" s="110" t="n"/>
      <c r="F44" s="111" t="n"/>
      <c r="G44" s="112" t="inlineStr">
        <is>
          <t>Total Deductions</t>
        </is>
      </c>
      <c r="H44" s="113" t="n"/>
      <c r="I44" s="86" t="n"/>
      <c r="J44" s="114" t="inlineStr">
        <is>
          <t>-</t>
        </is>
      </c>
      <c r="K44" s="86">
        <f>SUM(K28:K28)</f>
        <v/>
      </c>
      <c r="L44" s="114" t="inlineStr">
        <is>
          <t>Sqm</t>
        </is>
      </c>
    </row>
    <row r="45" ht="15" customFormat="1" customHeight="1" s="73">
      <c r="A45" s="158" t="n"/>
      <c r="B45" s="82" t="n"/>
      <c r="C45" s="80" t="n"/>
      <c r="D45" s="103" t="n"/>
      <c r="E45" s="80" t="n"/>
      <c r="F45" s="103" t="n"/>
      <c r="G45" s="101" t="n"/>
    </row>
    <row r="46" ht="102" customFormat="1" customHeight="1" s="73">
      <c r="A46" s="158" t="n"/>
      <c r="B46" s="91" t="inlineStr">
        <is>
          <t>Net earth Filling Area</t>
        </is>
      </c>
      <c r="D46" s="92" t="n"/>
      <c r="E46" s="93">
        <f>K25</f>
        <v/>
      </c>
      <c r="F46" s="103" t="inlineStr">
        <is>
          <t>-</t>
        </is>
      </c>
      <c r="G46" s="93">
        <f>K29</f>
        <v/>
      </c>
      <c r="H46" s="94" t="n"/>
      <c r="J46" s="95" t="inlineStr">
        <is>
          <t>=</t>
        </is>
      </c>
      <c r="K46" s="140">
        <f>E31-G31</f>
        <v/>
      </c>
      <c r="L46" s="90" t="inlineStr">
        <is>
          <t>Sqm</t>
        </is>
      </c>
    </row>
    <row r="47" customFormat="1" s="73">
      <c r="A47" s="158" t="n"/>
      <c r="B47" s="91" t="n"/>
      <c r="D47" s="92" t="n"/>
      <c r="E47" s="93" t="n"/>
      <c r="F47" s="103" t="n"/>
      <c r="G47" s="93" t="n"/>
      <c r="H47" s="94" t="n"/>
      <c r="J47" s="95" t="n"/>
      <c r="K47" s="140" t="n"/>
      <c r="L47" s="90" t="n"/>
    </row>
    <row r="48" customFormat="1" s="73">
      <c r="A48" s="129" t="n"/>
      <c r="B48" s="144" t="inlineStr">
        <is>
          <t>Qty. in Filling</t>
        </is>
      </c>
      <c r="C48" s="100" t="n"/>
      <c r="D48" s="100" t="n"/>
      <c r="E48" s="101">
        <f>K31</f>
        <v/>
      </c>
      <c r="F48" s="100" t="inlineStr">
        <is>
          <t>x</t>
        </is>
      </c>
      <c r="G48" s="101" t="n">
        <v>1</v>
      </c>
      <c r="H48" s="100" t="n"/>
      <c r="I48" s="101" t="n"/>
      <c r="J48" s="102" t="inlineStr">
        <is>
          <t>=</t>
        </is>
      </c>
      <c r="K48" s="101">
        <f>E33*G33</f>
        <v/>
      </c>
      <c r="L48" s="103" t="inlineStr">
        <is>
          <t>Cum</t>
        </is>
      </c>
    </row>
    <row r="49" ht="15" customFormat="1" customHeight="1" s="73">
      <c r="A49" s="129" t="n"/>
      <c r="B49" s="144" t="n"/>
      <c r="C49" s="90" t="n"/>
      <c r="E49" s="104" t="n"/>
      <c r="F49" s="105" t="n"/>
      <c r="G49" s="106" t="inlineStr">
        <is>
          <t xml:space="preserve">Total </t>
        </is>
      </c>
      <c r="H49" s="105" t="n"/>
      <c r="I49" s="104" t="n"/>
      <c r="J49" s="105" t="n"/>
      <c r="K49" s="104">
        <f>SUM(K33)</f>
        <v/>
      </c>
      <c r="L49" s="107" t="inlineStr">
        <is>
          <t>Cum</t>
        </is>
      </c>
    </row>
    <row r="50" ht="114" customFormat="1" customHeight="1" s="73">
      <c r="A50" s="158" t="n">
        <v>3</v>
      </c>
      <c r="B50" s="98" t="inlineStr">
        <is>
          <t>Providing and laying in position cement concrete including curing compaction etc. of specified grade excluding the cost of centering and shuttering =All up to plinth leve 1:4:8 (1Cement :4 Coarse  Sand :8 Graded stone aggregate 40 mm nominal size</t>
        </is>
      </c>
      <c r="C50" s="90" t="n"/>
      <c r="D50" s="115" t="n"/>
      <c r="E50" s="80" t="n"/>
      <c r="G50" s="101" t="n"/>
    </row>
    <row r="51" customFormat="1" s="73">
      <c r="A51" s="158" t="n"/>
      <c r="B51" s="116" t="inlineStr">
        <is>
          <t>FOOTING</t>
        </is>
      </c>
      <c r="C51" s="80" t="n"/>
      <c r="E51" s="80" t="n"/>
      <c r="G51" s="101" t="n"/>
    </row>
    <row r="52" customFormat="1" s="73">
      <c r="A52" s="158" t="n"/>
      <c r="B52" s="108" t="inlineStr">
        <is>
          <t>F1</t>
        </is>
      </c>
      <c r="C52" s="90">
        <f>C28</f>
        <v/>
      </c>
      <c r="D52" s="73" t="inlineStr">
        <is>
          <t>x</t>
        </is>
      </c>
      <c r="E52" s="109" t="n">
        <v>2</v>
      </c>
      <c r="F52" s="80" t="inlineStr">
        <is>
          <t>x</t>
        </is>
      </c>
      <c r="G52" s="109" t="n">
        <v>2.3</v>
      </c>
      <c r="H52" s="100" t="inlineStr">
        <is>
          <t>x</t>
        </is>
      </c>
      <c r="I52" s="101" t="n">
        <v>0.3</v>
      </c>
      <c r="J52" s="102" t="inlineStr">
        <is>
          <t>=</t>
        </is>
      </c>
      <c r="K52" s="101">
        <f>IF(C37,C37*E37*G37*I37,"")</f>
        <v/>
      </c>
      <c r="L52" s="103" t="inlineStr">
        <is>
          <t>Cum</t>
        </is>
      </c>
    </row>
    <row r="53" customFormat="1" s="73">
      <c r="A53" s="129" t="n"/>
      <c r="B53" s="144" t="n"/>
      <c r="C53" s="90" t="n"/>
      <c r="E53" s="104" t="n"/>
      <c r="F53" s="105" t="n"/>
      <c r="G53" s="106" t="inlineStr">
        <is>
          <t>Total Qty.</t>
        </is>
      </c>
      <c r="H53" s="105" t="n"/>
      <c r="I53" s="104" t="n"/>
      <c r="J53" s="105" t="n"/>
      <c r="K53" s="104">
        <f>SUM(K37:K37)</f>
        <v/>
      </c>
      <c r="L53" s="107" t="inlineStr">
        <is>
          <t>Cum</t>
        </is>
      </c>
    </row>
    <row r="54" customFormat="1" s="73">
      <c r="A54" s="158" t="n">
        <v>4</v>
      </c>
      <c r="B54" s="98" t="inlineStr">
        <is>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is>
      </c>
      <c r="C54" s="90" t="n"/>
      <c r="D54" s="115" t="n"/>
      <c r="E54" s="80" t="n"/>
      <c r="G54" s="101" t="n"/>
    </row>
    <row r="55" ht="42.75" customFormat="1" customHeight="1" s="73">
      <c r="A55" s="158" t="n"/>
      <c r="B55" s="116" t="inlineStr">
        <is>
          <t>FOOTING</t>
        </is>
      </c>
      <c r="C55" s="80" t="n"/>
      <c r="E55" s="80" t="n"/>
      <c r="G55" s="101" t="n"/>
    </row>
    <row r="56" ht="15" customFormat="1" customHeight="1" s="73">
      <c r="A56" s="158" t="n"/>
      <c r="B56" s="108" t="inlineStr">
        <is>
          <t>F1</t>
        </is>
      </c>
      <c r="C56" s="90">
        <f>C37</f>
        <v/>
      </c>
      <c r="D56" s="73" t="inlineStr">
        <is>
          <t>x</t>
        </is>
      </c>
      <c r="E56" s="117" t="n">
        <v>1.7</v>
      </c>
      <c r="F56" s="80" t="inlineStr">
        <is>
          <t>x</t>
        </is>
      </c>
      <c r="G56" s="117" t="n">
        <v>2</v>
      </c>
      <c r="H56" s="100" t="inlineStr">
        <is>
          <t>x</t>
        </is>
      </c>
      <c r="I56" s="101" t="n">
        <v>0.6</v>
      </c>
      <c r="J56" s="102" t="inlineStr">
        <is>
          <t>=</t>
        </is>
      </c>
      <c r="K56" s="101">
        <f>IF(C41,C41*E41*G41*I41,"")</f>
        <v/>
      </c>
      <c r="L56" s="103" t="inlineStr">
        <is>
          <t>Cum</t>
        </is>
      </c>
    </row>
    <row r="57" customFormat="1" s="73">
      <c r="A57" s="129" t="n"/>
      <c r="B57" s="91" t="inlineStr">
        <is>
          <t xml:space="preserve">TOTAL QTY IN FOOTING </t>
        </is>
      </c>
      <c r="C57" s="118">
        <f>SUM(K41:K41)</f>
        <v/>
      </c>
      <c r="D57" s="119" t="n"/>
      <c r="E57" s="118" t="inlineStr">
        <is>
          <t>Cum</t>
        </is>
      </c>
      <c r="F57" s="100" t="n"/>
      <c r="G57" s="101" t="n"/>
      <c r="H57" s="100" t="n"/>
      <c r="I57" s="101" t="n"/>
      <c r="J57" s="102" t="n"/>
      <c r="K57" s="101" t="n"/>
      <c r="L57" s="103" t="n"/>
    </row>
    <row r="58" ht="15" customFormat="1" customHeight="1" s="73">
      <c r="A58" s="129" t="n"/>
      <c r="B58" s="91" t="inlineStr">
        <is>
          <t>COLUMNS</t>
        </is>
      </c>
      <c r="C58" s="118" t="n"/>
      <c r="D58" s="119" t="n"/>
      <c r="E58" s="118" t="n"/>
      <c r="F58" s="100" t="n"/>
      <c r="G58" s="101" t="n"/>
      <c r="H58" s="100" t="n"/>
      <c r="I58" s="101" t="n"/>
      <c r="J58" s="102" t="n"/>
      <c r="K58" s="101" t="n"/>
      <c r="L58" s="103" t="n"/>
    </row>
    <row r="59" customFormat="1" s="73">
      <c r="A59" s="158" t="n"/>
      <c r="B59" s="108" t="inlineStr">
        <is>
          <t>C1</t>
        </is>
      </c>
      <c r="C59" s="90">
        <f>C37</f>
        <v/>
      </c>
      <c r="D59" s="73" t="inlineStr">
        <is>
          <t>x</t>
        </is>
      </c>
      <c r="E59" s="117" t="n">
        <v>0.3</v>
      </c>
      <c r="F59" s="80" t="inlineStr">
        <is>
          <t>x</t>
        </is>
      </c>
      <c r="G59" s="117" t="n">
        <v>0.6</v>
      </c>
      <c r="H59" s="100" t="inlineStr">
        <is>
          <t>x</t>
        </is>
      </c>
      <c r="I59" s="101" t="n">
        <v>0.75</v>
      </c>
      <c r="J59" s="102" t="inlineStr">
        <is>
          <t>=</t>
        </is>
      </c>
      <c r="K59" s="101">
        <f>IF(C44,C44*E44*G44*I44,"")</f>
        <v/>
      </c>
      <c r="L59" s="103" t="inlineStr">
        <is>
          <t>Cum</t>
        </is>
      </c>
    </row>
    <row r="60" customFormat="1" s="73">
      <c r="A60" s="129" t="n"/>
      <c r="B60" s="144" t="n"/>
      <c r="C60" s="90" t="n"/>
      <c r="E60" s="104" t="n"/>
      <c r="F60" s="105" t="n"/>
      <c r="G60" s="106" t="inlineStr">
        <is>
          <t>Total Qty.</t>
        </is>
      </c>
      <c r="H60" s="105" t="n"/>
      <c r="I60" s="104" t="n"/>
      <c r="J60" s="105" t="n"/>
      <c r="K60" s="104">
        <f>SUM(K41:K44)</f>
        <v/>
      </c>
      <c r="L60" s="107" t="inlineStr">
        <is>
          <t>Cum</t>
        </is>
      </c>
    </row>
    <row r="61" customFormat="1" s="73">
      <c r="A61" s="158" t="n">
        <v>5</v>
      </c>
      <c r="B61" s="144" t="inlineStr">
        <is>
          <t>Centering &amp; shuttering with plywood or steel sheets including strutting propping, bracing both ways with wooden members and removal of form work for superstructure upto 4.5 Mtr. height above plinth level (A) For Columns, Pillars, Posts and Struts etc.</t>
        </is>
      </c>
      <c r="C61" s="80" t="n"/>
      <c r="D61" s="103" t="n"/>
      <c r="E61" s="80" t="n"/>
      <c r="F61" s="103" t="n"/>
      <c r="G61" s="101" t="n"/>
    </row>
    <row r="62" customFormat="1" s="73">
      <c r="A62" s="158" t="n"/>
      <c r="B62" s="116" t="inlineStr">
        <is>
          <t>Footing</t>
        </is>
      </c>
      <c r="C62" s="90" t="n">
        <v>12</v>
      </c>
      <c r="D62" s="73" t="inlineStr">
        <is>
          <t>x</t>
        </is>
      </c>
      <c r="E62" s="80" t="n">
        <v>7.4</v>
      </c>
      <c r="F62" s="73" t="inlineStr">
        <is>
          <t>x</t>
        </is>
      </c>
      <c r="G62" s="80" t="n">
        <v>0.6</v>
      </c>
      <c r="J62" s="89" t="inlineStr">
        <is>
          <t>=</t>
        </is>
      </c>
      <c r="K62" s="80">
        <f>IF(C47,C47*E47*G47,"")</f>
        <v/>
      </c>
      <c r="L62" s="90" t="inlineStr">
        <is>
          <t>Sqm</t>
        </is>
      </c>
    </row>
    <row r="63" ht="15" customFormat="1" customHeight="1" s="73">
      <c r="A63" s="158" t="n"/>
      <c r="B63" s="116" t="inlineStr">
        <is>
          <t>Columns C1</t>
        </is>
      </c>
      <c r="C63" s="90" t="n">
        <v>12</v>
      </c>
      <c r="D63" s="73" t="inlineStr">
        <is>
          <t>x</t>
        </is>
      </c>
      <c r="E63" s="80" t="n">
        <v>1.8</v>
      </c>
      <c r="F63" s="73" t="inlineStr">
        <is>
          <t>x</t>
        </is>
      </c>
      <c r="G63" s="80" t="n">
        <v>0.75</v>
      </c>
      <c r="J63" s="89" t="inlineStr">
        <is>
          <t>=</t>
        </is>
      </c>
      <c r="K63" s="80">
        <f>IF(C48,C48*E48*G48,"")</f>
        <v/>
      </c>
      <c r="L63" s="90" t="inlineStr">
        <is>
          <t>Sqm</t>
        </is>
      </c>
    </row>
    <row r="64" ht="57" customFormat="1" customHeight="1" s="57">
      <c r="A64" s="129" t="n"/>
      <c r="B64" s="144" t="n"/>
      <c r="C64" s="90" t="n"/>
      <c r="E64" s="140" t="n"/>
      <c r="F64" s="105" t="n"/>
      <c r="G64" s="106" t="inlineStr">
        <is>
          <t xml:space="preserve">Total </t>
        </is>
      </c>
      <c r="H64" s="105" t="n"/>
      <c r="I64" s="104" t="n"/>
      <c r="J64" s="105" t="n"/>
      <c r="K64" s="104">
        <f>SUM(K47:K48)</f>
        <v/>
      </c>
      <c r="L64" s="120" t="inlineStr">
        <is>
          <t>Sqm</t>
        </is>
      </c>
    </row>
    <row r="65" ht="15" customFormat="1" customHeight="1" s="73">
      <c r="A65" s="158" t="n">
        <v>6</v>
      </c>
      <c r="B65" s="144" t="inlineStr">
        <is>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is>
      </c>
      <c r="C65" s="124" t="n"/>
      <c r="E65" s="80" t="n"/>
      <c r="F65" s="103" t="n"/>
      <c r="G65" s="101" t="n"/>
    </row>
    <row r="66" customFormat="1" s="73">
      <c r="A66" s="158" t="n"/>
      <c r="B66" s="144" t="inlineStr">
        <is>
          <t>Footings</t>
        </is>
      </c>
      <c r="C66" s="93">
        <f>C42</f>
        <v/>
      </c>
      <c r="D66" s="93" t="n"/>
      <c r="E66" s="80" t="inlineStr">
        <is>
          <t>Cum @</t>
        </is>
      </c>
      <c r="F66" s="103" t="n"/>
      <c r="G66" s="123" t="n">
        <v>100</v>
      </c>
      <c r="H66" s="103" t="inlineStr">
        <is>
          <t>Kg/Cum</t>
        </is>
      </c>
      <c r="J66" s="89" t="inlineStr">
        <is>
          <t>=</t>
        </is>
      </c>
      <c r="K66" s="124">
        <f>C51*G51</f>
        <v/>
      </c>
      <c r="L66" s="73" t="inlineStr">
        <is>
          <t>Kg</t>
        </is>
      </c>
    </row>
    <row r="67" ht="42.75" customFormat="1" customHeight="1" s="73">
      <c r="A67" s="158" t="n"/>
      <c r="B67" s="144" t="inlineStr">
        <is>
          <t>Columns</t>
        </is>
      </c>
      <c r="C67" s="159">
        <f>K44</f>
        <v/>
      </c>
      <c r="E67" s="80" t="inlineStr">
        <is>
          <t>Cum @</t>
        </is>
      </c>
      <c r="F67" s="103" t="n"/>
      <c r="G67" s="123" t="n">
        <v>150</v>
      </c>
      <c r="H67" s="103" t="inlineStr">
        <is>
          <t>Kg/Cum</t>
        </is>
      </c>
      <c r="I67" s="73" t="n"/>
      <c r="J67" s="89" t="inlineStr">
        <is>
          <t>=</t>
        </is>
      </c>
      <c r="K67" s="124">
        <f>C52*G52</f>
        <v/>
      </c>
      <c r="L67" s="73" t="inlineStr">
        <is>
          <t>Kg</t>
        </is>
      </c>
    </row>
    <row r="68" ht="15" customFormat="1" customHeight="1" s="73">
      <c r="A68" s="129" t="n"/>
      <c r="B68" s="144" t="n"/>
      <c r="C68" s="90" t="n"/>
      <c r="E68" s="80" t="n"/>
      <c r="G68" s="125" t="inlineStr">
        <is>
          <t>Total</t>
        </is>
      </c>
      <c r="H68" s="113" t="n"/>
      <c r="I68" s="86" t="n"/>
      <c r="J68" s="113" t="n"/>
      <c r="K68" s="126">
        <f>SUM(K51:K52)</f>
        <v/>
      </c>
      <c r="L68" s="73" t="inlineStr">
        <is>
          <t>Kg</t>
        </is>
      </c>
    </row>
    <row r="69" customFormat="1" s="73">
      <c r="A69" s="129" t="n"/>
      <c r="B69" s="144" t="n"/>
      <c r="C69" s="127" t="n"/>
      <c r="E69" s="80" t="n"/>
      <c r="G69" s="101" t="n"/>
      <c r="H69" s="73" t="n"/>
      <c r="I69" s="80" t="n"/>
      <c r="J69" s="73" t="n"/>
      <c r="K69" s="124" t="n"/>
    </row>
    <row r="70" customFormat="1" s="73">
      <c r="A70" s="158" t="n">
        <v>7</v>
      </c>
      <c r="B70" s="98" t="inlineStr">
        <is>
          <t>Brick work in superstructure upto 4.5 metre height  above plinth level Cement Mortar 1:6 with bricks are class designation 75.</t>
        </is>
      </c>
      <c r="C70" s="80" t="n"/>
      <c r="E70" s="80" t="n"/>
      <c r="G70" s="101" t="n"/>
    </row>
    <row r="71" customFormat="1" s="73">
      <c r="A71" s="129" t="n"/>
      <c r="B71" s="82" t="inlineStr">
        <is>
          <t>Walls in X AND Y direction</t>
        </is>
      </c>
      <c r="C71" s="90" t="n">
        <v>1</v>
      </c>
      <c r="D71" s="73" t="inlineStr">
        <is>
          <t>x</t>
        </is>
      </c>
      <c r="E71" s="80">
        <f>K11</f>
        <v/>
      </c>
      <c r="F71" s="73" t="inlineStr">
        <is>
          <t>x</t>
        </is>
      </c>
      <c r="G71" s="101" t="n">
        <v>0.23</v>
      </c>
      <c r="H71" s="73" t="inlineStr">
        <is>
          <t>x</t>
        </is>
      </c>
      <c r="I71" s="80" t="n">
        <v>3</v>
      </c>
      <c r="J71" s="89" t="inlineStr">
        <is>
          <t>=</t>
        </is>
      </c>
      <c r="K71" s="80">
        <f>IF(C56,C56*E56*G56*I56,"")</f>
        <v/>
      </c>
      <c r="L71" s="103" t="inlineStr">
        <is>
          <t>Cum</t>
        </is>
      </c>
    </row>
    <row r="72" ht="15" customFormat="1" customHeight="1" s="73">
      <c r="A72" s="129" t="n"/>
      <c r="B72" s="144" t="n"/>
      <c r="C72" s="90" t="n"/>
      <c r="E72" s="86" t="n"/>
      <c r="F72" s="113" t="n"/>
      <c r="G72" s="125" t="inlineStr">
        <is>
          <t>Gross Qty.</t>
        </is>
      </c>
      <c r="H72" s="113" t="n"/>
      <c r="I72" s="86" t="n"/>
      <c r="J72" s="114" t="inlineStr">
        <is>
          <t>+</t>
        </is>
      </c>
      <c r="K72" s="86">
        <f>SUM(K55:K56)</f>
        <v/>
      </c>
      <c r="L72" s="103" t="inlineStr">
        <is>
          <t>Cum</t>
        </is>
      </c>
    </row>
    <row r="73" customFormat="1" s="73">
      <c r="A73" s="129" t="n"/>
      <c r="B73" s="82" t="inlineStr">
        <is>
          <t>Deductions</t>
        </is>
      </c>
      <c r="C73" s="90" t="n"/>
      <c r="E73" s="80" t="n"/>
      <c r="G73" s="101" t="n"/>
      <c r="H73" s="73" t="n"/>
      <c r="I73" s="80" t="n"/>
      <c r="J73" s="103" t="n"/>
      <c r="K73" s="80" t="n"/>
      <c r="L73" s="103" t="n"/>
    </row>
    <row r="74" customFormat="1" s="73">
      <c r="A74" s="129" t="n"/>
      <c r="B74" s="144" t="inlineStr">
        <is>
          <t>D1</t>
        </is>
      </c>
      <c r="C74" s="90" t="n">
        <v>4</v>
      </c>
      <c r="D74" s="73" t="inlineStr">
        <is>
          <t>x</t>
        </is>
      </c>
      <c r="E74" s="80" t="n">
        <v>1.5</v>
      </c>
      <c r="F74" s="73" t="inlineStr">
        <is>
          <t>x</t>
        </is>
      </c>
      <c r="G74" s="101" t="n">
        <v>0.23</v>
      </c>
      <c r="H74" s="73" t="inlineStr">
        <is>
          <t>x</t>
        </is>
      </c>
      <c r="I74" s="80" t="n">
        <v>2.1</v>
      </c>
      <c r="J74" s="89" t="inlineStr">
        <is>
          <t>=</t>
        </is>
      </c>
      <c r="K74" s="80">
        <f>IF(C59,C59*E59*G59*I59,"")</f>
        <v/>
      </c>
      <c r="L74" s="103" t="inlineStr">
        <is>
          <t>Cum</t>
        </is>
      </c>
    </row>
    <row r="75" customFormat="1" s="73">
      <c r="A75" s="129" t="n"/>
      <c r="B75" s="144" t="inlineStr">
        <is>
          <t>W1</t>
        </is>
      </c>
      <c r="C75" s="90" t="n">
        <v>8</v>
      </c>
      <c r="D75" s="73" t="inlineStr">
        <is>
          <t>x</t>
        </is>
      </c>
      <c r="E75" s="80" t="n">
        <v>1.8</v>
      </c>
      <c r="F75" s="73" t="inlineStr">
        <is>
          <t>x</t>
        </is>
      </c>
      <c r="G75" s="101" t="n">
        <v>0.23</v>
      </c>
      <c r="H75" s="73" t="inlineStr">
        <is>
          <t>x</t>
        </is>
      </c>
      <c r="I75" s="80" t="n">
        <v>1.2</v>
      </c>
      <c r="J75" s="89" t="inlineStr">
        <is>
          <t>=</t>
        </is>
      </c>
      <c r="K75" s="80">
        <f>IF(C60,C60*E60*G60*I60,"")</f>
        <v/>
      </c>
      <c r="L75" s="103" t="inlineStr">
        <is>
          <t>Cum</t>
        </is>
      </c>
    </row>
    <row r="76" ht="15" customFormat="1" customHeight="1" s="73">
      <c r="A76" s="129" t="n"/>
      <c r="B76" s="128" t="inlineStr">
        <is>
          <t xml:space="preserve">Lintels </t>
        </is>
      </c>
      <c r="C76" s="90" t="n">
        <v>1</v>
      </c>
      <c r="D76" s="73" t="inlineStr">
        <is>
          <t>x</t>
        </is>
      </c>
      <c r="E76" s="80">
        <f>E56</f>
        <v/>
      </c>
      <c r="F76" s="73" t="inlineStr">
        <is>
          <t>x</t>
        </is>
      </c>
      <c r="G76" s="101" t="n">
        <v>0.23</v>
      </c>
      <c r="H76" s="73" t="inlineStr">
        <is>
          <t>x</t>
        </is>
      </c>
      <c r="I76" s="80" t="n">
        <v>0.23</v>
      </c>
      <c r="J76" s="89" t="inlineStr">
        <is>
          <t>=</t>
        </is>
      </c>
      <c r="K76" s="80">
        <f>IF(C61,C61*E61*G61*I61,"")</f>
        <v/>
      </c>
      <c r="L76" s="103" t="inlineStr">
        <is>
          <t>Cum</t>
        </is>
      </c>
    </row>
    <row r="77" customFormat="1" s="73">
      <c r="A77" s="129" t="n"/>
      <c r="B77" s="144" t="n"/>
      <c r="C77" s="90" t="n"/>
      <c r="E77" s="86" t="n"/>
      <c r="F77" s="113" t="n"/>
      <c r="G77" s="125" t="inlineStr">
        <is>
          <t>Total Deductions</t>
        </is>
      </c>
      <c r="H77" s="113" t="n"/>
      <c r="I77" s="86" t="n"/>
      <c r="J77" s="114" t="inlineStr">
        <is>
          <t>-</t>
        </is>
      </c>
      <c r="K77" s="86">
        <f>SUM(K60:K61)</f>
        <v/>
      </c>
      <c r="L77" s="103" t="inlineStr">
        <is>
          <t>Cum</t>
        </is>
      </c>
    </row>
    <row r="78" customFormat="1" s="73">
      <c r="A78" s="158" t="n"/>
      <c r="B78" s="98" t="inlineStr">
        <is>
          <t xml:space="preserve">Net qty. </t>
        </is>
      </c>
      <c r="D78" s="92" t="n"/>
      <c r="E78" s="93">
        <f>K57</f>
        <v/>
      </c>
      <c r="F78" s="103" t="inlineStr">
        <is>
          <t>-</t>
        </is>
      </c>
      <c r="G78" s="93">
        <f>K62</f>
        <v/>
      </c>
      <c r="H78" s="94" t="n"/>
      <c r="J78" s="95" t="inlineStr">
        <is>
          <t>=</t>
        </is>
      </c>
      <c r="K78" s="140">
        <f>E63-G63</f>
        <v/>
      </c>
      <c r="L78" s="103" t="inlineStr">
        <is>
          <t>Cum</t>
        </is>
      </c>
    </row>
    <row r="79" customFormat="1" s="73">
      <c r="A79" s="158" t="n">
        <v>8</v>
      </c>
      <c r="B79" s="144" t="inlineStr">
        <is>
          <t>Random Rubble stone masonry for foundation and plinth in Cement Sand mortar above 30CM thick wall in: Cement Mortar 1:6 ( 1-Cement : 6-Sand).</t>
        </is>
      </c>
      <c r="C79" s="73" t="n"/>
      <c r="D79" s="42" t="n"/>
      <c r="E79" s="158" t="n"/>
      <c r="F79" s="42" t="n"/>
      <c r="G79" s="80" t="n"/>
    </row>
    <row r="80" customFormat="1" s="73">
      <c r="A80" s="129" t="n"/>
      <c r="B80" s="82" t="inlineStr">
        <is>
          <t>Walls in X AND Y direction</t>
        </is>
      </c>
      <c r="C80" s="90" t="n">
        <v>1</v>
      </c>
      <c r="D80" s="73" t="inlineStr">
        <is>
          <t>x</t>
        </is>
      </c>
      <c r="E80" s="80">
        <f>E56</f>
        <v/>
      </c>
      <c r="F80" s="73" t="inlineStr">
        <is>
          <t>x</t>
        </is>
      </c>
      <c r="G80" s="101" t="n">
        <v>0.6</v>
      </c>
      <c r="H80" s="73" t="inlineStr">
        <is>
          <t>x</t>
        </is>
      </c>
      <c r="I80" s="80" t="n">
        <v>0.9</v>
      </c>
      <c r="J80" s="89" t="inlineStr">
        <is>
          <t>=</t>
        </is>
      </c>
      <c r="K80" s="80">
        <f>IF(C65,C65*E65*G65*I65,"")</f>
        <v/>
      </c>
      <c r="L80" s="103" t="inlineStr">
        <is>
          <t>Cum</t>
        </is>
      </c>
    </row>
    <row r="81" ht="15" customFormat="1" customHeight="1" s="73">
      <c r="A81" s="129" t="n"/>
      <c r="B81" s="144" t="n"/>
      <c r="C81" s="90" t="n"/>
      <c r="E81" s="80" t="n"/>
      <c r="G81" s="125" t="inlineStr">
        <is>
          <t>Total</t>
        </is>
      </c>
      <c r="H81" s="113" t="n"/>
      <c r="I81" s="86" t="n"/>
      <c r="J81" s="113" t="n"/>
      <c r="K81" s="86">
        <f>SUM(K65:K65)</f>
        <v/>
      </c>
      <c r="L81" s="103" t="inlineStr">
        <is>
          <t>Cum</t>
        </is>
      </c>
    </row>
    <row r="82" customFormat="1" s="73">
      <c r="A82" s="129" t="n">
        <v>9</v>
      </c>
      <c r="B82" s="98" t="inlineStr">
        <is>
          <t>Plaster on new surface on walls in cement sand mortar 1:6 including raking of joints etc. complete fine finished : 20 mm thick.</t>
        </is>
      </c>
      <c r="C82" s="80" t="n"/>
      <c r="E82" s="80" t="n"/>
      <c r="F82" s="103" t="n"/>
      <c r="G82" s="101" t="n"/>
    </row>
    <row r="83" ht="15" customFormat="1" customHeight="1" s="73">
      <c r="A83" s="129" t="n"/>
      <c r="B83" s="82" t="inlineStr">
        <is>
          <t>GROUND FLOOR  INSIDE PLASTER</t>
        </is>
      </c>
      <c r="C83" s="80" t="n"/>
      <c r="E83" s="80" t="n"/>
      <c r="F83" s="103" t="n"/>
      <c r="G83" s="101" t="n"/>
    </row>
    <row r="84" ht="15" customFormat="1" customHeight="1" s="73">
      <c r="A84" s="129" t="n"/>
      <c r="B84" s="130" t="inlineStr">
        <is>
          <t>Main Walls</t>
        </is>
      </c>
      <c r="C84" s="90" t="n">
        <v>2</v>
      </c>
      <c r="D84" s="73" t="inlineStr">
        <is>
          <t>x</t>
        </is>
      </c>
      <c r="E84" s="80">
        <f>E9</f>
        <v/>
      </c>
      <c r="F84" s="73" t="inlineStr">
        <is>
          <t>x</t>
        </is>
      </c>
      <c r="G84" s="80" t="n">
        <v>3.6</v>
      </c>
      <c r="I84" s="80" t="n"/>
      <c r="J84" s="89" t="inlineStr">
        <is>
          <t>=</t>
        </is>
      </c>
      <c r="K84" s="80">
        <f>IF(C69,C69*E69*G69,"")</f>
        <v/>
      </c>
      <c r="L84" s="90" t="inlineStr">
        <is>
          <t>Sqm</t>
        </is>
      </c>
    </row>
    <row r="85" ht="199.5" customFormat="1" customHeight="1" s="73">
      <c r="A85" s="129" t="n"/>
      <c r="B85" s="130" t="inlineStr">
        <is>
          <t>Main Walls</t>
        </is>
      </c>
      <c r="C85" s="90" t="n">
        <v>2</v>
      </c>
      <c r="D85" s="73" t="inlineStr">
        <is>
          <t>x</t>
        </is>
      </c>
      <c r="E85" s="80">
        <f>E10</f>
        <v/>
      </c>
      <c r="F85" s="73" t="inlineStr">
        <is>
          <t>x</t>
        </is>
      </c>
      <c r="G85" s="80" t="n">
        <v>3.6</v>
      </c>
      <c r="I85" s="80" t="n"/>
      <c r="J85" s="89" t="inlineStr">
        <is>
          <t>=</t>
        </is>
      </c>
      <c r="K85" s="80">
        <f>IF(C70,C70*E70*G70,"")</f>
        <v/>
      </c>
      <c r="L85" s="90" t="inlineStr">
        <is>
          <t>Sqm</t>
        </is>
      </c>
    </row>
    <row r="86" customFormat="1" s="73">
      <c r="A86" s="129" t="n"/>
      <c r="B86" s="144" t="n"/>
      <c r="C86" s="90" t="n"/>
      <c r="E86" s="86" t="n"/>
      <c r="F86" s="113" t="n"/>
      <c r="G86" s="125" t="inlineStr">
        <is>
          <t>Gross Qty.</t>
        </is>
      </c>
      <c r="H86" s="113" t="n"/>
      <c r="I86" s="86" t="n"/>
      <c r="J86" s="114" t="inlineStr">
        <is>
          <t>+</t>
        </is>
      </c>
      <c r="K86" s="86">
        <f>SUM(K69:K70)</f>
        <v/>
      </c>
      <c r="L86" s="88" t="inlineStr">
        <is>
          <t>Sqm</t>
        </is>
      </c>
    </row>
    <row r="87" customFormat="1" s="73">
      <c r="A87" s="129" t="n"/>
      <c r="B87" s="82" t="inlineStr">
        <is>
          <t>Deductions</t>
        </is>
      </c>
      <c r="C87" s="90" t="n"/>
      <c r="E87" s="80" t="n"/>
      <c r="G87" s="101" t="n"/>
      <c r="H87" s="73" t="n"/>
      <c r="I87" s="80" t="n"/>
      <c r="J87" s="103" t="n"/>
      <c r="K87" s="80" t="n"/>
      <c r="L87" s="90" t="n"/>
    </row>
    <row r="88" customFormat="1" s="73">
      <c r="A88" s="129" t="n"/>
      <c r="B88" s="130" t="inlineStr">
        <is>
          <t>D1</t>
        </is>
      </c>
      <c r="C88" s="90">
        <f>C59</f>
        <v/>
      </c>
      <c r="D88" s="73" t="inlineStr">
        <is>
          <t>x</t>
        </is>
      </c>
      <c r="E88" s="80" t="n">
        <v>1.5</v>
      </c>
      <c r="F88" s="73" t="inlineStr">
        <is>
          <t>x</t>
        </is>
      </c>
      <c r="G88" s="80" t="n">
        <v>2.1</v>
      </c>
      <c r="I88" s="80" t="n"/>
      <c r="J88" s="89" t="inlineStr">
        <is>
          <t>=</t>
        </is>
      </c>
      <c r="K88" s="80">
        <f>IF(C73,C73*E73*G73,"")</f>
        <v/>
      </c>
      <c r="L88" s="90" t="inlineStr">
        <is>
          <t>Sqm</t>
        </is>
      </c>
    </row>
    <row r="89" ht="270.75" customFormat="1" customHeight="1" s="73">
      <c r="A89" s="129" t="n"/>
      <c r="B89" s="130" t="inlineStr">
        <is>
          <t>W1</t>
        </is>
      </c>
      <c r="C89" s="90">
        <f>C60</f>
        <v/>
      </c>
      <c r="D89" s="73" t="inlineStr">
        <is>
          <t>x</t>
        </is>
      </c>
      <c r="E89" s="80" t="n">
        <v>1.8</v>
      </c>
      <c r="F89" s="73" t="inlineStr">
        <is>
          <t>x</t>
        </is>
      </c>
      <c r="G89" s="80" t="n">
        <v>1.2</v>
      </c>
      <c r="I89" s="80" t="n"/>
      <c r="J89" s="89" t="inlineStr">
        <is>
          <t>=</t>
        </is>
      </c>
      <c r="K89" s="80">
        <f>IF(C74,C74*E74*G74,"")</f>
        <v/>
      </c>
      <c r="L89" s="90" t="inlineStr">
        <is>
          <t>Sqm</t>
        </is>
      </c>
    </row>
    <row r="90" customFormat="1" s="73">
      <c r="A90" s="129" t="n"/>
      <c r="B90" s="144" t="n"/>
      <c r="C90" s="90" t="n"/>
      <c r="E90" s="86" t="n"/>
      <c r="F90" s="113" t="n"/>
      <c r="G90" s="125" t="inlineStr">
        <is>
          <t>Total Deductions</t>
        </is>
      </c>
      <c r="H90" s="113" t="n"/>
      <c r="I90" s="86" t="n"/>
      <c r="J90" s="114" t="inlineStr">
        <is>
          <t>-</t>
        </is>
      </c>
      <c r="K90" s="86">
        <f>SUM(K73:K74)</f>
        <v/>
      </c>
      <c r="L90" s="88" t="inlineStr">
        <is>
          <t>Sqm</t>
        </is>
      </c>
    </row>
    <row r="91" customFormat="1" s="73">
      <c r="A91" s="158" t="n"/>
      <c r="B91" s="98" t="inlineStr">
        <is>
          <t>Net qty. of Internal Plaster in GF</t>
        </is>
      </c>
      <c r="D91" s="92">
        <f>K71</f>
        <v/>
      </c>
      <c r="E91" s="93" t="n"/>
      <c r="F91" s="103" t="inlineStr">
        <is>
          <t>-</t>
        </is>
      </c>
      <c r="G91" s="93">
        <f>K75</f>
        <v/>
      </c>
      <c r="H91" s="94" t="n"/>
      <c r="J91" s="95" t="inlineStr">
        <is>
          <t>=</t>
        </is>
      </c>
      <c r="K91" s="140">
        <f>D76-G76</f>
        <v/>
      </c>
      <c r="L91" s="90" t="inlineStr">
        <is>
          <t>Sqm</t>
        </is>
      </c>
    </row>
    <row r="92" customFormat="1" s="73">
      <c r="A92" s="129" t="n"/>
      <c r="B92" s="128" t="inlineStr">
        <is>
          <t>External plaster</t>
        </is>
      </c>
      <c r="C92" s="80" t="n"/>
      <c r="E92" s="80" t="n"/>
      <c r="F92" s="103" t="n"/>
      <c r="G92" s="101" t="n"/>
    </row>
    <row r="93" ht="28.5" customFormat="1" customHeight="1" s="73">
      <c r="A93" s="129" t="n"/>
      <c r="B93" s="144" t="n"/>
      <c r="C93" s="90" t="n">
        <v>2</v>
      </c>
      <c r="D93" s="73" t="inlineStr">
        <is>
          <t>x</t>
        </is>
      </c>
      <c r="E93" s="80">
        <f>E69</f>
        <v/>
      </c>
      <c r="F93" s="73" t="inlineStr">
        <is>
          <t>x</t>
        </is>
      </c>
      <c r="G93" s="80" t="n">
        <v>4.35</v>
      </c>
      <c r="I93" s="80" t="n"/>
      <c r="J93" s="89" t="inlineStr">
        <is>
          <t>=</t>
        </is>
      </c>
      <c r="K93" s="80">
        <f>IF(C78,C78*E78*G78,"")</f>
        <v/>
      </c>
      <c r="L93" s="90" t="inlineStr">
        <is>
          <t>Sqm</t>
        </is>
      </c>
    </row>
    <row r="94" customFormat="1" s="73">
      <c r="A94" s="129" t="n"/>
      <c r="B94" s="144" t="n"/>
      <c r="C94" s="90" t="n">
        <v>2</v>
      </c>
      <c r="D94" s="73" t="inlineStr">
        <is>
          <t>x</t>
        </is>
      </c>
      <c r="E94" s="80">
        <f>E70</f>
        <v/>
      </c>
      <c r="F94" s="73" t="inlineStr">
        <is>
          <t>x</t>
        </is>
      </c>
      <c r="G94" s="80" t="n">
        <v>4.35</v>
      </c>
      <c r="I94" s="80" t="n"/>
      <c r="J94" s="89" t="inlineStr">
        <is>
          <t>=</t>
        </is>
      </c>
      <c r="K94" s="80">
        <f>IF(C79,C79*E79*G79,"")</f>
        <v/>
      </c>
      <c r="L94" s="90" t="inlineStr">
        <is>
          <t>Sqm</t>
        </is>
      </c>
    </row>
    <row r="95" ht="15" customFormat="1" customHeight="1" s="73">
      <c r="A95" s="129" t="n"/>
      <c r="B95" s="144" t="n"/>
      <c r="C95" s="88" t="n"/>
      <c r="D95" s="113" t="n"/>
      <c r="E95" s="86" t="n"/>
      <c r="F95" s="131" t="inlineStr">
        <is>
          <t>Gross qty. of External Plaster (+)</t>
        </is>
      </c>
      <c r="G95" s="125" t="n"/>
      <c r="H95" s="113" t="n"/>
      <c r="I95" s="86" t="n"/>
      <c r="J95" s="114" t="inlineStr">
        <is>
          <t>= +</t>
        </is>
      </c>
      <c r="K95" s="86">
        <f>SUM(K78:K79)</f>
        <v/>
      </c>
      <c r="L95" s="88" t="inlineStr">
        <is>
          <t>Sqm</t>
        </is>
      </c>
    </row>
    <row r="96" customFormat="1" s="73">
      <c r="A96" s="158" t="n"/>
      <c r="B96" s="98" t="inlineStr">
        <is>
          <t>Net qty. of External Plaster in FF</t>
        </is>
      </c>
      <c r="D96" s="92">
        <f>K80</f>
        <v/>
      </c>
      <c r="E96" s="93" t="n"/>
      <c r="F96" s="103" t="inlineStr">
        <is>
          <t>-</t>
        </is>
      </c>
      <c r="G96" s="93" t="n">
        <v>0</v>
      </c>
      <c r="H96" s="94" t="n"/>
      <c r="J96" s="95" t="inlineStr">
        <is>
          <t>=</t>
        </is>
      </c>
      <c r="K96" s="140">
        <f>D81-G81</f>
        <v/>
      </c>
      <c r="L96" s="90" t="inlineStr">
        <is>
          <t>Sqm</t>
        </is>
      </c>
    </row>
    <row r="97" ht="71.25" customFormat="1" customHeight="1" s="73">
      <c r="A97" s="129" t="n"/>
      <c r="B97" s="144" t="n"/>
      <c r="C97" s="90" t="n"/>
      <c r="E97" s="80" t="n"/>
      <c r="F97" s="139" t="n"/>
      <c r="G97" s="101" t="n"/>
      <c r="H97" s="73" t="n"/>
      <c r="I97" s="80" t="n"/>
      <c r="J97" s="103" t="n"/>
      <c r="K97" s="80" t="n"/>
      <c r="L97" s="90" t="n"/>
    </row>
    <row r="98" ht="15" customFormat="1" customHeight="1" s="73">
      <c r="A98" s="158" t="n"/>
      <c r="B98" s="98" t="inlineStr">
        <is>
          <t>Total qty. of  Plaster</t>
        </is>
      </c>
      <c r="D98" s="92" t="n"/>
      <c r="E98" s="93">
        <f>K76</f>
        <v/>
      </c>
      <c r="F98" s="103" t="inlineStr">
        <is>
          <t>+</t>
        </is>
      </c>
      <c r="G98" s="93">
        <f>K81</f>
        <v/>
      </c>
      <c r="H98" s="94" t="n"/>
      <c r="J98" s="95" t="inlineStr">
        <is>
          <t>=</t>
        </is>
      </c>
      <c r="K98" s="140">
        <f>E83+G83</f>
        <v/>
      </c>
      <c r="L98" s="90" t="inlineStr">
        <is>
          <t>Sqm</t>
        </is>
      </c>
    </row>
    <row r="99" ht="99.75" customFormat="1" customHeight="1" s="73">
      <c r="A99" s="129" t="n"/>
      <c r="B99" s="144" t="n"/>
      <c r="C99" s="93" t="n"/>
      <c r="D99" s="94" t="n"/>
      <c r="E99" s="94" t="n"/>
      <c r="G99" s="140" t="n"/>
      <c r="H99" s="133" t="n"/>
      <c r="I99" s="140" t="n"/>
      <c r="J99" s="95" t="n"/>
      <c r="K99" s="140" t="n"/>
      <c r="L99" s="134" t="n"/>
    </row>
    <row r="100" customFormat="1" s="73">
      <c r="A100" s="158" t="n">
        <v>10</v>
      </c>
      <c r="B100" s="144" t="inlineStr">
        <is>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is>
      </c>
      <c r="C100" s="80" t="n"/>
      <c r="E100" s="80" t="n"/>
      <c r="F100" s="103" t="n"/>
      <c r="G100" s="101" t="n"/>
    </row>
    <row r="101" ht="15" customFormat="1" customHeight="1" s="73">
      <c r="A101" s="129" t="n"/>
      <c r="B101" s="144" t="inlineStr">
        <is>
          <t>D1</t>
        </is>
      </c>
      <c r="C101" s="90">
        <f>C59</f>
        <v/>
      </c>
      <c r="D101" s="103" t="inlineStr">
        <is>
          <t>x(</t>
        </is>
      </c>
      <c r="E101" s="80" t="n">
        <v>1.8</v>
      </c>
      <c r="F101" s="103" t="inlineStr">
        <is>
          <t>+</t>
        </is>
      </c>
      <c r="G101" s="101" t="n">
        <v>2.15</v>
      </c>
      <c r="H101" s="103" t="inlineStr">
        <is>
          <t>+</t>
        </is>
      </c>
      <c r="I101" s="80" t="n">
        <v>2.15</v>
      </c>
      <c r="J101" s="103" t="inlineStr">
        <is>
          <t>)=</t>
        </is>
      </c>
      <c r="K101" s="80">
        <f>IF(C86,C86*E86*G86*I86,"")</f>
        <v/>
      </c>
      <c r="L101" s="90" t="inlineStr">
        <is>
          <t>RM</t>
        </is>
      </c>
    </row>
    <row r="102" customFormat="1" s="73">
      <c r="A102" s="129" t="n"/>
      <c r="B102" s="144" t="n"/>
      <c r="C102" s="90" t="n"/>
      <c r="E102" s="80" t="n"/>
      <c r="G102" s="125" t="inlineStr">
        <is>
          <t>Total</t>
        </is>
      </c>
      <c r="H102" s="113" t="n"/>
      <c r="I102" s="86" t="n"/>
      <c r="J102" s="113" t="n"/>
      <c r="K102" s="86">
        <f>SUM(K86:K86)</f>
        <v/>
      </c>
      <c r="L102" s="88" t="inlineStr">
        <is>
          <t>RM</t>
        </is>
      </c>
    </row>
    <row r="103" ht="28.5" customFormat="1" customHeight="1" s="73">
      <c r="A103" s="129" t="n"/>
      <c r="B103" s="144" t="n"/>
      <c r="C103" s="90" t="n"/>
      <c r="E103" s="80">
        <f>K87</f>
        <v/>
      </c>
      <c r="F103" s="73" t="inlineStr">
        <is>
          <t>RM</t>
        </is>
      </c>
      <c r="G103" s="101" t="n"/>
      <c r="H103" s="89" t="inlineStr">
        <is>
          <t>@ 4.15 Kg/m</t>
        </is>
      </c>
      <c r="I103" s="80" t="n"/>
      <c r="J103" s="73" t="n"/>
      <c r="K103" s="80">
        <f>E88*4.15</f>
        <v/>
      </c>
      <c r="L103" s="90" t="inlineStr">
        <is>
          <t>Kg</t>
        </is>
      </c>
    </row>
    <row r="104" customFormat="1" s="73">
      <c r="A104" s="158">
        <f>A85+1</f>
        <v/>
      </c>
      <c r="B104" s="144" t="inlineStr">
        <is>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is>
      </c>
      <c r="C104" s="80" t="n"/>
      <c r="E104" s="80" t="n"/>
      <c r="F104" s="103" t="n"/>
      <c r="G104" s="101" t="n"/>
    </row>
    <row r="105" ht="15" customFormat="1" customHeight="1" s="73">
      <c r="A105" s="129" t="n"/>
      <c r="B105" s="130" t="inlineStr">
        <is>
          <t>W1</t>
        </is>
      </c>
      <c r="C105" s="158">
        <f>C60</f>
        <v/>
      </c>
      <c r="D105" s="73" t="inlineStr">
        <is>
          <t>x</t>
        </is>
      </c>
      <c r="E105" s="159">
        <f>E60</f>
        <v/>
      </c>
      <c r="F105" s="73" t="inlineStr">
        <is>
          <t>x</t>
        </is>
      </c>
      <c r="G105" s="101" t="n">
        <v>1.2</v>
      </c>
      <c r="I105" s="80" t="n"/>
      <c r="J105" s="89" t="inlineStr">
        <is>
          <t>=</t>
        </is>
      </c>
      <c r="K105" s="80">
        <f>IF(C90,C90*E90*G90,"")</f>
        <v/>
      </c>
      <c r="L105" s="90" t="inlineStr">
        <is>
          <t>Sqm</t>
        </is>
      </c>
    </row>
    <row r="106" ht="15" customFormat="1" customHeight="1" s="73">
      <c r="A106" s="129" t="n"/>
      <c r="B106" s="144" t="n"/>
      <c r="C106" s="90" t="n"/>
      <c r="E106" s="80" t="n"/>
      <c r="G106" s="125" t="inlineStr">
        <is>
          <t>Total</t>
        </is>
      </c>
      <c r="H106" s="113" t="n"/>
      <c r="I106" s="86" t="n"/>
      <c r="J106" s="113" t="n"/>
      <c r="K106" s="86">
        <f>SUM(K90:K90)</f>
        <v/>
      </c>
      <c r="L106" s="88" t="inlineStr">
        <is>
          <t>Sqm</t>
        </is>
      </c>
    </row>
    <row r="107" ht="171" customFormat="1" customHeight="1" s="73">
      <c r="A107" s="158" t="n"/>
      <c r="B107" s="98" t="n"/>
      <c r="C107" s="80" t="n"/>
      <c r="E107" s="80" t="n"/>
      <c r="F107" s="103" t="n"/>
      <c r="G107" s="101" t="n"/>
    </row>
    <row r="108" customFormat="1" s="73">
      <c r="A108" s="158">
        <f>A89+1</f>
        <v/>
      </c>
      <c r="B108" s="144" t="inlineStr">
        <is>
          <t>Providing and fixing square bars or other flat welded to window, ventilators etc.</t>
        </is>
      </c>
      <c r="C108" s="80" t="n"/>
      <c r="E108" s="80" t="n"/>
      <c r="F108" s="103" t="n"/>
      <c r="G108" s="101" t="n"/>
    </row>
    <row r="109" ht="15" customFormat="1" customHeight="1" s="73">
      <c r="A109" s="129" t="n"/>
      <c r="B109" s="130" t="inlineStr">
        <is>
          <t>W1</t>
        </is>
      </c>
      <c r="C109" s="158">
        <f>C90</f>
        <v/>
      </c>
      <c r="D109" s="73" t="inlineStr">
        <is>
          <t>x</t>
        </is>
      </c>
      <c r="E109" s="80" t="n">
        <v>1.8</v>
      </c>
      <c r="F109" s="73" t="inlineStr">
        <is>
          <t>x</t>
        </is>
      </c>
      <c r="G109" s="123" t="n">
        <v>10</v>
      </c>
      <c r="H109" s="103" t="inlineStr">
        <is>
          <t>@ 1.13 Kg/m</t>
        </is>
      </c>
      <c r="I109" s="80" t="n">
        <v>1.13</v>
      </c>
      <c r="J109" s="89" t="inlineStr">
        <is>
          <t>=</t>
        </is>
      </c>
      <c r="K109" s="80">
        <f>C94*E94*G94*I94</f>
        <v/>
      </c>
      <c r="L109" s="90" t="inlineStr">
        <is>
          <t>Kg</t>
        </is>
      </c>
    </row>
    <row r="110" customFormat="1" s="73">
      <c r="A110" s="129" t="n"/>
      <c r="B110" s="144" t="n"/>
      <c r="C110" s="90" t="n"/>
      <c r="E110" s="80" t="n"/>
      <c r="G110" s="125" t="inlineStr">
        <is>
          <t>Total</t>
        </is>
      </c>
      <c r="H110" s="113" t="n"/>
      <c r="I110" s="86" t="n"/>
      <c r="J110" s="113" t="n"/>
      <c r="K110" s="104">
        <f>SUM(K94:K94)</f>
        <v/>
      </c>
      <c r="L110" s="88" t="inlineStr">
        <is>
          <t>Kg</t>
        </is>
      </c>
    </row>
    <row r="111" ht="42.75" customFormat="1" customHeight="1" s="73">
      <c r="A111" s="158" t="n"/>
      <c r="B111" s="144" t="n"/>
      <c r="C111" s="80" t="n"/>
      <c r="E111" s="80" t="n"/>
      <c r="F111" s="103" t="n"/>
      <c r="G111" s="101" t="n"/>
    </row>
    <row r="112" customFormat="1" s="73">
      <c r="A112" s="158">
        <f>A93+1</f>
        <v/>
      </c>
      <c r="B112" s="144" t="inlineStr">
        <is>
          <t>Supplying and fixing wire gauge of 14 mesh x 24 gauge to the metal frame of rolled section by metal beading 20 x 3 mm with suitable screw at not exceeding 150 mm distance.</t>
        </is>
      </c>
      <c r="C112" s="80" t="n"/>
      <c r="E112" s="80" t="n"/>
      <c r="F112" s="103" t="n"/>
      <c r="G112" s="101" t="n"/>
    </row>
    <row r="113" customFormat="1" s="73">
      <c r="A113" s="129" t="n"/>
      <c r="B113" s="98" t="inlineStr">
        <is>
          <t>Qty.  10% of total windows area</t>
        </is>
      </c>
      <c r="C113" s="93">
        <f>K91</f>
        <v/>
      </c>
      <c r="D113" s="94" t="n"/>
      <c r="E113" s="94" t="n"/>
      <c r="F113" s="73" t="inlineStr">
        <is>
          <t>x</t>
        </is>
      </c>
      <c r="G113" s="156" t="n">
        <v>0.1</v>
      </c>
      <c r="I113" s="140" t="n"/>
      <c r="J113" s="134" t="n"/>
      <c r="K113" s="140">
        <f>C98*G98</f>
        <v/>
      </c>
      <c r="L113" s="90" t="inlineStr">
        <is>
          <t>Sqm</t>
        </is>
      </c>
    </row>
    <row r="114" customFormat="1" s="73">
      <c r="A114" s="158" t="n">
        <v>14</v>
      </c>
      <c r="B114" s="144" t="inlineStr">
        <is>
          <t>Polished Blue Kota Stone flooring skirting, laid over 20 mm thick base of C.M. 1:4 and jointed with grey cement slurry to match the shade of the slab including rubbing and polishing complete : For area of each slab up to 2001 to 5000  Sq. Cm : (A) 25 mm thick slab.</t>
        </is>
      </c>
      <c r="C114" s="80" t="n"/>
      <c r="E114" s="80" t="n"/>
      <c r="F114" s="103" t="n"/>
      <c r="G114" s="101" t="n"/>
    </row>
    <row r="115" ht="57" customFormat="1" customHeight="1" s="73">
      <c r="A115" s="158" t="n"/>
      <c r="B115" s="144" t="n"/>
      <c r="C115" s="80" t="n">
        <v>1</v>
      </c>
      <c r="D115" s="73" t="inlineStr">
        <is>
          <t>x</t>
        </is>
      </c>
      <c r="E115" s="80">
        <f>E9</f>
        <v/>
      </c>
      <c r="F115" s="103" t="inlineStr">
        <is>
          <t>x</t>
        </is>
      </c>
      <c r="G115" s="101">
        <f>G21</f>
        <v/>
      </c>
      <c r="J115" s="73" t="inlineStr">
        <is>
          <t>=</t>
        </is>
      </c>
      <c r="K115" s="80">
        <f>C100*E100*G100</f>
        <v/>
      </c>
      <c r="L115" s="73" t="inlineStr">
        <is>
          <t>Sqm</t>
        </is>
      </c>
    </row>
    <row r="116" customFormat="1" s="73">
      <c r="A116" s="129" t="n"/>
      <c r="B116" s="144" t="n"/>
      <c r="C116" s="90" t="n"/>
      <c r="E116" s="80" t="n"/>
      <c r="G116" s="125" t="inlineStr">
        <is>
          <t>Total</t>
        </is>
      </c>
      <c r="H116" s="113" t="n"/>
      <c r="I116" s="86" t="n"/>
      <c r="J116" s="113" t="n"/>
      <c r="K116" s="104">
        <f>SUM(K100)</f>
        <v/>
      </c>
      <c r="L116" s="90" t="inlineStr">
        <is>
          <t>Sqm</t>
        </is>
      </c>
    </row>
    <row r="117" customFormat="1" s="73">
      <c r="A117" s="158" t="n"/>
      <c r="B117" s="144" t="n"/>
      <c r="C117" s="80" t="n"/>
      <c r="E117" s="80" t="n"/>
      <c r="F117" s="103" t="n"/>
      <c r="G117" s="101" t="n"/>
    </row>
    <row r="118" customFormat="1" s="73">
      <c r="A118" s="158" t="n">
        <v>15</v>
      </c>
      <c r="B118" s="98">
        <f>GF1_ABS!B20</f>
        <v/>
      </c>
      <c r="C118" s="90" t="n"/>
      <c r="D118" s="115" t="n"/>
      <c r="E118" s="80" t="n"/>
      <c r="G118" s="101" t="n"/>
    </row>
    <row r="119" ht="57" customFormat="1" customHeight="1" s="73">
      <c r="A119" s="158" t="n"/>
      <c r="B119" s="116" t="n"/>
      <c r="C119" s="80" t="n"/>
      <c r="E119" s="80" t="n"/>
      <c r="G119" s="101" t="n"/>
    </row>
    <row r="120" customFormat="1" s="73">
      <c r="A120" s="158" t="n"/>
      <c r="B120" s="108" t="n"/>
      <c r="C120" s="90" t="n">
        <v>1</v>
      </c>
      <c r="D120" s="73" t="inlineStr">
        <is>
          <t>x</t>
        </is>
      </c>
      <c r="E120" s="117">
        <f>E9-1</f>
        <v/>
      </c>
      <c r="F120" s="80" t="inlineStr">
        <is>
          <t>x</t>
        </is>
      </c>
      <c r="G120" s="117">
        <f>E10-1</f>
        <v/>
      </c>
      <c r="H120" s="100" t="inlineStr">
        <is>
          <t>x</t>
        </is>
      </c>
      <c r="I120" s="101" t="n">
        <v>0.25</v>
      </c>
      <c r="J120" s="102" t="inlineStr">
        <is>
          <t>=</t>
        </is>
      </c>
      <c r="K120" s="101">
        <f>IF(C105,C105*E105*G105*I105,"")</f>
        <v/>
      </c>
      <c r="L120" s="103" t="inlineStr">
        <is>
          <t>Cum</t>
        </is>
      </c>
    </row>
    <row r="121" customFormat="1" s="73">
      <c r="A121" s="129" t="n"/>
      <c r="B121" s="144" t="n"/>
      <c r="C121" s="90" t="n"/>
      <c r="E121" s="104" t="n"/>
      <c r="F121" s="105" t="n"/>
      <c r="G121" s="106" t="inlineStr">
        <is>
          <t>Total Qty.</t>
        </is>
      </c>
      <c r="H121" s="105" t="n"/>
      <c r="I121" s="104" t="n"/>
      <c r="J121" s="105" t="n"/>
      <c r="K121" s="104">
        <f>SUM(K105:K105)</f>
        <v/>
      </c>
      <c r="L121" s="107" t="inlineStr">
        <is>
          <t>Cum</t>
        </is>
      </c>
    </row>
    <row r="122" ht="15" customFormat="1" customHeight="1" s="73">
      <c r="A122" s="147" t="n">
        <v>16</v>
      </c>
      <c r="B122" s="144" t="inlineStr">
        <is>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122" s="80" t="n"/>
      <c r="E122" s="80" t="n"/>
      <c r="F122" s="103" t="n"/>
      <c r="G122" s="101" t="n"/>
    </row>
    <row r="123" customFormat="1" s="73">
      <c r="A123" s="129" t="n"/>
      <c r="B123" s="144" t="inlineStr">
        <is>
          <t>D1</t>
        </is>
      </c>
      <c r="C123" s="90">
        <f>C86</f>
        <v/>
      </c>
      <c r="D123" s="103" t="inlineStr">
        <is>
          <t>x</t>
        </is>
      </c>
      <c r="E123" s="80">
        <f>E59</f>
        <v/>
      </c>
      <c r="F123" s="103" t="inlineStr">
        <is>
          <t>x</t>
        </is>
      </c>
      <c r="G123" s="101" t="n">
        <v>2.1</v>
      </c>
      <c r="H123" s="73" t="n"/>
      <c r="I123" s="80" t="n"/>
      <c r="J123" s="89" t="inlineStr">
        <is>
          <t>=</t>
        </is>
      </c>
      <c r="K123" s="80">
        <f>IF(C108,C108*E108*G108,"")</f>
        <v/>
      </c>
      <c r="L123" s="90" t="inlineStr">
        <is>
          <t>Sqm</t>
        </is>
      </c>
    </row>
    <row r="124" ht="42.75" customFormat="1" customHeight="1" s="73">
      <c r="A124" s="129" t="n"/>
      <c r="B124" s="144" t="n"/>
      <c r="C124" s="90" t="n"/>
      <c r="E124" s="80" t="n"/>
      <c r="G124" s="125" t="inlineStr">
        <is>
          <t>Total</t>
        </is>
      </c>
      <c r="H124" s="113" t="n"/>
      <c r="I124" s="86" t="n"/>
      <c r="J124" s="113" t="n"/>
      <c r="K124" s="104">
        <f>SUM(K108:K108)</f>
        <v/>
      </c>
      <c r="L124" s="88" t="inlineStr">
        <is>
          <t>Sqm</t>
        </is>
      </c>
    </row>
    <row r="125" ht="15" customFormat="1" customHeight="1" s="73">
      <c r="A125" s="158" t="n"/>
      <c r="B125" s="144" t="n"/>
      <c r="C125" s="80" t="n"/>
      <c r="E125" s="80" t="n"/>
      <c r="F125" s="103" t="n"/>
      <c r="G125" s="101">
        <f>IF(C110,ROUNDUP(C110*E110,0),"")</f>
        <v/>
      </c>
    </row>
    <row r="126" ht="15" customFormat="1" customHeight="1" s="73">
      <c r="A126" s="147" t="n">
        <v>17</v>
      </c>
      <c r="B126" s="144" t="inlineStr">
        <is>
          <t>White washing with lime to give an even shade including all scaffolding: New work (two or more coats).</t>
        </is>
      </c>
      <c r="C126" s="80" t="n"/>
      <c r="E126" s="80" t="n"/>
      <c r="F126" s="103" t="n"/>
      <c r="G126" s="101" t="n"/>
    </row>
    <row r="127" ht="315" customFormat="1" customHeight="1" s="57">
      <c r="A127" s="158" t="n"/>
      <c r="B127" s="144" t="inlineStr">
        <is>
          <t>Qty. of Internal Plaster</t>
        </is>
      </c>
      <c r="C127" s="80" t="n"/>
      <c r="E127" s="80" t="n"/>
      <c r="F127" s="103" t="n"/>
      <c r="G127" s="101" t="n"/>
      <c r="J127" s="103" t="inlineStr">
        <is>
          <t>=</t>
        </is>
      </c>
      <c r="K127" s="80">
        <f>K76</f>
        <v/>
      </c>
      <c r="L127" s="73" t="inlineStr">
        <is>
          <t>Sqm</t>
        </is>
      </c>
    </row>
    <row r="128" customFormat="1" s="73">
      <c r="A128" s="129" t="n"/>
      <c r="B128" s="144" t="n"/>
      <c r="C128" s="90" t="n"/>
      <c r="E128" s="80" t="n"/>
      <c r="G128" s="125" t="inlineStr">
        <is>
          <t>Total</t>
        </is>
      </c>
      <c r="H128" s="113" t="n"/>
      <c r="I128" s="86" t="n"/>
      <c r="J128" s="113" t="n"/>
      <c r="K128" s="86">
        <f>SUM(K112:K112)</f>
        <v/>
      </c>
      <c r="L128" s="88" t="inlineStr">
        <is>
          <t>Sqm</t>
        </is>
      </c>
    </row>
    <row r="129" ht="15" customFormat="1" customHeight="1" s="73">
      <c r="A129" s="129" t="n"/>
      <c r="B129" s="144" t="n"/>
      <c r="C129" s="90" t="n"/>
      <c r="E129" s="80" t="n"/>
      <c r="G129" s="101" t="n"/>
      <c r="H129" s="73" t="n"/>
      <c r="I129" s="80" t="n"/>
      <c r="J129" s="73" t="n"/>
      <c r="K129" s="80" t="n"/>
      <c r="L129" s="90" t="n"/>
    </row>
    <row r="130" ht="90" customFormat="1" customHeight="1" s="57">
      <c r="A130" s="158">
        <f>A111+1</f>
        <v/>
      </c>
      <c r="B130" s="98" t="inlineStr">
        <is>
          <t>Colour  washing of all shades to give an even shade including all scaffolding: New work (two or more coats) with a base coat of white washing with lime.</t>
        </is>
      </c>
      <c r="C130" s="80" t="n"/>
      <c r="E130" s="80" t="n"/>
      <c r="F130" s="103" t="n"/>
      <c r="G130" s="101" t="n"/>
    </row>
    <row r="131" ht="15" customFormat="1" customHeight="1" s="73">
      <c r="A131" s="158" t="n"/>
      <c r="B131" s="98" t="inlineStr">
        <is>
          <t>Qty. of External Plaster</t>
        </is>
      </c>
      <c r="C131" s="124" t="n">
        <v>1</v>
      </c>
      <c r="D131" s="103" t="inlineStr">
        <is>
          <t>x</t>
        </is>
      </c>
      <c r="E131" s="93">
        <f>K80</f>
        <v/>
      </c>
      <c r="F131" s="137" t="n"/>
      <c r="G131" s="112" t="n"/>
      <c r="H131" s="111" t="n"/>
      <c r="I131" s="111" t="n"/>
      <c r="J131" s="138" t="inlineStr">
        <is>
          <t>=</t>
        </is>
      </c>
      <c r="K131" s="110">
        <f>K80</f>
        <v/>
      </c>
      <c r="L131" s="111" t="inlineStr">
        <is>
          <t>Sqm</t>
        </is>
      </c>
    </row>
    <row r="132" customFormat="1" s="73">
      <c r="A132" s="129" t="n"/>
      <c r="B132" s="144" t="n"/>
      <c r="C132" s="90" t="n"/>
      <c r="E132" s="80" t="n"/>
      <c r="G132" s="101" t="inlineStr">
        <is>
          <t>Total</t>
        </is>
      </c>
      <c r="H132" s="73" t="n"/>
      <c r="I132" s="80" t="n"/>
      <c r="J132" s="73" t="n"/>
      <c r="K132" s="80">
        <f>SUM(K116:K116)</f>
        <v/>
      </c>
      <c r="L132" s="90" t="inlineStr">
        <is>
          <t>Sqm</t>
        </is>
      </c>
    </row>
    <row r="133" ht="15" customFormat="1" customHeight="1" s="73">
      <c r="A133" s="158" t="n"/>
      <c r="B133" s="98" t="inlineStr"/>
      <c r="C133" s="80" t="n"/>
      <c r="E133" s="80" t="n"/>
      <c r="F133" s="103" t="n"/>
      <c r="G133" s="101" t="n"/>
    </row>
    <row r="134" ht="15" customHeight="1" s="5">
      <c r="A134" s="158">
        <f>A115+1</f>
        <v/>
      </c>
      <c r="B134" s="144" t="inlineStr">
        <is>
          <t>Applying priming coat with ready mix pink or Grey primer of approved brand and manufacture on wood work hard and soft wood.</t>
        </is>
      </c>
      <c r="C134" s="80" t="n"/>
      <c r="E134" s="80" t="n"/>
      <c r="F134" s="103" t="n"/>
      <c r="G134" s="101" t="n"/>
    </row>
    <row r="135">
      <c r="A135" s="129" t="n"/>
      <c r="B135" s="98" t="inlineStr">
        <is>
          <t>Double Leaf door shutters</t>
        </is>
      </c>
      <c r="C135" s="92">
        <f>K109</f>
        <v/>
      </c>
      <c r="D135" s="94" t="n"/>
      <c r="E135" s="93" t="n"/>
      <c r="F135" s="73" t="inlineStr">
        <is>
          <t>Sqm</t>
        </is>
      </c>
      <c r="G135" s="101" t="n"/>
      <c r="H135" s="103" t="inlineStr">
        <is>
          <t>@</t>
        </is>
      </c>
      <c r="I135" s="139" t="n">
        <v>2.25</v>
      </c>
      <c r="J135" s="89" t="inlineStr">
        <is>
          <t>=</t>
        </is>
      </c>
      <c r="K135" s="80">
        <f>C120*I120</f>
        <v/>
      </c>
      <c r="L135" s="103" t="inlineStr">
        <is>
          <t>Sqm</t>
        </is>
      </c>
    </row>
    <row r="136">
      <c r="A136" s="129" t="n"/>
      <c r="B136" s="98" t="inlineStr">
        <is>
          <t>Windows</t>
        </is>
      </c>
      <c r="C136" s="92">
        <f>K91</f>
        <v/>
      </c>
      <c r="D136" s="94" t="n"/>
      <c r="E136" s="93" t="n"/>
      <c r="F136" s="73" t="inlineStr">
        <is>
          <t>Sqm</t>
        </is>
      </c>
      <c r="G136" s="101" t="n"/>
      <c r="H136" s="103" t="inlineStr">
        <is>
          <t>@</t>
        </is>
      </c>
      <c r="I136" s="139" t="n">
        <v>2.6</v>
      </c>
      <c r="J136" s="89" t="inlineStr">
        <is>
          <t>=</t>
        </is>
      </c>
      <c r="K136" s="80">
        <f>C121*I121</f>
        <v/>
      </c>
      <c r="L136" s="103" t="inlineStr">
        <is>
          <t>Sqm</t>
        </is>
      </c>
    </row>
    <row r="137">
      <c r="A137" s="129" t="n"/>
      <c r="B137" s="98" t="n"/>
      <c r="C137" s="103" t="n"/>
      <c r="E137" s="80" t="n"/>
      <c r="I137" s="125" t="inlineStr">
        <is>
          <t>Total</t>
        </is>
      </c>
      <c r="J137" s="87" t="inlineStr">
        <is>
          <t>=</t>
        </is>
      </c>
      <c r="K137" s="104">
        <f>SUM(K120:K121)</f>
        <v/>
      </c>
      <c r="L137" s="114" t="inlineStr">
        <is>
          <t>Sqm</t>
        </is>
      </c>
    </row>
    <row r="138">
      <c r="A138" s="158" t="n"/>
      <c r="B138" s="144" t="n"/>
      <c r="C138" s="80" t="n"/>
      <c r="E138" s="80" t="n"/>
      <c r="F138" s="103" t="n"/>
      <c r="G138" s="101" t="n"/>
    </row>
    <row r="139">
      <c r="A139" s="158">
        <f>A119+1</f>
        <v/>
      </c>
      <c r="B139" s="98" t="inlineStr">
        <is>
          <t>Painting with enamel paint of approved brand and manufacture to give an even shade two or more coats on new work.</t>
        </is>
      </c>
      <c r="C139" s="80" t="n"/>
      <c r="E139" s="80" t="n"/>
      <c r="F139" s="103" t="n"/>
      <c r="G139" s="101" t="n"/>
    </row>
    <row r="140">
      <c r="A140" s="158" t="n"/>
      <c r="B140" s="144" t="inlineStr">
        <is>
          <t xml:space="preserve">Qty. of priming </t>
        </is>
      </c>
      <c r="C140" s="80" t="n"/>
      <c r="E140" s="80" t="n"/>
      <c r="F140" s="103" t="n"/>
      <c r="G140" s="101" t="n"/>
      <c r="K140" s="140">
        <f>K122</f>
        <v/>
      </c>
      <c r="L140" s="103" t="inlineStr">
        <is>
          <t>Sqm</t>
        </is>
      </c>
    </row>
    <row r="141">
      <c r="A141" s="158" t="n"/>
      <c r="B141" s="144" t="n"/>
      <c r="C141" s="80" t="n"/>
      <c r="E141" s="80" t="n"/>
      <c r="F141" s="103" t="n"/>
      <c r="G141" s="101" t="n"/>
      <c r="K141" s="140" t="n"/>
      <c r="L141" s="103" t="n"/>
    </row>
    <row r="142">
      <c r="A142" s="148" t="n">
        <v>21</v>
      </c>
      <c r="B142" s="52" t="inlineStr">
        <is>
          <t>Supply and installation of Multi Rib Proofing/cladding Sheet Manufacture out of  0.50mm TCT (Total Coated Thickness) high tensile Zinc aluminum alloy coated galvalume steel (as per 150gsm zinc aluminum coated 550Mpa tuekd strength) confirming to IS: 1397/astm A-792 sheet to have wide pens 30mm high NB at 250 centre and centre width of 1020mm sheets be casted with regular modified polyster system on a continuous with line on centre for face and with a polyster coating respectively sheet shall have proportionality with siphoned plate made to prevent leakage sheet shall be fixed by more of sell drilling lift tapping hot dip zinc coated hox head fasterner of size 12x14x55mm long. The sheet shall be supplied in cost one length and for a minimum up to 12mts with all scaffolding.</t>
        </is>
      </c>
      <c r="C142" s="59" t="n"/>
      <c r="D142" s="141" t="n"/>
      <c r="E142" s="59" t="n"/>
      <c r="F142" s="142" t="n"/>
      <c r="G142" s="143" t="n"/>
    </row>
    <row r="143">
      <c r="A143" s="158" t="n"/>
      <c r="B143" s="116" t="inlineStr">
        <is>
          <t>Hall</t>
        </is>
      </c>
      <c r="C143" s="90" t="n">
        <v>1</v>
      </c>
      <c r="D143" s="73" t="inlineStr">
        <is>
          <t>x</t>
        </is>
      </c>
      <c r="E143" s="80">
        <f>E9</f>
        <v/>
      </c>
      <c r="F143" s="73" t="inlineStr">
        <is>
          <t>x</t>
        </is>
      </c>
      <c r="G143" s="80">
        <f>G21</f>
        <v/>
      </c>
      <c r="J143" s="89" t="inlineStr">
        <is>
          <t>=</t>
        </is>
      </c>
      <c r="K143" s="80">
        <f>IF(C128,C128*E128*G128,"")</f>
        <v/>
      </c>
      <c r="L143" s="90" t="inlineStr">
        <is>
          <t>Sqm</t>
        </is>
      </c>
    </row>
    <row r="144">
      <c r="A144" s="129" t="n"/>
      <c r="B144" s="144" t="n"/>
      <c r="C144" s="90" t="n"/>
      <c r="E144" s="140" t="n"/>
      <c r="F144" s="105" t="n"/>
      <c r="G144" s="106" t="inlineStr">
        <is>
          <t xml:space="preserve">Total </t>
        </is>
      </c>
      <c r="H144" s="105" t="n"/>
      <c r="I144" s="104" t="n"/>
      <c r="J144" s="105" t="n"/>
      <c r="K144" s="104">
        <f>SUM(K128:K128)</f>
        <v/>
      </c>
      <c r="L144" s="120" t="inlineStr">
        <is>
          <t>Sqm</t>
        </is>
      </c>
    </row>
    <row r="145">
      <c r="A145" s="68" t="n">
        <v>23</v>
      </c>
      <c r="B145" s="52" t="inlineStr">
        <is>
          <t xml:space="preserve">Structural steel work riveted,  bolted or welded in built up sections, trusses and framed work, including cutting, hoisting   (height upto 10 m) , fixing in position and applying a priming coat of approved steel primer all complete:  </t>
        </is>
      </c>
      <c r="C145" s="143" t="n"/>
      <c r="E145" s="59" t="n"/>
      <c r="G145" s="143" t="n"/>
      <c r="H145" s="59" t="n"/>
    </row>
    <row r="146">
      <c r="A146" s="158" t="n"/>
      <c r="B146" s="116" t="inlineStr">
        <is>
          <t>Hall @ 20 kg per Sq M</t>
        </is>
      </c>
      <c r="C146" s="90" t="n">
        <v>1</v>
      </c>
      <c r="D146" s="73" t="inlineStr">
        <is>
          <t>x</t>
        </is>
      </c>
      <c r="E146" s="140" t="n">
        <v>20</v>
      </c>
      <c r="F146" s="73" t="inlineStr">
        <is>
          <t>x</t>
        </is>
      </c>
      <c r="G146" s="80">
        <f>K129</f>
        <v/>
      </c>
      <c r="J146" s="89" t="inlineStr">
        <is>
          <t>=</t>
        </is>
      </c>
      <c r="K146" s="80">
        <f>IF(C131,C131*E131*G131,"")</f>
        <v/>
      </c>
      <c r="L146" s="90" t="inlineStr">
        <is>
          <t>Kg</t>
        </is>
      </c>
    </row>
    <row r="147">
      <c r="A147" s="129" t="n"/>
      <c r="B147" s="144" t="n"/>
      <c r="C147" s="90" t="n"/>
      <c r="D147" s="103" t="n"/>
      <c r="E147" s="80" t="n"/>
      <c r="F147" s="103" t="n"/>
      <c r="G147" s="101" t="n"/>
      <c r="H147" s="73" t="n"/>
      <c r="I147" s="80" t="n"/>
      <c r="J147" s="89" t="n"/>
      <c r="K147" s="80" t="n"/>
      <c r="L147" s="90" t="n"/>
    </row>
    <row r="148">
      <c r="A148" s="129" t="n"/>
      <c r="B148" s="144" t="n"/>
      <c r="C148" s="90" t="n"/>
      <c r="D148" s="103" t="n"/>
      <c r="E148" s="80" t="n"/>
      <c r="F148" s="103" t="n"/>
      <c r="G148" s="97" t="inlineStr">
        <is>
          <t>CHARTERED   ENGINEER,</t>
        </is>
      </c>
      <c r="H148" s="73" t="n"/>
      <c r="I148" s="80" t="n"/>
      <c r="J148" s="89" t="n"/>
      <c r="K148" s="80" t="n"/>
      <c r="L148" s="90" t="n"/>
    </row>
    <row r="149">
      <c r="A149" s="158" t="n"/>
      <c r="C149" s="134">
        <f>GF1_ABS!D32</f>
        <v/>
      </c>
    </row>
    <row r="150">
      <c r="A150" s="158" t="n"/>
    </row>
  </sheetData>
  <mergeCells count="5">
    <mergeCell ref="A1:L2"/>
    <mergeCell ref="G98:H98"/>
    <mergeCell ref="C52:D52"/>
    <mergeCell ref="A3:L3"/>
    <mergeCell ref="A4:L4"/>
  </mergeCells>
  <dataValidations count="3">
    <dataValidation sqref="A64" showDropDown="0" showInputMessage="1" showErrorMessage="1" allowBlank="1" errorTitle="Invalid Entry" error="Only Numeric Values are allowed." type="decimal">
      <formula1>0</formula1>
      <formula2>999999999999999</formula2>
    </dataValidation>
    <dataValidation sqref="E64" showDropDown="0" showInputMessage="1" showErrorMessage="1" allowBlank="1" errorTitle="Invalid Entry" error="Only Numeric Values are allowed. " promptTitle="Estimated Rate" prompt="Please enter the Estimated Rate for this item. " type="decimal">
      <formula1>0</formula1>
      <formula2>999999999999999</formula2>
    </dataValidation>
    <dataValidation sqref="C64" showDropDown="0" showInputMessage="1" showErrorMessage="1" allowBlank="1" errorTitle="Invalid Entry" error="Only Numeric Values are allowed. " promptTitle="Quantity" prompt="Please enter the Quantity for this item. " type="decimal">
      <formula1>0</formula1>
      <formula2>999999999999999</formula2>
    </dataValidation>
  </dataValidations>
  <printOptions horizontalCentered="1"/>
  <pageMargins left="0.75" right="0.75" top="0.76" bottom="1" header="0.5" footer="0.5"/>
  <pageSetup orientation="portrait" paperSize="9" scale="91" fitToHeight="11" horizontalDpi="180" verticalDpi="180"/>
  <headerFooter alignWithMargins="0">
    <oddHeader/>
    <oddFooter>&amp;Cmeasurements&amp;R&amp;P</oddFooter>
    <evenHeader/>
    <evenFooter/>
    <firstHeader/>
    <firstFooter/>
  </headerFooter>
  <rowBreaks count="2" manualBreakCount="2">
    <brk id="84" min="0" max="17" man="1"/>
    <brk id="91"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RAJKUMAR</dc:creator>
  <dcterms:created xmlns:dcterms="http://purl.org/dc/terms/" xmlns:xsi="http://www.w3.org/2001/XMLSchema-instance" xsi:type="dcterms:W3CDTF">1999-05-10T10:55:35Z</dcterms:created>
  <dcterms:modified xmlns:dcterms="http://purl.org/dc/terms/" xmlns:xsi="http://www.w3.org/2001/XMLSchema-instance" xsi:type="dcterms:W3CDTF">2025-11-16T20:42:34Z</dcterms:modified>
  <cp:lastModifiedBy>Rajkumar</cp:lastModifiedBy>
  <cp:lastPrinted>2025-10-26T04:16:09Z</cp:lastPrinted>
</cp:coreProperties>
</file>