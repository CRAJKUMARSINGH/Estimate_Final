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hidden" minimized="0" showHorizontalScroll="1" showVerticalScroll="1" showSheetTabs="1" xWindow="-15" yWindow="1680" windowWidth="9570" windowHeight="3105" tabRatio="880" firstSheet="3" activeTab="3" autoFilterDateGrouping="1"/>
    <workbookView visibility="hidden" minimized="0" showHorizontalScroll="1" showVerticalScroll="1" showSheetTabs="1" xWindow="240" yWindow="210" windowWidth="9720" windowHeight="6345" tabRatio="922" firstSheet="0" activeTab="1" autoFilterDateGrouping="1"/>
    <workbookView visibility="visible" minimized="0" showHorizontalScroll="1" showVerticalScroll="1" showSheetTabs="1" xWindow="-15" yWindow="-15" windowWidth="4770" windowHeight="4800" tabRatio="921" firstSheet="0" activeTab="2" autoFilterDateGrouping="1"/>
  </bookViews>
  <sheets>
    <sheet xmlns:r="http://schemas.openxmlformats.org/officeDocument/2006/relationships" name="tech report" sheetId="1" state="visible" r:id="rId1"/>
    <sheet xmlns:r="http://schemas.openxmlformats.org/officeDocument/2006/relationships" name="gen-abstract" sheetId="2" state="visible" r:id="rId2"/>
    <sheet xmlns:r="http://schemas.openxmlformats.org/officeDocument/2006/relationships" name="GF1_ABS" sheetId="3" state="visible" r:id="rId3"/>
    <sheet xmlns:r="http://schemas.openxmlformats.org/officeDocument/2006/relationships" name="GF1_MES" sheetId="4" state="visible" r:id="rId4"/>
    <sheet xmlns:r="http://schemas.openxmlformats.org/officeDocument/2006/relationships" name="sanitary-abs" sheetId="5" state="visible" r:id="rId5"/>
    <sheet xmlns:r="http://schemas.openxmlformats.org/officeDocument/2006/relationships" name="sanitary_MEASUR" sheetId="6" state="visible" r:id="rId6"/>
  </sheets>
  <definedNames>
    <definedName name="_xlnm.Print_Titles" localSheetId="2">'GF1_ABS'!$4:$4</definedName>
    <definedName name="_xlnm.Print_Titles" localSheetId="3">'GF1_MES'!$4:$4</definedName>
    <definedName name="_xlnm.Print_Titles" localSheetId="4">'sanitary-abs'!$4:$4</definedName>
    <definedName name="_xlnm.Print_Titles" localSheetId="5">'sanitary_MEASUR'!$4:$4</definedName>
  </definedNames>
  <calcPr calcId="152511" fullCalcOnLoad="1"/>
</workbook>
</file>

<file path=xl/styles.xml><?xml version="1.0" encoding="utf-8"?>
<styleSheet xmlns="http://schemas.openxmlformats.org/spreadsheetml/2006/main">
  <numFmts count="1">
    <numFmt numFmtId="164" formatCode="0.00000"/>
  </numFmts>
  <fonts count="18">
    <font>
      <name val="Arial"/>
      <sz val="12"/>
    </font>
    <font>
      <name val="Arial"/>
      <b val="1"/>
      <sz val="12"/>
    </font>
    <font>
      <name val="Arial"/>
      <i val="1"/>
      <sz val="12"/>
    </font>
    <font>
      <name val="Arial"/>
      <sz val="12"/>
    </font>
    <font>
      <name val="Arial"/>
      <family val="2"/>
      <sz val="12"/>
    </font>
    <font>
      <name val="Arial"/>
      <family val="2"/>
      <sz val="14"/>
    </font>
    <font>
      <name val="Arial"/>
      <b val="1"/>
      <sz val="14"/>
    </font>
    <font>
      <name val="Arial"/>
      <family val="2"/>
      <sz val="10"/>
    </font>
    <font>
      <name val="Arial"/>
      <family val="2"/>
      <b val="1"/>
      <sz val="12"/>
    </font>
    <font>
      <name val="Arial"/>
      <sz val="14"/>
    </font>
    <font>
      <name val="Arial"/>
      <family val="2"/>
      <sz val="9"/>
    </font>
    <font>
      <name val="Arial"/>
      <family val="2"/>
      <sz val="8"/>
    </font>
    <font>
      <name val="Arial"/>
      <family val="2"/>
      <b val="1"/>
      <i val="1"/>
      <sz val="12"/>
      <u val="single"/>
    </font>
    <font>
      <name val="Arial"/>
      <family val="2"/>
      <i val="1"/>
      <sz val="12"/>
      <u val="single"/>
    </font>
    <font>
      <name val="Arial"/>
      <family val="2"/>
      <b val="1"/>
      <i val="1"/>
      <sz val="12"/>
    </font>
    <font>
      <name val="Arial"/>
      <family val="2"/>
      <i val="1"/>
      <sz val="12"/>
    </font>
    <font>
      <name val="Arial"/>
      <family val="2"/>
      <sz val="12"/>
      <u val="single"/>
    </font>
    <font>
      <name val="Arial"/>
      <family val="2"/>
      <sz val="11"/>
    </font>
  </fonts>
  <fills count="2">
    <fill>
      <patternFill/>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3" fillId="0" borderId="0"/>
    <xf numFmtId="43" fontId="3" fillId="0" borderId="0"/>
  </cellStyleXfs>
  <cellXfs count="219">
    <xf numFmtId="0" fontId="0"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horizontal="centerContinuous"/>
    </xf>
    <xf numFmtId="2" fontId="0" fillId="0" borderId="0" pivotButton="0" quotePrefix="0" xfId="0"/>
    <xf numFmtId="2" fontId="0" fillId="0" borderId="0" pivotButton="0" quotePrefix="0" xfId="0"/>
    <xf numFmtId="0" fontId="0" fillId="0" borderId="0" applyAlignment="1" pivotButton="0" quotePrefix="1" xfId="0">
      <alignment horizontal="left"/>
    </xf>
    <xf numFmtId="0" fontId="0" fillId="0" borderId="1" pivotButton="0" quotePrefix="0" xfId="0"/>
    <xf numFmtId="2" fontId="0" fillId="0" borderId="1" pivotButton="0" quotePrefix="0" xfId="0"/>
    <xf numFmtId="0" fontId="0" fillId="0" borderId="0" pivotButton="0" quotePrefix="0" xfId="0"/>
    <xf numFmtId="0" fontId="4" fillId="0" borderId="0" applyAlignment="1" pivotButton="0" quotePrefix="0" xfId="0">
      <alignment vertical="top"/>
    </xf>
    <xf numFmtId="0" fontId="4" fillId="0" borderId="0" pivotButton="0" quotePrefix="0" xfId="0"/>
    <xf numFmtId="2" fontId="4" fillId="0" borderId="0" pivotButton="0" quotePrefix="0" xfId="0"/>
    <xf numFmtId="1" fontId="4" fillId="0" borderId="0" pivotButton="0" quotePrefix="0" xfId="0"/>
    <xf numFmtId="0" fontId="4" fillId="0" borderId="0" applyAlignment="1" pivotButton="0" quotePrefix="0" xfId="0">
      <alignment horizontal="centerContinuous"/>
    </xf>
    <xf numFmtId="2" fontId="4" fillId="0" borderId="0" applyAlignment="1" pivotButton="0" quotePrefix="0" xfId="0">
      <alignment horizontal="centerContinuous"/>
    </xf>
    <xf numFmtId="1" fontId="4" fillId="0" borderId="0" applyAlignment="1" pivotButton="0" quotePrefix="0" xfId="0">
      <alignment horizontal="centerContinuous"/>
    </xf>
    <xf numFmtId="0" fontId="1" fillId="0" borderId="0" applyAlignment="1" pivotButton="0" quotePrefix="0" xfId="0">
      <alignment horizontal="centerContinuous"/>
    </xf>
    <xf numFmtId="0" fontId="0" fillId="0" borderId="0" applyAlignment="1" pivotButton="0" quotePrefix="0" xfId="0">
      <alignment horizontal="justify" vertical="top" wrapText="1"/>
    </xf>
    <xf numFmtId="0" fontId="0" fillId="0" borderId="0" applyAlignment="1" pivotButton="0" quotePrefix="1" xfId="0">
      <alignment horizontal="left" vertical="top" wrapText="1"/>
    </xf>
    <xf numFmtId="0" fontId="4" fillId="0" borderId="0" applyAlignment="1" pivotButton="0" quotePrefix="1" xfId="0">
      <alignment horizontal="left" vertical="top" wrapText="1"/>
    </xf>
    <xf numFmtId="0" fontId="0" fillId="0" borderId="0" applyAlignment="1" pivotButton="0" quotePrefix="1" xfId="0">
      <alignment horizontal="left"/>
    </xf>
    <xf numFmtId="0" fontId="0" fillId="0" borderId="0" applyAlignment="1" pivotButton="0" quotePrefix="0" xfId="0">
      <alignment horizontal="left"/>
    </xf>
    <xf numFmtId="0" fontId="0" fillId="0" borderId="0" applyAlignment="1" pivotButton="0" quotePrefix="0" xfId="0">
      <alignment horizontal="left"/>
    </xf>
    <xf numFmtId="2" fontId="0" fillId="0" borderId="0" applyAlignment="1" pivotButton="0" quotePrefix="0" xfId="0">
      <alignment horizontal="right"/>
    </xf>
    <xf numFmtId="2" fontId="0" fillId="0" borderId="0" applyAlignment="1" pivotButton="0" quotePrefix="0" xfId="0">
      <alignment horizontal="right"/>
    </xf>
    <xf numFmtId="1" fontId="0" fillId="0" borderId="0" pivotButton="0" quotePrefix="0" xfId="0"/>
    <xf numFmtId="0" fontId="4" fillId="0" borderId="2" applyAlignment="1" pivotButton="0" quotePrefix="0" xfId="0">
      <alignment horizontal="center" vertical="top"/>
    </xf>
    <xf numFmtId="0" fontId="4" fillId="0" borderId="2" applyAlignment="1" pivotButton="0" quotePrefix="0" xfId="0">
      <alignment horizontal="center" vertical="top" wrapText="1"/>
    </xf>
    <xf numFmtId="0" fontId="4" fillId="0" borderId="2" applyAlignment="1" pivotButton="0" quotePrefix="0" xfId="0">
      <alignment horizontal="center"/>
    </xf>
    <xf numFmtId="2" fontId="4" fillId="0" borderId="2" applyAlignment="1" pivotButton="0" quotePrefix="0" xfId="0">
      <alignment horizontal="center"/>
    </xf>
    <xf numFmtId="1" fontId="4" fillId="0" borderId="2" applyAlignment="1" pivotButton="0" quotePrefix="0" xfId="0">
      <alignment horizontal="center"/>
    </xf>
    <xf numFmtId="0" fontId="4" fillId="0" borderId="0" applyAlignment="1" pivotButton="0" quotePrefix="1" xfId="0">
      <alignment horizontal="centerContinuous" vertical="top"/>
    </xf>
    <xf numFmtId="0" fontId="4" fillId="0" borderId="2" applyAlignment="1" pivotButton="0" quotePrefix="0" xfId="0">
      <alignment horizontal="left"/>
    </xf>
    <xf numFmtId="2" fontId="4" fillId="0" borderId="2" applyAlignment="1" pivotButton="0" quotePrefix="0" xfId="0">
      <alignment horizontal="right"/>
    </xf>
    <xf numFmtId="2" fontId="0" fillId="0" borderId="0" applyAlignment="1" pivotButton="0" quotePrefix="0" xfId="0">
      <alignment horizontal="left"/>
    </xf>
    <xf numFmtId="0" fontId="7" fillId="0" borderId="2" applyAlignment="1" pivotButton="0" quotePrefix="0" xfId="0">
      <alignment horizontal="center" vertical="top"/>
    </xf>
    <xf numFmtId="0" fontId="7" fillId="0" borderId="0" applyAlignment="1" pivotButton="0" quotePrefix="0" xfId="0">
      <alignment horizontal="left" vertical="top"/>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left" vertical="top"/>
    </xf>
    <xf numFmtId="0" fontId="0" fillId="0" borderId="0" applyAlignment="1" pivotButton="0" quotePrefix="0" xfId="0">
      <alignment horizontal="justify" vertical="top" wrapText="1"/>
    </xf>
    <xf numFmtId="0" fontId="7" fillId="0" borderId="0" applyAlignment="1" pivotButton="0" quotePrefix="1" xfId="0">
      <alignment horizontal="left"/>
    </xf>
    <xf numFmtId="0" fontId="7" fillId="0" borderId="0" applyAlignment="1" pivotButton="0" quotePrefix="0" xfId="0">
      <alignment horizontal="centerContinuous"/>
    </xf>
    <xf numFmtId="0" fontId="7" fillId="0" borderId="0" pivotButton="0" quotePrefix="0" xfId="0"/>
    <xf numFmtId="0" fontId="4" fillId="0" borderId="0" applyAlignment="1" pivotButton="0" quotePrefix="0" xfId="0">
      <alignment horizontal="left"/>
    </xf>
    <xf numFmtId="2" fontId="4" fillId="0" borderId="0" applyAlignment="1" pivotButton="0" quotePrefix="0" xfId="0">
      <alignment horizontal="right"/>
    </xf>
    <xf numFmtId="2" fontId="0" fillId="0" borderId="0" applyAlignment="1" pivotButton="0" quotePrefix="0" xfId="0">
      <alignment horizontal="centerContinuous"/>
    </xf>
    <xf numFmtId="0" fontId="4" fillId="0" borderId="0" pivotButton="0" quotePrefix="0" xfId="0"/>
    <xf numFmtId="0" fontId="7" fillId="0" borderId="2" applyAlignment="1" pivotButton="0" quotePrefix="0" xfId="0">
      <alignment horizontal="center"/>
    </xf>
    <xf numFmtId="1" fontId="4" fillId="0" borderId="0" applyAlignment="1" pivotButton="0" quotePrefix="0" xfId="0">
      <alignment horizontal="right"/>
    </xf>
    <xf numFmtId="2" fontId="7" fillId="0" borderId="0" applyAlignment="1" pivotButton="0" quotePrefix="0" xfId="0">
      <alignment horizontal="centerContinuous"/>
    </xf>
    <xf numFmtId="2" fontId="7" fillId="0" borderId="0" pivotButton="0" quotePrefix="0" xfId="0"/>
    <xf numFmtId="0" fontId="8" fillId="0" borderId="0" applyAlignment="1" pivotButton="0" quotePrefix="0" xfId="0">
      <alignment horizontal="centerContinuous"/>
    </xf>
    <xf numFmtId="0" fontId="4" fillId="0" borderId="0" applyAlignment="1" pivotButton="0" quotePrefix="1" xfId="0">
      <alignment horizontal="left" vertical="top"/>
    </xf>
    <xf numFmtId="0" fontId="4" fillId="0" borderId="0" applyAlignment="1" pivotButton="0" quotePrefix="0" xfId="0">
      <alignment horizontal="left" vertical="top"/>
    </xf>
    <xf numFmtId="0" fontId="4" fillId="0" borderId="0" applyAlignment="1" pivotButton="0" quotePrefix="0" xfId="0">
      <alignment vertical="top" wrapText="1"/>
    </xf>
    <xf numFmtId="2" fontId="4" fillId="0" borderId="0" pivotButton="0" quotePrefix="0" xfId="0"/>
    <xf numFmtId="0" fontId="1" fillId="0" borderId="0" applyAlignment="1" pivotButton="0" quotePrefix="1" xfId="0">
      <alignment horizontal="left" vertical="top"/>
    </xf>
    <xf numFmtId="0" fontId="4" fillId="0" borderId="0" applyAlignment="1" pivotButton="0" quotePrefix="1" xfId="0">
      <alignment horizontal="left"/>
    </xf>
    <xf numFmtId="0" fontId="5" fillId="0" borderId="0" applyAlignment="1" pivotButton="0" quotePrefix="0" xfId="0">
      <alignment horizontal="centerContinuous" vertical="top" wrapText="1"/>
    </xf>
    <xf numFmtId="0" fontId="9" fillId="0" borderId="0" applyAlignment="1" pivotButton="0" quotePrefix="0" xfId="0">
      <alignment horizontal="centerContinuous"/>
    </xf>
    <xf numFmtId="2" fontId="8" fillId="0" borderId="0" applyAlignment="1" pivotButton="0" quotePrefix="0" xfId="0">
      <alignment horizontal="left"/>
    </xf>
    <xf numFmtId="0" fontId="4" fillId="0" borderId="0" applyAlignment="1" pivotButton="0" quotePrefix="0" xfId="0">
      <alignment horizontal="left" vertical="top" wrapText="1"/>
    </xf>
    <xf numFmtId="0" fontId="4" fillId="0" borderId="0" applyAlignment="1" pivotButton="0" quotePrefix="0" xfId="0">
      <alignment horizontal="center"/>
    </xf>
    <xf numFmtId="2" fontId="4" fillId="0" borderId="0" pivotButton="0" quotePrefix="0" xfId="0"/>
    <xf numFmtId="0" fontId="4" fillId="0" borderId="0" applyAlignment="1" pivotButton="0" quotePrefix="0" xfId="0">
      <alignment horizontal="left"/>
    </xf>
    <xf numFmtId="2" fontId="4" fillId="0" borderId="0" applyAlignment="1" pivotButton="0" quotePrefix="0" xfId="0">
      <alignment horizontal="right"/>
    </xf>
    <xf numFmtId="0" fontId="8" fillId="0" borderId="0" pivotButton="0" quotePrefix="0" xfId="0"/>
    <xf numFmtId="0" fontId="4" fillId="0" borderId="0" pivotButton="0" quotePrefix="1" xfId="0"/>
    <xf numFmtId="0" fontId="4" fillId="0" borderId="1" pivotButton="0" quotePrefix="0" xfId="0"/>
    <xf numFmtId="2" fontId="4" fillId="0" borderId="1" pivotButton="0" quotePrefix="0" xfId="0"/>
    <xf numFmtId="0" fontId="4" fillId="0" borderId="1" pivotButton="0" quotePrefix="1" xfId="0"/>
    <xf numFmtId="0" fontId="4" fillId="0" borderId="1" applyAlignment="1" pivotButton="0" quotePrefix="1" xfId="0">
      <alignment horizontal="left"/>
    </xf>
    <xf numFmtId="0" fontId="4" fillId="0" borderId="0" applyAlignment="1" pivotButton="0" quotePrefix="1" xfId="0">
      <alignment horizontal="left"/>
    </xf>
    <xf numFmtId="2" fontId="8" fillId="0" borderId="0" pivotButton="0" quotePrefix="0" xfId="0"/>
    <xf numFmtId="0" fontId="4" fillId="0" borderId="0" pivotButton="0" quotePrefix="1" xfId="0"/>
    <xf numFmtId="2" fontId="4" fillId="0" borderId="1" applyAlignment="1" pivotButton="0" quotePrefix="1" xfId="0">
      <alignment horizontal="center"/>
    </xf>
    <xf numFmtId="0" fontId="8" fillId="0" borderId="0" applyAlignment="1" pivotButton="0" quotePrefix="0" xfId="0">
      <alignment vertical="top"/>
    </xf>
    <xf numFmtId="0" fontId="0" fillId="0" borderId="0" applyAlignment="1" pivotButton="0" quotePrefix="1" xfId="0">
      <alignment horizontal="center"/>
    </xf>
    <xf numFmtId="0" fontId="8" fillId="0" borderId="0" applyAlignment="1" pivotButton="0" quotePrefix="1" xfId="0">
      <alignment horizontal="left" vertical="top"/>
    </xf>
    <xf numFmtId="2" fontId="4" fillId="0" borderId="0" applyAlignment="1" pivotButton="0" quotePrefix="1" xfId="0">
      <alignment horizontal="center"/>
    </xf>
    <xf numFmtId="0" fontId="4" fillId="0" borderId="1" applyAlignment="1" pivotButton="0" quotePrefix="0" xfId="0">
      <alignment horizontal="left"/>
    </xf>
    <xf numFmtId="0" fontId="4" fillId="0" borderId="0" applyAlignment="1" pivotButton="0" quotePrefix="0" xfId="0">
      <alignment horizontal="left" vertical="top"/>
    </xf>
    <xf numFmtId="0" fontId="7" fillId="0" borderId="0" applyAlignment="1" pivotButton="0" quotePrefix="0" xfId="0">
      <alignment horizontal="right" vertical="top"/>
    </xf>
    <xf numFmtId="0" fontId="4" fillId="0" borderId="0" applyAlignment="1" pivotButton="0" quotePrefix="0" xfId="0">
      <alignment horizontal="center" vertical="top"/>
    </xf>
    <xf numFmtId="2" fontId="4" fillId="0" borderId="0" applyAlignment="1" pivotButton="0" quotePrefix="0" xfId="0">
      <alignment horizontal="center"/>
    </xf>
    <xf numFmtId="1" fontId="4" fillId="0" borderId="0" applyAlignment="1" pivotButton="0" quotePrefix="0" xfId="0">
      <alignment horizontal="center"/>
    </xf>
    <xf numFmtId="0" fontId="10" fillId="0" borderId="0" applyAlignment="1" pivotButton="0" quotePrefix="1" xfId="0">
      <alignment horizontal="left"/>
    </xf>
    <xf numFmtId="0" fontId="11" fillId="0" borderId="0" applyAlignment="1" pivotButton="0" quotePrefix="1" xfId="0">
      <alignment horizontal="left"/>
    </xf>
    <xf numFmtId="1" fontId="4" fillId="0" borderId="2" pivotButton="0" quotePrefix="0" xfId="0"/>
    <xf numFmtId="2" fontId="0" fillId="0" borderId="0" pivotButton="0" quotePrefix="0" xfId="0"/>
    <xf numFmtId="2" fontId="0" fillId="0" borderId="0" pivotButton="0" quotePrefix="0" xfId="0"/>
    <xf numFmtId="0" fontId="0" fillId="0" borderId="0" applyAlignment="1" pivotButton="0" quotePrefix="0" xfId="0">
      <alignment horizontal="centerContinuous" vertical="top" wrapText="1"/>
    </xf>
    <xf numFmtId="0" fontId="0" fillId="0" borderId="0" applyAlignment="1" pivotButton="0" quotePrefix="0" xfId="0">
      <alignment horizontal="right"/>
    </xf>
    <xf numFmtId="0" fontId="0" fillId="0" borderId="1" applyAlignment="1" pivotButton="0" quotePrefix="1" xfId="0">
      <alignment horizontal="left"/>
    </xf>
    <xf numFmtId="1" fontId="0" fillId="0" borderId="1" pivotButton="0" quotePrefix="0" xfId="0"/>
    <xf numFmtId="1" fontId="4" fillId="0" borderId="1" applyAlignment="1" pivotButton="0" quotePrefix="0" xfId="0">
      <alignment horizontal="right"/>
    </xf>
    <xf numFmtId="0" fontId="10" fillId="0" borderId="1" applyAlignment="1" pivotButton="0" quotePrefix="1" xfId="0">
      <alignment horizontal="left"/>
    </xf>
    <xf numFmtId="0" fontId="7" fillId="0" borderId="0" applyAlignment="1" pivotButton="0" quotePrefix="1" xfId="0">
      <alignment horizontal="centerContinuous"/>
    </xf>
    <xf numFmtId="2" fontId="4" fillId="0" borderId="0" applyAlignment="1" pivotButton="0" quotePrefix="1" xfId="0">
      <alignment horizontal="centerContinuous"/>
    </xf>
    <xf numFmtId="0" fontId="3" fillId="0" borderId="0" applyAlignment="1" pivotButton="0" quotePrefix="0" xfId="0">
      <alignment horizontal="centerContinuous"/>
    </xf>
    <xf numFmtId="1" fontId="0" fillId="0" borderId="0" applyAlignment="1" pivotButton="0" quotePrefix="0" xfId="0">
      <alignment horizontal="left"/>
    </xf>
    <xf numFmtId="1" fontId="0" fillId="0" borderId="0" pivotButton="0" quotePrefix="0" xfId="0"/>
    <xf numFmtId="0" fontId="11" fillId="0" borderId="2" applyAlignment="1" pivotButton="0" quotePrefix="0" xfId="0">
      <alignment horizontal="center" vertical="top"/>
    </xf>
    <xf numFmtId="0" fontId="4" fillId="0" borderId="0" applyAlignment="1" pivotButton="0" quotePrefix="0" xfId="0">
      <alignment horizontal="left" vertical="top" wrapText="1"/>
    </xf>
    <xf numFmtId="0" fontId="0" fillId="0" borderId="0" applyAlignment="1" pivotButton="0" quotePrefix="0" xfId="0">
      <alignment horizontal="centerContinuous"/>
    </xf>
    <xf numFmtId="2" fontId="8" fillId="0" borderId="0" applyAlignment="1" pivotButton="0" quotePrefix="0" xfId="0">
      <alignment horizontal="right"/>
    </xf>
    <xf numFmtId="0" fontId="8" fillId="0" borderId="0" applyAlignment="1" pivotButton="0" quotePrefix="0" xfId="0">
      <alignment horizontal="left" vertical="top"/>
    </xf>
    <xf numFmtId="0" fontId="10" fillId="0" borderId="0" applyAlignment="1" pivotButton="0" quotePrefix="0" xfId="0">
      <alignment horizontal="left" vertical="top"/>
    </xf>
    <xf numFmtId="0" fontId="4" fillId="0" borderId="0" pivotButton="0" quotePrefix="0" xfId="0"/>
    <xf numFmtId="0" fontId="7" fillId="0" borderId="0" applyAlignment="1" pivotButton="0" quotePrefix="0" xfId="0">
      <alignment horizontal="center" vertical="top"/>
    </xf>
    <xf numFmtId="1" fontId="4" fillId="0" borderId="0" applyAlignment="1" pivotButton="0" quotePrefix="0" xfId="0">
      <alignment horizontal="right"/>
    </xf>
    <xf numFmtId="2" fontId="4" fillId="0" borderId="0" applyAlignment="1" pivotButton="0" quotePrefix="0" xfId="0">
      <alignment horizontal="right" vertical="top" wrapText="1"/>
    </xf>
    <xf numFmtId="1" fontId="4" fillId="0" borderId="0" applyAlignment="1" pivotButton="0" quotePrefix="0" xfId="0">
      <alignment horizontal="center" vertical="top"/>
    </xf>
    <xf numFmtId="2" fontId="4" fillId="0" borderId="0" applyAlignment="1" pivotButton="0" quotePrefix="0" xfId="0">
      <alignment vertical="top"/>
    </xf>
    <xf numFmtId="2" fontId="7" fillId="0" borderId="0" applyAlignment="1" pivotButton="0" quotePrefix="1" xfId="0">
      <alignment horizontal="centerContinuous"/>
    </xf>
    <xf numFmtId="0" fontId="8" fillId="0" borderId="0" applyAlignment="1" pivotButton="0" quotePrefix="1" xfId="0">
      <alignment horizontal="left"/>
    </xf>
    <xf numFmtId="2" fontId="4" fillId="0" borderId="0" pivotButton="0" quotePrefix="0" xfId="0"/>
    <xf numFmtId="0" fontId="4" fillId="0" borderId="0" applyAlignment="1" pivotButton="0" quotePrefix="0" xfId="0">
      <alignment horizontal="centerContinuous" vertical="center" wrapText="1"/>
    </xf>
    <xf numFmtId="2" fontId="4" fillId="0" borderId="0" applyAlignment="1" pivotButton="0" quotePrefix="0" xfId="0">
      <alignment horizontal="centerContinuous" vertical="top" wrapText="1"/>
    </xf>
    <xf numFmtId="0" fontId="5" fillId="0" borderId="0" applyAlignment="1" pivotButton="0" quotePrefix="1" xfId="0">
      <alignment vertical="top"/>
    </xf>
    <xf numFmtId="0" fontId="4" fillId="0" borderId="0" applyAlignment="1" pivotButton="0" quotePrefix="0" xfId="0">
      <alignment vertical="center"/>
    </xf>
    <xf numFmtId="0" fontId="4" fillId="0" borderId="0" applyAlignment="1" pivotButton="0" quotePrefix="0" xfId="0">
      <alignment horizontal="centerContinuous" vertical="center"/>
    </xf>
    <xf numFmtId="0" fontId="1" fillId="0" borderId="0" applyAlignment="1" pivotButton="0" quotePrefix="0" xfId="0">
      <alignment horizontal="left" vertical="top"/>
    </xf>
    <xf numFmtId="0" fontId="1" fillId="0" borderId="0" applyAlignment="1" pivotButton="0" quotePrefix="0" xfId="0">
      <alignment vertical="top"/>
    </xf>
    <xf numFmtId="0" fontId="4" fillId="0" borderId="0" applyAlignment="1" pivotButton="0" quotePrefix="1" xfId="0">
      <alignment vertical="top"/>
    </xf>
    <xf numFmtId="0" fontId="4" fillId="0" borderId="0" applyAlignment="1" pivotButton="0" quotePrefix="1" xfId="0">
      <alignment vertical="top" wrapText="1"/>
    </xf>
    <xf numFmtId="0" fontId="4" fillId="0" borderId="0" applyAlignment="1" pivotButton="0" quotePrefix="1" xfId="0">
      <alignment horizontal="center" vertical="top"/>
    </xf>
    <xf numFmtId="0" fontId="1" fillId="0" borderId="0" applyAlignment="1" pivotButton="0" quotePrefix="1" xfId="0">
      <alignment horizontal="left" vertical="top" wrapText="1"/>
    </xf>
    <xf numFmtId="0" fontId="14" fillId="0" borderId="0" applyAlignment="1" pivotButton="0" quotePrefix="0" xfId="0">
      <alignment vertical="top"/>
    </xf>
    <xf numFmtId="0" fontId="4" fillId="0" borderId="0" applyAlignment="1" pivotButton="0" quotePrefix="0" xfId="0">
      <alignment vertical="center"/>
    </xf>
    <xf numFmtId="0" fontId="10" fillId="0" borderId="0" pivotButton="0" quotePrefix="0" xfId="0"/>
    <xf numFmtId="2" fontId="10" fillId="0" borderId="0" applyAlignment="1" pivotButton="0" quotePrefix="0" xfId="0">
      <alignment horizontal="right"/>
    </xf>
    <xf numFmtId="0" fontId="0" fillId="0" borderId="2" pivotButton="0" quotePrefix="0" xfId="0"/>
    <xf numFmtId="2" fontId="0" fillId="0" borderId="2" pivotButton="0" quotePrefix="0" xfId="0"/>
    <xf numFmtId="2" fontId="4" fillId="0" borderId="2" pivotButton="0" quotePrefix="0" xfId="0"/>
    <xf numFmtId="0" fontId="4" fillId="0" borderId="2" pivotButton="0" quotePrefix="1" xfId="0"/>
    <xf numFmtId="0" fontId="4" fillId="0" borderId="2" pivotButton="0" quotePrefix="0" xfId="0"/>
    <xf numFmtId="0" fontId="4" fillId="0" borderId="2" applyAlignment="1" pivotButton="0" quotePrefix="1" xfId="0">
      <alignment horizontal="left"/>
    </xf>
    <xf numFmtId="0" fontId="4" fillId="0" borderId="0" applyAlignment="1" pivotButton="0" quotePrefix="1" xfId="0">
      <alignment horizontal="left" vertical="top"/>
    </xf>
    <xf numFmtId="2" fontId="4" fillId="0" borderId="0" applyAlignment="1" pivotButton="0" quotePrefix="1" xfId="0">
      <alignment horizontal="left"/>
    </xf>
    <xf numFmtId="2" fontId="5" fillId="0" borderId="0" applyAlignment="1" pivotButton="0" quotePrefix="1" xfId="0">
      <alignment horizontal="left"/>
    </xf>
    <xf numFmtId="0" fontId="0" fillId="0" borderId="0" applyAlignment="1" pivotButton="0" quotePrefix="0" xfId="0">
      <alignment vertical="top" wrapText="1"/>
    </xf>
    <xf numFmtId="1" fontId="4" fillId="0" borderId="2" pivotButton="0" quotePrefix="0" xfId="0"/>
    <xf numFmtId="0" fontId="4" fillId="0" borderId="0" applyAlignment="1" pivotButton="0" quotePrefix="0" xfId="0">
      <alignment horizontal="justify" vertical="top" wrapText="1"/>
    </xf>
    <xf numFmtId="0" fontId="12" fillId="0" borderId="0" applyAlignment="1" pivotButton="0" quotePrefix="0" xfId="0">
      <alignment horizontal="justify" vertical="top" wrapText="1"/>
    </xf>
    <xf numFmtId="0" fontId="0" fillId="0" borderId="0" applyAlignment="1" pivotButton="0" quotePrefix="0" xfId="0">
      <alignment horizontal="justify" vertical="top" wrapText="1"/>
    </xf>
    <xf numFmtId="0" fontId="4" fillId="0" borderId="0" applyAlignment="1" pivotButton="0" quotePrefix="1" xfId="0">
      <alignment horizontal="justify" vertical="top" wrapText="1"/>
    </xf>
    <xf numFmtId="0" fontId="0" fillId="0" borderId="0" applyAlignment="1" pivotButton="0" quotePrefix="1" xfId="0">
      <alignment horizontal="justify" vertical="top" wrapText="1"/>
    </xf>
    <xf numFmtId="0" fontId="4" fillId="0" borderId="0" applyAlignment="1" pivotButton="0" quotePrefix="0" xfId="0">
      <alignment horizontal="justify" vertical="top" wrapText="1"/>
    </xf>
    <xf numFmtId="0" fontId="8" fillId="0" borderId="0" applyAlignment="1" pivotButton="0" quotePrefix="0" xfId="0">
      <alignment horizontal="justify" vertical="top" wrapText="1"/>
    </xf>
    <xf numFmtId="0" fontId="3" fillId="0" borderId="0" applyAlignment="1" pivotButton="0" quotePrefix="0" xfId="0">
      <alignment horizontal="justify" vertical="top" wrapText="1"/>
    </xf>
    <xf numFmtId="0" fontId="13" fillId="0" borderId="0" applyAlignment="1" pivotButton="0" quotePrefix="1" xfId="0">
      <alignment horizontal="justify" vertical="top" wrapText="1"/>
    </xf>
    <xf numFmtId="0" fontId="13" fillId="0" borderId="0" applyAlignment="1" pivotButton="0" quotePrefix="0" xfId="0">
      <alignment horizontal="justify" vertical="top" wrapText="1"/>
    </xf>
    <xf numFmtId="0" fontId="0" fillId="0" borderId="0" applyAlignment="1" pivotButton="0" quotePrefix="1" xfId="0">
      <alignment horizontal="justify" vertical="top" wrapText="1"/>
    </xf>
    <xf numFmtId="1" fontId="0" fillId="0" borderId="0" applyAlignment="1" pivotButton="0" quotePrefix="0" xfId="0">
      <alignment horizontal="left" vertical="top"/>
    </xf>
    <xf numFmtId="0" fontId="8" fillId="0" borderId="0" applyAlignment="1" pivotButton="0" quotePrefix="0" xfId="0">
      <alignment horizontal="justify" vertical="top"/>
    </xf>
    <xf numFmtId="2" fontId="4" fillId="0" borderId="2" pivotButton="0" quotePrefix="0" xfId="0"/>
    <xf numFmtId="1" fontId="0" fillId="0" borderId="2" pivotButton="0" quotePrefix="0" xfId="0"/>
    <xf numFmtId="0" fontId="0" fillId="0" borderId="2" applyAlignment="1" pivotButton="0" quotePrefix="1" xfId="0">
      <alignment horizontal="left"/>
    </xf>
    <xf numFmtId="0" fontId="0" fillId="0" borderId="2" applyAlignment="1" pivotButton="0" quotePrefix="0" xfId="0">
      <alignment horizontal="left"/>
    </xf>
    <xf numFmtId="0" fontId="8" fillId="0" borderId="0" pivotButton="0" quotePrefix="0" xfId="0"/>
    <xf numFmtId="0" fontId="8" fillId="0" borderId="0" applyAlignment="1" pivotButton="0" quotePrefix="0" xfId="0">
      <alignment horizontal="right" vertical="top"/>
    </xf>
    <xf numFmtId="164" fontId="1" fillId="0" borderId="0" applyAlignment="1" pivotButton="0" quotePrefix="0" xfId="0">
      <alignment horizontal="left"/>
    </xf>
    <xf numFmtId="2" fontId="0" fillId="0" borderId="2" applyAlignment="1" pivotButton="0" quotePrefix="0" xfId="0">
      <alignment horizontal="right"/>
    </xf>
    <xf numFmtId="2" fontId="0" fillId="0" borderId="2" pivotButton="0" quotePrefix="0" xfId="0"/>
    <xf numFmtId="0" fontId="0" fillId="0" borderId="0" applyAlignment="1" pivotButton="0" quotePrefix="0" xfId="0">
      <alignment vertical="top" wrapText="1"/>
    </xf>
    <xf numFmtId="0" fontId="4" fillId="0" borderId="2" applyAlignment="1" pivotButton="0" quotePrefix="0" xfId="0">
      <alignment horizontal="justify" vertical="top" wrapText="1"/>
    </xf>
    <xf numFmtId="0" fontId="4" fillId="0" borderId="0" applyAlignment="1" pivotButton="0" quotePrefix="1" xfId="0">
      <alignment horizontal="justify" vertical="top" wrapText="1"/>
    </xf>
    <xf numFmtId="0" fontId="4" fillId="0" borderId="0" applyAlignment="1" pivotButton="0" quotePrefix="0" xfId="0">
      <alignment horizontal="justify" vertical="top" wrapText="1"/>
    </xf>
    <xf numFmtId="0" fontId="4" fillId="0" borderId="2" applyAlignment="1" pivotButton="0" quotePrefix="0" xfId="0">
      <alignment horizontal="center" vertical="top" wrapText="1"/>
    </xf>
    <xf numFmtId="0" fontId="2" fillId="0" borderId="0" applyAlignment="1" pivotButton="0" quotePrefix="1" xfId="0">
      <alignment horizontal="justify" vertical="top" wrapText="1"/>
    </xf>
    <xf numFmtId="1" fontId="10" fillId="0" borderId="0" pivotButton="0" quotePrefix="0" xfId="0"/>
    <xf numFmtId="0" fontId="15" fillId="0" borderId="0" applyAlignment="1" pivotButton="0" quotePrefix="0" xfId="0">
      <alignment horizontal="justify" vertical="top" wrapText="1"/>
    </xf>
    <xf numFmtId="0" fontId="7" fillId="0" borderId="0" applyAlignment="1" pivotButton="0" quotePrefix="1" xfId="0">
      <alignment horizontal="left"/>
    </xf>
    <xf numFmtId="0" fontId="4" fillId="0" borderId="0" applyAlignment="1" pivotButton="0" quotePrefix="0" xfId="0">
      <alignment horizontal="justify" vertical="top"/>
    </xf>
    <xf numFmtId="2" fontId="4" fillId="0" borderId="0" applyAlignment="1" pivotButton="0" quotePrefix="1" xfId="0">
      <alignment horizontal="left"/>
    </xf>
    <xf numFmtId="2" fontId="4" fillId="0" borderId="1" applyAlignment="1" pivotButton="0" quotePrefix="1" xfId="0">
      <alignment horizontal="left"/>
    </xf>
    <xf numFmtId="2" fontId="0" fillId="0" borderId="0" applyAlignment="1" pivotButton="0" quotePrefix="0" xfId="0">
      <alignment horizontal="justify" vertical="top" wrapText="1"/>
    </xf>
    <xf numFmtId="2" fontId="4" fillId="0" borderId="0" applyAlignment="1" pivotButton="0" quotePrefix="0" xfId="0">
      <alignment horizontal="justify" vertical="top" wrapText="1"/>
    </xf>
    <xf numFmtId="1" fontId="0" fillId="0" borderId="0" applyAlignment="1" pivotButton="0" quotePrefix="0" xfId="0">
      <alignment horizontal="center"/>
    </xf>
    <xf numFmtId="2" fontId="4" fillId="0" borderId="0" applyAlignment="1" pivotButton="0" quotePrefix="0" xfId="0">
      <alignment horizontal="left"/>
    </xf>
    <xf numFmtId="0" fontId="4" fillId="0" borderId="0" applyAlignment="1" pivotButton="0" quotePrefix="0" xfId="0">
      <alignment horizontal="justify" vertical="top" wrapText="1"/>
    </xf>
    <xf numFmtId="0" fontId="4" fillId="0" borderId="0" applyAlignment="1" pivotButton="0" quotePrefix="1" xfId="0">
      <alignment horizontal="center"/>
    </xf>
    <xf numFmtId="2" fontId="4" fillId="0" borderId="0" applyAlignment="1" pivotButton="0" quotePrefix="1" xfId="0">
      <alignment horizontal="right"/>
    </xf>
    <xf numFmtId="1" fontId="4" fillId="0" borderId="0" applyAlignment="1" pivotButton="0" quotePrefix="0" xfId="0">
      <alignment horizontal="left" vertical="top"/>
    </xf>
    <xf numFmtId="2" fontId="4" fillId="0" borderId="0" applyAlignment="1" pivotButton="0" quotePrefix="1" xfId="0">
      <alignment horizontal="center"/>
    </xf>
    <xf numFmtId="2" fontId="4" fillId="0" borderId="1" applyAlignment="1" pivotButton="0" quotePrefix="0" xfId="0">
      <alignment horizontal="right"/>
    </xf>
    <xf numFmtId="0" fontId="4" fillId="0" borderId="0" applyAlignment="1" pivotButton="0" quotePrefix="0" xfId="0">
      <alignment horizontal="right" vertical="top"/>
    </xf>
    <xf numFmtId="0" fontId="16" fillId="0" borderId="0" applyAlignment="1" pivotButton="0" quotePrefix="0" xfId="0">
      <alignment horizontal="justify" vertical="top" wrapText="1"/>
    </xf>
    <xf numFmtId="0" fontId="16" fillId="0" borderId="0" applyAlignment="1" pivotButton="0" quotePrefix="0" xfId="0">
      <alignment horizontal="justify" vertical="top" wrapText="1"/>
    </xf>
    <xf numFmtId="0" fontId="13" fillId="0" borderId="0" applyAlignment="1" pivotButton="0" quotePrefix="0" xfId="0">
      <alignment horizontal="justify" vertical="top"/>
    </xf>
    <xf numFmtId="1" fontId="4" fillId="0" borderId="0" pivotButton="0" quotePrefix="0" xfId="0"/>
    <xf numFmtId="2" fontId="4" fillId="0" borderId="2" applyAlignment="1" pivotButton="0" quotePrefix="1" xfId="0">
      <alignment horizontal="center"/>
    </xf>
    <xf numFmtId="0" fontId="16" fillId="0" borderId="0" applyAlignment="1" pivotButton="0" quotePrefix="0" xfId="0">
      <alignment horizontal="justify" vertical="top" wrapText="1"/>
    </xf>
    <xf numFmtId="43" fontId="4" fillId="0" borderId="0" applyAlignment="1" pivotButton="0" quotePrefix="1" xfId="1">
      <alignment horizontal="left" vertical="top"/>
    </xf>
    <xf numFmtId="0" fontId="8" fillId="0" borderId="0" applyAlignment="1" pivotButton="0" quotePrefix="0" xfId="0">
      <alignment vertical="top" wrapText="1"/>
    </xf>
    <xf numFmtId="0" fontId="14"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justify"/>
    </xf>
    <xf numFmtId="0" fontId="8" fillId="0" borderId="0" applyAlignment="1" pivotButton="0" quotePrefix="0" xfId="0">
      <alignment horizontal="left"/>
    </xf>
    <xf numFmtId="0" fontId="8" fillId="0" borderId="0" pivotButton="0" quotePrefix="1" xfId="0"/>
    <xf numFmtId="0" fontId="8" fillId="0" borderId="0" applyAlignment="1" pivotButton="0" quotePrefix="0" xfId="0">
      <alignment horizontal="justify" vertical="top" wrapText="1"/>
    </xf>
    <xf numFmtId="0" fontId="8" fillId="0" borderId="0" pivotButton="0" quotePrefix="0" xfId="0"/>
    <xf numFmtId="0" fontId="17" fillId="0" borderId="0" pivotButton="0" quotePrefix="1" xfId="0"/>
    <xf numFmtId="0" fontId="10" fillId="0" borderId="0" applyAlignment="1" pivotButton="0" quotePrefix="1" xfId="0">
      <alignment horizontal="left"/>
    </xf>
    <xf numFmtId="0" fontId="8" fillId="0" borderId="0" applyAlignment="1" pivotButton="0" quotePrefix="0" xfId="0">
      <alignment horizontal="right" vertical="top" wrapText="1"/>
    </xf>
    <xf numFmtId="0" fontId="14" fillId="0" borderId="0" applyAlignment="1" pivotButton="0" quotePrefix="0" xfId="0">
      <alignment horizontal="center"/>
    </xf>
    <xf numFmtId="0" fontId="8" fillId="0" borderId="0" applyAlignment="1" pivotButton="0" quotePrefix="0" xfId="0">
      <alignment horizontal="center"/>
    </xf>
    <xf numFmtId="0" fontId="8" fillId="0" borderId="0" applyAlignment="1" pivotButton="0" quotePrefix="0" xfId="0">
      <alignment horizontal="center" vertical="top"/>
    </xf>
    <xf numFmtId="0" fontId="5" fillId="0" borderId="0" applyAlignment="1" pivotButton="0" quotePrefix="0" xfId="0">
      <alignment horizontal="center" vertical="top" wrapText="1"/>
    </xf>
    <xf numFmtId="0" fontId="9" fillId="0" borderId="0" applyAlignment="1" pivotButton="0" quotePrefix="0" xfId="0">
      <alignment horizontal="center"/>
    </xf>
    <xf numFmtId="0" fontId="6" fillId="0" borderId="0" applyAlignment="1" pivotButton="0" quotePrefix="0" xfId="0">
      <alignment horizontal="center"/>
    </xf>
    <xf numFmtId="2" fontId="4" fillId="0" borderId="0" applyAlignment="1" pivotButton="0" quotePrefix="0" xfId="0">
      <alignment horizontal="center"/>
    </xf>
    <xf numFmtId="0" fontId="4" fillId="0" borderId="0" applyAlignment="1" pivotButton="0" quotePrefix="0" xfId="0">
      <alignment horizontal="center"/>
    </xf>
    <xf numFmtId="0" fontId="3" fillId="0" borderId="1" applyAlignment="1" pivotButton="0" quotePrefix="0" xfId="0">
      <alignment horizontal="center"/>
    </xf>
    <xf numFmtId="0" fontId="3" fillId="0" borderId="0" applyAlignment="1" pivotButton="0" quotePrefix="0" xfId="0">
      <alignment horizontal="center"/>
    </xf>
    <xf numFmtId="164" fontId="1" fillId="0" borderId="0" applyAlignment="1" pivotButton="0" quotePrefix="0" xfId="0">
      <alignment horizontal="left"/>
    </xf>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D266"/>
  <sheetViews>
    <sheetView zoomScaleNormal="100" workbookViewId="0">
      <selection activeCell="A1" sqref="A1"/>
    </sheetView>
    <sheetView workbookViewId="1">
      <selection activeCell="A1" sqref="A1"/>
    </sheetView>
    <sheetView workbookViewId="2">
      <selection activeCell="D8" sqref="D8"/>
    </sheetView>
  </sheetViews>
  <sheetFormatPr baseColWidth="8" defaultRowHeight="15"/>
  <cols>
    <col width="3.44140625" customWidth="1" style="110" min="1" max="1"/>
    <col width="22.5546875" customWidth="1" style="110" min="2" max="2"/>
    <col width="1.5546875" customWidth="1" style="131" min="3" max="3"/>
    <col width="37" customWidth="1" style="110" min="4" max="4"/>
    <col width="8.88671875" customWidth="1" style="110" min="5" max="16384"/>
  </cols>
  <sheetData>
    <row r="1" ht="36" customHeight="1" s="9">
      <c r="A1" s="60">
        <f>'gen-abstract'!A2</f>
        <v/>
      </c>
      <c r="B1" s="93" t="n"/>
      <c r="C1" s="119" t="n"/>
      <c r="D1" s="120" t="n"/>
    </row>
    <row r="2" ht="18" customHeight="1" s="9">
      <c r="B2" s="121" t="n"/>
      <c r="D2" s="118" t="n"/>
    </row>
    <row r="3" ht="15.75" customHeight="1" s="9">
      <c r="A3" s="53" t="inlineStr">
        <is>
          <t>Technical  Report</t>
        </is>
      </c>
      <c r="B3" s="106" t="n"/>
      <c r="C3" s="123" t="n"/>
      <c r="D3" s="14" t="n"/>
    </row>
    <row r="5" ht="30" customHeight="1" s="9">
      <c r="A5" s="58" t="inlineStr">
        <is>
          <t xml:space="preserve">1. Name of Work </t>
        </is>
      </c>
      <c r="C5" s="123" t="inlineStr">
        <is>
          <t>:</t>
        </is>
      </c>
      <c r="D5" s="105" t="inlineStr">
        <is>
          <t xml:space="preserve">Construction of Judicial Courts Building at Nathdwara </t>
        </is>
      </c>
    </row>
    <row r="6" ht="15.75" customHeight="1" s="9">
      <c r="A6" s="58" t="n"/>
      <c r="C6" s="123" t="n"/>
      <c r="D6" s="83" t="n"/>
    </row>
    <row r="7" ht="15.75" customHeight="1" s="9">
      <c r="A7" s="58" t="inlineStr">
        <is>
          <t>2. Administrative Sanction</t>
        </is>
      </c>
      <c r="C7" s="123" t="inlineStr">
        <is>
          <t>:</t>
        </is>
      </c>
      <c r="D7" s="20" t="n"/>
    </row>
    <row r="8" ht="15.75" customHeight="1" s="9">
      <c r="A8" s="58" t="n"/>
      <c r="C8" s="123" t="n"/>
      <c r="D8" s="20" t="n"/>
    </row>
    <row r="9" ht="30" customHeight="1" s="9">
      <c r="A9" s="58" t="inlineStr">
        <is>
          <t>3.Location</t>
        </is>
      </c>
      <c r="C9" s="123" t="inlineStr">
        <is>
          <t>:</t>
        </is>
      </c>
      <c r="D9" s="20" t="inlineStr">
        <is>
          <t>The proposed Judicial Courts shall be constructed at NATHDWARA, Rajsamand</t>
        </is>
      </c>
    </row>
    <row r="10" ht="15.75" customHeight="1" s="9">
      <c r="A10" s="124" t="n"/>
      <c r="C10" s="123" t="n"/>
      <c r="D10" s="20" t="n"/>
    </row>
    <row r="11" ht="60" customHeight="1" s="9">
      <c r="A11" s="125" t="inlineStr">
        <is>
          <t xml:space="preserve">4. Specifications </t>
        </is>
      </c>
      <c r="C11" s="123" t="inlineStr">
        <is>
          <t>:</t>
        </is>
      </c>
      <c r="D11" s="20" t="inlineStr">
        <is>
          <t>The general specifications adopted for the work are in accordance with the P.W.D. detailed specifications.  Brief specifications are narrated below:-</t>
        </is>
      </c>
    </row>
    <row r="12">
      <c r="B12" s="208" t="inlineStr">
        <is>
          <t>Judicial Courts Building &amp; Bar Wing &amp; PP Wing Building</t>
        </is>
      </c>
    </row>
    <row r="13">
      <c r="B13" s="126" t="inlineStr">
        <is>
          <t>I  Foundation concrete</t>
        </is>
      </c>
      <c r="C13" s="123" t="inlineStr">
        <is>
          <t>:</t>
        </is>
      </c>
      <c r="D13" s="20" t="inlineStr">
        <is>
          <t>Cement concrete 1:4:8  , 300 mm thick.</t>
        </is>
      </c>
    </row>
    <row r="14">
      <c r="B14" s="126" t="n"/>
      <c r="C14" s="123" t="n"/>
      <c r="D14" s="127" t="n"/>
    </row>
    <row r="15" ht="30" customHeight="1" s="9">
      <c r="B15" s="140" t="inlineStr">
        <is>
          <t xml:space="preserve">II Masonry for Foundation </t>
        </is>
      </c>
      <c r="C15" s="123" t="inlineStr">
        <is>
          <t>:</t>
        </is>
      </c>
      <c r="D15" s="20" t="inlineStr">
        <is>
          <t>Random rubble stone masonry in cement sand mortar 1:6</t>
        </is>
      </c>
    </row>
    <row r="16">
      <c r="B16" s="10" t="n"/>
      <c r="C16" s="123" t="n"/>
      <c r="D16" s="199" t="n"/>
    </row>
    <row r="17">
      <c r="B17" s="140" t="inlineStr">
        <is>
          <t>III Damp proof coarse</t>
        </is>
      </c>
      <c r="C17" s="123" t="inlineStr">
        <is>
          <t>:</t>
        </is>
      </c>
      <c r="D17" s="105" t="inlineStr">
        <is>
          <t>100 mm thick R.C.C. M-20.</t>
        </is>
      </c>
    </row>
    <row r="18">
      <c r="B18" s="10" t="n"/>
      <c r="C18" s="123" t="n"/>
      <c r="D18" s="199" t="n"/>
    </row>
    <row r="19" ht="30" customHeight="1" s="9">
      <c r="B19" s="10" t="inlineStr">
        <is>
          <t>IV Super structure masonry</t>
        </is>
      </c>
      <c r="C19" s="123" t="inlineStr">
        <is>
          <t>:</t>
        </is>
      </c>
      <c r="D19" s="20" t="inlineStr">
        <is>
          <t>Stone  masonry in cement sand mortar 1:6 walls.</t>
        </is>
      </c>
    </row>
    <row r="20">
      <c r="B20" s="10" t="n"/>
      <c r="C20" s="123" t="n"/>
      <c r="D20" s="20" t="n"/>
    </row>
    <row r="21">
      <c r="B21" s="10" t="inlineStr">
        <is>
          <t xml:space="preserve">V Lintels </t>
        </is>
      </c>
      <c r="C21" s="123" t="inlineStr">
        <is>
          <t>:</t>
        </is>
      </c>
      <c r="D21" s="127" t="inlineStr">
        <is>
          <t>R.C.C. M-20 with steel reinforcement.</t>
        </is>
      </c>
    </row>
    <row r="22">
      <c r="B22" s="10" t="n"/>
      <c r="C22" s="123" t="n"/>
      <c r="D22" s="127" t="n"/>
    </row>
    <row r="23" ht="30" customHeight="1" s="9">
      <c r="B23" s="140" t="inlineStr">
        <is>
          <t xml:space="preserve">VI Partition </t>
        </is>
      </c>
      <c r="C23" s="123" t="inlineStr">
        <is>
          <t>:</t>
        </is>
      </c>
      <c r="D23" s="20" t="inlineStr">
        <is>
          <t>Bricks class 75 in cement sand mortar 1:4 (115 mm thick)</t>
        </is>
      </c>
    </row>
    <row r="24">
      <c r="B24" s="10" t="n"/>
      <c r="C24" s="123" t="n"/>
      <c r="D24" s="199" t="n"/>
    </row>
    <row r="25" ht="30" customHeight="1" s="9">
      <c r="B25" s="140" t="inlineStr">
        <is>
          <t>VII  Base of Flooring</t>
        </is>
      </c>
      <c r="C25" s="123" t="inlineStr">
        <is>
          <t>:</t>
        </is>
      </c>
      <c r="D25" s="105" t="inlineStr">
        <is>
          <t>100 mm thick in 1:5 :10 mix over 230 mm thick dry stone kharanja.</t>
        </is>
      </c>
    </row>
    <row r="26">
      <c r="B26" s="140" t="n"/>
      <c r="C26" s="123" t="n"/>
      <c r="D26" s="20" t="n"/>
    </row>
    <row r="27">
      <c r="B27" s="140" t="inlineStr">
        <is>
          <t xml:space="preserve">VIII Flooring  </t>
        </is>
      </c>
      <c r="C27" s="198" t="inlineStr">
        <is>
          <t>(I) Judicial Courts Building</t>
        </is>
      </c>
      <c r="D27" s="105" t="n"/>
    </row>
    <row r="28" ht="60.75" customFormat="1" customHeight="1" s="110">
      <c r="B28" s="128" t="n"/>
      <c r="D28" s="197" t="inlineStr">
        <is>
          <t>Kota Stone Flooring :- 25 mm thick blue Kota stone flooring laid over 20 thick base of 1 : 4 CSM in all rooms and Corridor except entrance hall..</t>
        </is>
      </c>
    </row>
    <row r="29" ht="45.75" customFormat="1" customHeight="1" s="110">
      <c r="B29" s="74" t="n"/>
      <c r="D29" s="197" t="inlineStr">
        <is>
          <t>Marble Slab Flooring :- In Entrance Hall 18 to 20 mm thick Rajnagar grade I Marble slab flooring laid over 20 thick base of 1 : 4 CSM.</t>
        </is>
      </c>
    </row>
    <row r="30" ht="45.75" customFormat="1" customHeight="1" s="110">
      <c r="B30" s="74" t="n"/>
      <c r="D30" s="197" t="inlineStr">
        <is>
          <t>White Glazed Tiles:- In all toilets and sanitary units I class white glazed tiles dado shall be provided.</t>
        </is>
      </c>
    </row>
    <row r="31" ht="15.75" customFormat="1" customHeight="1" s="110">
      <c r="C31" s="204" t="inlineStr">
        <is>
          <t>(II) Bar Wing &amp; PP Wing</t>
        </is>
      </c>
    </row>
    <row r="32" ht="60.75" customFormat="1" customHeight="1" s="110">
      <c r="B32" s="74" t="n"/>
      <c r="D32" s="197" t="inlineStr">
        <is>
          <t>Kota Stone Flooring :- 25 mm thick blue Kota stone flooring laid over 20 thick base of 1 : 4 CSM in all rooms and Corridor except entrance hall..</t>
        </is>
      </c>
    </row>
    <row r="33" ht="45.75" customFormat="1" customHeight="1" s="110">
      <c r="B33" s="74" t="n"/>
      <c r="D33" s="197" t="inlineStr">
        <is>
          <t>White Glazed Tiles:- In all toilets and sanitary units I class white glazed tiles dado shall be provided.</t>
        </is>
      </c>
    </row>
    <row r="34">
      <c r="B34" s="85" t="n"/>
      <c r="C34" s="123" t="n"/>
      <c r="D34" s="20" t="n"/>
    </row>
    <row r="35" ht="60" customHeight="1" s="9">
      <c r="B35" s="140" t="inlineStr">
        <is>
          <t xml:space="preserve">IX  Plaster </t>
        </is>
      </c>
      <c r="C35" s="123" t="inlineStr">
        <is>
          <t>:</t>
        </is>
      </c>
      <c r="D35" s="105" t="inlineStr">
        <is>
          <t xml:space="preserve"> 20 mm thick in cement mortar 1:6 over stone masonry and 20 mm thick in cement mortar 1:6 over brick masonry. Araish plaster shall be applied on inside walls and ceilings.</t>
        </is>
      </c>
    </row>
    <row r="36">
      <c r="B36" s="10" t="n"/>
      <c r="C36" s="123" t="n"/>
      <c r="D36" s="105" t="n"/>
    </row>
    <row r="37" ht="45" customHeight="1" s="9">
      <c r="B37" s="140" t="inlineStr">
        <is>
          <t xml:space="preserve">X Joinery frames </t>
        </is>
      </c>
      <c r="C37" s="123" t="inlineStr">
        <is>
          <t>:</t>
        </is>
      </c>
      <c r="D37" s="20" t="inlineStr">
        <is>
          <t>Door frames of mild steel selection built with T- Section (Angle 50 x 50 x 6 mm and flat 50 x 6 mm)</t>
        </is>
      </c>
    </row>
    <row r="38">
      <c r="B38" s="10" t="n"/>
      <c r="C38" s="123" t="n"/>
      <c r="D38" s="20" t="n"/>
    </row>
    <row r="39" ht="90" customHeight="1" s="9">
      <c r="B39" s="140" t="inlineStr">
        <is>
          <t>XI Door Shutters</t>
        </is>
      </c>
      <c r="C39" s="123" t="inlineStr">
        <is>
          <t>:</t>
        </is>
      </c>
      <c r="D39" s="105" t="inlineStr">
        <is>
          <t>35 mm thick fully panelled doors with Assam Teak wood frame with 12 mm thick Shuttering Ply Panels for doors 1005 to 1200 mm wide and for other doors 30 mm thick fully panelled doors with Assam Teak wood frame with 9 mm thick Shuttering Ply Panels.</t>
        </is>
      </c>
    </row>
    <row r="40">
      <c r="B40" s="10" t="n"/>
      <c r="C40" s="123" t="n"/>
      <c r="D40" s="199" t="n"/>
    </row>
    <row r="41" ht="60" customHeight="1" s="9">
      <c r="B41" s="140" t="inlineStr">
        <is>
          <t>XII Finishing</t>
        </is>
      </c>
      <c r="C41" s="123" t="inlineStr">
        <is>
          <t>:</t>
        </is>
      </c>
      <c r="D41" s="105" t="inlineStr">
        <is>
          <t xml:space="preserve">Finishing with water cement paint at  outside, Oil Bound distemper at inside all rooms and ceilings; enamel paints on  wood and steel work. </t>
        </is>
      </c>
    </row>
    <row r="42">
      <c r="B42" s="10" t="n"/>
      <c r="C42" s="123" t="n"/>
      <c r="D42" s="199" t="n"/>
    </row>
    <row r="43">
      <c r="A43" s="110" t="n"/>
      <c r="B43" s="130" t="inlineStr">
        <is>
          <t xml:space="preserve">Sanitary work </t>
        </is>
      </c>
      <c r="C43" s="123" t="inlineStr">
        <is>
          <t>:</t>
        </is>
      </c>
      <c r="D43" s="199" t="inlineStr">
        <is>
          <t>As per P.W.D. specification.</t>
        </is>
      </c>
    </row>
    <row r="44" ht="15.75" customHeight="1" s="9">
      <c r="A44" s="125" t="n"/>
      <c r="C44" s="123" t="n"/>
      <c r="D44" s="199" t="n"/>
    </row>
    <row r="45">
      <c r="B45" s="208" t="inlineStr">
        <is>
          <t>Compound Wall</t>
        </is>
      </c>
    </row>
    <row r="46">
      <c r="B46" s="126" t="inlineStr">
        <is>
          <t>I  Foundation concrete</t>
        </is>
      </c>
      <c r="C46" s="123" t="inlineStr">
        <is>
          <t>:</t>
        </is>
      </c>
      <c r="D46" s="20" t="inlineStr">
        <is>
          <t>Cement concrete 1:4:8  , 150 mm thick.</t>
        </is>
      </c>
    </row>
    <row r="47">
      <c r="B47" s="126" t="n"/>
      <c r="C47" s="123" t="n"/>
      <c r="D47" s="127" t="n"/>
    </row>
    <row r="48" ht="30" customHeight="1" s="9">
      <c r="B48" s="140" t="inlineStr">
        <is>
          <t xml:space="preserve">II Masonry for Foundation </t>
        </is>
      </c>
      <c r="C48" s="123" t="inlineStr">
        <is>
          <t>:</t>
        </is>
      </c>
      <c r="D48" s="20" t="inlineStr">
        <is>
          <t>Random rubble stone masonry in cement sand mortar 1:8</t>
        </is>
      </c>
    </row>
    <row r="49">
      <c r="B49" s="10" t="n"/>
      <c r="C49" s="123" t="n"/>
      <c r="D49" s="199" t="n"/>
    </row>
    <row r="50" ht="30" customHeight="1" s="9">
      <c r="B50" s="10" t="inlineStr">
        <is>
          <t>III Super structure masonry</t>
        </is>
      </c>
      <c r="C50" s="123" t="inlineStr">
        <is>
          <t>:</t>
        </is>
      </c>
      <c r="D50" s="20" t="inlineStr">
        <is>
          <t>Stone  masonry in cement sand mortar 1:8 walls.</t>
        </is>
      </c>
    </row>
    <row r="51">
      <c r="B51" s="10" t="n"/>
      <c r="C51" s="123" t="n"/>
      <c r="D51" s="20" t="n"/>
    </row>
    <row r="52">
      <c r="B52" s="85" t="n"/>
      <c r="C52" s="123" t="n"/>
      <c r="D52" s="20" t="n"/>
    </row>
    <row r="53" ht="60" customHeight="1" s="9">
      <c r="B53" s="140" t="inlineStr">
        <is>
          <t xml:space="preserve">IV  Plaster </t>
        </is>
      </c>
      <c r="C53" s="123" t="inlineStr">
        <is>
          <t>:</t>
        </is>
      </c>
      <c r="D53" s="105" t="inlineStr">
        <is>
          <t xml:space="preserve"> 20 mm thick in cement mortar 1:6 over stone masonry and 20 mm thick in cement mortar 1:6 over brick masonry. Araish plaster shall be applied on inside walls and ceilings.</t>
        </is>
      </c>
    </row>
    <row r="54">
      <c r="B54" s="10" t="n"/>
      <c r="C54" s="123" t="n"/>
      <c r="D54" s="105" t="n"/>
    </row>
    <row r="55" ht="45" customHeight="1" s="9">
      <c r="B55" s="83" t="inlineStr">
        <is>
          <t>V Finishing</t>
        </is>
      </c>
      <c r="C55" s="123" t="inlineStr">
        <is>
          <t>:</t>
        </is>
      </c>
      <c r="D55" s="105" t="inlineStr">
        <is>
          <t xml:space="preserve">Finishing with water cement paint at  outside, enamel paints on steel work gates and cow catcher. </t>
        </is>
      </c>
    </row>
    <row r="56" ht="15.75" customFormat="1" customHeight="1" s="110">
      <c r="B56" s="209" t="inlineStr">
        <is>
          <t xml:space="preserve"> Parking Shed</t>
        </is>
      </c>
    </row>
    <row r="57">
      <c r="B57" s="126" t="inlineStr">
        <is>
          <t>I  Foundation concrete</t>
        </is>
      </c>
      <c r="C57" s="123" t="inlineStr">
        <is>
          <t>:</t>
        </is>
      </c>
      <c r="D57" s="20" t="inlineStr">
        <is>
          <t>Cement concrete 1:4:8  , 150 mm thick.</t>
        </is>
      </c>
    </row>
    <row r="58">
      <c r="B58" s="126" t="n"/>
      <c r="C58" s="123" t="n"/>
      <c r="D58" s="127" t="n"/>
    </row>
    <row r="59" ht="30" customHeight="1" s="9">
      <c r="B59" s="140" t="inlineStr">
        <is>
          <t xml:space="preserve">II Masonry for Foundation </t>
        </is>
      </c>
      <c r="C59" s="123" t="inlineStr">
        <is>
          <t>:</t>
        </is>
      </c>
      <c r="D59" s="20" t="inlineStr">
        <is>
          <t>Random rubble stone masonry in cement sand mortar 1:6</t>
        </is>
      </c>
    </row>
    <row r="60">
      <c r="B60" s="10" t="n"/>
      <c r="C60" s="123" t="n"/>
      <c r="D60" s="199" t="n"/>
    </row>
    <row r="61">
      <c r="B61" s="10" t="inlineStr">
        <is>
          <t>III Roofing</t>
        </is>
      </c>
      <c r="C61" s="123" t="inlineStr">
        <is>
          <t>:</t>
        </is>
      </c>
      <c r="D61" s="127" t="inlineStr">
        <is>
          <t>R.C.C. M-20 with steel reinforcement.</t>
        </is>
      </c>
    </row>
    <row r="62">
      <c r="B62" s="10" t="n"/>
      <c r="C62" s="123" t="n"/>
      <c r="D62" s="199" t="n"/>
    </row>
    <row r="63" ht="30" customHeight="1" s="9">
      <c r="B63" s="140" t="inlineStr">
        <is>
          <t>IV  Base of Flooring</t>
        </is>
      </c>
      <c r="C63" s="123" t="inlineStr">
        <is>
          <t>:</t>
        </is>
      </c>
      <c r="D63" s="105" t="inlineStr">
        <is>
          <t>100 mm thick in 1:5 :10 mix over 230 mm thick dry stone kharanja.</t>
        </is>
      </c>
    </row>
    <row r="64">
      <c r="B64" s="140" t="n"/>
      <c r="C64" s="123" t="n"/>
      <c r="D64" s="20" t="n"/>
    </row>
    <row r="65" ht="45" customHeight="1" s="9">
      <c r="B65" s="83" t="inlineStr">
        <is>
          <t xml:space="preserve">V Flooring  </t>
        </is>
      </c>
      <c r="C65" s="198" t="n"/>
      <c r="D65" s="199" t="inlineStr">
        <is>
          <t>20 mm thick Chequered Tiles flooring laid over 20 mm thick cement sand mortar mix 1 : 6.</t>
        </is>
      </c>
    </row>
    <row r="66" ht="15.75" customHeight="1" s="9">
      <c r="A66" s="125" t="inlineStr">
        <is>
          <t xml:space="preserve">5. Scope of work </t>
        </is>
      </c>
      <c r="C66" s="123" t="inlineStr">
        <is>
          <t>:</t>
        </is>
      </c>
      <c r="D66" s="199" t="n"/>
    </row>
    <row r="67" ht="31.5" customHeight="1" s="9">
      <c r="B67" s="199" t="inlineStr">
        <is>
          <t>(I) Judicial Courts Building</t>
        </is>
      </c>
      <c r="C67" s="123" t="n"/>
      <c r="D67" s="199" t="inlineStr">
        <is>
          <t>Plinth Area GF 2244.20 Sqm, FF 16.70 Sqm. Total 2260.90 Sqm</t>
        </is>
      </c>
    </row>
    <row r="68" ht="120" customHeight="1" s="9">
      <c r="B68" s="10" t="n"/>
      <c r="C68" s="123" t="n"/>
      <c r="D68" s="183" t="inlineStr">
        <is>
          <t>Judicial Courts Building consists of Ground Floor with  3 Nos. Court Halls (I/c PA Room &amp; Chamber), 4 Nos. Staff Rooms, Najeer Section room, Malkhana, Record Room, Library, 3 Nos. Ante Rooms, Staircase, 3 Nos. Reader rooms, 5 Nos. Toilets, 2 Nos. Unassigned Rooms, Entrance Hall and corridors.. In First floor only one head room.</t>
        </is>
      </c>
    </row>
    <row r="69" ht="15.75" customHeight="1" s="9">
      <c r="A69" s="125" t="n"/>
      <c r="B69" s="129" t="n"/>
      <c r="C69" s="123" t="n"/>
      <c r="D69" s="199" t="n"/>
    </row>
    <row r="70" ht="31.5" customHeight="1" s="9">
      <c r="B70" s="199" t="inlineStr">
        <is>
          <t>(II) Bar Wing &amp; PP Wing Building</t>
        </is>
      </c>
      <c r="C70" s="123" t="n"/>
      <c r="D70" s="199" t="inlineStr">
        <is>
          <t>Plinth Area GF 927.10 Sqm, FF 40.10 Sqm. Total 967.20 Sqm</t>
        </is>
      </c>
    </row>
    <row r="71" ht="120" customHeight="1" s="9">
      <c r="B71" s="10" t="n"/>
      <c r="C71" s="123" t="n"/>
      <c r="D71" s="183" t="inlineStr">
        <is>
          <t xml:space="preserve"> Bar Wing &amp; PP Wing Building consists of Ground Floor with Litigant Shed, Stamp Vendor Room, Bar Room, Chamber, Chowkidar Room, canteen 2 Nos. Staff Rooms, 2 Nos. PP Rooms, Conference Hall, Male Female lockups, 2 Nos. Staircase, 8 Nos. Toilets and Verandah. In First floor only two head rooms.</t>
        </is>
      </c>
    </row>
    <row r="72">
      <c r="B72" s="10" t="n"/>
      <c r="C72" s="123" t="n"/>
      <c r="D72" s="105" t="n"/>
    </row>
    <row r="73" ht="60" customHeight="1" s="9">
      <c r="B73" s="199" t="inlineStr">
        <is>
          <t>Compound Wall</t>
        </is>
      </c>
      <c r="C73" s="123" t="n"/>
      <c r="D73" s="199" t="inlineStr">
        <is>
          <t>1270 M long and 1.50 M high compound wall is included in the scope of the project. It also consists 2 Nos. Gates and 2 Nos. Cow Catchers.</t>
        </is>
      </c>
    </row>
    <row r="74">
      <c r="B74" s="10" t="n"/>
      <c r="C74" s="123" t="n"/>
      <c r="D74" s="183" t="n"/>
    </row>
    <row r="75" ht="75" customHeight="1" s="9">
      <c r="B75" s="199" t="inlineStr">
        <is>
          <t>External Water Supply</t>
        </is>
      </c>
      <c r="C75" s="123" t="n"/>
      <c r="D75" s="183" t="inlineStr">
        <is>
          <t>(I) 1250 M long 50mm dia. GI pipe line from PHED line to campus sump. (II) 10 nos. Sumps size 2.50 x 1.50 x1.50 M (III) 1 No. Sump of size 8.00 x 3.00 x 1.50 M and (IV) 1 no. 7.5 HP submersible pump set.</t>
        </is>
      </c>
    </row>
    <row r="76">
      <c r="B76" s="199" t="n"/>
      <c r="C76" s="123" t="n"/>
      <c r="D76" s="199" t="n"/>
    </row>
    <row r="77" ht="45" customHeight="1" s="9">
      <c r="B77" s="199" t="inlineStr">
        <is>
          <t>Parking Shed</t>
        </is>
      </c>
      <c r="C77" s="123" t="n"/>
      <c r="D77" s="183" t="inlineStr">
        <is>
          <t>(I) Car Parking shed 1 no. Size 18.00 x 6.00 M (II) Scooter Stands 2 nos. Size 18.00 x 3.00 M.</t>
        </is>
      </c>
    </row>
    <row r="78">
      <c r="B78" s="199" t="n"/>
      <c r="C78" s="123" t="n"/>
      <c r="D78" s="199" t="n"/>
    </row>
    <row r="79" ht="45" customHeight="1" s="9">
      <c r="B79" s="199" t="inlineStr">
        <is>
          <t>Development Work</t>
        </is>
      </c>
      <c r="C79" s="123" t="n"/>
      <c r="D79" s="183" t="inlineStr">
        <is>
          <t>Open excavation for levelling of inside court yard of the Judicial Court Building is included in the scope of the project.</t>
        </is>
      </c>
    </row>
    <row r="80">
      <c r="B80" s="199" t="n"/>
      <c r="C80" s="123" t="n"/>
      <c r="D80" s="199" t="n"/>
    </row>
    <row r="81" ht="30" customHeight="1" s="9">
      <c r="A81" s="125" t="inlineStr">
        <is>
          <t>6. Basis of Estimate</t>
        </is>
      </c>
      <c r="C81" s="123" t="inlineStr">
        <is>
          <t>:</t>
        </is>
      </c>
      <c r="D81" s="20" t="inlineStr">
        <is>
          <t xml:space="preserve">Estimate prepared on the basis of PWD B.S.R. -1998. </t>
        </is>
      </c>
    </row>
    <row r="82" ht="15.75" customHeight="1" s="9">
      <c r="A82" s="125" t="n"/>
      <c r="C82" s="123" t="n"/>
      <c r="D82" s="199" t="n"/>
    </row>
    <row r="83" ht="75" customHeight="1" s="9">
      <c r="A83" s="125" t="inlineStr">
        <is>
          <t>7. Estimated Cost</t>
        </is>
      </c>
      <c r="C83" s="123" t="inlineStr">
        <is>
          <t>:</t>
        </is>
      </c>
      <c r="D83" s="169" t="inlineStr">
        <is>
          <t xml:space="preserve">Estimated cost of work comes to Rs. 185.25 Lacs. Provision for electric works is incorporated in the estimate @ 7% of the cost of the civil work. It includes contingencies @ 1.50% and the Prorata charges  @ 13%. </t>
        </is>
      </c>
    </row>
    <row r="84" ht="15.75" customHeight="1" s="9">
      <c r="A84" s="125" t="n"/>
      <c r="C84" s="123" t="n"/>
      <c r="D84" s="20" t="n"/>
    </row>
    <row r="85" ht="15.75" customHeight="1" s="9">
      <c r="A85" s="58" t="inlineStr">
        <is>
          <t>8. Drawings</t>
        </is>
      </c>
      <c r="C85" s="123" t="inlineStr">
        <is>
          <t>:</t>
        </is>
      </c>
      <c r="D85" s="20" t="inlineStr">
        <is>
          <t>Plan,  elevation &amp; section are enclosed.</t>
        </is>
      </c>
    </row>
    <row r="87" ht="30" customHeight="1" s="9">
      <c r="A87" s="58" t="inlineStr">
        <is>
          <t>9. Agency</t>
        </is>
      </c>
      <c r="C87" s="123" t="inlineStr">
        <is>
          <t>:</t>
        </is>
      </c>
      <c r="D87" s="200" t="inlineStr">
        <is>
          <t>Work shall be carried out through  contractor after inviting Bids.</t>
        </is>
      </c>
    </row>
    <row r="90" ht="15.75" customFormat="1" customHeight="1" s="204">
      <c r="A90" s="108" t="inlineStr">
        <is>
          <t>ASSISTANT ENGINEER,</t>
        </is>
      </c>
      <c r="C90" s="108" t="n"/>
      <c r="D90" s="163" t="inlineStr">
        <is>
          <t>EXECUTIVE  ENGINEER,</t>
        </is>
      </c>
    </row>
    <row r="91" ht="15.75" customFormat="1" customHeight="1" s="204">
      <c r="A91" s="108" t="inlineStr">
        <is>
          <t>P.W.D. Sub Div.- NATHDWARA</t>
        </is>
      </c>
      <c r="C91" s="108" t="n"/>
      <c r="D91" s="163" t="inlineStr">
        <is>
          <t>P.W.D. Div.- Rajsamand</t>
        </is>
      </c>
    </row>
    <row r="92" ht="15.75" customHeight="1" s="9">
      <c r="D92" s="80" t="n"/>
    </row>
    <row r="93">
      <c r="A93" s="110" t="n"/>
      <c r="B93" s="110" t="n"/>
      <c r="C93" s="131" t="n"/>
      <c r="D93" s="110" t="n"/>
    </row>
    <row r="94">
      <c r="A94" s="110" t="n"/>
      <c r="B94" s="110" t="n"/>
      <c r="C94" s="131" t="n"/>
      <c r="D94" s="110" t="n"/>
    </row>
    <row r="95">
      <c r="A95" s="110" t="n"/>
      <c r="B95" s="110" t="n"/>
      <c r="C95" s="131" t="n"/>
      <c r="D95" s="110" t="n"/>
    </row>
    <row r="96">
      <c r="A96" s="110" t="n"/>
      <c r="B96" s="110" t="n"/>
      <c r="C96" s="131" t="n"/>
      <c r="D96" s="110" t="n"/>
    </row>
    <row r="97">
      <c r="A97" s="110" t="n"/>
      <c r="B97" s="110" t="n"/>
      <c r="C97" s="131" t="n"/>
      <c r="D97" s="110" t="n"/>
    </row>
    <row r="98">
      <c r="A98" s="110" t="n"/>
      <c r="B98" s="110" t="n"/>
      <c r="C98" s="131" t="n"/>
      <c r="D98" s="110" t="n"/>
    </row>
    <row r="99">
      <c r="A99" s="110" t="n"/>
      <c r="B99" s="110" t="n"/>
      <c r="C99" s="131" t="n"/>
      <c r="D99" s="110" t="n"/>
    </row>
    <row r="100">
      <c r="A100" s="110" t="n"/>
      <c r="B100" s="110" t="n"/>
      <c r="C100" s="131" t="n"/>
      <c r="D100" s="110" t="n"/>
    </row>
    <row r="101">
      <c r="A101" s="110" t="n"/>
      <c r="B101" s="110" t="n"/>
      <c r="C101" s="131" t="n"/>
      <c r="D101" s="110" t="n"/>
    </row>
    <row r="102">
      <c r="A102" s="110" t="n"/>
      <c r="B102" s="110" t="n"/>
      <c r="C102" s="131" t="n"/>
      <c r="D102" s="110" t="n"/>
    </row>
    <row r="103">
      <c r="A103" s="110" t="n"/>
      <c r="B103" s="110" t="n"/>
      <c r="C103" s="131" t="n"/>
      <c r="D103" s="110" t="n"/>
    </row>
    <row r="104">
      <c r="A104" s="110" t="n"/>
      <c r="B104" s="110" t="n"/>
      <c r="C104" s="131" t="n"/>
      <c r="D104" s="110" t="n"/>
    </row>
    <row r="105">
      <c r="A105" s="110" t="n"/>
      <c r="B105" s="110" t="n"/>
      <c r="C105" s="131" t="n"/>
      <c r="D105" s="110" t="n"/>
    </row>
    <row r="106">
      <c r="A106" s="110" t="n"/>
      <c r="B106" s="110" t="n"/>
      <c r="C106" s="131" t="n"/>
      <c r="D106" s="110" t="n"/>
    </row>
    <row r="107">
      <c r="A107" s="110" t="n"/>
      <c r="B107" s="110" t="n"/>
      <c r="C107" s="131" t="n"/>
      <c r="D107" s="110" t="n"/>
    </row>
    <row r="108">
      <c r="A108" s="110" t="n"/>
      <c r="B108" s="110" t="n"/>
      <c r="C108" s="131" t="n"/>
      <c r="D108" s="110" t="n"/>
    </row>
    <row r="109">
      <c r="A109" s="110" t="n"/>
      <c r="B109" s="110" t="n"/>
      <c r="C109" s="131" t="n"/>
      <c r="D109" s="110" t="n"/>
    </row>
    <row r="110">
      <c r="A110" s="110" t="n"/>
      <c r="B110" s="110" t="n"/>
      <c r="C110" s="131" t="n"/>
      <c r="D110" s="110" t="n"/>
    </row>
    <row r="111">
      <c r="A111" s="110" t="n"/>
      <c r="B111" s="110" t="n"/>
      <c r="C111" s="131" t="n"/>
      <c r="D111" s="110" t="n"/>
    </row>
    <row r="112">
      <c r="A112" s="110" t="n"/>
      <c r="B112" s="110" t="n"/>
      <c r="C112" s="131" t="n"/>
      <c r="D112" s="110" t="n"/>
    </row>
    <row r="113">
      <c r="A113" s="110" t="n"/>
      <c r="B113" s="110" t="n"/>
      <c r="C113" s="131" t="n"/>
      <c r="D113" s="110" t="n"/>
    </row>
    <row r="114">
      <c r="A114" s="110" t="n"/>
      <c r="B114" s="110" t="n"/>
      <c r="C114" s="131" t="n"/>
      <c r="D114" s="110" t="n"/>
    </row>
    <row r="115">
      <c r="A115" s="110" t="n"/>
      <c r="B115" s="110" t="n"/>
      <c r="C115" s="131" t="n"/>
      <c r="D115" s="110" t="n"/>
    </row>
    <row r="116">
      <c r="A116" s="110" t="n"/>
      <c r="B116" s="110" t="n"/>
      <c r="C116" s="131" t="n"/>
      <c r="D116" s="110" t="n"/>
    </row>
    <row r="117">
      <c r="A117" s="110" t="n"/>
      <c r="B117" s="110" t="n"/>
      <c r="C117" s="131" t="n"/>
      <c r="D117" s="110" t="n"/>
    </row>
    <row r="118">
      <c r="A118" s="110" t="n"/>
      <c r="B118" s="110" t="n"/>
      <c r="C118" s="131" t="n"/>
      <c r="D118" s="110" t="n"/>
    </row>
    <row r="119">
      <c r="A119" s="110" t="n"/>
      <c r="B119" s="110" t="n"/>
      <c r="C119" s="131" t="n"/>
      <c r="D119" s="110" t="n"/>
    </row>
    <row r="120">
      <c r="A120" s="110" t="n"/>
      <c r="B120" s="110" t="n"/>
      <c r="C120" s="131" t="n"/>
      <c r="D120" s="110" t="n"/>
    </row>
    <row r="121">
      <c r="A121" s="110" t="n"/>
      <c r="B121" s="110" t="n"/>
      <c r="C121" s="131" t="n"/>
      <c r="D121" s="110" t="n"/>
    </row>
    <row r="122">
      <c r="A122" s="110" t="n"/>
      <c r="B122" s="110" t="n"/>
      <c r="C122" s="131" t="n"/>
      <c r="D122" s="110" t="n"/>
    </row>
    <row r="123">
      <c r="A123" s="110" t="n"/>
      <c r="B123" s="110" t="n"/>
      <c r="C123" s="131" t="n"/>
      <c r="D123" s="110" t="n"/>
    </row>
    <row r="124">
      <c r="A124" s="110" t="n"/>
      <c r="B124" s="110" t="n"/>
      <c r="C124" s="131" t="n"/>
      <c r="D124" s="110" t="n"/>
    </row>
    <row r="125">
      <c r="A125" s="110" t="n"/>
      <c r="B125" s="110" t="n"/>
      <c r="C125" s="131" t="n"/>
      <c r="D125" s="110" t="n"/>
    </row>
    <row r="126">
      <c r="A126" s="110" t="n"/>
      <c r="B126" s="110" t="n"/>
      <c r="C126" s="131" t="n"/>
      <c r="D126" s="110" t="n"/>
    </row>
    <row r="127">
      <c r="A127" s="110" t="n"/>
      <c r="B127" s="110" t="n"/>
      <c r="C127" s="131" t="n"/>
      <c r="D127" s="110" t="n"/>
    </row>
    <row r="128">
      <c r="A128" s="110" t="n"/>
      <c r="B128" s="110" t="n"/>
      <c r="C128" s="131" t="n"/>
      <c r="D128" s="110" t="n"/>
    </row>
    <row r="129">
      <c r="A129" s="110" t="n"/>
      <c r="B129" s="110" t="n"/>
      <c r="C129" s="131" t="n"/>
      <c r="D129" s="110" t="n"/>
    </row>
    <row r="130">
      <c r="A130" s="110" t="n"/>
      <c r="B130" s="110" t="n"/>
      <c r="C130" s="131" t="n"/>
      <c r="D130" s="110" t="n"/>
    </row>
    <row r="131">
      <c r="A131" s="110" t="n"/>
      <c r="B131" s="110" t="n"/>
      <c r="C131" s="131" t="n"/>
      <c r="D131" s="110" t="n"/>
    </row>
    <row r="132">
      <c r="A132" s="110" t="n"/>
      <c r="B132" s="110" t="n"/>
      <c r="C132" s="131" t="n"/>
      <c r="D132" s="110" t="n"/>
    </row>
    <row r="133">
      <c r="A133" s="110" t="n"/>
      <c r="B133" s="110" t="n"/>
      <c r="C133" s="131" t="n"/>
      <c r="D133" s="110" t="n"/>
    </row>
    <row r="134">
      <c r="A134" s="110" t="n"/>
      <c r="B134" s="110" t="n"/>
      <c r="C134" s="131" t="n"/>
      <c r="D134" s="110" t="n"/>
    </row>
    <row r="135">
      <c r="A135" s="110" t="n"/>
      <c r="B135" s="110" t="n"/>
      <c r="C135" s="131" t="n"/>
      <c r="D135" s="110" t="n"/>
    </row>
    <row r="136">
      <c r="A136" s="110" t="n"/>
      <c r="B136" s="110" t="n"/>
      <c r="C136" s="131" t="n"/>
      <c r="D136" s="110" t="n"/>
    </row>
    <row r="137">
      <c r="A137" s="110" t="n"/>
      <c r="B137" s="110" t="n"/>
      <c r="C137" s="131" t="n"/>
      <c r="D137" s="110" t="n"/>
    </row>
    <row r="138">
      <c r="A138" s="110" t="n"/>
      <c r="B138" s="110" t="n"/>
      <c r="C138" s="131" t="n"/>
      <c r="D138" s="110" t="n"/>
    </row>
    <row r="139">
      <c r="A139" s="110" t="n"/>
      <c r="B139" s="110" t="n"/>
      <c r="C139" s="131" t="n"/>
      <c r="D139" s="110" t="n"/>
    </row>
    <row r="140">
      <c r="A140" s="110" t="n"/>
      <c r="B140" s="110" t="n"/>
      <c r="C140" s="131" t="n"/>
      <c r="D140" s="110" t="n"/>
    </row>
    <row r="141">
      <c r="A141" s="110" t="n"/>
      <c r="B141" s="110" t="n"/>
      <c r="C141" s="131" t="n"/>
      <c r="D141" s="110" t="n"/>
    </row>
    <row r="142">
      <c r="A142" s="110" t="n"/>
      <c r="B142" s="110" t="n"/>
      <c r="C142" s="131" t="n"/>
      <c r="D142" s="110" t="n"/>
    </row>
    <row r="143">
      <c r="A143" s="110" t="n"/>
      <c r="B143" s="110" t="n"/>
      <c r="C143" s="131" t="n"/>
      <c r="D143" s="110" t="n"/>
    </row>
    <row r="144">
      <c r="A144" s="110" t="n"/>
      <c r="B144" s="110" t="n"/>
      <c r="C144" s="131" t="n"/>
      <c r="D144" s="110" t="n"/>
    </row>
    <row r="145">
      <c r="A145" s="110" t="n"/>
      <c r="B145" s="110" t="n"/>
      <c r="C145" s="131" t="n"/>
      <c r="D145" s="110" t="n"/>
    </row>
    <row r="146">
      <c r="A146" s="110" t="n"/>
      <c r="B146" s="110" t="n"/>
      <c r="C146" s="131" t="n"/>
      <c r="D146" s="110" t="n"/>
    </row>
    <row r="147">
      <c r="A147" s="110" t="n"/>
      <c r="B147" s="110" t="n"/>
      <c r="C147" s="131" t="n"/>
      <c r="D147" s="110" t="n"/>
    </row>
    <row r="148">
      <c r="A148" s="110" t="n"/>
      <c r="B148" s="110" t="n"/>
      <c r="C148" s="131" t="n"/>
      <c r="D148" s="110" t="n"/>
    </row>
    <row r="149">
      <c r="A149" s="110" t="n"/>
      <c r="B149" s="110" t="n"/>
      <c r="C149" s="131" t="n"/>
      <c r="D149" s="110" t="n"/>
    </row>
    <row r="150">
      <c r="A150" s="110" t="n"/>
      <c r="B150" s="110" t="n"/>
      <c r="C150" s="131" t="n"/>
      <c r="D150" s="110" t="n"/>
    </row>
    <row r="151">
      <c r="A151" s="110" t="n"/>
      <c r="B151" s="110" t="n"/>
      <c r="C151" s="131" t="n"/>
      <c r="D151" s="110" t="n"/>
    </row>
    <row r="152">
      <c r="A152" s="110" t="n"/>
      <c r="B152" s="110" t="n"/>
      <c r="C152" s="131" t="n"/>
      <c r="D152" s="110" t="n"/>
    </row>
    <row r="153">
      <c r="A153" s="110" t="n"/>
      <c r="B153" s="110" t="n"/>
      <c r="C153" s="131" t="n"/>
      <c r="D153" s="110" t="n"/>
    </row>
    <row r="154">
      <c r="A154" s="110" t="n"/>
      <c r="B154" s="110" t="n"/>
      <c r="C154" s="131" t="n"/>
      <c r="D154" s="110" t="n"/>
    </row>
    <row r="155">
      <c r="A155" s="110" t="n"/>
      <c r="B155" s="110" t="n"/>
      <c r="C155" s="131" t="n"/>
      <c r="D155" s="110" t="n"/>
    </row>
    <row r="156">
      <c r="A156" s="110" t="n"/>
      <c r="B156" s="110" t="n"/>
      <c r="C156" s="131" t="n"/>
      <c r="D156" s="110" t="n"/>
    </row>
    <row r="157">
      <c r="A157" s="110" t="n"/>
      <c r="B157" s="110" t="n"/>
      <c r="C157" s="131" t="n"/>
      <c r="D157" s="110" t="n"/>
    </row>
    <row r="158">
      <c r="A158" s="110" t="n"/>
      <c r="B158" s="110" t="n"/>
      <c r="C158" s="131" t="n"/>
      <c r="D158" s="110" t="n"/>
    </row>
    <row r="159">
      <c r="A159" s="110" t="n"/>
      <c r="B159" s="110" t="n"/>
      <c r="C159" s="131" t="n"/>
      <c r="D159" s="110" t="n"/>
    </row>
    <row r="160">
      <c r="A160" s="110" t="n"/>
      <c r="B160" s="110" t="n"/>
      <c r="C160" s="131" t="n"/>
      <c r="D160" s="110" t="n"/>
    </row>
    <row r="161">
      <c r="A161" s="110" t="n"/>
      <c r="B161" s="110" t="n"/>
      <c r="C161" s="131" t="n"/>
      <c r="D161" s="110" t="n"/>
    </row>
    <row r="162">
      <c r="A162" s="110" t="n"/>
      <c r="B162" s="110" t="n"/>
      <c r="C162" s="131" t="n"/>
      <c r="D162" s="110" t="n"/>
    </row>
    <row r="163">
      <c r="A163" s="110" t="n"/>
      <c r="B163" s="110" t="n"/>
      <c r="C163" s="131" t="n"/>
      <c r="D163" s="110" t="n"/>
    </row>
    <row r="164">
      <c r="A164" s="110" t="n"/>
      <c r="B164" s="110" t="n"/>
      <c r="C164" s="131" t="n"/>
      <c r="D164" s="110" t="n"/>
    </row>
    <row r="165">
      <c r="A165" s="110" t="n"/>
      <c r="B165" s="110" t="n"/>
      <c r="C165" s="131" t="n"/>
      <c r="D165" s="110" t="n"/>
    </row>
    <row r="166">
      <c r="A166" s="110" t="n"/>
      <c r="B166" s="110" t="n"/>
      <c r="C166" s="131" t="n"/>
      <c r="D166" s="110" t="n"/>
    </row>
    <row r="167">
      <c r="A167" s="110" t="n"/>
      <c r="B167" s="110" t="n"/>
      <c r="C167" s="131" t="n"/>
      <c r="D167" s="110" t="n"/>
    </row>
    <row r="168">
      <c r="A168" s="110" t="n"/>
      <c r="B168" s="110" t="n"/>
      <c r="C168" s="131" t="n"/>
      <c r="D168" s="110" t="n"/>
    </row>
    <row r="169">
      <c r="A169" s="110" t="n"/>
      <c r="B169" s="110" t="n"/>
      <c r="C169" s="131" t="n"/>
      <c r="D169" s="110" t="n"/>
    </row>
    <row r="170">
      <c r="A170" s="110" t="n"/>
      <c r="B170" s="110" t="n"/>
      <c r="C170" s="131" t="n"/>
      <c r="D170" s="110" t="n"/>
    </row>
    <row r="171">
      <c r="A171" s="110" t="n"/>
      <c r="B171" s="110" t="n"/>
      <c r="C171" s="131" t="n"/>
      <c r="D171" s="110" t="n"/>
    </row>
    <row r="172">
      <c r="A172" s="110" t="n"/>
      <c r="B172" s="110" t="n"/>
      <c r="C172" s="131" t="n"/>
      <c r="D172" s="110" t="n"/>
    </row>
    <row r="173">
      <c r="A173" s="110" t="n"/>
      <c r="B173" s="110" t="n"/>
      <c r="C173" s="131" t="n"/>
      <c r="D173" s="110" t="n"/>
    </row>
    <row r="174">
      <c r="A174" s="110" t="n"/>
      <c r="B174" s="110" t="n"/>
      <c r="C174" s="131" t="n"/>
      <c r="D174" s="110" t="n"/>
    </row>
    <row r="175">
      <c r="A175" s="110" t="n"/>
      <c r="B175" s="110" t="n"/>
      <c r="C175" s="131" t="n"/>
      <c r="D175" s="110" t="n"/>
    </row>
    <row r="176">
      <c r="A176" s="110" t="n"/>
      <c r="B176" s="110" t="n"/>
      <c r="C176" s="131" t="n"/>
      <c r="D176" s="110" t="n"/>
    </row>
    <row r="177">
      <c r="A177" s="110" t="n"/>
      <c r="B177" s="110" t="n"/>
      <c r="C177" s="131" t="n"/>
      <c r="D177" s="110" t="n"/>
    </row>
    <row r="178">
      <c r="A178" s="110" t="n"/>
      <c r="B178" s="110" t="n"/>
      <c r="C178" s="131" t="n"/>
      <c r="D178" s="110" t="n"/>
    </row>
    <row r="179">
      <c r="A179" s="110" t="n"/>
      <c r="B179" s="110" t="n"/>
      <c r="C179" s="131" t="n"/>
      <c r="D179" s="110" t="n"/>
    </row>
    <row r="180">
      <c r="A180" s="110" t="n"/>
      <c r="B180" s="110" t="n"/>
      <c r="C180" s="131" t="n"/>
      <c r="D180" s="110" t="n"/>
    </row>
    <row r="181">
      <c r="A181" s="110" t="n"/>
      <c r="B181" s="110" t="n"/>
      <c r="C181" s="131" t="n"/>
      <c r="D181" s="110" t="n"/>
    </row>
    <row r="182">
      <c r="A182" s="110" t="n"/>
      <c r="B182" s="110" t="n"/>
      <c r="C182" s="131" t="n"/>
      <c r="D182" s="110" t="n"/>
    </row>
    <row r="183">
      <c r="A183" s="110" t="n"/>
      <c r="B183" s="110" t="n"/>
      <c r="C183" s="131" t="n"/>
      <c r="D183" s="110" t="n"/>
    </row>
    <row r="184">
      <c r="A184" s="110" t="n"/>
      <c r="B184" s="110" t="n"/>
      <c r="C184" s="131" t="n"/>
      <c r="D184" s="110" t="n"/>
    </row>
    <row r="185">
      <c r="A185" s="110" t="n"/>
      <c r="B185" s="110" t="n"/>
      <c r="C185" s="131" t="n"/>
      <c r="D185" s="110" t="n"/>
    </row>
    <row r="186">
      <c r="A186" s="110" t="n"/>
      <c r="B186" s="110" t="n"/>
      <c r="C186" s="131" t="n"/>
      <c r="D186" s="110" t="n"/>
    </row>
    <row r="187">
      <c r="A187" s="110" t="n"/>
      <c r="B187" s="110" t="n"/>
      <c r="C187" s="131" t="n"/>
      <c r="D187" s="110" t="n"/>
    </row>
    <row r="188">
      <c r="A188" s="110" t="n"/>
      <c r="B188" s="110" t="n"/>
      <c r="C188" s="131" t="n"/>
      <c r="D188" s="110" t="n"/>
    </row>
    <row r="189">
      <c r="A189" s="110" t="n"/>
      <c r="B189" s="110" t="n"/>
      <c r="C189" s="131" t="n"/>
      <c r="D189" s="110" t="n"/>
    </row>
    <row r="190">
      <c r="A190" s="110" t="n"/>
      <c r="B190" s="110" t="n"/>
      <c r="C190" s="131" t="n"/>
      <c r="D190" s="110" t="n"/>
    </row>
    <row r="191">
      <c r="A191" s="110" t="n"/>
      <c r="B191" s="110" t="n"/>
      <c r="C191" s="131" t="n"/>
      <c r="D191" s="110" t="n"/>
    </row>
    <row r="192">
      <c r="A192" s="110" t="n"/>
      <c r="B192" s="110" t="n"/>
      <c r="C192" s="131" t="n"/>
      <c r="D192" s="110" t="n"/>
    </row>
    <row r="193">
      <c r="A193" s="110" t="n"/>
      <c r="B193" s="110" t="n"/>
      <c r="C193" s="131" t="n"/>
      <c r="D193" s="110" t="n"/>
    </row>
    <row r="194">
      <c r="A194" s="110" t="n"/>
      <c r="B194" s="110" t="n"/>
      <c r="C194" s="131" t="n"/>
      <c r="D194" s="110" t="n"/>
    </row>
    <row r="195">
      <c r="A195" s="110" t="n"/>
      <c r="B195" s="110" t="n"/>
      <c r="C195" s="131" t="n"/>
      <c r="D195" s="110" t="n"/>
    </row>
    <row r="196">
      <c r="A196" s="110" t="n"/>
      <c r="B196" s="110" t="n"/>
      <c r="C196" s="131" t="n"/>
      <c r="D196" s="110" t="n"/>
    </row>
    <row r="197">
      <c r="A197" s="110" t="n"/>
      <c r="B197" s="110" t="n"/>
      <c r="C197" s="131" t="n"/>
      <c r="D197" s="110" t="n"/>
    </row>
    <row r="198">
      <c r="A198" s="110" t="n"/>
      <c r="B198" s="110" t="n"/>
      <c r="C198" s="131" t="n"/>
      <c r="D198" s="110" t="n"/>
    </row>
    <row r="199">
      <c r="A199" s="110" t="n"/>
      <c r="B199" s="110" t="n"/>
      <c r="C199" s="131" t="n"/>
      <c r="D199" s="110" t="n"/>
    </row>
    <row r="200">
      <c r="A200" s="110" t="n"/>
      <c r="B200" s="110" t="n"/>
      <c r="C200" s="131" t="n"/>
      <c r="D200" s="110" t="n"/>
    </row>
    <row r="201">
      <c r="A201" s="110" t="n"/>
      <c r="B201" s="110" t="n"/>
      <c r="C201" s="131" t="n"/>
      <c r="D201" s="110" t="n"/>
    </row>
    <row r="202">
      <c r="A202" s="110" t="n"/>
      <c r="B202" s="110" t="n"/>
      <c r="C202" s="131" t="n"/>
      <c r="D202" s="110" t="n"/>
    </row>
    <row r="203">
      <c r="A203" s="110" t="n"/>
      <c r="B203" s="110" t="n"/>
      <c r="C203" s="131" t="n"/>
      <c r="D203" s="110" t="n"/>
    </row>
    <row r="204">
      <c r="A204" s="110" t="n"/>
      <c r="B204" s="110" t="n"/>
      <c r="C204" s="131" t="n"/>
      <c r="D204" s="110" t="n"/>
    </row>
    <row r="205">
      <c r="A205" s="110" t="n"/>
      <c r="B205" s="110" t="n"/>
      <c r="C205" s="131" t="n"/>
      <c r="D205" s="110" t="n"/>
    </row>
    <row r="206">
      <c r="A206" s="110" t="n"/>
      <c r="B206" s="110" t="n"/>
      <c r="C206" s="131" t="n"/>
      <c r="D206" s="110" t="n"/>
    </row>
    <row r="207">
      <c r="A207" s="110" t="n"/>
      <c r="B207" s="110" t="n"/>
      <c r="C207" s="131" t="n"/>
      <c r="D207" s="110" t="n"/>
    </row>
    <row r="208">
      <c r="A208" s="110" t="n"/>
      <c r="B208" s="110" t="n"/>
      <c r="C208" s="131" t="n"/>
      <c r="D208" s="110" t="n"/>
    </row>
    <row r="209">
      <c r="A209" s="110" t="n"/>
      <c r="B209" s="110" t="n"/>
      <c r="C209" s="131" t="n"/>
      <c r="D209" s="110" t="n"/>
    </row>
    <row r="210">
      <c r="A210" s="110" t="n"/>
      <c r="B210" s="110" t="n"/>
      <c r="C210" s="131" t="n"/>
      <c r="D210" s="110" t="n"/>
    </row>
    <row r="211">
      <c r="A211" s="110" t="n"/>
      <c r="B211" s="110" t="n"/>
      <c r="C211" s="131" t="n"/>
      <c r="D211" s="110" t="n"/>
    </row>
    <row r="212">
      <c r="A212" s="110" t="n"/>
      <c r="B212" s="110" t="n"/>
      <c r="C212" s="131" t="n"/>
      <c r="D212" s="110" t="n"/>
    </row>
    <row r="213">
      <c r="A213" s="110" t="n"/>
      <c r="B213" s="110" t="n"/>
      <c r="C213" s="131" t="n"/>
      <c r="D213" s="110" t="n"/>
    </row>
    <row r="214">
      <c r="A214" s="110" t="n"/>
      <c r="B214" s="110" t="n"/>
      <c r="C214" s="131" t="n"/>
      <c r="D214" s="110" t="n"/>
    </row>
    <row r="215">
      <c r="A215" s="110" t="n"/>
      <c r="B215" s="110" t="n"/>
      <c r="C215" s="131" t="n"/>
      <c r="D215" s="110" t="n"/>
    </row>
    <row r="216">
      <c r="A216" s="110" t="n"/>
      <c r="B216" s="110" t="n"/>
      <c r="C216" s="131" t="n"/>
      <c r="D216" s="110" t="n"/>
    </row>
    <row r="217">
      <c r="A217" s="110" t="n"/>
      <c r="B217" s="110" t="n"/>
      <c r="C217" s="131" t="n"/>
      <c r="D217" s="110" t="n"/>
    </row>
    <row r="218">
      <c r="A218" s="110" t="n"/>
      <c r="B218" s="110" t="n"/>
      <c r="C218" s="131" t="n"/>
      <c r="D218" s="110" t="n"/>
    </row>
    <row r="219">
      <c r="A219" s="110" t="n"/>
      <c r="B219" s="110" t="n"/>
      <c r="C219" s="131" t="n"/>
      <c r="D219" s="110" t="n"/>
    </row>
    <row r="220">
      <c r="A220" s="110" t="n"/>
      <c r="B220" s="110" t="n"/>
      <c r="C220" s="131" t="n"/>
      <c r="D220" s="110" t="n"/>
    </row>
    <row r="221">
      <c r="A221" s="110" t="n"/>
      <c r="B221" s="110" t="n"/>
      <c r="C221" s="131" t="n"/>
      <c r="D221" s="110" t="n"/>
    </row>
    <row r="222">
      <c r="A222" s="110" t="n"/>
      <c r="B222" s="110" t="n"/>
      <c r="C222" s="131" t="n"/>
      <c r="D222" s="110" t="n"/>
    </row>
    <row r="223">
      <c r="A223" s="110" t="n"/>
      <c r="B223" s="110" t="n"/>
      <c r="C223" s="131" t="n"/>
      <c r="D223" s="110" t="n"/>
    </row>
    <row r="224">
      <c r="A224" s="110" t="n"/>
      <c r="B224" s="110" t="n"/>
      <c r="C224" s="131" t="n"/>
      <c r="D224" s="110" t="n"/>
    </row>
    <row r="225">
      <c r="A225" s="110" t="n"/>
      <c r="B225" s="110" t="n"/>
      <c r="C225" s="131" t="n"/>
      <c r="D225" s="110" t="n"/>
    </row>
    <row r="226">
      <c r="A226" s="110" t="n"/>
      <c r="B226" s="110" t="n"/>
      <c r="C226" s="131" t="n"/>
      <c r="D226" s="110" t="n"/>
    </row>
    <row r="227">
      <c r="A227" s="110" t="n"/>
      <c r="B227" s="110" t="n"/>
      <c r="C227" s="131" t="n"/>
      <c r="D227" s="110" t="n"/>
    </row>
    <row r="228">
      <c r="A228" s="110" t="n"/>
      <c r="B228" s="110" t="n"/>
      <c r="C228" s="131" t="n"/>
      <c r="D228" s="110" t="n"/>
    </row>
    <row r="229">
      <c r="A229" s="110" t="n"/>
      <c r="B229" s="110" t="n"/>
      <c r="C229" s="131" t="n"/>
      <c r="D229" s="110" t="n"/>
    </row>
    <row r="230">
      <c r="A230" s="110" t="n"/>
      <c r="B230" s="110" t="n"/>
      <c r="C230" s="131" t="n"/>
      <c r="D230" s="110" t="n"/>
    </row>
    <row r="231">
      <c r="A231" s="110" t="n"/>
      <c r="B231" s="110" t="n"/>
      <c r="C231" s="131" t="n"/>
      <c r="D231" s="110" t="n"/>
    </row>
    <row r="232">
      <c r="A232" s="110" t="n"/>
      <c r="B232" s="110" t="n"/>
      <c r="C232" s="131" t="n"/>
      <c r="D232" s="110" t="n"/>
    </row>
    <row r="233">
      <c r="A233" s="110" t="n"/>
      <c r="B233" s="110" t="n"/>
      <c r="C233" s="131" t="n"/>
      <c r="D233" s="110" t="n"/>
    </row>
    <row r="234">
      <c r="A234" s="110" t="n"/>
      <c r="B234" s="110" t="n"/>
      <c r="C234" s="131" t="n"/>
      <c r="D234" s="110" t="n"/>
    </row>
    <row r="235">
      <c r="A235" s="110" t="n"/>
      <c r="B235" s="110" t="n"/>
      <c r="C235" s="131" t="n"/>
      <c r="D235" s="110" t="n"/>
    </row>
    <row r="236">
      <c r="A236" s="110" t="n"/>
      <c r="B236" s="110" t="n"/>
      <c r="C236" s="131" t="n"/>
      <c r="D236" s="110" t="n"/>
    </row>
    <row r="237">
      <c r="A237" s="110" t="n"/>
      <c r="B237" s="110" t="n"/>
      <c r="C237" s="131" t="n"/>
      <c r="D237" s="110" t="n"/>
    </row>
    <row r="238">
      <c r="A238" s="110" t="n"/>
      <c r="B238" s="110" t="n"/>
      <c r="C238" s="131" t="n"/>
      <c r="D238" s="110" t="n"/>
    </row>
    <row r="239">
      <c r="A239" s="110" t="n"/>
      <c r="B239" s="110" t="n"/>
      <c r="C239" s="131" t="n"/>
      <c r="D239" s="110" t="n"/>
    </row>
    <row r="240">
      <c r="A240" s="110" t="n"/>
      <c r="B240" s="110" t="n"/>
      <c r="C240" s="131" t="n"/>
      <c r="D240" s="110" t="n"/>
    </row>
    <row r="241">
      <c r="A241" s="110" t="n"/>
      <c r="B241" s="110" t="n"/>
      <c r="C241" s="131" t="n"/>
      <c r="D241" s="110" t="n"/>
    </row>
    <row r="242">
      <c r="A242" s="110" t="n"/>
      <c r="B242" s="110" t="n"/>
      <c r="C242" s="131" t="n"/>
      <c r="D242" s="110" t="n"/>
    </row>
    <row r="243">
      <c r="A243" s="110" t="n"/>
      <c r="B243" s="110" t="n"/>
      <c r="C243" s="131" t="n"/>
      <c r="D243" s="110" t="n"/>
    </row>
    <row r="244">
      <c r="A244" s="110" t="n"/>
      <c r="B244" s="110" t="n"/>
      <c r="C244" s="131" t="n"/>
      <c r="D244" s="110" t="n"/>
    </row>
    <row r="245">
      <c r="A245" s="110" t="n"/>
      <c r="B245" s="110" t="n"/>
      <c r="C245" s="131" t="n"/>
      <c r="D245" s="110" t="n"/>
    </row>
    <row r="246">
      <c r="A246" s="110" t="n"/>
      <c r="B246" s="110" t="n"/>
      <c r="C246" s="131" t="n"/>
      <c r="D246" s="110" t="n"/>
    </row>
    <row r="247">
      <c r="A247" s="110" t="n"/>
      <c r="B247" s="110" t="n"/>
      <c r="C247" s="131" t="n"/>
      <c r="D247" s="110" t="n"/>
    </row>
    <row r="248">
      <c r="A248" s="110" t="n"/>
      <c r="B248" s="110" t="n"/>
      <c r="C248" s="131" t="n"/>
      <c r="D248" s="110" t="n"/>
    </row>
    <row r="249">
      <c r="A249" s="110" t="n"/>
      <c r="B249" s="110" t="n"/>
      <c r="C249" s="131" t="n"/>
      <c r="D249" s="110" t="n"/>
    </row>
    <row r="250">
      <c r="A250" s="110" t="n"/>
      <c r="B250" s="110" t="n"/>
      <c r="C250" s="131" t="n"/>
      <c r="D250" s="110" t="n"/>
    </row>
    <row r="251">
      <c r="A251" s="110" t="n"/>
      <c r="B251" s="110" t="n"/>
      <c r="C251" s="131" t="n"/>
      <c r="D251" s="110" t="n"/>
    </row>
    <row r="252">
      <c r="A252" s="110" t="n"/>
      <c r="B252" s="110" t="n"/>
      <c r="C252" s="131" t="n"/>
      <c r="D252" s="110" t="n"/>
    </row>
    <row r="253">
      <c r="A253" s="110" t="n"/>
      <c r="B253" s="110" t="n"/>
      <c r="C253" s="131" t="n"/>
      <c r="D253" s="110" t="n"/>
    </row>
    <row r="254">
      <c r="A254" s="110" t="n"/>
      <c r="B254" s="110" t="n"/>
      <c r="C254" s="131" t="n"/>
      <c r="D254" s="110" t="n"/>
    </row>
    <row r="255">
      <c r="A255" s="110" t="n"/>
      <c r="B255" s="110" t="n"/>
      <c r="C255" s="131" t="n"/>
      <c r="D255" s="110" t="n"/>
    </row>
    <row r="256">
      <c r="A256" s="110" t="n"/>
      <c r="B256" s="110" t="n"/>
      <c r="C256" s="131" t="n"/>
      <c r="D256" s="110" t="n"/>
    </row>
    <row r="257">
      <c r="A257" s="110" t="n"/>
      <c r="B257" s="110" t="n"/>
      <c r="C257" s="131" t="n"/>
      <c r="D257" s="110" t="n"/>
    </row>
    <row r="258">
      <c r="A258" s="110" t="n"/>
      <c r="B258" s="110" t="n"/>
      <c r="C258" s="131" t="n"/>
      <c r="D258" s="110" t="n"/>
    </row>
    <row r="259">
      <c r="A259" s="110" t="n"/>
      <c r="B259" s="110" t="n"/>
      <c r="C259" s="131" t="n"/>
      <c r="D259" s="110" t="n"/>
    </row>
    <row r="260">
      <c r="A260" s="110" t="n"/>
      <c r="B260" s="110" t="n"/>
      <c r="C260" s="131" t="n"/>
      <c r="D260" s="110" t="n"/>
    </row>
    <row r="261">
      <c r="A261" s="110" t="n"/>
      <c r="B261" s="110" t="n"/>
      <c r="C261" s="131" t="n"/>
      <c r="D261" s="110" t="n"/>
    </row>
    <row r="262">
      <c r="A262" s="110" t="n"/>
      <c r="B262" s="110" t="n"/>
      <c r="C262" s="131" t="n"/>
      <c r="D262" s="110" t="n"/>
    </row>
    <row r="263">
      <c r="A263" s="110" t="n"/>
      <c r="B263" s="110" t="n"/>
      <c r="C263" s="131" t="n"/>
      <c r="D263" s="110" t="n"/>
    </row>
    <row r="264">
      <c r="A264" s="110" t="n"/>
      <c r="B264" s="110" t="n"/>
      <c r="C264" s="131" t="n"/>
      <c r="D264" s="110" t="n"/>
    </row>
    <row r="265">
      <c r="A265" s="110" t="n"/>
      <c r="B265" s="110" t="n"/>
      <c r="C265" s="131" t="n"/>
      <c r="D265" s="110" t="n"/>
    </row>
    <row r="266">
      <c r="A266" s="110" t="n"/>
      <c r="B266" s="110" t="n"/>
      <c r="C266" s="131" t="n"/>
      <c r="D266" s="110" t="n"/>
    </row>
  </sheetData>
  <mergeCells count="3">
    <mergeCell ref="B12:D12"/>
    <mergeCell ref="B56:D56"/>
    <mergeCell ref="B45:D45"/>
  </mergeCells>
  <printOptions horizontalCentered="1"/>
  <pageMargins left="1" right="0.34" top="0.55" bottom="0.74" header="0.3" footer="0"/>
  <pageSetup orientation="portrait" paperSize="9" fitToHeight="5" horizontalDpi="180" verticalDpi="180"/>
  <headerFooter alignWithMargins="0">
    <oddHeader>&amp;C </oddHeader>
    <oddFooter>&amp;L&amp;F&amp;R&amp;D&amp;  [Time]</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2:H27"/>
  <sheetViews>
    <sheetView topLeftCell="A13" zoomScale="75" workbookViewId="0">
      <selection activeCell="E29" sqref="E29"/>
    </sheetView>
    <sheetView tabSelected="1" workbookViewId="1">
      <selection activeCell="A2" sqref="A2"/>
    </sheetView>
    <sheetView topLeftCell="A4" workbookViewId="2">
      <selection activeCell="C11" sqref="C11"/>
    </sheetView>
  </sheetViews>
  <sheetFormatPr baseColWidth="8" defaultRowHeight="15"/>
  <cols>
    <col width="4.44140625" customWidth="1" style="9" min="1" max="1"/>
    <col width="17.21875" customWidth="1" style="9" min="5" max="5"/>
    <col width="11.44140625" customWidth="1" style="9" min="6" max="6"/>
    <col width="12.5546875" customWidth="1" style="92" min="7" max="7"/>
  </cols>
  <sheetData>
    <row r="2" ht="36" customFormat="1" customHeight="1" s="110">
      <c r="A2" s="60" t="inlineStr">
        <is>
          <t xml:space="preserve">NAME OF WORK :- Construction of Additional Session Judge Bungalow at Nathdwara </t>
        </is>
      </c>
      <c r="B2" s="14" t="n"/>
      <c r="C2" s="14" t="n"/>
      <c r="D2" s="14" t="n"/>
      <c r="E2" s="15" t="n"/>
      <c r="F2" s="14" t="n"/>
      <c r="G2" s="15" t="n"/>
    </row>
    <row r="3" customFormat="1" s="110">
      <c r="A3" s="32" t="n"/>
      <c r="B3" s="14" t="n"/>
      <c r="C3" s="14" t="n"/>
      <c r="D3" s="14" t="n"/>
      <c r="E3" s="15" t="n"/>
      <c r="F3" s="14" t="n"/>
      <c r="G3" s="15" t="n"/>
    </row>
    <row r="4">
      <c r="A4" s="106" t="n"/>
      <c r="B4" s="106" t="n"/>
      <c r="C4" s="106" t="n"/>
      <c r="D4" s="106" t="n"/>
      <c r="E4" s="106" t="n"/>
      <c r="F4" s="106" t="n"/>
      <c r="G4" s="47" t="n"/>
    </row>
    <row r="5" ht="15.75" customHeight="1" s="9">
      <c r="A5" s="17" t="inlineStr">
        <is>
          <t>GENERAL ABSTRACT OF COST</t>
        </is>
      </c>
      <c r="B5" s="106" t="n"/>
      <c r="C5" s="106" t="n"/>
      <c r="D5" s="106" t="n"/>
      <c r="E5" s="106" t="n"/>
      <c r="F5" s="106" t="n"/>
      <c r="G5" s="47" t="n"/>
    </row>
    <row r="6">
      <c r="A6" s="106" t="n"/>
      <c r="B6" s="106" t="n"/>
      <c r="C6" s="106" t="n"/>
      <c r="D6" s="106" t="n"/>
      <c r="E6" s="106" t="n"/>
      <c r="F6" s="106" t="n"/>
      <c r="G6" s="47" t="n"/>
    </row>
    <row r="7" customFormat="1" s="110">
      <c r="B7" s="74" t="inlineStr">
        <is>
          <t>PART 'A'  CIVIL WORK GROUND FLOOR</t>
        </is>
      </c>
      <c r="F7" s="112" t="inlineStr">
        <is>
          <t>Rs.</t>
        </is>
      </c>
      <c r="G7" s="67">
        <f>GF1_ABS!G55</f>
        <v/>
      </c>
    </row>
    <row r="8" customFormat="1" s="110">
      <c r="F8" s="193" t="n"/>
      <c r="G8" s="67" t="n"/>
    </row>
    <row r="9" customFormat="1" s="110">
      <c r="B9" s="140" t="inlineStr">
        <is>
          <t>PART 'B'  SANITARY &amp; WATER SUPPLY  WORK</t>
        </is>
      </c>
      <c r="C9" s="105" t="n"/>
      <c r="D9" s="105" t="n"/>
      <c r="E9" s="105" t="n"/>
      <c r="F9" s="112" t="inlineStr">
        <is>
          <t>Rs.</t>
        </is>
      </c>
      <c r="G9" s="113">
        <f>'sanitary-abs'!G51</f>
        <v/>
      </c>
    </row>
    <row r="10" customFormat="1" s="110">
      <c r="B10" s="140" t="n"/>
      <c r="C10" s="105" t="n"/>
      <c r="D10" s="105" t="n"/>
      <c r="E10" s="105" t="n"/>
      <c r="F10" s="112" t="n"/>
      <c r="G10" s="113" t="n"/>
    </row>
    <row r="11">
      <c r="F11" s="134" t="inlineStr">
        <is>
          <t>TOTAL Rs.</t>
        </is>
      </c>
      <c r="G11" s="166">
        <f>SUM(G7:G9)</f>
        <v/>
      </c>
    </row>
    <row r="13">
      <c r="B13" s="21" t="inlineStr">
        <is>
          <t>Add @ 7 % for Electrification On Civil Work Part 'A'</t>
        </is>
      </c>
    </row>
    <row r="14">
      <c r="C14" s="94" t="inlineStr">
        <is>
          <t>i.e. on Rs.</t>
        </is>
      </c>
      <c r="D14" s="47">
        <f>G7</f>
        <v/>
      </c>
      <c r="E14" s="106" t="n"/>
      <c r="F14" s="97" t="inlineStr">
        <is>
          <t>Rs.</t>
        </is>
      </c>
      <c r="G14" s="8">
        <f>ROUNDUP(D14*0.07,0)</f>
        <v/>
      </c>
    </row>
    <row r="15">
      <c r="C15" s="94" t="n"/>
      <c r="D15" s="47" t="n"/>
      <c r="E15" s="106" t="n"/>
      <c r="F15" s="134" t="inlineStr">
        <is>
          <t>TOTAL Rs.</t>
        </is>
      </c>
      <c r="G15" s="166">
        <f>SUM(G11:G14)</f>
        <v/>
      </c>
    </row>
    <row r="17">
      <c r="B17" s="21" t="inlineStr">
        <is>
          <t>Add Prorata  Charges @ 13%</t>
        </is>
      </c>
      <c r="E17" s="7" t="n"/>
      <c r="F17" s="7" t="n"/>
      <c r="G17" s="8">
        <f>ROUNDUP(G15*0.13,0)</f>
        <v/>
      </c>
    </row>
    <row r="18">
      <c r="E18" s="134" t="inlineStr">
        <is>
          <t>GRAND TOTAL Rs.</t>
        </is>
      </c>
      <c r="F18" s="134" t="n"/>
      <c r="G18" s="166">
        <f>SUM(G15:G17)</f>
        <v/>
      </c>
    </row>
    <row r="19">
      <c r="E19" s="21" t="n"/>
      <c r="F19" s="92" t="n"/>
    </row>
    <row r="20" ht="15.75" customHeight="1" s="9">
      <c r="G20" s="218" t="n"/>
    </row>
    <row r="21">
      <c r="D21" s="21" t="n"/>
      <c r="E21" s="35" t="n"/>
      <c r="F21" s="79" t="n"/>
    </row>
    <row r="22" ht="15.75" customHeight="1" s="9">
      <c r="G22" s="62" t="n"/>
    </row>
    <row r="23" ht="15.75" customFormat="1" customHeight="1" s="204">
      <c r="A23" s="78" t="n"/>
      <c r="B23" s="210" t="inlineStr">
        <is>
          <t>ASSISTANT ENGINEER,</t>
        </is>
      </c>
      <c r="E23" s="110" t="n"/>
      <c r="F23" s="108" t="inlineStr">
        <is>
          <t>EXECUTIVE  ENGINEER,</t>
        </is>
      </c>
      <c r="H23" s="110" t="n"/>
    </row>
    <row r="24" ht="15.75" customFormat="1" customHeight="1" s="204">
      <c r="A24" s="78" t="n"/>
      <c r="B24" s="210" t="inlineStr">
        <is>
          <t>P.W.D. Sub Div.- NATHDWARA</t>
        </is>
      </c>
      <c r="E24" s="110" t="n"/>
      <c r="F24" s="78" t="inlineStr">
        <is>
          <t>P.W.D. Div.- RAJSAMAND</t>
        </is>
      </c>
      <c r="H24" s="110" t="n"/>
    </row>
    <row r="26" ht="15.75" customHeight="1" s="9">
      <c r="E26" s="80" t="n"/>
    </row>
    <row r="27" ht="15.75" customHeight="1" s="9">
      <c r="E27" s="78" t="n"/>
    </row>
  </sheetData>
  <mergeCells count="2">
    <mergeCell ref="B23:D23"/>
    <mergeCell ref="B24:D24"/>
  </mergeCells>
  <printOptions horizontalCentered="1"/>
  <pageMargins left="0.75" right="0.75" top="1" bottom="1" header="0.5" footer="0.5"/>
  <pageSetup orientation="portrait" paperSize="9" horizontalDpi="180" verticalDpi="180"/>
</worksheet>
</file>

<file path=xl/worksheets/sheet3.xml><?xml version="1.0" encoding="utf-8"?>
<worksheet xmlns="http://schemas.openxmlformats.org/spreadsheetml/2006/main">
  <sheetPr>
    <outlinePr summaryBelow="1" summaryRight="1"/>
    <pageSetUpPr fitToPage="1"/>
  </sheetPr>
  <dimension ref="A1:G59"/>
  <sheetViews>
    <sheetView topLeftCell="A17" zoomScale="75" zoomScaleNormal="100" workbookViewId="0">
      <selection activeCell="C21" sqref="C21"/>
    </sheetView>
    <sheetView topLeftCell="A2" workbookViewId="1">
      <selection activeCell="G7" sqref="G7"/>
    </sheetView>
    <sheetView tabSelected="1" view="pageBreakPreview" topLeftCell="A52" zoomScale="75" zoomScaleNormal="50" workbookViewId="2">
      <selection activeCell="C54" sqref="C54"/>
    </sheetView>
  </sheetViews>
  <sheetFormatPr baseColWidth="8" defaultRowHeight="15"/>
  <cols>
    <col width="3.6640625" customWidth="1" style="1" min="1" max="1"/>
    <col width="35" customWidth="1" style="147" min="2" max="2"/>
    <col width="8" bestFit="1" customWidth="1" style="118" min="3" max="3"/>
    <col width="5.109375" customWidth="1" style="110" min="4" max="4"/>
    <col width="7.6640625" bestFit="1" customWidth="1" style="118" min="5" max="5"/>
    <col width="7.109375" bestFit="1" customWidth="1" style="110" min="6" max="6"/>
    <col width="12.21875" customWidth="1" style="110" min="7" max="7"/>
  </cols>
  <sheetData>
    <row r="1" ht="18" customFormat="1" customHeight="1" s="110">
      <c r="A1" s="211">
        <f>'gen-abstract'!A2</f>
        <v/>
      </c>
    </row>
    <row r="2" ht="18" customFormat="1" customHeight="1" s="110">
      <c r="A2" s="212" t="inlineStr">
        <is>
          <t xml:space="preserve">PART 'A'  CIVIL WORK GROUND  FLOOR </t>
        </is>
      </c>
    </row>
    <row r="3" ht="18" customFormat="1" customHeight="1" s="110">
      <c r="A3" s="213" t="inlineStr">
        <is>
          <t>ABSTRACT OF COST</t>
        </is>
      </c>
    </row>
    <row r="4" customFormat="1" s="110">
      <c r="A4" s="104" t="inlineStr">
        <is>
          <t>S.No.</t>
        </is>
      </c>
      <c r="B4" s="171" t="inlineStr">
        <is>
          <t>Particulars.</t>
        </is>
      </c>
      <c r="C4" s="30" t="inlineStr">
        <is>
          <t xml:space="preserve">Quantity </t>
        </is>
      </c>
      <c r="D4" s="29" t="n"/>
      <c r="E4" s="30" t="inlineStr">
        <is>
          <t>Rate</t>
        </is>
      </c>
      <c r="F4" s="29" t="inlineStr">
        <is>
          <t>Unit</t>
        </is>
      </c>
      <c r="G4" s="31" t="inlineStr">
        <is>
          <t>Amount</t>
        </is>
      </c>
    </row>
    <row r="5" ht="120" customHeight="1" s="9">
      <c r="A5" s="114" t="n">
        <v>1</v>
      </c>
      <c r="B5" s="147" t="inlineStr">
        <is>
          <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 'Hard soil mixed with boulders</t>
        </is>
      </c>
      <c r="C5" s="118">
        <f>GF1_MES!K67</f>
        <v/>
      </c>
      <c r="D5" s="110" t="inlineStr">
        <is>
          <t>Cum</t>
        </is>
      </c>
      <c r="E5" s="118" t="n">
        <v>42.66</v>
      </c>
      <c r="F5" s="110" t="inlineStr">
        <is>
          <t>P Cum</t>
        </is>
      </c>
      <c r="G5" s="67">
        <f>IF(C5,ROUNDUP(C5*E5,0),"")</f>
        <v/>
      </c>
    </row>
    <row r="6" ht="135" customHeight="1" s="9">
      <c r="A6" s="114">
        <f>A5+1</f>
        <v/>
      </c>
      <c r="B6" s="147" t="inlineStr">
        <is>
          <t xml:space="preserve">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 including stacking material available. </t>
        </is>
      </c>
    </row>
    <row r="7" customFormat="1" s="110">
      <c r="A7" s="140" t="n"/>
      <c r="B7" s="183" t="inlineStr">
        <is>
          <t>(a) Decomposed Rock</t>
        </is>
      </c>
      <c r="C7" s="118">
        <f>GF1_MES!K70</f>
        <v/>
      </c>
      <c r="D7" s="110" t="inlineStr">
        <is>
          <t>Cum</t>
        </is>
      </c>
      <c r="E7" s="118" t="n">
        <v>51.17</v>
      </c>
      <c r="F7" s="110" t="inlineStr">
        <is>
          <t>P Cum</t>
        </is>
      </c>
      <c r="G7" s="67">
        <f>IF(C7,ROUNDUP(C7*E7,0),"")</f>
        <v/>
      </c>
    </row>
    <row r="8" customFormat="1" s="110">
      <c r="A8" s="140" t="n"/>
      <c r="B8" s="183" t="inlineStr">
        <is>
          <t>(b) Ordinary Rock</t>
        </is>
      </c>
      <c r="C8" s="118">
        <f>GF1_MES!K72</f>
        <v/>
      </c>
      <c r="D8" s="110" t="inlineStr">
        <is>
          <t>Cum</t>
        </is>
      </c>
      <c r="E8" s="118" t="n">
        <v>66.7</v>
      </c>
      <c r="F8" s="110" t="inlineStr">
        <is>
          <t>P Cum</t>
        </is>
      </c>
      <c r="G8" s="67">
        <f>IF(C8,ROUNDUP(C8*E8,0),"")</f>
        <v/>
      </c>
    </row>
    <row r="9" customFormat="1" s="110">
      <c r="A9" s="140" t="n"/>
      <c r="B9" s="183" t="inlineStr">
        <is>
          <t>(c) Phylite Rock</t>
        </is>
      </c>
      <c r="C9" s="118">
        <f>GF1_MES!K74</f>
        <v/>
      </c>
      <c r="D9" s="110" t="inlineStr">
        <is>
          <t>Cum</t>
        </is>
      </c>
      <c r="E9" s="118" t="n">
        <v>97.75</v>
      </c>
      <c r="F9" s="110" t="inlineStr">
        <is>
          <t>P Cum</t>
        </is>
      </c>
      <c r="G9" s="67">
        <f>IF(C9,ROUNDUP(C9*E9,0),"")</f>
        <v/>
      </c>
    </row>
    <row r="10" ht="90" customHeight="1" s="9">
      <c r="A10" s="156" t="n">
        <v>3</v>
      </c>
      <c r="B10" s="183" t="inlineStr">
        <is>
          <t>Filling in plinth available excavated earth (excluding rock) in trenches, plinth side of foundation, etc. in layers not exceeding 20 cm. in depth, consolidating each deposited layer by ramming and watering including lead upto 50 Mtr and lift upto 1.5 Mtr.</t>
        </is>
      </c>
      <c r="C10" s="118">
        <f>GF1_MES!K90</f>
        <v/>
      </c>
      <c r="D10" s="118" t="inlineStr">
        <is>
          <t>Cum.</t>
        </is>
      </c>
      <c r="E10" s="118" t="n">
        <v>9</v>
      </c>
      <c r="F10" s="110" t="inlineStr">
        <is>
          <t>P Cum.</t>
        </is>
      </c>
      <c r="G10" s="67">
        <f>IF(C10,ROUNDUP(C10*E10,0),"")</f>
        <v/>
      </c>
    </row>
    <row r="11" ht="105" customHeight="1" s="9">
      <c r="A11" s="156">
        <f>A10+1</f>
        <v/>
      </c>
      <c r="B11" s="183" t="inlineStr">
        <is>
          <t>Earth work in excavation over areas (Exceeding 30 cm in depth, 1.5 m in width as well as 10 Sqm on plan) including disposal of excavated earth , lead upto 50 m and lift upto 1.5 Mtr., disposed soil to be neatly dressed; Hard soil mixed with boulders.</t>
        </is>
      </c>
      <c r="C11" s="118">
        <f>GF1_MES!K95</f>
        <v/>
      </c>
      <c r="D11" s="118" t="inlineStr">
        <is>
          <t>Cum.</t>
        </is>
      </c>
      <c r="E11" s="118" t="n">
        <v>34.15</v>
      </c>
      <c r="F11" s="110" t="inlineStr">
        <is>
          <t>P Cum.</t>
        </is>
      </c>
      <c r="G11" s="67">
        <f>IF(C11,ROUNDUP(C11*E11,0),"")</f>
        <v/>
      </c>
    </row>
    <row r="12" ht="30" customHeight="1" s="9">
      <c r="A12" s="156">
        <f>A11+1</f>
        <v/>
      </c>
      <c r="B12" s="183" t="inlineStr">
        <is>
          <t>Carriage of earth including loading, unloading complete with lead 0.50 KM.</t>
        </is>
      </c>
      <c r="C12" s="118">
        <f>GF1_MES!K98</f>
        <v/>
      </c>
      <c r="D12" s="118" t="inlineStr">
        <is>
          <t>Cum.</t>
        </is>
      </c>
      <c r="E12" s="118" t="n">
        <v>35.07</v>
      </c>
      <c r="F12" s="110" t="inlineStr">
        <is>
          <t>P Cum.</t>
        </is>
      </c>
      <c r="G12" s="67">
        <f>IF(C12,ROUNDUP(C12*E12,0),"")</f>
        <v/>
      </c>
    </row>
    <row r="13" ht="90" customHeight="1" s="9">
      <c r="A13" s="156" t="n">
        <v>6</v>
      </c>
      <c r="B13" s="155" t="inlineStr">
        <is>
          <t xml:space="preserve">Providing and laying Cement concrete including curing compaction etc. complete using stone aggregate 40 mm nominal size in foundation plinth, excluding the cost of shuttering, using : 1 Cement : 4 Sand : 8 aggregate Mix. </t>
        </is>
      </c>
      <c r="C13" s="118">
        <f>GF1_MES!K102</f>
        <v/>
      </c>
      <c r="D13" s="110" t="inlineStr">
        <is>
          <t>Cum</t>
        </is>
      </c>
      <c r="E13" s="118" t="n">
        <v>1046.5</v>
      </c>
      <c r="F13" s="110" t="inlineStr">
        <is>
          <t>P Cum</t>
        </is>
      </c>
      <c r="G13" s="67">
        <f>IF(C13,ROUNDUP(C13*E13,0),"")</f>
        <v/>
      </c>
    </row>
    <row r="14" ht="45" customHeight="1" s="9">
      <c r="A14" s="156">
        <f>A13+1</f>
        <v/>
      </c>
      <c r="B14" s="155" t="inlineStr">
        <is>
          <t>R.R. Stone masonry for foundation and plinth in cement sand mortar 1:6 for above 30 cms thick walls.</t>
        </is>
      </c>
      <c r="C14" s="118">
        <f>GF1_MES!K118</f>
        <v/>
      </c>
      <c r="D14" s="110" t="inlineStr">
        <is>
          <t>Cum</t>
        </is>
      </c>
      <c r="E14" s="118">
        <f>550+140</f>
        <v/>
      </c>
      <c r="F14" s="110" t="inlineStr">
        <is>
          <t>P Cum</t>
        </is>
      </c>
      <c r="G14" s="67">
        <f>IF(C14,ROUNDUP(C14*E14,0),"")</f>
        <v/>
      </c>
    </row>
    <row r="15" ht="60" customHeight="1" s="9">
      <c r="A15" s="156">
        <f>A14+1</f>
        <v/>
      </c>
      <c r="B15" s="147" t="inlineStr">
        <is>
          <t>R.R. Stone masonry for super structure upto 4.5 m height above plinth level in cement sand mortar 1:6 for walls  upto 30 cms in thickness.</t>
        </is>
      </c>
      <c r="C15" s="118">
        <f>GF1_MES!K146</f>
        <v/>
      </c>
      <c r="D15" s="110" t="inlineStr">
        <is>
          <t>Cum</t>
        </is>
      </c>
      <c r="E15" s="118" t="n">
        <v>902.75</v>
      </c>
      <c r="F15" s="110" t="inlineStr">
        <is>
          <t>P Cum</t>
        </is>
      </c>
      <c r="G15" s="67">
        <f>IF(C15,ROUNDUP(C15*E15,0),"")</f>
        <v/>
      </c>
    </row>
    <row r="16" ht="60" customHeight="1" s="9">
      <c r="A16" s="156" t="n">
        <v>9</v>
      </c>
      <c r="B16" s="147" t="inlineStr">
        <is>
          <t xml:space="preserve">Add extra for pillar  masonry including bed plates as per specification (Bed plates to be paid separately) in cement sand mortar 1:4 </t>
        </is>
      </c>
      <c r="C16" s="118">
        <f>GF1_MES!K149</f>
        <v/>
      </c>
      <c r="D16" s="110" t="inlineStr">
        <is>
          <t>Cum</t>
        </is>
      </c>
      <c r="E16" s="118" t="n">
        <v>327.75</v>
      </c>
      <c r="F16" s="110" t="inlineStr">
        <is>
          <t>P Cum</t>
        </is>
      </c>
      <c r="G16" s="67">
        <f>IF(C16,ROUNDUP(C16*E16,0),"")</f>
        <v/>
      </c>
    </row>
    <row r="17" ht="45" customHeight="1" s="9">
      <c r="A17" s="156">
        <f>A16+1</f>
        <v/>
      </c>
      <c r="B17" s="155" t="inlineStr">
        <is>
          <t>Half brick masonry in super structure using bricks of class designation 75 in  Cement Mortar 1:4  ( 1 cement : 4 coarse sand)</t>
        </is>
      </c>
      <c r="C17" s="118">
        <f>GF1_MES!K167</f>
        <v/>
      </c>
      <c r="D17" s="110" t="inlineStr">
        <is>
          <t>Sqm</t>
        </is>
      </c>
      <c r="E17" s="118">
        <f>140+4</f>
        <v/>
      </c>
      <c r="F17" s="74" t="inlineStr">
        <is>
          <t>P Sqm</t>
        </is>
      </c>
      <c r="G17" s="67">
        <f>IF(C17,ROUNDUP(C17*E17,0),"")</f>
        <v/>
      </c>
    </row>
    <row r="18" ht="45" customHeight="1" s="9">
      <c r="A18" s="156">
        <f>A17+1</f>
        <v/>
      </c>
      <c r="B18" s="155" t="inlineStr">
        <is>
          <t>Brick work in superstructure upto 4.5 metre height  above plinth level Cement Mortar 1:4 with bricks are class designation 75.</t>
        </is>
      </c>
      <c r="C18" s="118">
        <f>GF1_MES!K172</f>
        <v/>
      </c>
      <c r="D18" s="110" t="inlineStr">
        <is>
          <t>Cum</t>
        </is>
      </c>
      <c r="E18" s="118">
        <f>1100+32</f>
        <v/>
      </c>
      <c r="F18" s="110" t="inlineStr">
        <is>
          <t>P Cum</t>
        </is>
      </c>
      <c r="G18" s="67">
        <f>IF(C18,ROUNDUP(C18*E18,0),"")</f>
        <v/>
      </c>
    </row>
    <row r="19" ht="60" customHeight="1" s="9">
      <c r="A19" s="156" t="n">
        <v>13.8</v>
      </c>
      <c r="B19" s="147" t="inlineStr">
        <is>
          <t xml:space="preserve">Centering &amp; shuttering with plywood or steel sheets including strutting propping, bracing both ways with wooden members and removal of form work </t>
        </is>
      </c>
    </row>
    <row r="20" ht="45" customHeight="1" s="9">
      <c r="A20" s="156" t="n"/>
      <c r="B20" s="147" t="inlineStr">
        <is>
          <t>(A) For foundation in basements, rafts, footings, strap beams, bases of columns etc. upto plinth level</t>
        </is>
      </c>
      <c r="C20" s="118">
        <f>GF1_MES!K178</f>
        <v/>
      </c>
      <c r="D20" s="74" t="inlineStr">
        <is>
          <t>Sqm</t>
        </is>
      </c>
      <c r="E20" s="118" t="n">
        <v>60.95</v>
      </c>
      <c r="F20" s="74" t="inlineStr">
        <is>
          <t>P Sqm</t>
        </is>
      </c>
      <c r="G20" s="67">
        <f>IF(C20,ROUNDUP(C20*E20,0),"")</f>
        <v/>
      </c>
    </row>
    <row r="21" ht="90" customHeight="1" s="9">
      <c r="B21" s="155" t="inlineStr">
        <is>
          <t xml:space="preserve">(B) For suspended floors, roofs, landing staircases, landing balconies, girders, cantilevers, bands, copings, bed plates, anchor blocks, sills, chajjas etc. for superstructure upto 4.5 Mtr. height above plinth level </t>
        </is>
      </c>
      <c r="C21" s="118">
        <f>GF1_MES!K250</f>
        <v/>
      </c>
      <c r="D21" s="74" t="inlineStr">
        <is>
          <t>Sqm</t>
        </is>
      </c>
      <c r="E21" s="118" t="n">
        <v>80.5</v>
      </c>
      <c r="F21" s="74" t="inlineStr">
        <is>
          <t>P Sqm</t>
        </is>
      </c>
      <c r="G21" s="67">
        <f>IF(C21,ROUNDUP(C21*E21,0),"")</f>
        <v/>
      </c>
    </row>
    <row r="22" ht="210" customHeight="1" s="9">
      <c r="A22" s="156">
        <f>A19+1</f>
        <v/>
      </c>
      <c r="B22" s="155" t="inlineStr">
        <is>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upto 4.5 m height above plinth level.</t>
        </is>
      </c>
      <c r="C22" s="118">
        <f>GF1_MES!K297</f>
        <v/>
      </c>
      <c r="D22" s="110" t="inlineStr">
        <is>
          <t>Cum</t>
        </is>
      </c>
      <c r="E22" s="118">
        <f>1860+21</f>
        <v/>
      </c>
      <c r="F22" s="110" t="inlineStr">
        <is>
          <t>P Cum</t>
        </is>
      </c>
      <c r="G22" s="67">
        <f>IF(C22,ROUNDUP(C22*E22,0),"")</f>
        <v/>
      </c>
    </row>
    <row r="23" ht="60" customHeight="1" s="9">
      <c r="B23" s="147" t="inlineStr">
        <is>
          <t>(B) In Lintels,  chajjas, Shelves, vertical and horizontal individually or forming  box louvers, bands and facias and fins etc.. upto 4.5 m height above plinth level</t>
        </is>
      </c>
      <c r="C23" s="118">
        <f>GF1_MES!K314</f>
        <v/>
      </c>
      <c r="D23" s="110" t="inlineStr">
        <is>
          <t>Cum</t>
        </is>
      </c>
      <c r="E23" s="118">
        <f>1860+60</f>
        <v/>
      </c>
      <c r="F23" s="110" t="inlineStr">
        <is>
          <t>P Cum</t>
        </is>
      </c>
      <c r="G23" s="67">
        <f>IF(C23,ROUNDUP(C23*E23,0),"")</f>
        <v/>
      </c>
    </row>
    <row r="24" ht="30" customHeight="1" s="9">
      <c r="B24" s="147" t="inlineStr">
        <is>
          <t>(C) In foundations rafts , footings, strap beams, bases of columns</t>
        </is>
      </c>
      <c r="C24" s="118">
        <f>GF1_MES!K319</f>
        <v/>
      </c>
      <c r="D24" s="110" t="inlineStr">
        <is>
          <t>Cum</t>
        </is>
      </c>
      <c r="E24" s="118" t="n">
        <v>2139</v>
      </c>
      <c r="F24" s="110" t="inlineStr">
        <is>
          <t>P Cum</t>
        </is>
      </c>
      <c r="G24" s="67">
        <f>IF(C24,ROUNDUP(C24*E24,0),"")</f>
        <v/>
      </c>
    </row>
    <row r="25" ht="120" customHeight="1" s="9">
      <c r="A25" s="156">
        <f>A22+1</f>
        <v/>
      </c>
      <c r="B25" s="147"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25" s="193">
        <f>GF1_MES!K324</f>
        <v/>
      </c>
      <c r="D25" s="110" t="inlineStr">
        <is>
          <t>Kg</t>
        </is>
      </c>
      <c r="E25" s="118" t="n">
        <v>21.45</v>
      </c>
      <c r="F25" s="74" t="inlineStr">
        <is>
          <t>P Kg</t>
        </is>
      </c>
      <c r="G25" s="67">
        <f>IF(C25,ROUNDUP(C25*E25,0),"")</f>
        <v/>
      </c>
    </row>
    <row r="26" ht="45" customHeight="1" s="9">
      <c r="A26" s="156" t="n">
        <v>17.25</v>
      </c>
      <c r="B26" s="155" t="inlineStr">
        <is>
          <t>Plaster on new surface on walls in cement sand mortar 1:6 including raking of joints etc. complete fine finished : 20 mm thick.</t>
        </is>
      </c>
      <c r="C26" s="118">
        <f>GF1_MES!K386</f>
        <v/>
      </c>
      <c r="D26" s="110" t="inlineStr">
        <is>
          <t>Sqm</t>
        </is>
      </c>
      <c r="E26" s="118" t="n">
        <v>42.55</v>
      </c>
      <c r="F26" s="74" t="inlineStr">
        <is>
          <t>P Sqm</t>
        </is>
      </c>
      <c r="G26" s="67">
        <f>IF(C26,ROUNDUP(C26*E26,0),"")</f>
        <v/>
      </c>
    </row>
    <row r="27" ht="60" customHeight="1" s="9">
      <c r="A27" s="156" t="n">
        <v>18.4</v>
      </c>
      <c r="B27" s="155" t="inlineStr">
        <is>
          <t>Plaster on new surface over ceiling in cement sand mortar 1:3 including raking of joints etc. complete fine finished :12 mm thick.</t>
        </is>
      </c>
      <c r="C27" s="118">
        <f>GF1_MES!K390</f>
        <v/>
      </c>
      <c r="D27" s="110" t="inlineStr">
        <is>
          <t>Sqm</t>
        </is>
      </c>
      <c r="E27" s="118" t="n">
        <v>63.25</v>
      </c>
      <c r="F27" s="74" t="inlineStr">
        <is>
          <t>P Sqm</t>
        </is>
      </c>
      <c r="G27" s="67">
        <f>IF(C27,ROUNDUP(C27*E27,0),"")</f>
        <v/>
      </c>
    </row>
    <row r="28" ht="30" customHeight="1" s="9">
      <c r="A28" s="156" t="n">
        <v>19.55</v>
      </c>
      <c r="B28" s="147" t="inlineStr">
        <is>
          <t>Random rubble dry stone kharanja under floor.</t>
        </is>
      </c>
      <c r="C28" s="118">
        <f>GF1_MES!K392</f>
        <v/>
      </c>
      <c r="D28" s="110" t="inlineStr">
        <is>
          <t>Cum</t>
        </is>
      </c>
      <c r="E28" s="118" t="n">
        <v>207</v>
      </c>
      <c r="F28" s="110" t="inlineStr">
        <is>
          <t>P Cum</t>
        </is>
      </c>
      <c r="G28" s="67">
        <f>IF(C28,ROUNDUP(C28*E28,0),"")</f>
        <v/>
      </c>
    </row>
    <row r="29" ht="210" customHeight="1" s="9">
      <c r="A29" s="156">
        <f>A28+1</f>
        <v/>
      </c>
      <c r="B29" s="183">
        <f>GF1_MES!B394</f>
        <v/>
      </c>
      <c r="C29" s="118">
        <f>GF1_MES!K401</f>
        <v/>
      </c>
      <c r="D29" s="110" t="inlineStr">
        <is>
          <t>Kg</t>
        </is>
      </c>
      <c r="E29" s="118" t="n">
        <v>29.9</v>
      </c>
      <c r="F29" s="74" t="inlineStr">
        <is>
          <t>P Kg</t>
        </is>
      </c>
      <c r="G29" s="67">
        <f>IF(C29,ROUNDUP(C29*E29,0),"")</f>
        <v/>
      </c>
    </row>
    <row r="30" ht="300" customHeight="1" s="9">
      <c r="A30" s="156" t="n">
        <v>21.85</v>
      </c>
      <c r="B30" s="183"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is>
      </c>
      <c r="C30" s="118">
        <f>GF1_MES!K409</f>
        <v/>
      </c>
      <c r="D30" s="110" t="inlineStr">
        <is>
          <t>Sqm</t>
        </is>
      </c>
      <c r="E30" s="118" t="n">
        <v>805</v>
      </c>
      <c r="F30" s="74" t="inlineStr">
        <is>
          <t>P Sqm</t>
        </is>
      </c>
      <c r="G30" s="67">
        <f>IF(C30,ROUNDUP(C30*E30,0),"")</f>
        <v/>
      </c>
    </row>
    <row r="31" ht="30" customHeight="1" s="9">
      <c r="A31" s="156">
        <f>A30+1</f>
        <v/>
      </c>
      <c r="B31" s="147" t="inlineStr">
        <is>
          <t>Providing and fixing square bars or other flat welded to window, ventilators etc.</t>
        </is>
      </c>
      <c r="C31" s="118">
        <f>GF1_MES!K418</f>
        <v/>
      </c>
      <c r="D31" s="110" t="inlineStr">
        <is>
          <t>Kg</t>
        </is>
      </c>
      <c r="E31" s="118" t="n">
        <v>21.85</v>
      </c>
      <c r="F31" s="74" t="inlineStr">
        <is>
          <t>P Kg</t>
        </is>
      </c>
      <c r="G31" s="67">
        <f>IF(C31,ROUNDUP(C31*E31,0),"")</f>
        <v/>
      </c>
    </row>
    <row r="32" ht="75" customHeight="1" s="9">
      <c r="A32" s="156">
        <f>A31+1</f>
        <v/>
      </c>
      <c r="B32" s="147" t="inlineStr">
        <is>
          <t>Supplying and fixing wire gauge of 14 mesh x 24 gauge to the metal frame of rolled section by metal beading 20 x 3 mm with suitable screw at not exceeding 150 mm distance.</t>
        </is>
      </c>
      <c r="C32" s="118">
        <f>GF1_MES!K420</f>
        <v/>
      </c>
      <c r="D32" s="110" t="inlineStr">
        <is>
          <t>Sqm</t>
        </is>
      </c>
      <c r="E32" s="118" t="n">
        <v>212.75</v>
      </c>
      <c r="F32" s="74" t="inlineStr">
        <is>
          <t>P Sqm</t>
        </is>
      </c>
      <c r="G32" s="67">
        <f>IF(C32,ROUNDUP(C32*E32,0),"")</f>
        <v/>
      </c>
    </row>
    <row r="33" ht="90" customHeight="1" s="9">
      <c r="A33" s="156">
        <f>A32+1</f>
        <v/>
      </c>
      <c r="B33" s="155" t="inlineStr">
        <is>
          <t>Supplying and fixing in cement mortar welded hand railing made out of MS round or square bars flats. etc. for staircase or verandah as per design complete in all respect (wooden or PVC hand railing to be paid extra) with priming coat of red oxide.</t>
        </is>
      </c>
      <c r="C33" s="118">
        <f>GF1_MES!K430</f>
        <v/>
      </c>
      <c r="D33" s="110" t="inlineStr">
        <is>
          <t>Kg</t>
        </is>
      </c>
      <c r="E33" s="118" t="n">
        <v>34.5</v>
      </c>
      <c r="F33" s="74" t="inlineStr">
        <is>
          <t>P Kg</t>
        </is>
      </c>
      <c r="G33" s="67">
        <f>IF(C33,ROUNDUP(C33*E33,0),"")</f>
        <v/>
      </c>
    </row>
    <row r="34" ht="90" customFormat="1" customHeight="1" s="110">
      <c r="A34" s="83" t="n">
        <v>26.45</v>
      </c>
      <c r="B34" s="169" t="inlineStr">
        <is>
          <t>Cement concrete including curing compaction etc. complete using stone aggregate 40 mm nominal size in foundation plinth, excluding the cost of shuttering, using : 1 Cement : 5 Sand : 10 aggregate Mix. (under floor)</t>
        </is>
      </c>
      <c r="C34" s="118">
        <f>GF1_MES!K432</f>
        <v/>
      </c>
      <c r="D34" s="110" t="inlineStr">
        <is>
          <t>Cum</t>
        </is>
      </c>
      <c r="E34" s="118" t="n">
        <v>977.5</v>
      </c>
      <c r="F34" s="110" t="inlineStr">
        <is>
          <t>P Cum</t>
        </is>
      </c>
      <c r="G34" s="67">
        <f>IF(C34,ROUNDUP(C34*E34,0),"")</f>
        <v/>
      </c>
    </row>
    <row r="35" ht="75" customHeight="1" s="9">
      <c r="A35" s="156" t="n">
        <v>27.6</v>
      </c>
      <c r="B35" s="147" t="inlineStr">
        <is>
          <t xml:space="preserve">Polished Blue Kota stone flooring skirting laid over 20 mm thick base CM 1:4 and jointed with Grey cement slurry to match the shade of the slab including rubbing and polishing complete </t>
        </is>
      </c>
      <c r="F35" s="74" t="n"/>
      <c r="G35" s="67" t="n"/>
    </row>
    <row r="36" ht="30" customHeight="1" s="9">
      <c r="B36" s="147" t="inlineStr">
        <is>
          <t>(a) for area of each slab from 901  to 2000 sq. cm 20 mm thick  slab.</t>
        </is>
      </c>
      <c r="C36" s="118">
        <f>GF1_MES!K437</f>
        <v/>
      </c>
      <c r="D36" s="110" t="inlineStr">
        <is>
          <t>Sqm</t>
        </is>
      </c>
      <c r="E36" s="118" t="n">
        <v>310.5</v>
      </c>
      <c r="F36" s="74" t="inlineStr">
        <is>
          <t>P Sqm</t>
        </is>
      </c>
      <c r="G36" s="67">
        <f>IF(C36,ROUNDUP(C36*E36,0),"")</f>
        <v/>
      </c>
    </row>
    <row r="37" ht="30" customHeight="1" s="9">
      <c r="B37" s="147" t="inlineStr">
        <is>
          <t>(b) for area of each slab from 2001  to 5000 sq. cm 20 mm thick  slab.</t>
        </is>
      </c>
      <c r="C37" s="118">
        <f>GF1_MES!K480</f>
        <v/>
      </c>
      <c r="D37" s="110" t="inlineStr">
        <is>
          <t>Sqm</t>
        </is>
      </c>
      <c r="E37" s="118" t="n">
        <v>345</v>
      </c>
      <c r="F37" s="74" t="inlineStr">
        <is>
          <t>P Sqm</t>
        </is>
      </c>
      <c r="G37" s="67">
        <f>IF(C37,ROUNDUP(C37*E37,0),"")</f>
        <v/>
      </c>
    </row>
    <row r="38" ht="60" customHeight="1" s="9">
      <c r="A38" s="156" t="n">
        <v>28.75</v>
      </c>
      <c r="B38" s="155" t="inlineStr">
        <is>
          <t xml:space="preserve">Supplying and fixing in wall machine cut and polished stone shelves, tands and sills in cement mortar 1:3 with machine cut edge.  </t>
        </is>
      </c>
      <c r="G38" s="67">
        <f>IF(C38,ROUNDUP(C38*E38,0),"")</f>
        <v/>
      </c>
    </row>
    <row r="39">
      <c r="B39" s="147" t="inlineStr">
        <is>
          <t>(A) Kota stone 25 to 30 mm thick</t>
        </is>
      </c>
      <c r="C39" s="118">
        <f>GF1_MES!K505</f>
        <v/>
      </c>
      <c r="D39" s="110" t="inlineStr">
        <is>
          <t>Sqm</t>
        </is>
      </c>
      <c r="E39" s="118" t="n">
        <v>339.25</v>
      </c>
      <c r="F39" s="74" t="inlineStr">
        <is>
          <t>P Sqm</t>
        </is>
      </c>
      <c r="G39" s="67">
        <f>IF(C39,ROUNDUP(C39*E39,0),"")</f>
        <v/>
      </c>
    </row>
    <row r="40" ht="30" customHeight="1" s="9">
      <c r="B40" s="147" t="inlineStr">
        <is>
          <t>(B) Sand or other approved  stone 50 mm thick</t>
        </is>
      </c>
      <c r="C40" s="118">
        <f>GF1_MES!K510</f>
        <v/>
      </c>
      <c r="D40" s="110" t="inlineStr">
        <is>
          <t>Sqm</t>
        </is>
      </c>
      <c r="E40" s="118" t="n">
        <v>293.25</v>
      </c>
      <c r="F40" s="74" t="inlineStr">
        <is>
          <t>P Sqm</t>
        </is>
      </c>
      <c r="G40" s="67">
        <f>IF(C40,ROUNDUP(C40*E40,0),"")</f>
        <v/>
      </c>
    </row>
    <row r="41" ht="180" customHeight="1" s="9">
      <c r="A41" s="156">
        <f>A38+1</f>
        <v/>
      </c>
      <c r="B41" s="152"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1" s="118">
        <f>GF1_MES!K513</f>
        <v/>
      </c>
      <c r="D41" s="110" t="inlineStr">
        <is>
          <t>Sqm</t>
        </is>
      </c>
      <c r="E41" s="118" t="n">
        <v>1426</v>
      </c>
      <c r="F41" s="74" t="inlineStr">
        <is>
          <t>P Sqm</t>
        </is>
      </c>
      <c r="G41" s="67">
        <f>IF(C41,ROUNDUP(C41*E41,0),"")</f>
        <v/>
      </c>
    </row>
    <row r="42" ht="180" customHeight="1" s="9">
      <c r="A42" s="156" t="n">
        <v>31.05</v>
      </c>
      <c r="B42" s="183"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42" s="118">
        <f>GF1_MES!K519</f>
        <v/>
      </c>
      <c r="D42" s="110" t="inlineStr">
        <is>
          <t>Sqm</t>
        </is>
      </c>
      <c r="E42" s="118">
        <f>0.8*1240</f>
        <v/>
      </c>
      <c r="F42" s="74" t="inlineStr">
        <is>
          <t>P Sqm</t>
        </is>
      </c>
      <c r="G42" s="67">
        <f>IF(C42,ROUNDUP(C42*E42,0),"")</f>
        <v/>
      </c>
    </row>
    <row r="43" ht="90" customHeight="1" s="9">
      <c r="A43" s="156" t="n">
        <v>32.2</v>
      </c>
      <c r="B43" s="147" t="inlineStr">
        <is>
          <t>Distempering with oil bound washable distemper of approved brand &amp; manufacture to give an even shade including all scaffolding, New work (two or more coats over and including priming coat with distemper primer).</t>
        </is>
      </c>
      <c r="C43" s="118">
        <f>GF1_MES!K524</f>
        <v/>
      </c>
      <c r="D43" s="110" t="inlineStr">
        <is>
          <t>Sqm</t>
        </is>
      </c>
      <c r="E43" s="118" t="n">
        <v>20.24</v>
      </c>
      <c r="F43" s="74" t="inlineStr">
        <is>
          <t>P Sqm</t>
        </is>
      </c>
      <c r="G43" s="67">
        <f>IF(C43,ROUNDUP(C43*E43,0),"")</f>
        <v/>
      </c>
    </row>
    <row r="44" ht="75" customHeight="1" s="9">
      <c r="A44" s="156">
        <f>A43+1</f>
        <v/>
      </c>
      <c r="B44" s="147" t="inlineStr">
        <is>
          <t>Finishing wall with water proofing cement paint of approved brand &amp; manufacture and of required shade to give an even shade including all scaffolding New Work (Three or more coat).</t>
        </is>
      </c>
      <c r="C44" s="118">
        <f>GF1_MES!K526</f>
        <v/>
      </c>
      <c r="D44" s="110" t="inlineStr">
        <is>
          <t>Sqm</t>
        </is>
      </c>
      <c r="E44" s="118" t="n">
        <v>17.25</v>
      </c>
      <c r="F44" s="74" t="inlineStr">
        <is>
          <t>P Sqm</t>
        </is>
      </c>
      <c r="G44" s="67">
        <f>IF(C44,ROUNDUP(C44*E44,0),"")</f>
        <v/>
      </c>
    </row>
    <row r="45" ht="60" customHeight="1" s="9">
      <c r="A45" s="156">
        <f>A44+1</f>
        <v/>
      </c>
      <c r="B45" s="147" t="inlineStr">
        <is>
          <t>Applying priming coat with ready mix pink or Grey primer of approved brand and manufacture on wood work hard and soft wood.</t>
        </is>
      </c>
      <c r="C45" s="118">
        <f>GF1_MES!K534</f>
        <v/>
      </c>
      <c r="D45" s="110" t="inlineStr">
        <is>
          <t>Sqm</t>
        </is>
      </c>
      <c r="E45" s="118" t="n">
        <v>9</v>
      </c>
      <c r="F45" s="74" t="inlineStr">
        <is>
          <t>P Sqm</t>
        </is>
      </c>
      <c r="G45" s="67">
        <f>IF(C45,ROUNDUP(C45*E45,0),"")</f>
        <v/>
      </c>
    </row>
    <row r="46" ht="45" customHeight="1" s="9">
      <c r="A46" s="156">
        <f>A45+1</f>
        <v/>
      </c>
      <c r="B46" s="155" t="inlineStr">
        <is>
          <t>Painting with enamel paint of approved brand and manufacture to give an even shade two or more coats on new work.</t>
        </is>
      </c>
      <c r="C46" s="118">
        <f>GF1_MES!K536</f>
        <v/>
      </c>
      <c r="D46" s="110" t="inlineStr">
        <is>
          <t>Sqm</t>
        </is>
      </c>
      <c r="E46" s="118" t="n">
        <v>27.6</v>
      </c>
      <c r="F46" s="74" t="inlineStr">
        <is>
          <t>P Sqm</t>
        </is>
      </c>
      <c r="G46" s="67">
        <f>IF(C46,ROUNDUP(C46*E46,0),"")</f>
        <v/>
      </c>
    </row>
    <row r="47" ht="60" customHeight="1" s="9">
      <c r="A47" s="1" t="n">
        <v>36.8</v>
      </c>
      <c r="B47" s="19" t="inlineStr">
        <is>
          <t>Spreading of hot blown bitumen (IS grade 85/25, 90/25 industrial grade) applied at 175 to 180 C @ rate of 1.75 Kg. per Sqm. complete.</t>
        </is>
      </c>
      <c r="C47" s="92">
        <f>GF1_MES!K547</f>
        <v/>
      </c>
      <c r="D47" s="44" t="inlineStr">
        <is>
          <t>Sqm</t>
        </is>
      </c>
      <c r="E47" s="92" t="n">
        <v>23</v>
      </c>
      <c r="F47" s="175" t="inlineStr">
        <is>
          <t>P Sqm</t>
        </is>
      </c>
      <c r="G47" s="67">
        <f>IF(C47,ROUNDUP(C47*E47,0),"")</f>
        <v/>
      </c>
    </row>
    <row r="48" ht="45" customHeight="1" s="9">
      <c r="A48" s="1" t="n">
        <v>37.95</v>
      </c>
      <c r="B48" s="155" t="inlineStr">
        <is>
          <t xml:space="preserve">Providing brick kharanja in cement sand mortar 1 : 4 in square pattern over roof of ground  floor  75 to 100 mm thick average. </t>
        </is>
      </c>
      <c r="C48" s="92">
        <f>GF1_MES!K547</f>
        <v/>
      </c>
      <c r="D48" s="44" t="inlineStr">
        <is>
          <t>Sqm</t>
        </is>
      </c>
      <c r="E48" s="92" t="n">
        <v>104.65</v>
      </c>
      <c r="F48" s="175" t="inlineStr">
        <is>
          <t>P Sqm</t>
        </is>
      </c>
      <c r="G48" s="67">
        <f>IF(C48,ROUNDUP(C48*E48,0),"")</f>
        <v/>
      </c>
    </row>
    <row r="49" ht="60" customHeight="1" s="9">
      <c r="A49" s="1" t="n">
        <v>39.1</v>
      </c>
      <c r="B49" s="155" t="inlineStr">
        <is>
          <t>Providing batta (gola) 75 mm x 75 mm in cement concrete (1 :2 :4) including finishing with cement mortar 1 : 3 as per standard design.</t>
        </is>
      </c>
      <c r="C49" s="92">
        <f>GF1_MES!K550</f>
        <v/>
      </c>
      <c r="D49" s="44" t="inlineStr">
        <is>
          <t>RM</t>
        </is>
      </c>
      <c r="E49" s="92" t="n">
        <v>20.7</v>
      </c>
      <c r="F49" s="175" t="inlineStr">
        <is>
          <t>P RM</t>
        </is>
      </c>
      <c r="G49" s="67">
        <f>IF(C49,ROUNDUP(C49*E49,0),"")</f>
        <v/>
      </c>
    </row>
    <row r="50" ht="75" customHeight="1" s="9">
      <c r="A50" s="1" t="n">
        <v>40.25</v>
      </c>
      <c r="B50" s="155" t="inlineStr">
        <is>
          <t xml:space="preserve">Finishing with  25 mm thick cement plaster on roofs in cement sand mortar 1:4 mix including water proofing compound @ 2% of cement used with neat cement finishing, curing etc. complete in all respects. </t>
        </is>
      </c>
      <c r="C50" s="92">
        <f>GF1_MES!K551</f>
        <v/>
      </c>
      <c r="D50" s="44" t="inlineStr">
        <is>
          <t>Sqm</t>
        </is>
      </c>
      <c r="E50" s="92" t="n">
        <v>69</v>
      </c>
      <c r="F50" s="175" t="inlineStr">
        <is>
          <t>P Sqm</t>
        </is>
      </c>
      <c r="G50" s="67">
        <f>IF(C50,ROUNDUP(C50*E50,0),"")</f>
        <v/>
      </c>
    </row>
    <row r="51" ht="105" customHeight="1" s="9">
      <c r="A51" s="156" t="n">
        <v>41.4</v>
      </c>
      <c r="B51" s="147" t="inlineStr">
        <is>
          <t>Providing and fixing Ist quality white Glazed  Tiles of approved make &amp; size (Somani, Johnson etc.)  5 mm thick in walls, floors, steps, pillars etc. laid on a bed of neat cement slurry  finished with flush pointing with white cement  ( excluding cost of cement plaster)</t>
        </is>
      </c>
      <c r="C51" s="92">
        <f>GF1_MES!K558</f>
        <v/>
      </c>
      <c r="D51" s="44" t="inlineStr">
        <is>
          <t>Sqm</t>
        </is>
      </c>
      <c r="E51" s="92" t="n">
        <v>488.75</v>
      </c>
      <c r="F51" s="175" t="inlineStr">
        <is>
          <t>P Sqm</t>
        </is>
      </c>
      <c r="G51" s="67">
        <f>IF(C51,ROUNDUP(C51*E51,0),"")</f>
        <v/>
      </c>
    </row>
    <row r="52" ht="45" customFormat="1" customHeight="1" s="110">
      <c r="A52" s="156" t="n">
        <v>42.55</v>
      </c>
      <c r="B52" s="183">
        <f>GF1_MES!B559</f>
        <v/>
      </c>
      <c r="C52" s="92">
        <f>GF1_MES!K560</f>
        <v/>
      </c>
      <c r="D52" s="44" t="inlineStr">
        <is>
          <t>Nos.</t>
        </is>
      </c>
      <c r="E52" s="92" t="n">
        <v>276</v>
      </c>
      <c r="F52" s="39" t="inlineStr">
        <is>
          <t>Each</t>
        </is>
      </c>
      <c r="G52" s="67">
        <f>IF(C52,ROUNDUP(C52*E52,0),"")</f>
        <v/>
      </c>
    </row>
    <row r="53" ht="45" customHeight="1" s="9">
      <c r="A53" s="156" t="n">
        <v>43.7</v>
      </c>
      <c r="B53" s="147" t="inlineStr">
        <is>
          <t>Providing and fixing precast cement concrete coping 1:2:4 mix 50 mm thick complete as per specification .</t>
        </is>
      </c>
      <c r="C53" s="92">
        <f>GF1_MES!K564</f>
        <v/>
      </c>
      <c r="D53" s="44" t="inlineStr">
        <is>
          <t>Sqm</t>
        </is>
      </c>
      <c r="E53" s="92" t="n">
        <v>97.75</v>
      </c>
      <c r="F53" s="175" t="inlineStr">
        <is>
          <t>P Sqm</t>
        </is>
      </c>
      <c r="G53" s="67">
        <f>IF(C53,ROUNDUP(C53*E53,0),"")</f>
        <v/>
      </c>
    </row>
    <row r="54" ht="210" customHeight="1" s="9">
      <c r="A54" s="156" t="n">
        <v>44.85</v>
      </c>
      <c r="B54" s="152" t="inlineStr">
        <is>
          <t>Supplying and fixing rolling shutters of approved make, made of 80 x 1.25 mm MS laths interlocked together through their entire length and jointed together at the end by end locks mounted on specially designed pipe shaft with brackets, side guides and arrangement for inside and outside locking with push and pull operation complete including cost of spring hooks, providing and fixing necessary 25.3 cm long wire springs grade No.2 and MS top cover 1.25 mm thick for rolling shutters as per design. (Clear openable area to be measured.)</t>
        </is>
      </c>
      <c r="C54" s="118">
        <f>GF1_MES!K565</f>
        <v/>
      </c>
      <c r="D54" s="110" t="inlineStr">
        <is>
          <t>Sqm</t>
        </is>
      </c>
      <c r="E54" s="118" t="n">
        <v>672.75</v>
      </c>
      <c r="F54" s="74" t="inlineStr">
        <is>
          <t>P Sqm</t>
        </is>
      </c>
      <c r="G54" s="67">
        <f>IF(C54,ROUNDUP(C54*E54,0),"")</f>
        <v/>
      </c>
    </row>
    <row r="55">
      <c r="C55" s="110" t="n"/>
      <c r="E55" s="158" t="inlineStr">
        <is>
          <t xml:space="preserve">Total </t>
        </is>
      </c>
      <c r="F55" s="34" t="inlineStr">
        <is>
          <t>Rs.</t>
        </is>
      </c>
      <c r="G55" s="34">
        <f>SUM(G5:G54)</f>
        <v/>
      </c>
    </row>
    <row r="56">
      <c r="C56" s="110" t="n"/>
      <c r="F56" s="67" t="n"/>
      <c r="G56" s="67" t="n"/>
    </row>
    <row r="57">
      <c r="C57" s="110" t="n"/>
      <c r="F57" s="67" t="n"/>
      <c r="G57" s="67" t="n"/>
    </row>
    <row r="58" ht="15.75" customFormat="1" customHeight="1" s="204">
      <c r="A58" s="78" t="n"/>
      <c r="B58" s="157" t="inlineStr">
        <is>
          <t>ASSISTANT ENGINEER,</t>
        </is>
      </c>
      <c r="C58" s="110" t="n"/>
      <c r="D58" s="108" t="inlineStr">
        <is>
          <t>EXECUTIVE  ENGINEER,</t>
        </is>
      </c>
      <c r="E58" s="110" t="n"/>
      <c r="F58" s="53" t="n"/>
    </row>
    <row r="59" ht="15.75" customFormat="1" customHeight="1" s="204">
      <c r="A59" s="78" t="n"/>
      <c r="B59" s="157" t="inlineStr">
        <is>
          <t>P.W.D. Sub Div.- NATHDWARA</t>
        </is>
      </c>
      <c r="C59" s="110" t="n"/>
      <c r="D59" s="78" t="inlineStr">
        <is>
          <t>P.W.D. Div.- RAJSAMAND</t>
        </is>
      </c>
      <c r="E59" s="110" t="n"/>
      <c r="F59" s="53" t="n"/>
    </row>
  </sheetData>
  <mergeCells count="3">
    <mergeCell ref="A3:G3"/>
    <mergeCell ref="A2:G2"/>
    <mergeCell ref="A1:G1"/>
  </mergeCells>
  <printOptions horizontalCentered="1"/>
  <pageMargins left="0.62" right="0.18" top="0.73" bottom="0.79" header="0.5" footer="0.48"/>
  <pageSetup orientation="portrait" paperSize="9" fitToHeight="8" useFirstPageNumber="1" horizontalDpi="180" verticalDpi="180"/>
  <headerFooter alignWithMargins="0">
    <oddHeader/>
    <oddFooter>&amp;C&amp;F -  &amp;P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584"/>
  <sheetViews>
    <sheetView tabSelected="1" topLeftCell="A144" zoomScaleNormal="75" zoomScaleSheetLayoutView="75" workbookViewId="0">
      <selection activeCell="E146" sqref="E146"/>
    </sheetView>
    <sheetView topLeftCell="A165" workbookViewId="1">
      <selection activeCell="A173" sqref="A173"/>
    </sheetView>
    <sheetView topLeftCell="A560" zoomScale="75" workbookViewId="2">
      <selection activeCell="K565" sqref="K565"/>
    </sheetView>
  </sheetViews>
  <sheetFormatPr baseColWidth="8" defaultRowHeight="15"/>
  <cols>
    <col width="3.44140625" customWidth="1" style="83" min="1" max="1"/>
    <col width="33" customWidth="1" style="183" min="2" max="2"/>
    <col width="5.44140625" customWidth="1" style="66" min="3" max="3"/>
    <col width="2.5546875" customWidth="1" style="110" min="4" max="4"/>
    <col width="9" customWidth="1" style="118" min="5" max="5"/>
    <col width="2.21875" customWidth="1" style="110" min="6" max="6"/>
    <col width="6.5546875" customWidth="1" style="67" min="7" max="7"/>
    <col width="2" customWidth="1" style="110" min="8" max="8"/>
    <col width="6.33203125" customWidth="1" style="118" min="9" max="9"/>
    <col width="2" customWidth="1" style="110" min="10" max="10"/>
    <col width="10.33203125" customWidth="1" style="118" min="11" max="11"/>
    <col width="5.33203125" customWidth="1" style="110" min="12" max="12"/>
    <col width="8.88671875" customWidth="1" style="110" min="13" max="16384"/>
  </cols>
  <sheetData>
    <row r="1" ht="18" customFormat="1" customHeight="1" s="110">
      <c r="A1" s="211">
        <f>'gen-abstract'!A2</f>
        <v/>
      </c>
    </row>
    <row r="2" customFormat="1" s="110">
      <c r="A2" s="215" t="inlineStr">
        <is>
          <t xml:space="preserve">PART 'A'  CIVIL WORK GROUND  FLOOR </t>
        </is>
      </c>
    </row>
    <row r="3" customFormat="1" s="110">
      <c r="A3" s="215" t="inlineStr">
        <is>
          <t>DETAILS OF MEASUREMENTS</t>
        </is>
      </c>
    </row>
    <row r="4" customFormat="1" s="215">
      <c r="A4" s="27" t="inlineStr">
        <is>
          <t>S.N.</t>
        </is>
      </c>
      <c r="B4" s="171" t="inlineStr">
        <is>
          <t>Particulars</t>
        </is>
      </c>
      <c r="C4" s="49" t="inlineStr">
        <is>
          <t>Nos.</t>
        </is>
      </c>
      <c r="D4" s="29" t="n"/>
      <c r="E4" s="30" t="inlineStr">
        <is>
          <t>Length</t>
        </is>
      </c>
      <c r="F4" s="29" t="n"/>
      <c r="G4" s="30" t="inlineStr">
        <is>
          <t xml:space="preserve">Breadth </t>
        </is>
      </c>
      <c r="H4" s="30" t="n"/>
      <c r="I4" s="30" t="inlineStr">
        <is>
          <t>Height</t>
        </is>
      </c>
      <c r="J4" s="30" t="n"/>
      <c r="K4" s="30" t="inlineStr">
        <is>
          <t>Qty.</t>
        </is>
      </c>
      <c r="L4" s="30" t="inlineStr">
        <is>
          <t>Units</t>
        </is>
      </c>
    </row>
    <row r="5" customFormat="1" s="110">
      <c r="A5" s="83" t="n"/>
      <c r="B5" s="154" t="inlineStr">
        <is>
          <t>Center to center distances</t>
        </is>
      </c>
      <c r="C5" s="118" t="n"/>
      <c r="D5" s="44" t="n"/>
      <c r="E5" s="118" t="n"/>
      <c r="F5" s="44" t="n"/>
      <c r="G5" s="67" t="n"/>
    </row>
    <row r="6" customFormat="1" s="110">
      <c r="A6" s="83" t="n"/>
      <c r="B6" s="154" t="inlineStr">
        <is>
          <t xml:space="preserve">Ground Floor </t>
        </is>
      </c>
      <c r="C6" s="118" t="n"/>
      <c r="D6" s="44" t="n"/>
      <c r="E6" s="118" t="n"/>
      <c r="F6" s="44" t="n"/>
      <c r="G6" s="67" t="n"/>
    </row>
    <row r="7" customFormat="1" s="110">
      <c r="A7" s="83" t="n"/>
      <c r="B7" s="154" t="inlineStr">
        <is>
          <t xml:space="preserve"> Main walls 300 mm th. in Y Direction</t>
        </is>
      </c>
      <c r="C7" s="118" t="n"/>
      <c r="D7" s="44" t="n"/>
      <c r="E7" s="118" t="n"/>
      <c r="F7" s="44" t="n"/>
      <c r="G7" s="67" t="n"/>
    </row>
    <row r="8" customFormat="1" s="110">
      <c r="A8" s="140" t="n"/>
      <c r="B8" s="183" t="inlineStr">
        <is>
          <t>LS Garage</t>
        </is>
      </c>
      <c r="C8" s="66" t="n">
        <v>2</v>
      </c>
      <c r="D8" s="110" t="inlineStr">
        <is>
          <t>x</t>
        </is>
      </c>
      <c r="E8" s="118" t="n">
        <v>9.23</v>
      </c>
      <c r="G8" s="67" t="n"/>
      <c r="I8" s="118" t="n"/>
      <c r="J8" s="76" t="inlineStr">
        <is>
          <t>=</t>
        </is>
      </c>
      <c r="K8" s="118">
        <f>IF(C8,C8*E8,"")</f>
        <v/>
      </c>
      <c r="L8" s="66" t="inlineStr">
        <is>
          <t>RM</t>
        </is>
      </c>
    </row>
    <row r="9" customFormat="1" s="110">
      <c r="A9" s="83" t="n"/>
      <c r="B9" s="183" t="inlineStr">
        <is>
          <t>LS Garage - Var1</t>
        </is>
      </c>
      <c r="C9" s="66" t="n">
        <v>2</v>
      </c>
      <c r="D9" s="110" t="inlineStr">
        <is>
          <t>x</t>
        </is>
      </c>
      <c r="E9" s="118" t="n">
        <v>7.85</v>
      </c>
      <c r="G9" s="67" t="n"/>
      <c r="I9" s="118" t="n"/>
      <c r="J9" s="110" t="inlineStr">
        <is>
          <t>=</t>
        </is>
      </c>
      <c r="K9" s="118">
        <f>IF(C8,C8*E8,"")</f>
        <v/>
      </c>
      <c r="L9" s="66" t="inlineStr">
        <is>
          <t>RM</t>
        </is>
      </c>
    </row>
    <row r="10" customFormat="1" s="110">
      <c r="A10" s="83" t="n"/>
      <c r="B10" s="183" t="inlineStr">
        <is>
          <t>LS Garage - Var2</t>
        </is>
      </c>
      <c r="C10" s="66" t="n">
        <v>2</v>
      </c>
      <c r="D10" s="110" t="inlineStr">
        <is>
          <t>x</t>
        </is>
      </c>
      <c r="E10" s="118" t="n">
        <v>9.23</v>
      </c>
      <c r="G10" s="67" t="n"/>
      <c r="I10" s="118" t="n"/>
      <c r="J10" s="110" t="inlineStr">
        <is>
          <t>=</t>
        </is>
      </c>
      <c r="K10" s="118">
        <f>IF(C8,C8*E8,"")</f>
        <v/>
      </c>
      <c r="L10" s="66" t="inlineStr">
        <is>
          <t>RM</t>
        </is>
      </c>
    </row>
    <row r="11" customFormat="1" s="110">
      <c r="A11" s="83" t="n"/>
      <c r="B11" s="183" t="inlineStr">
        <is>
          <t>LS Garage - Var3</t>
        </is>
      </c>
      <c r="C11" s="66" t="n">
        <v>2</v>
      </c>
      <c r="D11" s="110" t="inlineStr">
        <is>
          <t>x</t>
        </is>
      </c>
      <c r="E11" s="118" t="n">
        <v>10.61</v>
      </c>
      <c r="G11" s="67" t="n"/>
      <c r="I11" s="118" t="n"/>
      <c r="J11" s="110" t="inlineStr">
        <is>
          <t>=</t>
        </is>
      </c>
      <c r="K11" s="118">
        <f>IF(C8,C8*E8,"")</f>
        <v/>
      </c>
      <c r="L11" s="66" t="inlineStr">
        <is>
          <t>RM</t>
        </is>
      </c>
    </row>
    <row r="12" customFormat="1" s="110">
      <c r="A12" s="140" t="n"/>
      <c r="B12" s="183" t="inlineStr">
        <is>
          <t>LS Library</t>
        </is>
      </c>
      <c r="C12" s="66" t="n">
        <v>1</v>
      </c>
      <c r="D12" s="110" t="inlineStr">
        <is>
          <t>x</t>
        </is>
      </c>
      <c r="E12" s="118" t="n">
        <v>3.51</v>
      </c>
      <c r="G12" s="67" t="n"/>
      <c r="I12" s="118" t="n"/>
      <c r="J12" s="76" t="inlineStr">
        <is>
          <t>=</t>
        </is>
      </c>
      <c r="K12" s="118">
        <f>IF(C9,C9*E9,"")</f>
        <v/>
      </c>
      <c r="L12" s="66" t="inlineStr">
        <is>
          <t>RM</t>
        </is>
      </c>
    </row>
    <row r="13" customFormat="1" s="110">
      <c r="A13" s="83" t="n"/>
      <c r="B13" s="183" t="inlineStr">
        <is>
          <t>LS Garage - Var1 - Var1</t>
        </is>
      </c>
      <c r="C13" s="66" t="n">
        <v>2</v>
      </c>
      <c r="D13" s="110" t="inlineStr">
        <is>
          <t>x</t>
        </is>
      </c>
      <c r="E13" s="118" t="n">
        <v>6.67</v>
      </c>
      <c r="G13" s="67" t="n"/>
      <c r="I13" s="118" t="n"/>
      <c r="J13" s="110" t="inlineStr">
        <is>
          <t>=</t>
        </is>
      </c>
      <c r="K13" s="118">
        <f>IF(C8,C8*E8,"")</f>
        <v/>
      </c>
      <c r="L13" s="66" t="inlineStr">
        <is>
          <t>RM</t>
        </is>
      </c>
    </row>
    <row r="14" customFormat="1" s="110">
      <c r="A14" s="83" t="n"/>
      <c r="B14" s="183" t="inlineStr">
        <is>
          <t>LS Garage - Var1 - Var2</t>
        </is>
      </c>
      <c r="C14" s="66" t="n">
        <v>2</v>
      </c>
      <c r="D14" s="110" t="inlineStr">
        <is>
          <t>x</t>
        </is>
      </c>
      <c r="E14" s="118" t="n">
        <v>7.85</v>
      </c>
      <c r="G14" s="67" t="n"/>
      <c r="I14" s="118" t="n"/>
      <c r="J14" s="110" t="inlineStr">
        <is>
          <t>=</t>
        </is>
      </c>
      <c r="K14" s="118">
        <f>IF(C8,C8*E8,"")</f>
        <v/>
      </c>
      <c r="L14" s="66" t="inlineStr">
        <is>
          <t>RM</t>
        </is>
      </c>
    </row>
    <row r="15" customFormat="1" s="110">
      <c r="A15" s="83" t="n"/>
      <c r="B15" s="183" t="inlineStr">
        <is>
          <t>LS Garage - Var1 - Var3</t>
        </is>
      </c>
      <c r="C15" s="66" t="n">
        <v>2</v>
      </c>
      <c r="D15" s="110" t="inlineStr">
        <is>
          <t>x</t>
        </is>
      </c>
      <c r="E15" s="118" t="n">
        <v>9.029999999999999</v>
      </c>
      <c r="G15" s="67" t="n"/>
      <c r="I15" s="118" t="n"/>
      <c r="J15" s="110" t="inlineStr">
        <is>
          <t>=</t>
        </is>
      </c>
      <c r="K15" s="118">
        <f>IF(C8,C8*E8,"")</f>
        <v/>
      </c>
      <c r="L15" s="66" t="inlineStr">
        <is>
          <t>RM</t>
        </is>
      </c>
    </row>
    <row r="16" customFormat="1" s="110">
      <c r="A16" s="140" t="n"/>
      <c r="B16" s="183" t="inlineStr">
        <is>
          <t>RS Staircase</t>
        </is>
      </c>
      <c r="C16" s="66" t="n">
        <v>1</v>
      </c>
      <c r="D16" s="110" t="inlineStr">
        <is>
          <t>x</t>
        </is>
      </c>
      <c r="E16" s="118" t="n">
        <v>3.97</v>
      </c>
      <c r="G16" s="67" t="n"/>
      <c r="I16" s="118" t="n"/>
      <c r="J16" s="76" t="inlineStr">
        <is>
          <t>=</t>
        </is>
      </c>
      <c r="K16" s="118">
        <f>IF(C10,C10*E10,"")</f>
        <v/>
      </c>
      <c r="L16" s="66" t="inlineStr">
        <is>
          <t>RM</t>
        </is>
      </c>
    </row>
    <row r="17" customFormat="1" s="110">
      <c r="A17" s="83" t="n"/>
      <c r="B17" s="183" t="inlineStr">
        <is>
          <t>LS Garage - Var2 - Var1</t>
        </is>
      </c>
      <c r="C17" s="66" t="n">
        <v>2</v>
      </c>
      <c r="D17" s="110" t="inlineStr">
        <is>
          <t>x</t>
        </is>
      </c>
      <c r="E17" s="118" t="n">
        <v>7.85</v>
      </c>
      <c r="G17" s="67" t="n"/>
      <c r="I17" s="118" t="n"/>
      <c r="J17" s="110" t="inlineStr">
        <is>
          <t>=</t>
        </is>
      </c>
      <c r="K17" s="118">
        <f>IF(C8,C8*E8,"")</f>
        <v/>
      </c>
      <c r="L17" s="66" t="inlineStr">
        <is>
          <t>RM</t>
        </is>
      </c>
    </row>
    <row r="18" customFormat="1" s="110">
      <c r="A18" s="83" t="n"/>
      <c r="B18" s="183" t="inlineStr">
        <is>
          <t>LS Garage - Var2 - Var2</t>
        </is>
      </c>
      <c r="C18" s="66" t="n">
        <v>2</v>
      </c>
      <c r="D18" s="110" t="inlineStr">
        <is>
          <t>x</t>
        </is>
      </c>
      <c r="E18" s="118" t="n">
        <v>9.23</v>
      </c>
      <c r="G18" s="67" t="n"/>
      <c r="I18" s="118" t="n"/>
      <c r="J18" s="110" t="inlineStr">
        <is>
          <t>=</t>
        </is>
      </c>
      <c r="K18" s="118">
        <f>IF(C8,C8*E8,"")</f>
        <v/>
      </c>
      <c r="L18" s="66" t="inlineStr">
        <is>
          <t>RM</t>
        </is>
      </c>
    </row>
    <row r="19" customFormat="1" s="110">
      <c r="A19" s="83" t="n"/>
      <c r="B19" s="183" t="inlineStr">
        <is>
          <t>LS Garage - Var2 - Var3</t>
        </is>
      </c>
      <c r="C19" s="66" t="n">
        <v>2</v>
      </c>
      <c r="D19" s="110" t="inlineStr">
        <is>
          <t>x</t>
        </is>
      </c>
      <c r="E19" s="118" t="n">
        <v>10.61</v>
      </c>
      <c r="G19" s="67" t="n"/>
      <c r="I19" s="118" t="n"/>
      <c r="J19" s="110" t="inlineStr">
        <is>
          <t>=</t>
        </is>
      </c>
      <c r="K19" s="118">
        <f>IF(C8,C8*E8,"")</f>
        <v/>
      </c>
      <c r="L19" s="66" t="inlineStr">
        <is>
          <t>RM</t>
        </is>
      </c>
    </row>
    <row r="20" customFormat="1" s="110">
      <c r="A20" s="140" t="n"/>
      <c r="B20" s="183" t="inlineStr">
        <is>
          <t>RS Library</t>
        </is>
      </c>
      <c r="C20" s="66" t="n">
        <v>1</v>
      </c>
      <c r="D20" s="110" t="inlineStr">
        <is>
          <t>x</t>
        </is>
      </c>
      <c r="E20" s="118" t="n">
        <v>6.86</v>
      </c>
      <c r="G20" s="67" t="n"/>
      <c r="I20" s="118" t="n"/>
      <c r="J20" s="76" t="inlineStr">
        <is>
          <t>=</t>
        </is>
      </c>
      <c r="K20" s="118">
        <f>IF(C11,C11*E11,"")</f>
        <v/>
      </c>
      <c r="L20" s="66" t="inlineStr">
        <is>
          <t>RM</t>
        </is>
      </c>
    </row>
    <row r="21" customFormat="1" s="110">
      <c r="A21" s="83" t="n"/>
      <c r="B21" s="183" t="inlineStr">
        <is>
          <t>LS Garage - Var3 - Var1</t>
        </is>
      </c>
      <c r="C21" s="66" t="n">
        <v>2</v>
      </c>
      <c r="D21" s="110" t="inlineStr">
        <is>
          <t>x</t>
        </is>
      </c>
      <c r="E21" s="118" t="n">
        <v>9.02</v>
      </c>
      <c r="G21" s="67" t="n"/>
      <c r="I21" s="118" t="n"/>
      <c r="J21" s="110" t="inlineStr">
        <is>
          <t>=</t>
        </is>
      </c>
      <c r="K21" s="118">
        <f>IF(C8,C8*E8,"")</f>
        <v/>
      </c>
      <c r="L21" s="66" t="inlineStr">
        <is>
          <t>RM</t>
        </is>
      </c>
    </row>
    <row r="22" customFormat="1" s="110">
      <c r="A22" s="83" t="n"/>
      <c r="B22" s="183" t="inlineStr">
        <is>
          <t>LS Garage - Var3 - Var2</t>
        </is>
      </c>
      <c r="C22" s="66" t="n">
        <v>2</v>
      </c>
      <c r="D22" s="110" t="inlineStr">
        <is>
          <t>x</t>
        </is>
      </c>
      <c r="E22" s="118" t="n">
        <v>10.61</v>
      </c>
      <c r="G22" s="67" t="n"/>
      <c r="I22" s="118" t="n"/>
      <c r="J22" s="110" t="inlineStr">
        <is>
          <t>=</t>
        </is>
      </c>
      <c r="K22" s="118">
        <f>IF(C8,C8*E8,"")</f>
        <v/>
      </c>
      <c r="L22" s="66" t="inlineStr">
        <is>
          <t>RM</t>
        </is>
      </c>
    </row>
    <row r="23" customFormat="1" s="110">
      <c r="A23" s="83" t="n"/>
      <c r="B23" s="183" t="inlineStr">
        <is>
          <t>LS Garage - Var3 - Var3</t>
        </is>
      </c>
      <c r="C23" s="66" t="n">
        <v>2</v>
      </c>
      <c r="D23" s="110" t="inlineStr">
        <is>
          <t>x</t>
        </is>
      </c>
      <c r="E23" s="118" t="n">
        <v>12.2</v>
      </c>
      <c r="G23" s="67" t="n"/>
      <c r="I23" s="118" t="n"/>
      <c r="J23" s="110" t="inlineStr">
        <is>
          <t>=</t>
        </is>
      </c>
      <c r="K23" s="118">
        <f>IF(C8,C8*E8,"")</f>
        <v/>
      </c>
      <c r="L23" s="66" t="inlineStr">
        <is>
          <t>RM</t>
        </is>
      </c>
    </row>
    <row r="24" customFormat="1" s="110">
      <c r="A24" s="140" t="n"/>
      <c r="B24" s="183" t="inlineStr">
        <is>
          <t>RS Kitchen</t>
        </is>
      </c>
      <c r="C24" s="66" t="n">
        <v>1</v>
      </c>
      <c r="D24" s="110" t="inlineStr">
        <is>
          <t>x</t>
        </is>
      </c>
      <c r="E24" s="118" t="n">
        <v>4.58</v>
      </c>
      <c r="G24" s="67" t="n"/>
      <c r="I24" s="118" t="n"/>
      <c r="J24" s="76" t="inlineStr">
        <is>
          <t>=</t>
        </is>
      </c>
      <c r="K24" s="118">
        <f>IF(C12,C12*E12,"")</f>
        <v/>
      </c>
      <c r="L24" s="66" t="inlineStr">
        <is>
          <t>RM</t>
        </is>
      </c>
    </row>
    <row r="25" customFormat="1" s="110">
      <c r="A25" s="83" t="n"/>
      <c r="B25" s="183" t="inlineStr">
        <is>
          <t>LS Library - Var1</t>
        </is>
      </c>
      <c r="C25" s="66" t="n">
        <v>1</v>
      </c>
      <c r="D25" s="110" t="inlineStr">
        <is>
          <t>x</t>
        </is>
      </c>
      <c r="E25" s="118" t="n">
        <v>2.98</v>
      </c>
      <c r="G25" s="67" t="n"/>
      <c r="I25" s="118" t="n"/>
      <c r="J25" s="110" t="inlineStr">
        <is>
          <t>=</t>
        </is>
      </c>
      <c r="K25" s="118">
        <f>IF(C9,C9*E9,"")</f>
        <v/>
      </c>
      <c r="L25" s="66" t="inlineStr">
        <is>
          <t>RM</t>
        </is>
      </c>
    </row>
    <row r="26" customFormat="1" s="110">
      <c r="A26" s="83" t="n"/>
      <c r="B26" s="183" t="inlineStr">
        <is>
          <t>LS Library - Var2</t>
        </is>
      </c>
      <c r="C26" s="66" t="n">
        <v>1</v>
      </c>
      <c r="D26" s="110" t="inlineStr">
        <is>
          <t>x</t>
        </is>
      </c>
      <c r="E26" s="118" t="n">
        <v>3.51</v>
      </c>
      <c r="G26" s="67" t="n"/>
      <c r="I26" s="118" t="n"/>
      <c r="J26" s="110" t="inlineStr">
        <is>
          <t>=</t>
        </is>
      </c>
      <c r="K26" s="118">
        <f>IF(C9,C9*E9,"")</f>
        <v/>
      </c>
      <c r="L26" s="66" t="inlineStr">
        <is>
          <t>RM</t>
        </is>
      </c>
    </row>
    <row r="27" customFormat="1" s="110">
      <c r="A27" s="83" t="n"/>
      <c r="B27" s="183" t="inlineStr">
        <is>
          <t>LS Library - Var3</t>
        </is>
      </c>
      <c r="C27" s="66" t="n">
        <v>1</v>
      </c>
      <c r="D27" s="110" t="inlineStr">
        <is>
          <t>x</t>
        </is>
      </c>
      <c r="E27" s="118" t="n">
        <v>4.04</v>
      </c>
      <c r="G27" s="67" t="n"/>
      <c r="I27" s="118" t="n"/>
      <c r="J27" s="110" t="inlineStr">
        <is>
          <t>=</t>
        </is>
      </c>
      <c r="K27" s="118">
        <f>IF(C9,C9*E9,"")</f>
        <v/>
      </c>
      <c r="L27" s="66" t="inlineStr">
        <is>
          <t>RM</t>
        </is>
      </c>
    </row>
    <row r="28" customFormat="1" s="110">
      <c r="A28" s="140" t="n"/>
      <c r="B28" s="183" t="inlineStr">
        <is>
          <t>RS Living</t>
        </is>
      </c>
      <c r="C28" s="66" t="n">
        <v>1</v>
      </c>
      <c r="D28" s="110" t="inlineStr">
        <is>
          <t>x</t>
        </is>
      </c>
      <c r="E28" s="118" t="n">
        <v>5.19</v>
      </c>
      <c r="G28" s="67" t="n"/>
      <c r="I28" s="118" t="n"/>
      <c r="J28" s="76" t="inlineStr">
        <is>
          <t>=</t>
        </is>
      </c>
      <c r="K28" s="118">
        <f>IF(C13,C13*E13,"")</f>
        <v/>
      </c>
      <c r="L28" s="66" t="inlineStr">
        <is>
          <t>RM</t>
        </is>
      </c>
    </row>
    <row r="29" customFormat="1" s="110">
      <c r="A29" s="140" t="n"/>
      <c r="B29" s="183" t="inlineStr">
        <is>
          <t>RS Dining</t>
        </is>
      </c>
      <c r="C29" s="66" t="n">
        <v>1</v>
      </c>
      <c r="D29" s="110" t="inlineStr">
        <is>
          <t>x</t>
        </is>
      </c>
      <c r="E29" s="118" t="n">
        <v>4.88</v>
      </c>
      <c r="G29" s="67" t="n"/>
      <c r="I29" s="118" t="n"/>
      <c r="J29" s="76" t="inlineStr">
        <is>
          <t>=</t>
        </is>
      </c>
      <c r="K29" s="118">
        <f>IF(C14,C14*E14,"")</f>
        <v/>
      </c>
      <c r="L29" s="66" t="inlineStr">
        <is>
          <t>RM</t>
        </is>
      </c>
    </row>
    <row r="30" ht="30" customFormat="1" customHeight="1" s="110">
      <c r="A30" s="140" t="n"/>
      <c r="B30" s="183" t="inlineStr">
        <is>
          <t>LS Toilets</t>
        </is>
      </c>
      <c r="C30" s="66" t="n">
        <v>1</v>
      </c>
      <c r="D30" s="110" t="inlineStr">
        <is>
          <t>x</t>
        </is>
      </c>
      <c r="E30" s="118" t="n">
        <v>6.41</v>
      </c>
      <c r="G30" s="67" t="n"/>
      <c r="I30" s="118" t="n"/>
      <c r="J30" s="76" t="inlineStr">
        <is>
          <t>=</t>
        </is>
      </c>
      <c r="K30" s="118">
        <f>IF(C15,C15*E15,"")</f>
        <v/>
      </c>
      <c r="L30" s="66" t="inlineStr">
        <is>
          <t>RM</t>
        </is>
      </c>
    </row>
    <row r="31" customFormat="1" s="110">
      <c r="A31" s="140" t="n"/>
      <c r="B31" s="183" t="inlineStr">
        <is>
          <t>RS Bed</t>
        </is>
      </c>
      <c r="C31" s="66" t="n">
        <v>1</v>
      </c>
      <c r="D31" s="110" t="inlineStr">
        <is>
          <t>x</t>
        </is>
      </c>
      <c r="E31" s="118" t="n">
        <v>14.94</v>
      </c>
      <c r="G31" s="67" t="n"/>
      <c r="I31" s="118" t="n"/>
      <c r="J31" s="76" t="inlineStr">
        <is>
          <t>=</t>
        </is>
      </c>
      <c r="K31" s="118">
        <f>IF(C16,C16*E16,"")</f>
        <v/>
      </c>
      <c r="L31" s="66" t="inlineStr">
        <is>
          <t>RM</t>
        </is>
      </c>
    </row>
    <row r="32" customFormat="1" s="110">
      <c r="A32" s="140" t="n"/>
      <c r="B32" s="183" t="inlineStr">
        <is>
          <t>Platform Front</t>
        </is>
      </c>
      <c r="C32" s="66" t="n">
        <v>2</v>
      </c>
      <c r="D32" s="110" t="inlineStr">
        <is>
          <t>x</t>
        </is>
      </c>
      <c r="E32" s="118" t="n">
        <v>0.92</v>
      </c>
      <c r="G32" s="67" t="n"/>
      <c r="I32" s="118" t="n"/>
      <c r="J32" s="76" t="inlineStr">
        <is>
          <t>=</t>
        </is>
      </c>
      <c r="K32" s="118">
        <f>IF(C17,C17*E17,"")</f>
        <v/>
      </c>
      <c r="L32" s="66" t="inlineStr">
        <is>
          <t>RM</t>
        </is>
      </c>
    </row>
    <row r="33" customFormat="1" s="110">
      <c r="A33" s="140" t="n"/>
      <c r="B33" s="183" t="inlineStr">
        <is>
          <t>Platform Back</t>
        </is>
      </c>
      <c r="C33" s="66" t="n">
        <v>2</v>
      </c>
      <c r="D33" s="110" t="inlineStr">
        <is>
          <t>x</t>
        </is>
      </c>
      <c r="E33" s="118" t="n">
        <v>0.61</v>
      </c>
      <c r="G33" s="67" t="n"/>
      <c r="I33" s="118" t="n"/>
      <c r="J33" s="76" t="inlineStr">
        <is>
          <t>=</t>
        </is>
      </c>
      <c r="K33" s="118">
        <f>IF(C18,C18*E18,"")</f>
        <v/>
      </c>
      <c r="L33" s="66" t="inlineStr">
        <is>
          <t>RM</t>
        </is>
      </c>
    </row>
    <row r="34" customFormat="1" s="110">
      <c r="A34" s="83" t="n"/>
      <c r="B34" s="154" t="inlineStr">
        <is>
          <t xml:space="preserve"> Main walls 300 mm th. in X Direction</t>
        </is>
      </c>
      <c r="C34" s="118" t="n"/>
      <c r="D34" s="44" t="n"/>
      <c r="E34" s="118" t="inlineStr"/>
      <c r="F34" s="44" t="n"/>
      <c r="G34" s="67" t="n"/>
    </row>
    <row r="35" customFormat="1" s="110">
      <c r="A35" s="140" t="n"/>
      <c r="B35" s="183" t="inlineStr">
        <is>
          <t>Garage</t>
        </is>
      </c>
      <c r="C35" s="66" t="n">
        <v>2</v>
      </c>
      <c r="D35" s="110" t="inlineStr">
        <is>
          <t>x</t>
        </is>
      </c>
      <c r="E35" s="118" t="n">
        <v>3.05</v>
      </c>
      <c r="G35" s="67" t="n"/>
      <c r="I35" s="118" t="n"/>
      <c r="J35" s="76" t="inlineStr">
        <is>
          <t>=</t>
        </is>
      </c>
      <c r="K35" s="118">
        <f>IF(C20,C20*E20,"")</f>
        <v/>
      </c>
      <c r="L35" s="66" t="inlineStr">
        <is>
          <t>RM</t>
        </is>
      </c>
    </row>
    <row r="36" customFormat="1" s="110">
      <c r="A36" s="140" t="n"/>
      <c r="B36" s="183" t="inlineStr">
        <is>
          <t>Library</t>
        </is>
      </c>
      <c r="C36" s="66" t="n">
        <v>1</v>
      </c>
      <c r="D36" s="110" t="inlineStr">
        <is>
          <t>x</t>
        </is>
      </c>
      <c r="E36" s="118" t="n">
        <v>3.66</v>
      </c>
      <c r="G36" s="67" t="n"/>
      <c r="I36" s="118" t="n"/>
      <c r="J36" s="76" t="inlineStr">
        <is>
          <t>=</t>
        </is>
      </c>
      <c r="K36" s="118">
        <f>IF(C21,C21*E21,"")</f>
        <v/>
      </c>
      <c r="L36" s="66" t="inlineStr">
        <is>
          <t>RM</t>
        </is>
      </c>
    </row>
    <row r="37" customFormat="1" s="110">
      <c r="A37" s="140" t="n"/>
      <c r="B37" s="183" t="inlineStr">
        <is>
          <t>Staircase</t>
        </is>
      </c>
      <c r="C37" s="66" t="n">
        <v>1</v>
      </c>
      <c r="D37" s="110" t="inlineStr">
        <is>
          <t>x</t>
        </is>
      </c>
      <c r="E37" s="118" t="n">
        <v>2.75</v>
      </c>
      <c r="G37" s="67" t="n"/>
      <c r="I37" s="118" t="n"/>
      <c r="J37" s="76" t="inlineStr">
        <is>
          <t>=</t>
        </is>
      </c>
      <c r="K37" s="118">
        <f>IF(C22,C22*E22,"")</f>
        <v/>
      </c>
      <c r="L37" s="66" t="inlineStr">
        <is>
          <t>RM</t>
        </is>
      </c>
    </row>
    <row r="38" customFormat="1" s="110">
      <c r="A38" s="140" t="n"/>
      <c r="B38" s="183" t="inlineStr">
        <is>
          <t>Kitchen</t>
        </is>
      </c>
      <c r="C38" s="66" t="n">
        <v>2</v>
      </c>
      <c r="D38" s="110" t="inlineStr">
        <is>
          <t>x</t>
        </is>
      </c>
      <c r="E38" s="118" t="n">
        <v>3.97</v>
      </c>
      <c r="G38" s="67" t="n"/>
      <c r="I38" s="118" t="n"/>
      <c r="J38" s="76" t="inlineStr">
        <is>
          <t>=</t>
        </is>
      </c>
      <c r="K38" s="118">
        <f>IF(C23,C23*E23,"")</f>
        <v/>
      </c>
      <c r="L38" s="66" t="inlineStr">
        <is>
          <t>RM</t>
        </is>
      </c>
    </row>
    <row r="39" customFormat="1" s="110">
      <c r="A39" s="140" t="n"/>
      <c r="B39" s="183" t="inlineStr">
        <is>
          <t>Living</t>
        </is>
      </c>
      <c r="C39" s="66" t="n">
        <v>3</v>
      </c>
      <c r="D39" s="110" t="inlineStr">
        <is>
          <t>x</t>
        </is>
      </c>
      <c r="E39" s="118" t="n">
        <v>4.27</v>
      </c>
      <c r="G39" s="67" t="n"/>
      <c r="I39" s="118" t="n"/>
      <c r="J39" s="76" t="inlineStr">
        <is>
          <t>=</t>
        </is>
      </c>
      <c r="K39" s="118">
        <f>IF(C24,C24*E24,"")</f>
        <v/>
      </c>
      <c r="L39" s="66" t="inlineStr">
        <is>
          <t>RM</t>
        </is>
      </c>
    </row>
    <row r="40" customFormat="1" s="110">
      <c r="A40" s="140" t="n"/>
      <c r="B40" s="183" t="inlineStr">
        <is>
          <t>Bed</t>
        </is>
      </c>
      <c r="C40" s="66" t="n">
        <v>4</v>
      </c>
      <c r="D40" s="110" t="inlineStr">
        <is>
          <t>x</t>
        </is>
      </c>
      <c r="E40" s="118" t="n">
        <v>4.27</v>
      </c>
      <c r="G40" s="67" t="n"/>
      <c r="I40" s="118" t="n"/>
      <c r="J40" s="76" t="inlineStr">
        <is>
          <t>=</t>
        </is>
      </c>
      <c r="K40" s="118">
        <f>IF(C25,C25*E25,"")</f>
        <v/>
      </c>
      <c r="L40" s="66" t="inlineStr">
        <is>
          <t>RM</t>
        </is>
      </c>
    </row>
    <row r="41" customFormat="1" s="110">
      <c r="A41" s="140" t="n"/>
      <c r="B41" s="183" t="inlineStr">
        <is>
          <t>Platform Front</t>
        </is>
      </c>
      <c r="C41" s="66" t="n">
        <v>1</v>
      </c>
      <c r="D41" s="110" t="inlineStr">
        <is>
          <t>x</t>
        </is>
      </c>
      <c r="E41" s="118" t="n">
        <v>2.75</v>
      </c>
      <c r="G41" s="67" t="n"/>
      <c r="I41" s="118" t="n"/>
      <c r="J41" s="76" t="inlineStr">
        <is>
          <t>=</t>
        </is>
      </c>
      <c r="K41" s="118">
        <f>IF(C26,C26*E26,"")</f>
        <v/>
      </c>
      <c r="L41" s="66" t="inlineStr">
        <is>
          <t>RM</t>
        </is>
      </c>
    </row>
    <row r="42" customFormat="1" s="110">
      <c r="A42" s="140" t="n"/>
      <c r="B42" s="183" t="inlineStr">
        <is>
          <t>Platform Back</t>
        </is>
      </c>
      <c r="C42" s="66" t="n">
        <v>1</v>
      </c>
      <c r="D42" s="110" t="inlineStr">
        <is>
          <t>x</t>
        </is>
      </c>
      <c r="E42" s="118" t="n">
        <v>4.27</v>
      </c>
      <c r="G42" s="67" t="n"/>
      <c r="I42" s="118" t="n"/>
      <c r="J42" s="76" t="inlineStr">
        <is>
          <t>=</t>
        </is>
      </c>
      <c r="K42" s="118">
        <f>IF(C27,C27*E27,"")</f>
        <v/>
      </c>
      <c r="L42" s="66" t="inlineStr">
        <is>
          <t>RM</t>
        </is>
      </c>
    </row>
    <row r="43" customFormat="1" s="110">
      <c r="A43" s="140" t="n"/>
      <c r="B43" s="183" t="n"/>
      <c r="C43" s="66" t="n"/>
      <c r="E43" s="118" t="inlineStr"/>
      <c r="G43" s="67" t="n"/>
      <c r="I43" s="158" t="inlineStr">
        <is>
          <t>TOTAL</t>
        </is>
      </c>
      <c r="J43" s="137" t="inlineStr">
        <is>
          <t>=</t>
        </is>
      </c>
      <c r="K43" s="158">
        <f>SUM(K8:K27)</f>
        <v/>
      </c>
      <c r="L43" s="33" t="inlineStr">
        <is>
          <t>RM</t>
        </is>
      </c>
    </row>
    <row r="44" customFormat="1" s="110">
      <c r="A44" s="83" t="n"/>
      <c r="B44" s="154" t="inlineStr">
        <is>
          <t xml:space="preserve">First Floor </t>
        </is>
      </c>
      <c r="C44" s="118" t="n"/>
      <c r="D44" s="44" t="n"/>
      <c r="E44" s="118" t="inlineStr"/>
      <c r="F44" s="44" t="n"/>
      <c r="G44" s="67" t="n"/>
    </row>
    <row r="45" customFormat="1" s="110">
      <c r="A45" s="83" t="n"/>
      <c r="B45" s="154" t="inlineStr">
        <is>
          <t xml:space="preserve"> Main walls 300 mm th. in X &amp;Y Direction</t>
        </is>
      </c>
      <c r="C45" s="118" t="n"/>
      <c r="D45" s="44" t="n"/>
      <c r="E45" s="118" t="inlineStr"/>
      <c r="F45" s="44" t="n"/>
      <c r="G45" s="67" t="n"/>
    </row>
    <row r="46" customFormat="1" s="110">
      <c r="A46" s="140" t="n"/>
      <c r="B46" s="183" t="inlineStr">
        <is>
          <t>LS Bed</t>
        </is>
      </c>
      <c r="C46" s="66" t="n">
        <v>2</v>
      </c>
      <c r="D46" s="110" t="inlineStr">
        <is>
          <t>x</t>
        </is>
      </c>
      <c r="E46" s="118" t="n">
        <v>6.41</v>
      </c>
      <c r="G46" s="67" t="n"/>
      <c r="I46" s="118" t="n"/>
      <c r="J46" s="76" t="inlineStr">
        <is>
          <t>=</t>
        </is>
      </c>
      <c r="K46" s="118">
        <f>IF(C31,C31*E31,"")</f>
        <v/>
      </c>
      <c r="L46" s="66" t="inlineStr">
        <is>
          <t>RM</t>
        </is>
      </c>
    </row>
    <row r="47" customFormat="1" s="110">
      <c r="A47" s="140" t="n"/>
      <c r="B47" s="183" t="inlineStr">
        <is>
          <t>Bed</t>
        </is>
      </c>
      <c r="C47" s="66" t="n">
        <v>1</v>
      </c>
      <c r="D47" s="110" t="inlineStr">
        <is>
          <t>x</t>
        </is>
      </c>
      <c r="E47" s="118" t="n">
        <v>4.58</v>
      </c>
      <c r="G47" s="67" t="n"/>
      <c r="I47" s="118" t="n"/>
      <c r="J47" s="76" t="inlineStr">
        <is>
          <t>=</t>
        </is>
      </c>
      <c r="K47" s="118">
        <f>IF(C32,C32*E32,"")</f>
        <v/>
      </c>
      <c r="L47" s="66" t="inlineStr">
        <is>
          <t>RM</t>
        </is>
      </c>
    </row>
    <row r="48" customFormat="1" s="110">
      <c r="A48" s="140" t="n"/>
      <c r="B48" s="183" t="n"/>
      <c r="C48" s="66" t="n"/>
      <c r="E48" s="118" t="inlineStr"/>
      <c r="G48" s="67" t="n"/>
      <c r="I48" s="158" t="inlineStr">
        <is>
          <t>TOTAL</t>
        </is>
      </c>
      <c r="J48" s="137" t="inlineStr">
        <is>
          <t>=</t>
        </is>
      </c>
      <c r="K48" s="158">
        <f>SUM(K31:K32)</f>
        <v/>
      </c>
      <c r="L48" s="33" t="inlineStr">
        <is>
          <t>RM</t>
        </is>
      </c>
    </row>
    <row r="49" customFormat="1" s="110">
      <c r="A49" s="83" t="n"/>
      <c r="B49" s="154" t="inlineStr">
        <is>
          <t>PARAPET WALL300 MM</t>
        </is>
      </c>
      <c r="C49" s="118" t="n"/>
      <c r="D49" s="44" t="n"/>
      <c r="E49" s="118" t="inlineStr"/>
      <c r="F49" s="44" t="n"/>
      <c r="G49" s="67" t="n"/>
    </row>
    <row r="50" customFormat="1" s="110">
      <c r="A50" s="140" t="n"/>
      <c r="B50" s="183" t="inlineStr">
        <is>
          <t>FF</t>
        </is>
      </c>
      <c r="C50" s="66" t="n">
        <v>2</v>
      </c>
      <c r="D50" s="110" t="inlineStr">
        <is>
          <t>x</t>
        </is>
      </c>
      <c r="E50" s="118" t="n">
        <v>12.35</v>
      </c>
      <c r="G50" s="67" t="n"/>
      <c r="I50" s="118" t="n"/>
      <c r="J50" s="76" t="inlineStr">
        <is>
          <t>=</t>
        </is>
      </c>
      <c r="K50" s="118">
        <f>IF(C35,C35*E35,"")</f>
        <v/>
      </c>
      <c r="L50" s="66" t="inlineStr">
        <is>
          <t>RM</t>
        </is>
      </c>
    </row>
    <row r="51" customFormat="1" s="110">
      <c r="A51" s="140" t="n"/>
      <c r="C51" s="66" t="n">
        <v>2</v>
      </c>
      <c r="D51" s="110" t="inlineStr">
        <is>
          <t>x</t>
        </is>
      </c>
      <c r="E51" s="118" t="n">
        <v>8.23</v>
      </c>
      <c r="G51" s="67" t="n"/>
      <c r="I51" s="118" t="n"/>
      <c r="J51" s="76" t="inlineStr">
        <is>
          <t>=</t>
        </is>
      </c>
      <c r="K51" s="118">
        <f>IF(C36,C36*E36,"")</f>
        <v/>
      </c>
      <c r="L51" s="66" t="inlineStr">
        <is>
          <t>RM</t>
        </is>
      </c>
    </row>
    <row r="52" customFormat="1" s="110">
      <c r="A52" s="140" t="n"/>
      <c r="B52" s="183" t="inlineStr">
        <is>
          <t>GF</t>
        </is>
      </c>
      <c r="C52" s="66" t="n">
        <v>2</v>
      </c>
      <c r="D52" s="110" t="inlineStr">
        <is>
          <t>x</t>
        </is>
      </c>
      <c r="E52" s="118" t="n">
        <v>13.42</v>
      </c>
      <c r="G52" s="67" t="n"/>
      <c r="I52" s="118" t="n"/>
      <c r="J52" s="76" t="inlineStr">
        <is>
          <t>=</t>
        </is>
      </c>
      <c r="K52" s="118">
        <f>IF(C37,C37*E37,"")</f>
        <v/>
      </c>
      <c r="L52" s="66" t="inlineStr">
        <is>
          <t>RM</t>
        </is>
      </c>
    </row>
    <row r="53" customFormat="1" s="110">
      <c r="A53" s="140" t="n"/>
      <c r="B53" s="183" t="n"/>
      <c r="C53" s="66" t="n">
        <v>2</v>
      </c>
      <c r="D53" s="110" t="inlineStr">
        <is>
          <t>x</t>
        </is>
      </c>
      <c r="E53" s="118" t="n">
        <v>14.33</v>
      </c>
      <c r="G53" s="67" t="n"/>
      <c r="I53" s="118" t="n"/>
      <c r="J53" s="76" t="inlineStr">
        <is>
          <t>=</t>
        </is>
      </c>
      <c r="K53" s="118">
        <f>IF(C38,C38*E38,"")</f>
        <v/>
      </c>
      <c r="L53" s="66" t="inlineStr">
        <is>
          <t>RM</t>
        </is>
      </c>
    </row>
    <row r="54" customFormat="1" s="110">
      <c r="A54" s="140" t="n"/>
      <c r="B54" s="183" t="n"/>
      <c r="C54" s="66" t="n"/>
      <c r="E54" s="118" t="inlineStr"/>
      <c r="G54" s="67" t="n"/>
      <c r="I54" s="158" t="inlineStr">
        <is>
          <t>TOTAL</t>
        </is>
      </c>
      <c r="J54" s="137" t="inlineStr">
        <is>
          <t>=</t>
        </is>
      </c>
      <c r="K54" s="158">
        <f>SUM(K35:K38)</f>
        <v/>
      </c>
      <c r="L54" s="33" t="inlineStr">
        <is>
          <t>RM</t>
        </is>
      </c>
    </row>
    <row r="55" customFormat="1" s="110">
      <c r="A55" s="83" t="n"/>
      <c r="B55" s="154" t="inlineStr">
        <is>
          <t xml:space="preserve"> Brick Partition walls in Y Direction</t>
        </is>
      </c>
      <c r="C55" s="118" t="n"/>
      <c r="D55" s="44" t="n"/>
      <c r="E55" s="118" t="inlineStr"/>
      <c r="F55" s="44" t="n"/>
      <c r="G55" s="67" t="n"/>
    </row>
    <row r="56" customFormat="1" s="110">
      <c r="A56" s="140" t="n"/>
      <c r="B56" s="176" t="inlineStr">
        <is>
          <t>WC</t>
        </is>
      </c>
      <c r="C56" s="66" t="n">
        <v>1</v>
      </c>
      <c r="D56" s="110" t="inlineStr">
        <is>
          <t>x</t>
        </is>
      </c>
      <c r="E56" s="118" t="n">
        <v>1.3</v>
      </c>
      <c r="G56" s="67" t="n"/>
      <c r="I56" s="118" t="n"/>
      <c r="J56" s="76" t="inlineStr">
        <is>
          <t>=</t>
        </is>
      </c>
      <c r="K56" s="118">
        <f>IF(C41,C41*E41,"")</f>
        <v/>
      </c>
      <c r="L56" s="66" t="inlineStr">
        <is>
          <t>RM</t>
        </is>
      </c>
    </row>
    <row r="57" customFormat="1" s="110">
      <c r="A57" s="140" t="n"/>
      <c r="B57" s="183" t="inlineStr">
        <is>
          <t>Toilet</t>
        </is>
      </c>
      <c r="C57" s="66" t="n">
        <v>1</v>
      </c>
      <c r="D57" s="110" t="inlineStr">
        <is>
          <t>x</t>
        </is>
      </c>
      <c r="E57" s="118" t="n">
        <v>1.38</v>
      </c>
      <c r="G57" s="67" t="n"/>
      <c r="I57" s="118" t="n"/>
      <c r="J57" s="76" t="inlineStr">
        <is>
          <t>=</t>
        </is>
      </c>
      <c r="K57" s="118">
        <f>IF(C42,C42*E42,"")</f>
        <v/>
      </c>
      <c r="L57" s="66" t="inlineStr">
        <is>
          <t>RM</t>
        </is>
      </c>
    </row>
    <row r="58" customFormat="1" s="110">
      <c r="A58" s="140" t="n"/>
      <c r="B58" s="183" t="inlineStr">
        <is>
          <t>Store</t>
        </is>
      </c>
      <c r="C58" s="66" t="n">
        <v>1</v>
      </c>
      <c r="D58" s="110" t="inlineStr">
        <is>
          <t>x</t>
        </is>
      </c>
      <c r="E58" s="118" t="n">
        <v>1.22</v>
      </c>
      <c r="G58" s="67" t="n"/>
      <c r="I58" s="118" t="n"/>
      <c r="J58" s="76" t="inlineStr">
        <is>
          <t>=</t>
        </is>
      </c>
      <c r="K58" s="118">
        <f>IF(C43,C43*E43,"")</f>
        <v/>
      </c>
      <c r="L58" s="66" t="inlineStr">
        <is>
          <t>RM</t>
        </is>
      </c>
    </row>
    <row r="59" customFormat="1" s="110">
      <c r="A59" s="140" t="n"/>
      <c r="B59" s="183" t="inlineStr">
        <is>
          <t>Cup Board</t>
        </is>
      </c>
      <c r="C59" s="66" t="n">
        <v>1</v>
      </c>
      <c r="D59" s="110" t="inlineStr">
        <is>
          <t>x</t>
        </is>
      </c>
      <c r="E59" s="118" t="n">
        <v>4.88</v>
      </c>
      <c r="G59" s="67" t="n"/>
      <c r="I59" s="118" t="n"/>
      <c r="J59" s="76" t="inlineStr">
        <is>
          <t>=</t>
        </is>
      </c>
      <c r="K59" s="118">
        <f>IF(C44,C44*E44,"")</f>
        <v/>
      </c>
      <c r="L59" s="66" t="inlineStr">
        <is>
          <t>RM</t>
        </is>
      </c>
    </row>
    <row r="60" ht="135" customFormat="1" customHeight="1" s="110">
      <c r="A60" s="140" t="n"/>
      <c r="B60" s="176" t="inlineStr">
        <is>
          <t>Bed</t>
        </is>
      </c>
      <c r="C60" s="66" t="n">
        <v>2</v>
      </c>
      <c r="D60" s="110" t="inlineStr">
        <is>
          <t>x</t>
        </is>
      </c>
      <c r="E60" s="118" t="n">
        <v>0.77</v>
      </c>
      <c r="G60" s="67" t="n"/>
      <c r="I60" s="118" t="n"/>
      <c r="J60" s="76" t="inlineStr">
        <is>
          <t>=</t>
        </is>
      </c>
      <c r="K60" s="118">
        <f>IF(C45,C45*E45,"")</f>
        <v/>
      </c>
      <c r="L60" s="66" t="inlineStr">
        <is>
          <t>RM</t>
        </is>
      </c>
    </row>
    <row r="61" customFormat="1" s="110">
      <c r="A61" s="83" t="n"/>
      <c r="B61" s="154" t="inlineStr">
        <is>
          <t xml:space="preserve"> Brick Partition walls in X Direction</t>
        </is>
      </c>
      <c r="C61" s="118" t="n"/>
      <c r="D61" s="44" t="n"/>
      <c r="E61" s="118" t="inlineStr"/>
      <c r="F61" s="44" t="n"/>
      <c r="G61" s="67" t="n"/>
    </row>
    <row r="62" customFormat="1" s="110">
      <c r="A62" s="140" t="n"/>
      <c r="B62" s="183" t="inlineStr">
        <is>
          <t>Library</t>
        </is>
      </c>
      <c r="C62" s="66" t="n">
        <v>1</v>
      </c>
      <c r="D62" s="110" t="inlineStr">
        <is>
          <t>x</t>
        </is>
      </c>
      <c r="E62" s="118" t="n">
        <v>3.66</v>
      </c>
      <c r="G62" s="67" t="n"/>
      <c r="I62" s="118" t="n"/>
      <c r="J62" s="76" t="inlineStr">
        <is>
          <t>=</t>
        </is>
      </c>
      <c r="K62" s="118">
        <f>IF(C47,C47*E47,"")</f>
        <v/>
      </c>
      <c r="L62" s="66" t="inlineStr">
        <is>
          <t>RM</t>
        </is>
      </c>
    </row>
    <row r="63" customFormat="1" s="110">
      <c r="A63" s="140" t="n"/>
      <c r="B63" s="183" t="inlineStr">
        <is>
          <t>Store</t>
        </is>
      </c>
      <c r="C63" s="66" t="n">
        <v>1</v>
      </c>
      <c r="D63" s="110" t="inlineStr">
        <is>
          <t>x</t>
        </is>
      </c>
      <c r="E63" s="118" t="n">
        <v>1.53</v>
      </c>
      <c r="G63" s="67" t="n"/>
      <c r="I63" s="118" t="n"/>
      <c r="J63" s="76" t="inlineStr">
        <is>
          <t>=</t>
        </is>
      </c>
      <c r="K63" s="118">
        <f>IF(C48,C48*E48,"")</f>
        <v/>
      </c>
      <c r="L63" s="66" t="inlineStr">
        <is>
          <t>RM</t>
        </is>
      </c>
    </row>
    <row r="64" customFormat="1" s="110">
      <c r="A64" s="140" t="n"/>
      <c r="B64" s="183" t="inlineStr">
        <is>
          <t>Dressing</t>
        </is>
      </c>
      <c r="C64" s="66" t="n">
        <v>4</v>
      </c>
      <c r="D64" s="110" t="inlineStr">
        <is>
          <t>x</t>
        </is>
      </c>
      <c r="E64" s="118" t="n">
        <v>3.05</v>
      </c>
      <c r="G64" s="67" t="n"/>
      <c r="I64" s="118" t="n"/>
      <c r="J64" s="76" t="inlineStr">
        <is>
          <t>=</t>
        </is>
      </c>
      <c r="K64" s="118">
        <f>IF(C49,C49*E49,"")</f>
        <v/>
      </c>
      <c r="L64" s="66" t="inlineStr">
        <is>
          <t>RM</t>
        </is>
      </c>
    </row>
    <row r="65" customFormat="1" s="110">
      <c r="A65" s="140" t="n"/>
      <c r="B65" s="183" t="inlineStr">
        <is>
          <t>Cup Board</t>
        </is>
      </c>
      <c r="C65" s="66" t="n">
        <v>6</v>
      </c>
      <c r="D65" s="110" t="inlineStr">
        <is>
          <t>x</t>
        </is>
      </c>
      <c r="E65" s="118" t="n">
        <v>2.75</v>
      </c>
      <c r="G65" s="67" t="n"/>
      <c r="I65" s="118" t="n"/>
      <c r="J65" s="76" t="inlineStr">
        <is>
          <t>=</t>
        </is>
      </c>
      <c r="K65" s="118">
        <f>IF(C50,C50*E50,"")</f>
        <v/>
      </c>
      <c r="L65" s="66" t="inlineStr">
        <is>
          <t>RM</t>
        </is>
      </c>
    </row>
    <row r="66" customFormat="1" s="110">
      <c r="A66" s="140" t="n"/>
      <c r="B66" s="183" t="n"/>
      <c r="C66" s="66" t="n">
        <v>12</v>
      </c>
      <c r="D66" s="110" t="inlineStr">
        <is>
          <t>x</t>
        </is>
      </c>
      <c r="E66" s="118" t="n">
        <v>0.61</v>
      </c>
      <c r="G66" s="67" t="n"/>
      <c r="I66" s="118" t="n"/>
      <c r="J66" s="76" t="inlineStr">
        <is>
          <t>=</t>
        </is>
      </c>
      <c r="K66" s="118">
        <f>IF(C51,C51*E51,"")</f>
        <v/>
      </c>
      <c r="L66" s="66" t="inlineStr">
        <is>
          <t>RM</t>
        </is>
      </c>
    </row>
    <row r="67" customFormat="1" s="110">
      <c r="A67" s="83" t="n"/>
      <c r="B67" s="183" t="inlineStr">
        <is>
          <t>Flower Bed/ Box</t>
        </is>
      </c>
      <c r="C67" s="66" t="n">
        <v>2</v>
      </c>
      <c r="D67" s="110" t="inlineStr">
        <is>
          <t>x</t>
        </is>
      </c>
      <c r="E67" s="118" t="n">
        <v>3.36</v>
      </c>
      <c r="G67" s="67" t="n"/>
      <c r="I67" s="118" t="n"/>
      <c r="J67" s="76" t="inlineStr">
        <is>
          <t>=</t>
        </is>
      </c>
      <c r="K67" s="118">
        <f>IF(C52,C52*E52,"")</f>
        <v/>
      </c>
      <c r="L67" s="66" t="inlineStr">
        <is>
          <t>RM</t>
        </is>
      </c>
    </row>
    <row r="68" ht="150" customFormat="1" customHeight="1" s="110">
      <c r="A68" s="140" t="n"/>
      <c r="B68" s="183" t="n"/>
      <c r="C68" s="66" t="n"/>
      <c r="E68" s="118" t="n"/>
      <c r="G68" s="67" t="n"/>
      <c r="I68" s="158" t="inlineStr">
        <is>
          <t>TOTAL</t>
        </is>
      </c>
      <c r="J68" s="137" t="inlineStr">
        <is>
          <t>=</t>
        </is>
      </c>
      <c r="K68" s="158">
        <f>SUM(K41:K52)</f>
        <v/>
      </c>
      <c r="L68" s="33" t="inlineStr">
        <is>
          <t>RM</t>
        </is>
      </c>
    </row>
    <row r="69" customFormat="1" s="110">
      <c r="A69" s="83" t="n"/>
      <c r="B69" s="154" t="inlineStr">
        <is>
          <t xml:space="preserve"> Brick Partition walls in First Floor</t>
        </is>
      </c>
      <c r="C69" s="118" t="n"/>
      <c r="D69" s="44" t="n"/>
      <c r="E69" s="118" t="n"/>
      <c r="F69" s="44" t="n"/>
      <c r="G69" s="67" t="n"/>
    </row>
    <row r="70" customFormat="1" s="110">
      <c r="A70" s="140" t="n"/>
      <c r="B70" s="183" t="inlineStr">
        <is>
          <t xml:space="preserve"> Toilet</t>
        </is>
      </c>
      <c r="C70" s="66" t="n">
        <v>3</v>
      </c>
      <c r="D70" s="110" t="inlineStr">
        <is>
          <t>x</t>
        </is>
      </c>
      <c r="E70" s="118" t="n">
        <v>3.66</v>
      </c>
      <c r="G70" s="67" t="n"/>
      <c r="I70" s="118" t="n"/>
      <c r="J70" s="76" t="inlineStr">
        <is>
          <t>=</t>
        </is>
      </c>
      <c r="K70" s="118">
        <f>IF(C55,C55*E55,"")</f>
        <v/>
      </c>
      <c r="L70" s="66" t="inlineStr">
        <is>
          <t>RM</t>
        </is>
      </c>
    </row>
    <row r="71" customFormat="1" s="110">
      <c r="A71" s="140" t="n"/>
      <c r="B71" s="183" t="inlineStr">
        <is>
          <t>RS Toilet</t>
        </is>
      </c>
      <c r="C71" s="66" t="n">
        <v>2</v>
      </c>
      <c r="D71" s="110" t="inlineStr">
        <is>
          <t>x</t>
        </is>
      </c>
      <c r="E71" s="118" t="n">
        <v>5.19</v>
      </c>
      <c r="G71" s="67" t="n"/>
      <c r="I71" s="118" t="n"/>
      <c r="J71" s="76" t="inlineStr">
        <is>
          <t>=</t>
        </is>
      </c>
      <c r="K71" s="118">
        <f>IF(C56,C56*E56,"")</f>
        <v/>
      </c>
      <c r="L71" s="66" t="inlineStr">
        <is>
          <t>RM</t>
        </is>
      </c>
    </row>
    <row r="72" customFormat="1" s="110">
      <c r="A72" s="140" t="n"/>
      <c r="B72" s="183" t="inlineStr">
        <is>
          <t>CB</t>
        </is>
      </c>
      <c r="C72" s="66" t="n">
        <v>1</v>
      </c>
      <c r="D72" s="110" t="inlineStr">
        <is>
          <t>x</t>
        </is>
      </c>
      <c r="E72" s="118" t="n">
        <v>0.6</v>
      </c>
      <c r="G72" s="67" t="n"/>
      <c r="I72" s="118" t="n"/>
      <c r="J72" s="76" t="inlineStr">
        <is>
          <t>=</t>
        </is>
      </c>
      <c r="K72" s="118">
        <f>IF(C57,C57*E57,"")</f>
        <v/>
      </c>
      <c r="L72" s="66" t="inlineStr">
        <is>
          <t>RM</t>
        </is>
      </c>
    </row>
    <row r="73" customFormat="1" s="110">
      <c r="A73" s="140" t="n"/>
      <c r="B73" s="183" t="inlineStr">
        <is>
          <t>RS Toilet</t>
        </is>
      </c>
      <c r="C73" s="66" t="n">
        <v>3</v>
      </c>
      <c r="D73" s="110" t="inlineStr">
        <is>
          <t>x</t>
        </is>
      </c>
      <c r="E73" s="118" t="n">
        <v>1.95</v>
      </c>
      <c r="G73" s="67" t="n"/>
      <c r="I73" s="118" t="n"/>
      <c r="J73" s="76" t="inlineStr">
        <is>
          <t>=</t>
        </is>
      </c>
      <c r="K73" s="118">
        <f>IF(C58,C58*E58,"")</f>
        <v/>
      </c>
      <c r="L73" s="66" t="inlineStr">
        <is>
          <t>RM</t>
        </is>
      </c>
    </row>
    <row r="74" customFormat="1" s="110">
      <c r="A74" s="140" t="n"/>
      <c r="B74" s="183" t="n"/>
      <c r="C74" s="66" t="n"/>
      <c r="E74" s="118" t="n"/>
      <c r="G74" s="67" t="n"/>
      <c r="I74" s="158" t="inlineStr">
        <is>
          <t>TOTAL</t>
        </is>
      </c>
      <c r="J74" s="137" t="inlineStr">
        <is>
          <t>=</t>
        </is>
      </c>
      <c r="K74" s="158">
        <f>SUM(K55:K58)</f>
        <v/>
      </c>
      <c r="L74" s="33" t="inlineStr">
        <is>
          <t>RM</t>
        </is>
      </c>
    </row>
    <row r="75" ht="105" customFormat="1" customHeight="1" s="110">
      <c r="A75" s="83" t="n">
        <v>1</v>
      </c>
      <c r="B75" s="183" t="inlineStr">
        <is>
          <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 Hard soil mixed with boulders</t>
        </is>
      </c>
      <c r="C75" s="66" t="n"/>
      <c r="D75" s="44" t="n"/>
      <c r="E75" s="118" t="n"/>
      <c r="F75" s="44" t="n"/>
      <c r="G75" s="182" t="n"/>
    </row>
    <row r="76" customFormat="1" s="110">
      <c r="A76" s="140" t="n"/>
      <c r="B76" s="154" t="inlineStr">
        <is>
          <t>Main walls 300mm thick</t>
        </is>
      </c>
      <c r="C76" s="66" t="n">
        <v>1</v>
      </c>
      <c r="D76" s="110" t="inlineStr">
        <is>
          <t>x</t>
        </is>
      </c>
      <c r="E76" s="118">
        <f>K28</f>
        <v/>
      </c>
      <c r="F76" s="110" t="inlineStr">
        <is>
          <t>x</t>
        </is>
      </c>
      <c r="G76" s="67" t="n">
        <v>0.9</v>
      </c>
      <c r="H76" s="110" t="inlineStr">
        <is>
          <t>x</t>
        </is>
      </c>
      <c r="I76" s="118" t="n">
        <v>0.9</v>
      </c>
      <c r="J76" s="76" t="inlineStr">
        <is>
          <t>=</t>
        </is>
      </c>
      <c r="K76" s="118">
        <f>IF(C61,C61*E61*G61*I61,"")</f>
        <v/>
      </c>
      <c r="L76" s="74" t="inlineStr">
        <is>
          <t>Cum</t>
        </is>
      </c>
    </row>
    <row r="77" customFormat="1" s="110">
      <c r="A77" s="140" t="n"/>
      <c r="B77" s="154" t="inlineStr">
        <is>
          <t>Partition walls</t>
        </is>
      </c>
      <c r="C77" s="66" t="n">
        <v>1</v>
      </c>
      <c r="D77" s="110" t="inlineStr">
        <is>
          <t>x</t>
        </is>
      </c>
      <c r="E77" s="118">
        <f>K53</f>
        <v/>
      </c>
      <c r="F77" s="110" t="inlineStr">
        <is>
          <t>x</t>
        </is>
      </c>
      <c r="G77" s="67" t="n">
        <v>0.6</v>
      </c>
      <c r="H77" s="110" t="inlineStr">
        <is>
          <t>x</t>
        </is>
      </c>
      <c r="I77" s="67" t="n">
        <v>0.6</v>
      </c>
      <c r="J77" s="76" t="inlineStr">
        <is>
          <t>=</t>
        </is>
      </c>
      <c r="K77" s="118">
        <f>IF(C62,C62*E62*G62*I62,"")</f>
        <v/>
      </c>
      <c r="L77" s="74" t="inlineStr">
        <is>
          <t>Cum</t>
        </is>
      </c>
    </row>
    <row r="78" customFormat="1" s="110">
      <c r="A78" s="140" t="n"/>
      <c r="B78" s="183" t="inlineStr">
        <is>
          <t>Steps at entrance</t>
        </is>
      </c>
      <c r="C78" s="66" t="n">
        <v>2</v>
      </c>
      <c r="D78" s="110" t="inlineStr">
        <is>
          <t>x</t>
        </is>
      </c>
      <c r="E78" s="118" t="n">
        <v>1.5</v>
      </c>
      <c r="F78" s="110" t="inlineStr">
        <is>
          <t>x</t>
        </is>
      </c>
      <c r="G78" s="67" t="n">
        <v>1.2</v>
      </c>
      <c r="H78" s="110" t="inlineStr">
        <is>
          <t>x</t>
        </is>
      </c>
      <c r="I78" s="118" t="n">
        <v>0.6</v>
      </c>
      <c r="J78" s="76" t="inlineStr">
        <is>
          <t>=</t>
        </is>
      </c>
      <c r="K78" s="118">
        <f>IF(C63,C63*E63*G63*I63,"")</f>
        <v/>
      </c>
      <c r="L78" s="74" t="inlineStr">
        <is>
          <t>Cum</t>
        </is>
      </c>
    </row>
    <row r="79" customFormat="1" s="110">
      <c r="A79" s="140" t="n"/>
      <c r="B79" s="183" t="inlineStr">
        <is>
          <t>Gross qty.</t>
        </is>
      </c>
      <c r="C79" s="66" t="n"/>
      <c r="E79" s="118" t="n"/>
      <c r="G79" s="34" t="inlineStr">
        <is>
          <t>Total</t>
        </is>
      </c>
      <c r="H79" s="138" t="n"/>
      <c r="I79" s="158" t="n"/>
      <c r="J79" s="137" t="inlineStr">
        <is>
          <t>=</t>
        </is>
      </c>
      <c r="K79" s="158">
        <f>SUM(K61:K63)</f>
        <v/>
      </c>
      <c r="L79" s="139" t="inlineStr">
        <is>
          <t>Cum</t>
        </is>
      </c>
    </row>
    <row r="80" customFormat="1" s="110">
      <c r="A80" s="140" t="n"/>
      <c r="B80" s="169" t="inlineStr">
        <is>
          <t>Gross Qty. In Main Walls</t>
        </is>
      </c>
      <c r="C80" s="66" t="n"/>
      <c r="E80" s="118" t="n"/>
      <c r="G80" s="67" t="n"/>
      <c r="H80" s="110" t="n"/>
      <c r="I80" s="118" t="n"/>
      <c r="J80" s="110" t="n"/>
      <c r="K80" s="118">
        <f>K61</f>
        <v/>
      </c>
      <c r="L80" s="74" t="inlineStr">
        <is>
          <t>Cum</t>
        </is>
      </c>
    </row>
    <row r="81" customFormat="1" s="110">
      <c r="A81" s="140" t="n"/>
      <c r="B81" s="169" t="inlineStr">
        <is>
          <t>Gross Qty. In Partition Walls</t>
        </is>
      </c>
      <c r="C81" s="66" t="n"/>
      <c r="E81" s="118" t="n"/>
      <c r="G81" s="67" t="n"/>
      <c r="H81" s="110" t="n"/>
      <c r="I81" s="118" t="n"/>
      <c r="J81" s="110" t="n"/>
      <c r="K81" s="118">
        <f>K62</f>
        <v/>
      </c>
      <c r="L81" s="74" t="inlineStr">
        <is>
          <t>Cum</t>
        </is>
      </c>
    </row>
    <row r="82" customFormat="1" s="110">
      <c r="A82" s="140" t="n"/>
      <c r="B82" s="169" t="inlineStr">
        <is>
          <t>Net Qty 50%</t>
        </is>
      </c>
      <c r="C82" s="15">
        <f>$K64</f>
        <v/>
      </c>
      <c r="D82" s="14" t="n"/>
      <c r="E82" s="14" t="n"/>
      <c r="F82" s="110" t="inlineStr">
        <is>
          <t>x</t>
        </is>
      </c>
      <c r="G82" s="118" t="n">
        <v>0.5</v>
      </c>
      <c r="H82" s="185" t="n"/>
      <c r="I82" s="118" t="n"/>
      <c r="K82" s="118">
        <f>C67*G67</f>
        <v/>
      </c>
      <c r="L82" s="110" t="inlineStr">
        <is>
          <t>Cum</t>
        </is>
      </c>
    </row>
    <row r="83" customFormat="1" s="110">
      <c r="A83" s="83">
        <f>A60+1</f>
        <v/>
      </c>
      <c r="B83" s="183" t="inlineStr">
        <is>
          <t xml:space="preserve">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 including stacking material available. </t>
        </is>
      </c>
      <c r="C83" s="66" t="n"/>
      <c r="D83" s="44" t="n"/>
      <c r="E83" s="118" t="n"/>
      <c r="F83" s="44" t="n"/>
      <c r="G83" s="182" t="n"/>
    </row>
    <row r="84" customFormat="1" s="110">
      <c r="A84" s="140" t="n"/>
      <c r="B84" s="183" t="inlineStr">
        <is>
          <t>(a) Decomposed Rock</t>
        </is>
      </c>
      <c r="C84" s="15" t="n"/>
      <c r="D84" s="14" t="n"/>
      <c r="E84" s="14" t="n"/>
      <c r="G84" s="118" t="n"/>
      <c r="H84" s="185" t="n"/>
      <c r="I84" s="118" t="n"/>
      <c r="K84" s="118" t="n"/>
    </row>
    <row r="85" customFormat="1" s="110">
      <c r="A85" s="140" t="n"/>
      <c r="B85" s="169" t="inlineStr">
        <is>
          <t>Net Qty 20%</t>
        </is>
      </c>
      <c r="C85" s="15">
        <f>$K64</f>
        <v/>
      </c>
      <c r="D85" s="14" t="n"/>
      <c r="E85" s="14" t="n"/>
      <c r="F85" s="110" t="inlineStr">
        <is>
          <t>x</t>
        </is>
      </c>
      <c r="G85" s="118" t="n">
        <v>0.2</v>
      </c>
      <c r="H85" s="185" t="n"/>
      <c r="I85" s="118" t="n"/>
      <c r="K85" s="118">
        <f>C70*G70</f>
        <v/>
      </c>
      <c r="L85" s="110" t="inlineStr">
        <is>
          <t>Cum</t>
        </is>
      </c>
    </row>
    <row r="86" customFormat="1" s="110">
      <c r="A86" s="140" t="n"/>
      <c r="B86" s="183" t="inlineStr">
        <is>
          <t>(b) Ordinary Rock</t>
        </is>
      </c>
      <c r="C86" s="15" t="n"/>
      <c r="D86" s="14" t="n"/>
      <c r="E86" s="14" t="n"/>
      <c r="G86" s="118" t="n"/>
      <c r="H86" s="185" t="n"/>
      <c r="I86" s="118" t="n"/>
      <c r="K86" s="118" t="n"/>
    </row>
    <row r="87" customFormat="1" s="110">
      <c r="A87" s="140" t="n"/>
      <c r="B87" s="169" t="inlineStr">
        <is>
          <t>Net Qty 20%</t>
        </is>
      </c>
      <c r="C87" s="15">
        <f>C70</f>
        <v/>
      </c>
      <c r="D87" s="14" t="n"/>
      <c r="E87" s="14" t="n"/>
      <c r="F87" s="110" t="inlineStr">
        <is>
          <t>x</t>
        </is>
      </c>
      <c r="G87" s="118" t="n">
        <v>0.2</v>
      </c>
      <c r="H87" s="185" t="n"/>
      <c r="I87" s="118" t="n"/>
      <c r="K87" s="118">
        <f>C72*G72</f>
        <v/>
      </c>
      <c r="L87" s="110" t="inlineStr">
        <is>
          <t>Cum</t>
        </is>
      </c>
    </row>
    <row r="88" customFormat="1" s="110">
      <c r="A88" s="140" t="n"/>
      <c r="B88" s="183" t="inlineStr">
        <is>
          <t>(c) Phylite Rock</t>
        </is>
      </c>
      <c r="C88" s="15" t="n"/>
      <c r="D88" s="14" t="n"/>
      <c r="E88" s="14" t="n"/>
      <c r="G88" s="118" t="n"/>
      <c r="H88" s="185" t="n"/>
      <c r="I88" s="118" t="n"/>
      <c r="K88" s="118" t="n"/>
    </row>
    <row r="89" customFormat="1" s="110">
      <c r="A89" s="140" t="n"/>
      <c r="B89" s="169" t="inlineStr">
        <is>
          <t>Net Qty 10%</t>
        </is>
      </c>
      <c r="C89" s="15">
        <f>C72</f>
        <v/>
      </c>
      <c r="D89" s="14" t="n"/>
      <c r="E89" s="14" t="n"/>
      <c r="F89" s="110" t="inlineStr">
        <is>
          <t>x</t>
        </is>
      </c>
      <c r="G89" s="118" t="n">
        <v>0.1</v>
      </c>
      <c r="H89" s="185" t="n"/>
      <c r="I89" s="118" t="n"/>
      <c r="K89" s="118">
        <f>C74*G74</f>
        <v/>
      </c>
      <c r="L89" s="110" t="inlineStr">
        <is>
          <t>Cum</t>
        </is>
      </c>
    </row>
    <row r="90">
      <c r="A90" s="83" t="n">
        <v>3</v>
      </c>
      <c r="B90" s="183" t="inlineStr">
        <is>
          <t>Filling in plinth available excavated earth (excluding rock) in trenches, plinth side of foundation, etc. in layers not exceeding 20 cm. in depth, consolidating each deposited layer by ramming and watering including lead upto 50 Mtr and lift upto 1.5 Mtr.</t>
        </is>
      </c>
      <c r="C90" s="66" t="n"/>
      <c r="D90" s="52" t="n"/>
      <c r="E90" s="118" t="n"/>
      <c r="F90" s="44" t="n"/>
      <c r="G90" s="52" t="n"/>
    </row>
    <row r="91" ht="105" customFormat="1" customHeight="1" s="110">
      <c r="A91" s="140" t="n"/>
      <c r="B91" s="183" t="inlineStr">
        <is>
          <t>Servant Room</t>
        </is>
      </c>
      <c r="C91" s="66" t="n">
        <v>1</v>
      </c>
      <c r="D91" s="110" t="inlineStr">
        <is>
          <t>x</t>
        </is>
      </c>
      <c r="E91" s="118" t="n">
        <v>2.55</v>
      </c>
      <c r="F91" s="110" t="inlineStr">
        <is>
          <t>x</t>
        </is>
      </c>
      <c r="G91" s="118" t="n">
        <v>1.94</v>
      </c>
      <c r="H91" s="110" t="inlineStr">
        <is>
          <t>x</t>
        </is>
      </c>
      <c r="I91" s="118" t="n">
        <v>0.6</v>
      </c>
      <c r="J91" s="76" t="inlineStr">
        <is>
          <t>=</t>
        </is>
      </c>
      <c r="K91" s="118">
        <f>IF(C76,C76*E76*G76*I76,"")</f>
        <v/>
      </c>
      <c r="L91" s="74" t="inlineStr">
        <is>
          <t>Cum</t>
        </is>
      </c>
    </row>
    <row r="92" customFormat="1" s="110">
      <c r="A92" s="140" t="n"/>
      <c r="B92" s="183" t="inlineStr">
        <is>
          <t>WC</t>
        </is>
      </c>
      <c r="C92" s="66" t="n">
        <v>1</v>
      </c>
      <c r="D92" s="110" t="inlineStr">
        <is>
          <t>x</t>
        </is>
      </c>
      <c r="E92" s="118" t="n">
        <v>1.03</v>
      </c>
      <c r="F92" s="110" t="inlineStr">
        <is>
          <t>x</t>
        </is>
      </c>
      <c r="G92" s="118" t="n">
        <v>0.5</v>
      </c>
      <c r="H92" s="110" t="inlineStr">
        <is>
          <t>x</t>
        </is>
      </c>
      <c r="I92" s="118" t="n">
        <v>0.6</v>
      </c>
      <c r="J92" s="76" t="inlineStr">
        <is>
          <t>=</t>
        </is>
      </c>
      <c r="K92" s="118">
        <f>IF(C77,C77*E77*G77*I77,"")</f>
        <v/>
      </c>
      <c r="L92" s="74" t="inlineStr">
        <is>
          <t>Cum</t>
        </is>
      </c>
    </row>
    <row r="93" customFormat="1" s="110">
      <c r="A93" s="140" t="n"/>
      <c r="B93" s="183" t="inlineStr">
        <is>
          <t>Garage</t>
        </is>
      </c>
      <c r="C93" s="66" t="n">
        <v>1</v>
      </c>
      <c r="D93" s="110" t="inlineStr">
        <is>
          <t>x</t>
        </is>
      </c>
      <c r="E93" s="118" t="n">
        <v>2.55</v>
      </c>
      <c r="F93" s="110" t="inlineStr">
        <is>
          <t>x</t>
        </is>
      </c>
      <c r="G93" s="118" t="n">
        <v>4.69</v>
      </c>
      <c r="H93" s="110" t="inlineStr">
        <is>
          <t>x</t>
        </is>
      </c>
      <c r="I93" s="118" t="n">
        <v>0.6</v>
      </c>
      <c r="J93" s="76" t="inlineStr">
        <is>
          <t>=</t>
        </is>
      </c>
      <c r="K93" s="118">
        <f>IF(C78,C78*E78*G78*I78,"")</f>
        <v/>
      </c>
      <c r="L93" s="74" t="inlineStr">
        <is>
          <t>Cum</t>
        </is>
      </c>
    </row>
    <row r="94" customFormat="1" s="110">
      <c r="A94" s="140" t="n"/>
      <c r="B94" s="183" t="inlineStr">
        <is>
          <t>Kitchen</t>
        </is>
      </c>
      <c r="C94" s="66" t="n">
        <v>1</v>
      </c>
      <c r="D94" s="110" t="inlineStr">
        <is>
          <t>x</t>
        </is>
      </c>
      <c r="E94" s="118" t="n">
        <v>3.47</v>
      </c>
      <c r="F94" s="110" t="inlineStr">
        <is>
          <t>x</t>
        </is>
      </c>
      <c r="G94" s="118" t="n">
        <v>3.47</v>
      </c>
      <c r="H94" s="110" t="inlineStr">
        <is>
          <t>x</t>
        </is>
      </c>
      <c r="I94" s="118" t="n">
        <v>0.6</v>
      </c>
      <c r="J94" s="76" t="inlineStr">
        <is>
          <t>=</t>
        </is>
      </c>
      <c r="K94" s="118">
        <f>IF(C79,C79*E79*G79*I79,"")</f>
        <v/>
      </c>
      <c r="L94" s="74" t="inlineStr">
        <is>
          <t>Cum</t>
        </is>
      </c>
    </row>
    <row r="95" ht="18" customFormat="1" customHeight="1" s="110">
      <c r="A95" s="140" t="n"/>
      <c r="B95" s="183" t="inlineStr">
        <is>
          <t>Staircase</t>
        </is>
      </c>
      <c r="C95" s="66" t="n">
        <v>1</v>
      </c>
      <c r="D95" s="110" t="inlineStr">
        <is>
          <t>x</t>
        </is>
      </c>
      <c r="E95" s="118" t="n">
        <v>2.4</v>
      </c>
      <c r="F95" s="110" t="inlineStr">
        <is>
          <t>x</t>
        </is>
      </c>
      <c r="G95" s="118" t="n">
        <v>1.49</v>
      </c>
      <c r="H95" s="110" t="inlineStr">
        <is>
          <t>x</t>
        </is>
      </c>
      <c r="I95" s="118" t="n">
        <v>0.6</v>
      </c>
      <c r="J95" s="76" t="inlineStr">
        <is>
          <t>=</t>
        </is>
      </c>
      <c r="K95" s="118">
        <f>IF(C80,C80*E80*G80*I80,"")</f>
        <v/>
      </c>
      <c r="L95" s="74" t="inlineStr">
        <is>
          <t>Cum</t>
        </is>
      </c>
    </row>
    <row r="96" ht="18" customFormat="1" customHeight="1" s="110">
      <c r="A96" s="140" t="n"/>
      <c r="B96" s="183" t="inlineStr">
        <is>
          <t>Toilet</t>
        </is>
      </c>
      <c r="C96" s="66" t="n">
        <v>1</v>
      </c>
      <c r="D96" s="110" t="inlineStr">
        <is>
          <t>x</t>
        </is>
      </c>
      <c r="E96" s="118" t="n">
        <v>1.33</v>
      </c>
      <c r="F96" s="110" t="inlineStr">
        <is>
          <t>x</t>
        </is>
      </c>
      <c r="G96" s="118" t="n">
        <v>0.88</v>
      </c>
      <c r="H96" s="110" t="inlineStr">
        <is>
          <t>x</t>
        </is>
      </c>
      <c r="I96" s="118" t="n">
        <v>0.6</v>
      </c>
      <c r="J96" s="76" t="inlineStr">
        <is>
          <t>=</t>
        </is>
      </c>
      <c r="K96" s="118">
        <f>IF(C81,C81*E81*G81*I81,"")</f>
        <v/>
      </c>
      <c r="L96" s="74" t="inlineStr">
        <is>
          <t>Cum</t>
        </is>
      </c>
    </row>
    <row r="97" ht="30" customFormat="1" customHeight="1" s="110">
      <c r="A97" s="140" t="n"/>
      <c r="B97" s="183" t="inlineStr">
        <is>
          <t>Library</t>
        </is>
      </c>
      <c r="C97" s="66" t="n">
        <v>1</v>
      </c>
      <c r="D97" s="110" t="inlineStr">
        <is>
          <t>x</t>
        </is>
      </c>
      <c r="E97" s="118" t="n">
        <v>3.16</v>
      </c>
      <c r="F97" s="110" t="inlineStr">
        <is>
          <t>x</t>
        </is>
      </c>
      <c r="G97" s="118" t="n">
        <v>2.55</v>
      </c>
      <c r="H97" s="110" t="inlineStr">
        <is>
          <t>x</t>
        </is>
      </c>
      <c r="I97" s="118" t="n">
        <v>0.6</v>
      </c>
      <c r="J97" s="76" t="inlineStr">
        <is>
          <t>=</t>
        </is>
      </c>
      <c r="K97" s="118">
        <f>IF(C82,C82*E82*G82*I82,"")</f>
        <v/>
      </c>
      <c r="L97" s="74" t="inlineStr">
        <is>
          <t>Cum</t>
        </is>
      </c>
    </row>
    <row r="98" customFormat="1" s="110">
      <c r="A98" s="140" t="n"/>
      <c r="B98" s="183" t="inlineStr">
        <is>
          <t>Verandah</t>
        </is>
      </c>
      <c r="C98" s="66" t="n">
        <v>1</v>
      </c>
      <c r="D98" s="110" t="inlineStr">
        <is>
          <t>x</t>
        </is>
      </c>
      <c r="E98" s="118" t="n">
        <v>3.77</v>
      </c>
      <c r="F98" s="110" t="inlineStr">
        <is>
          <t>x</t>
        </is>
      </c>
      <c r="G98" s="118" t="n">
        <v>1.33</v>
      </c>
      <c r="H98" s="110" t="inlineStr">
        <is>
          <t>x</t>
        </is>
      </c>
      <c r="I98" s="118" t="n">
        <v>0.6</v>
      </c>
      <c r="J98" s="76" t="inlineStr">
        <is>
          <t>=</t>
        </is>
      </c>
      <c r="K98" s="118">
        <f>IF(C83,C83*E83*G83*I83,"")</f>
        <v/>
      </c>
      <c r="L98" s="74" t="inlineStr">
        <is>
          <t>Cum</t>
        </is>
      </c>
    </row>
    <row r="99" ht="90" customFormat="1" customHeight="1" s="110">
      <c r="A99" s="140" t="n"/>
      <c r="B99" s="183" t="inlineStr">
        <is>
          <t>Platform</t>
        </is>
      </c>
      <c r="C99" s="66" t="n">
        <v>1</v>
      </c>
      <c r="D99" s="110" t="inlineStr">
        <is>
          <t>x</t>
        </is>
      </c>
      <c r="E99" s="118" t="n">
        <v>3.77</v>
      </c>
      <c r="F99" s="110" t="inlineStr">
        <is>
          <t>x</t>
        </is>
      </c>
      <c r="G99" s="118" t="n">
        <v>1.18</v>
      </c>
      <c r="H99" s="110" t="inlineStr">
        <is>
          <t>x</t>
        </is>
      </c>
      <c r="I99" s="118" t="n">
        <v>0.6</v>
      </c>
      <c r="J99" s="76" t="inlineStr">
        <is>
          <t>=</t>
        </is>
      </c>
      <c r="K99" s="118">
        <f>IF(C84,C84*E84*G84*I84,"")</f>
        <v/>
      </c>
      <c r="L99" s="74" t="inlineStr">
        <is>
          <t>Cum</t>
        </is>
      </c>
    </row>
    <row r="100" customFormat="1" s="110">
      <c r="A100" s="140" t="n"/>
      <c r="B100" s="183" t="inlineStr">
        <is>
          <t>Dining</t>
        </is>
      </c>
      <c r="C100" s="66" t="n">
        <v>1</v>
      </c>
      <c r="D100" s="110" t="inlineStr">
        <is>
          <t>x</t>
        </is>
      </c>
      <c r="E100" s="118" t="n">
        <v>3.77</v>
      </c>
      <c r="F100" s="110" t="inlineStr">
        <is>
          <t>x</t>
        </is>
      </c>
      <c r="G100" s="118" t="n">
        <v>6.36</v>
      </c>
      <c r="H100" s="110" t="inlineStr">
        <is>
          <t>x</t>
        </is>
      </c>
      <c r="I100" s="118" t="n">
        <v>0.6</v>
      </c>
      <c r="J100" s="76" t="inlineStr">
        <is>
          <t>=</t>
        </is>
      </c>
      <c r="K100" s="118">
        <f>IF(C85,C85*E85*G85*I85,"")</f>
        <v/>
      </c>
      <c r="L100" s="74" t="inlineStr">
        <is>
          <t>Cum</t>
        </is>
      </c>
    </row>
    <row r="101" customFormat="1" s="110">
      <c r="A101" s="140" t="n"/>
      <c r="B101" s="183" t="inlineStr">
        <is>
          <t>Living</t>
        </is>
      </c>
      <c r="C101" s="66" t="n">
        <v>1</v>
      </c>
      <c r="D101" s="110" t="inlineStr">
        <is>
          <t>x</t>
        </is>
      </c>
      <c r="E101" s="118" t="n">
        <v>3.77</v>
      </c>
      <c r="F101" s="110" t="inlineStr">
        <is>
          <t>x</t>
        </is>
      </c>
      <c r="G101" s="118" t="n">
        <v>4.08</v>
      </c>
      <c r="H101" s="110" t="inlineStr">
        <is>
          <t>x</t>
        </is>
      </c>
      <c r="I101" s="118" t="n">
        <v>0.6</v>
      </c>
      <c r="J101" s="76" t="inlineStr">
        <is>
          <t>=</t>
        </is>
      </c>
      <c r="K101" s="118">
        <f>IF(C86,C86*E86*G86*I86,"")</f>
        <v/>
      </c>
      <c r="L101" s="74" t="inlineStr">
        <is>
          <t>Cum</t>
        </is>
      </c>
    </row>
    <row r="102" customFormat="1" s="110">
      <c r="A102" s="140" t="n"/>
      <c r="B102" s="183" t="inlineStr">
        <is>
          <t>Bed Rm</t>
        </is>
      </c>
      <c r="C102" s="66" t="n">
        <v>1</v>
      </c>
      <c r="D102" s="110" t="inlineStr">
        <is>
          <t>x</t>
        </is>
      </c>
      <c r="E102" s="118" t="n">
        <v>3.77</v>
      </c>
      <c r="F102" s="110" t="inlineStr">
        <is>
          <t>x</t>
        </is>
      </c>
      <c r="G102" s="118" t="n">
        <v>3.16</v>
      </c>
      <c r="H102" s="110" t="inlineStr">
        <is>
          <t>x</t>
        </is>
      </c>
      <c r="I102" s="118" t="n">
        <v>0.6</v>
      </c>
      <c r="J102" s="76" t="inlineStr">
        <is>
          <t>=</t>
        </is>
      </c>
      <c r="K102" s="118">
        <f>IF(C87,C87*E87*G87*I87,"")</f>
        <v/>
      </c>
      <c r="L102" s="74" t="inlineStr">
        <is>
          <t>Cum</t>
        </is>
      </c>
    </row>
    <row r="103" ht="45" customFormat="1" customHeight="1" s="110">
      <c r="A103" s="140" t="n"/>
      <c r="B103" s="183" t="inlineStr">
        <is>
          <t>Toilet</t>
        </is>
      </c>
      <c r="C103" s="66" t="n">
        <v>2</v>
      </c>
      <c r="D103" s="110" t="inlineStr">
        <is>
          <t>x</t>
        </is>
      </c>
      <c r="E103" s="118" t="n">
        <v>1.94</v>
      </c>
      <c r="F103" s="110" t="inlineStr">
        <is>
          <t>x</t>
        </is>
      </c>
      <c r="G103" s="118" t="n">
        <v>1.18</v>
      </c>
      <c r="H103" s="110" t="inlineStr">
        <is>
          <t>x</t>
        </is>
      </c>
      <c r="I103" s="118" t="n">
        <v>0.6</v>
      </c>
      <c r="J103" s="76" t="inlineStr">
        <is>
          <t>=</t>
        </is>
      </c>
      <c r="K103" s="118">
        <f>IF(C88,C88*E88*G88*I88,"")</f>
        <v/>
      </c>
      <c r="L103" s="74" t="inlineStr">
        <is>
          <t>Cum</t>
        </is>
      </c>
    </row>
    <row r="104" customFormat="1" s="110">
      <c r="A104" s="140" t="n"/>
      <c r="B104" s="183" t="inlineStr">
        <is>
          <t>Bed Rm</t>
        </is>
      </c>
      <c r="C104" s="66" t="n">
        <v>1</v>
      </c>
      <c r="D104" s="110" t="inlineStr">
        <is>
          <t>x</t>
        </is>
      </c>
      <c r="E104" s="118" t="n">
        <v>3.77</v>
      </c>
      <c r="F104" s="110" t="inlineStr">
        <is>
          <t>x</t>
        </is>
      </c>
      <c r="G104" s="118" t="n">
        <v>3.16</v>
      </c>
      <c r="H104" s="110" t="inlineStr">
        <is>
          <t>x</t>
        </is>
      </c>
      <c r="I104" s="118" t="n">
        <v>0.6</v>
      </c>
      <c r="J104" s="76" t="inlineStr">
        <is>
          <t>=</t>
        </is>
      </c>
      <c r="K104" s="118">
        <f>IF(C89,C89*E89*G89*I89,"")</f>
        <v/>
      </c>
      <c r="L104" s="74" t="inlineStr">
        <is>
          <t>Cum</t>
        </is>
      </c>
    </row>
    <row r="105" customFormat="1" s="110">
      <c r="A105" s="140" t="n"/>
      <c r="G105" s="34" t="inlineStr">
        <is>
          <t>Total</t>
        </is>
      </c>
      <c r="H105" s="138" t="n"/>
      <c r="I105" s="158" t="n"/>
      <c r="J105" s="137" t="inlineStr">
        <is>
          <t>=</t>
        </is>
      </c>
      <c r="K105" s="158">
        <f>SUM(K76:K89)</f>
        <v/>
      </c>
      <c r="L105" s="139" t="inlineStr">
        <is>
          <t>Cum</t>
        </is>
      </c>
    </row>
    <row r="106" customFormat="1" s="110">
      <c r="A106" s="83">
        <f>A75+1</f>
        <v/>
      </c>
      <c r="B106" s="183" t="inlineStr">
        <is>
          <t>Earth work in excavation over areas (Exceeding 30 cm in depth, 1.5 m in width as well as 10 Sqm on plan) including disposal of excavated earth , lead upto 50 m and lift upto 1.5 Mtr., disposed soil to be neatly dressed; Hard soil mixed with boulders.</t>
        </is>
      </c>
      <c r="C106" s="66" t="n"/>
      <c r="D106" s="52" t="n"/>
      <c r="E106" s="118" t="n"/>
      <c r="F106" s="44" t="n"/>
      <c r="G106" s="52" t="n"/>
    </row>
    <row r="107" customFormat="1" s="110">
      <c r="A107" s="83" t="n"/>
      <c r="B107" s="183" t="inlineStr">
        <is>
          <t xml:space="preserve">Gross qty. of filling </t>
        </is>
      </c>
      <c r="C107" s="52" t="n"/>
      <c r="D107" s="52" t="n"/>
      <c r="E107" s="118" t="n"/>
      <c r="F107" s="44" t="n"/>
      <c r="G107" s="52" t="n"/>
      <c r="J107" s="76" t="inlineStr">
        <is>
          <t>=</t>
        </is>
      </c>
      <c r="K107" s="118">
        <f>K90</f>
        <v/>
      </c>
      <c r="L107" s="74" t="inlineStr">
        <is>
          <t>Cum</t>
        </is>
      </c>
    </row>
    <row r="108" customFormat="1" s="110">
      <c r="A108" s="83" t="n"/>
      <c r="B108" s="183" t="inlineStr">
        <is>
          <t>Less Qty. soil available</t>
        </is>
      </c>
      <c r="E108" s="118" t="n"/>
      <c r="F108" s="44" t="n"/>
      <c r="G108" s="52" t="n"/>
    </row>
    <row r="109" customFormat="1" s="110">
      <c r="A109" s="83" t="n"/>
      <c r="B109" s="169" t="inlineStr">
        <is>
          <t>Hard soil mixed with boulders</t>
        </is>
      </c>
      <c r="D109" s="76" t="inlineStr">
        <is>
          <t>=</t>
        </is>
      </c>
      <c r="E109" s="118">
        <f>K67</f>
        <v/>
      </c>
      <c r="F109" s="74" t="inlineStr">
        <is>
          <t>Cum</t>
        </is>
      </c>
      <c r="G109" s="52" t="n"/>
    </row>
    <row r="110" customFormat="1" s="110">
      <c r="A110" s="83" t="n"/>
      <c r="B110" s="183" t="inlineStr">
        <is>
          <t>Net qty.</t>
        </is>
      </c>
      <c r="C110" s="66" t="n"/>
      <c r="D110" s="100" t="n"/>
      <c r="E110" s="115">
        <f>K92</f>
        <v/>
      </c>
      <c r="F110" s="142" t="inlineStr">
        <is>
          <t>-</t>
        </is>
      </c>
      <c r="G110" s="15">
        <f>E94</f>
        <v/>
      </c>
      <c r="H110" s="118" t="n"/>
      <c r="I110" s="118" t="n"/>
      <c r="J110" s="76" t="inlineStr">
        <is>
          <t>=</t>
        </is>
      </c>
      <c r="K110" s="118">
        <f>E95-G95</f>
        <v/>
      </c>
      <c r="L110" s="74" t="inlineStr">
        <is>
          <t>Cum</t>
        </is>
      </c>
    </row>
    <row r="111" customFormat="1" s="110">
      <c r="A111" s="83" t="n"/>
      <c r="B111" s="183" t="n"/>
      <c r="C111" s="66" t="n"/>
      <c r="D111" s="100" t="n"/>
      <c r="E111" s="115" t="n"/>
      <c r="F111" s="142" t="n"/>
      <c r="G111" s="15" t="n"/>
      <c r="H111" s="118" t="n"/>
      <c r="I111" s="118" t="n"/>
      <c r="J111" s="76" t="n"/>
      <c r="K111" s="118" t="n"/>
      <c r="L111" s="74" t="n"/>
    </row>
    <row r="112" customFormat="1" s="110">
      <c r="A112" s="83">
        <f>A91+1</f>
        <v/>
      </c>
      <c r="B112" s="183" t="inlineStr">
        <is>
          <t>Carriage of earth including loading, unloading complete with lead 0.50 KM.</t>
        </is>
      </c>
      <c r="C112" s="66" t="n"/>
      <c r="D112" s="52" t="n"/>
      <c r="E112" s="118" t="n"/>
      <c r="F112" s="44" t="n"/>
      <c r="G112" s="52" t="n"/>
    </row>
    <row r="113" customFormat="1" s="110">
      <c r="A113" s="83" t="n"/>
      <c r="B113" s="183" t="inlineStr">
        <is>
          <t>Qty. as per item 4 above.</t>
        </is>
      </c>
      <c r="C113" s="52" t="n"/>
      <c r="D113" s="52" t="n"/>
      <c r="E113" s="118" t="n"/>
      <c r="F113" s="44" t="n"/>
      <c r="G113" s="52" t="n"/>
      <c r="J113" s="76" t="inlineStr">
        <is>
          <t>=</t>
        </is>
      </c>
      <c r="K113" s="118">
        <f>K95</f>
        <v/>
      </c>
      <c r="L113" s="74" t="inlineStr">
        <is>
          <t>Cum</t>
        </is>
      </c>
    </row>
    <row r="114" customFormat="1" s="110">
      <c r="A114" s="83" t="n">
        <v>6</v>
      </c>
      <c r="B114" s="169" t="inlineStr">
        <is>
          <t xml:space="preserve">Providing and laying Cement concrete including curing compaction etc. complete using stone aggregate 40 mm nominal size in foundation plinth, excluding the cost of shuttering, using : 1 Cement : 4 Sand : 8 aggregate Mix. </t>
        </is>
      </c>
      <c r="G114" s="67" t="n"/>
    </row>
    <row r="115" customFormat="1" s="110">
      <c r="A115" s="140" t="n"/>
      <c r="B115" s="169" t="inlineStr">
        <is>
          <t>Gross Qty. In Main Walls</t>
        </is>
      </c>
      <c r="C115" s="15">
        <f>K65</f>
        <v/>
      </c>
      <c r="D115" s="14" t="n"/>
      <c r="E115" s="14" t="n"/>
      <c r="F115" s="110" t="inlineStr">
        <is>
          <t>x</t>
        </is>
      </c>
      <c r="G115" s="118" t="n">
        <v>0.3</v>
      </c>
      <c r="H115" s="177" t="inlineStr">
        <is>
          <t>/</t>
        </is>
      </c>
      <c r="I115" s="118">
        <f>I61</f>
        <v/>
      </c>
      <c r="J115" s="76" t="inlineStr">
        <is>
          <t>=</t>
        </is>
      </c>
      <c r="K115" s="118">
        <f>C100*G100/I100</f>
        <v/>
      </c>
      <c r="L115" s="110" t="inlineStr">
        <is>
          <t>Cum</t>
        </is>
      </c>
    </row>
    <row r="116" customFormat="1" s="110">
      <c r="A116" s="140" t="n"/>
      <c r="B116" s="169" t="inlineStr">
        <is>
          <t>Gross Qty. In Partition Walls</t>
        </is>
      </c>
      <c r="C116" s="15">
        <f>K66</f>
        <v/>
      </c>
      <c r="D116" s="14" t="n"/>
      <c r="E116" s="14" t="n"/>
      <c r="F116" s="110" t="inlineStr">
        <is>
          <t>x</t>
        </is>
      </c>
      <c r="G116" s="71" t="n">
        <v>0.3</v>
      </c>
      <c r="H116" s="178" t="inlineStr">
        <is>
          <t>/</t>
        </is>
      </c>
      <c r="I116" s="71">
        <f>I62</f>
        <v/>
      </c>
      <c r="J116" s="72" t="inlineStr">
        <is>
          <t>=</t>
        </is>
      </c>
      <c r="K116" s="71">
        <f>C101*G101/I101</f>
        <v/>
      </c>
      <c r="L116" s="70" t="inlineStr">
        <is>
          <t>Cum</t>
        </is>
      </c>
    </row>
    <row r="117" customFormat="1" s="110">
      <c r="A117" s="140" t="n"/>
      <c r="B117" s="183" t="n"/>
      <c r="C117" s="66" t="n"/>
      <c r="E117" s="118" t="n"/>
      <c r="G117" s="67" t="inlineStr">
        <is>
          <t>Total</t>
        </is>
      </c>
      <c r="H117" s="110" t="n"/>
      <c r="I117" s="118" t="n"/>
      <c r="J117" s="110" t="n"/>
      <c r="K117" s="118">
        <f>SUM(K100:K101)</f>
        <v/>
      </c>
      <c r="L117" s="74" t="inlineStr">
        <is>
          <t>Cum</t>
        </is>
      </c>
    </row>
    <row r="118" customFormat="1" s="110">
      <c r="A118" s="83">
        <f>A99+1</f>
        <v/>
      </c>
      <c r="B118" s="169" t="inlineStr">
        <is>
          <t>R.R. Stone masonry for foundation and plinth in cement sand mortar 1:6 for above 30 cms thick walls.</t>
        </is>
      </c>
      <c r="C118" s="118" t="n"/>
      <c r="D118" s="44" t="n"/>
      <c r="E118" s="118" t="n"/>
      <c r="F118" s="44" t="n"/>
      <c r="G118" s="67" t="n"/>
    </row>
    <row r="119" ht="60" customFormat="1" customHeight="1" s="110">
      <c r="A119" s="83" t="n"/>
      <c r="B119" s="195" t="inlineStr">
        <is>
          <t>Wall 01</t>
        </is>
      </c>
      <c r="C119" s="118" t="n"/>
      <c r="D119" s="44" t="n"/>
      <c r="E119" s="118" t="n"/>
      <c r="F119" s="44" t="n"/>
      <c r="G119" s="67" t="n"/>
    </row>
    <row r="120" customFormat="1" s="110">
      <c r="A120" s="140" t="n"/>
      <c r="B120" s="183" t="inlineStr">
        <is>
          <t>first footing</t>
        </is>
      </c>
      <c r="C120" s="66" t="n">
        <v>1</v>
      </c>
      <c r="D120" s="110" t="inlineStr">
        <is>
          <t>x</t>
        </is>
      </c>
      <c r="E120" s="118">
        <f>E61</f>
        <v/>
      </c>
      <c r="F120" s="110" t="inlineStr">
        <is>
          <t>x</t>
        </is>
      </c>
      <c r="G120" s="67" t="n">
        <v>0.68</v>
      </c>
      <c r="H120" s="110" t="inlineStr">
        <is>
          <t>x</t>
        </is>
      </c>
      <c r="I120" s="118" t="n">
        <v>0.45</v>
      </c>
      <c r="J120" s="76" t="inlineStr">
        <is>
          <t>=</t>
        </is>
      </c>
      <c r="K120" s="118">
        <f>IF(C105,C105*E105*G105*I105,"")</f>
        <v/>
      </c>
      <c r="L120" s="74" t="inlineStr">
        <is>
          <t>Cum</t>
        </is>
      </c>
    </row>
    <row r="121" customFormat="1" s="110">
      <c r="A121" s="140" t="n"/>
      <c r="B121" s="183" t="inlineStr">
        <is>
          <t>second footing</t>
        </is>
      </c>
      <c r="C121" s="66" t="n">
        <v>1</v>
      </c>
      <c r="D121" s="110" t="inlineStr">
        <is>
          <t>x</t>
        </is>
      </c>
      <c r="E121" s="118">
        <f>E105</f>
        <v/>
      </c>
      <c r="F121" s="110" t="inlineStr">
        <is>
          <t>x</t>
        </is>
      </c>
      <c r="G121" s="67" t="n">
        <v>0.54</v>
      </c>
      <c r="H121" s="110" t="inlineStr">
        <is>
          <t>x</t>
        </is>
      </c>
      <c r="I121" s="118" t="n">
        <v>0.45</v>
      </c>
      <c r="J121" s="76" t="inlineStr">
        <is>
          <t>=</t>
        </is>
      </c>
      <c r="K121" s="118">
        <f>IF(C106,C106*E106*G106*I106,"")</f>
        <v/>
      </c>
      <c r="L121" s="74" t="inlineStr">
        <is>
          <t>Cum</t>
        </is>
      </c>
    </row>
    <row r="122" customFormat="1" s="110">
      <c r="A122" s="140" t="n"/>
      <c r="B122" s="183" t="inlineStr">
        <is>
          <t>third footing</t>
        </is>
      </c>
      <c r="C122" s="66" t="n">
        <v>1</v>
      </c>
      <c r="D122" s="110" t="inlineStr">
        <is>
          <t>x</t>
        </is>
      </c>
      <c r="E122" s="118">
        <f>E106</f>
        <v/>
      </c>
      <c r="F122" s="110" t="inlineStr">
        <is>
          <t>x</t>
        </is>
      </c>
      <c r="G122" s="67" t="n">
        <v>0.45</v>
      </c>
      <c r="H122" s="110" t="inlineStr">
        <is>
          <t>x</t>
        </is>
      </c>
      <c r="I122" s="118" t="n">
        <v>0.45</v>
      </c>
      <c r="J122" s="76" t="inlineStr">
        <is>
          <t>=</t>
        </is>
      </c>
      <c r="K122" s="118">
        <f>IF(C107,C107*E107*G107*I107,"")</f>
        <v/>
      </c>
      <c r="L122" s="74" t="inlineStr">
        <is>
          <t>Cum</t>
        </is>
      </c>
    </row>
    <row r="123" customFormat="1" s="110">
      <c r="A123" s="140" t="n"/>
      <c r="B123" s="183" t="inlineStr">
        <is>
          <t>Fourth Footing</t>
        </is>
      </c>
      <c r="C123" s="66" t="n">
        <v>1</v>
      </c>
      <c r="D123" s="110" t="inlineStr">
        <is>
          <t>x</t>
        </is>
      </c>
      <c r="E123" s="118">
        <f>E107</f>
        <v/>
      </c>
      <c r="F123" s="110" t="inlineStr">
        <is>
          <t>x</t>
        </is>
      </c>
      <c r="G123" s="67" t="n">
        <v>0.38</v>
      </c>
      <c r="H123" s="110" t="inlineStr">
        <is>
          <t>x</t>
        </is>
      </c>
      <c r="I123" s="118" t="n">
        <v>0.9</v>
      </c>
      <c r="J123" s="76" t="inlineStr">
        <is>
          <t>=</t>
        </is>
      </c>
      <c r="K123" s="118">
        <f>IF(C108,C108*E108*G108*I108,"")</f>
        <v/>
      </c>
      <c r="L123" s="74" t="inlineStr">
        <is>
          <t>Cum</t>
        </is>
      </c>
    </row>
    <row r="124" customFormat="1" s="110">
      <c r="A124" s="83" t="n"/>
      <c r="B124" s="195" t="inlineStr">
        <is>
          <t>Wall 02 Partition</t>
        </is>
      </c>
      <c r="C124" s="118" t="n"/>
      <c r="D124" s="44" t="n"/>
      <c r="E124" s="118" t="n"/>
      <c r="F124" s="44" t="n"/>
      <c r="G124" s="67" t="n"/>
    </row>
    <row r="125" customFormat="1" s="110">
      <c r="A125" s="140" t="n"/>
      <c r="B125" s="183" t="inlineStr">
        <is>
          <t>first footing</t>
        </is>
      </c>
      <c r="C125" s="66" t="n">
        <v>1</v>
      </c>
      <c r="D125" s="110" t="inlineStr">
        <is>
          <t>x</t>
        </is>
      </c>
      <c r="E125" s="118">
        <f>E62</f>
        <v/>
      </c>
      <c r="F125" s="110" t="inlineStr">
        <is>
          <t>x</t>
        </is>
      </c>
      <c r="G125" s="67" t="n">
        <v>0.45</v>
      </c>
      <c r="H125" s="110" t="inlineStr">
        <is>
          <t>x</t>
        </is>
      </c>
      <c r="I125" s="118" t="n">
        <v>0.6</v>
      </c>
      <c r="J125" s="76" t="inlineStr">
        <is>
          <t>=</t>
        </is>
      </c>
      <c r="K125" s="118">
        <f>IF(C110,C110*E110*G110*I110,"")</f>
        <v/>
      </c>
      <c r="L125" s="74" t="inlineStr">
        <is>
          <t>Cum</t>
        </is>
      </c>
    </row>
    <row r="126" customFormat="1" s="110">
      <c r="A126" s="140" t="n"/>
      <c r="B126" s="183" t="inlineStr">
        <is>
          <t>second footing</t>
        </is>
      </c>
      <c r="C126" s="66" t="n">
        <v>1</v>
      </c>
      <c r="D126" s="110" t="inlineStr">
        <is>
          <t>x</t>
        </is>
      </c>
      <c r="E126" s="118">
        <f>E110</f>
        <v/>
      </c>
      <c r="F126" s="110" t="inlineStr">
        <is>
          <t>x</t>
        </is>
      </c>
      <c r="G126" s="67" t="n">
        <v>0.38</v>
      </c>
      <c r="H126" s="110" t="inlineStr">
        <is>
          <t>x</t>
        </is>
      </c>
      <c r="I126" s="118" t="n">
        <v>1.05</v>
      </c>
      <c r="J126" s="76" t="inlineStr">
        <is>
          <t>=</t>
        </is>
      </c>
      <c r="K126" s="118">
        <f>IF(C111,C111*E111*G111*I111,"")</f>
        <v/>
      </c>
      <c r="L126" s="74" t="inlineStr">
        <is>
          <t>Cum</t>
        </is>
      </c>
    </row>
    <row r="127" customFormat="1" s="110">
      <c r="A127" s="83" t="n"/>
      <c r="B127" s="195" t="inlineStr">
        <is>
          <t>Steps</t>
        </is>
      </c>
      <c r="C127" s="118" t="n"/>
      <c r="D127" s="44" t="n"/>
      <c r="E127" s="118" t="n"/>
      <c r="F127" s="44" t="n"/>
      <c r="G127" s="67" t="n"/>
      <c r="I127" s="118" t="n"/>
    </row>
    <row r="128" customFormat="1" s="110">
      <c r="A128" s="140" t="n"/>
      <c r="B128" s="183" t="inlineStr">
        <is>
          <t>Entrance</t>
        </is>
      </c>
      <c r="C128" s="66" t="n">
        <v>2</v>
      </c>
      <c r="D128" s="110" t="inlineStr">
        <is>
          <t>x</t>
        </is>
      </c>
      <c r="E128" s="118" t="n">
        <v>1.5</v>
      </c>
      <c r="F128" s="110" t="inlineStr">
        <is>
          <t>x</t>
        </is>
      </c>
      <c r="G128" s="67" t="n">
        <v>1.2</v>
      </c>
      <c r="H128" s="110" t="inlineStr">
        <is>
          <t>x</t>
        </is>
      </c>
      <c r="I128" s="118" t="n">
        <v>0.75</v>
      </c>
      <c r="J128" s="76" t="inlineStr">
        <is>
          <t>=</t>
        </is>
      </c>
      <c r="K128" s="118">
        <f>IF(C113,C113*E113*G113*I113,"")</f>
        <v/>
      </c>
      <c r="L128" s="74" t="inlineStr">
        <is>
          <t>Cum</t>
        </is>
      </c>
    </row>
    <row r="129" customFormat="1" s="110">
      <c r="A129" s="140" t="n"/>
      <c r="B129" s="183" t="n"/>
      <c r="C129" s="66" t="n">
        <v>2</v>
      </c>
      <c r="D129" s="110" t="inlineStr">
        <is>
          <t>x</t>
        </is>
      </c>
      <c r="E129" s="118">
        <f>E113</f>
        <v/>
      </c>
      <c r="F129" s="110" t="inlineStr">
        <is>
          <t>x</t>
        </is>
      </c>
      <c r="G129" s="67" t="n">
        <v>0.9</v>
      </c>
      <c r="H129" s="110" t="inlineStr">
        <is>
          <t>x</t>
        </is>
      </c>
      <c r="I129" s="118" t="n">
        <v>0.15</v>
      </c>
      <c r="J129" s="76" t="inlineStr">
        <is>
          <t>=</t>
        </is>
      </c>
      <c r="K129" s="118">
        <f>IF(C114,C114*E114*G114*I114,"")</f>
        <v/>
      </c>
      <c r="L129" s="74" t="inlineStr">
        <is>
          <t>Cum</t>
        </is>
      </c>
    </row>
    <row r="130" customFormat="1" s="110">
      <c r="A130" s="140" t="n"/>
      <c r="B130" s="183" t="n"/>
      <c r="C130" s="66">
        <f>C114</f>
        <v/>
      </c>
      <c r="D130" s="110" t="inlineStr">
        <is>
          <t>x</t>
        </is>
      </c>
      <c r="E130" s="118">
        <f>E114</f>
        <v/>
      </c>
      <c r="F130" s="110" t="inlineStr">
        <is>
          <t>x</t>
        </is>
      </c>
      <c r="G130" s="67" t="n">
        <v>0.6</v>
      </c>
      <c r="H130" s="110" t="inlineStr">
        <is>
          <t>x</t>
        </is>
      </c>
      <c r="I130" s="118" t="n">
        <v>0.15</v>
      </c>
      <c r="J130" s="76" t="inlineStr">
        <is>
          <t>=</t>
        </is>
      </c>
      <c r="K130" s="118">
        <f>IF(C115,C115*E115*G115*I115,"")</f>
        <v/>
      </c>
      <c r="L130" s="74" t="inlineStr">
        <is>
          <t>Cum</t>
        </is>
      </c>
    </row>
    <row r="131" customFormat="1" s="110">
      <c r="A131" s="140" t="n"/>
      <c r="B131" s="183" t="n"/>
      <c r="C131" s="66">
        <f>C115</f>
        <v/>
      </c>
      <c r="D131" s="110" t="inlineStr">
        <is>
          <t>x</t>
        </is>
      </c>
      <c r="E131" s="118">
        <f>E115</f>
        <v/>
      </c>
      <c r="F131" s="110" t="inlineStr">
        <is>
          <t>x</t>
        </is>
      </c>
      <c r="G131" s="67" t="n">
        <v>0.3</v>
      </c>
      <c r="H131" s="110" t="inlineStr">
        <is>
          <t>x</t>
        </is>
      </c>
      <c r="I131" s="118" t="n">
        <v>0.15</v>
      </c>
      <c r="J131" s="76" t="inlineStr">
        <is>
          <t>=</t>
        </is>
      </c>
      <c r="K131" s="118">
        <f>IF(C116,C116*E116*G116*I116,"")</f>
        <v/>
      </c>
      <c r="L131" s="74" t="inlineStr">
        <is>
          <t>Cum</t>
        </is>
      </c>
    </row>
    <row r="132" customFormat="1" s="110">
      <c r="A132" s="140" t="n"/>
      <c r="B132" s="183" t="inlineStr">
        <is>
          <t>Total of Second Footing in Partitions</t>
        </is>
      </c>
      <c r="C132" s="66" t="n"/>
      <c r="E132" s="118">
        <f>K111</f>
        <v/>
      </c>
      <c r="F132" s="110" t="inlineStr">
        <is>
          <t>Cum</t>
        </is>
      </c>
      <c r="G132" s="67" t="n"/>
      <c r="H132" s="110" t="n"/>
      <c r="I132" s="118" t="n"/>
      <c r="J132" s="110" t="n"/>
      <c r="K132" s="118" t="n"/>
      <c r="L132" s="74" t="n"/>
    </row>
    <row r="133" customFormat="1" s="110">
      <c r="A133" s="140" t="n"/>
      <c r="B133" s="183" t="n"/>
      <c r="C133" s="66" t="n"/>
      <c r="E133" s="118" t="n"/>
      <c r="G133" s="34" t="inlineStr">
        <is>
          <t>Total</t>
        </is>
      </c>
      <c r="H133" s="138" t="n"/>
      <c r="I133" s="158" t="n"/>
      <c r="J133" s="138" t="n"/>
      <c r="K133" s="158">
        <f>SUM(K105:K117)</f>
        <v/>
      </c>
      <c r="L133" s="139" t="inlineStr">
        <is>
          <t>Cum</t>
        </is>
      </c>
    </row>
    <row r="134" customFormat="1" s="110">
      <c r="A134" s="83">
        <f>A103+1</f>
        <v/>
      </c>
      <c r="B134" s="169" t="inlineStr">
        <is>
          <t>R.R. Stone masonry for super structure upto 4.5 m height above plinth level in cement sand mortar 1:6 for wall upto 30 cms in thickness.</t>
        </is>
      </c>
      <c r="C134" s="118" t="n"/>
      <c r="D134" s="44" t="n"/>
      <c r="E134" s="118" t="n"/>
      <c r="F134" s="44" t="n"/>
      <c r="G134" s="67" t="n"/>
    </row>
    <row r="135" customFormat="1" s="110">
      <c r="A135" s="140" t="n"/>
      <c r="B135" s="195" t="inlineStr">
        <is>
          <t>WaLL01</t>
        </is>
      </c>
      <c r="C135" s="66" t="n">
        <v>1</v>
      </c>
      <c r="D135" s="110" t="inlineStr">
        <is>
          <t>x</t>
        </is>
      </c>
      <c r="E135" s="118">
        <f>E61</f>
        <v/>
      </c>
      <c r="F135" s="110" t="inlineStr">
        <is>
          <t>x</t>
        </is>
      </c>
      <c r="G135" s="67" t="n">
        <v>0.3</v>
      </c>
      <c r="H135" s="110" t="inlineStr">
        <is>
          <t>x</t>
        </is>
      </c>
      <c r="I135" s="118" t="n">
        <v>3</v>
      </c>
      <c r="J135" s="76" t="inlineStr">
        <is>
          <t>=</t>
        </is>
      </c>
      <c r="K135" s="118">
        <f>IF(C120,C120*E120*G120*I120,"")</f>
        <v/>
      </c>
      <c r="L135" s="74" t="inlineStr">
        <is>
          <t>Cum</t>
        </is>
      </c>
    </row>
    <row r="136" customFormat="1" s="110">
      <c r="A136" s="140" t="n"/>
      <c r="B136" s="195" t="inlineStr">
        <is>
          <t>First Floor</t>
        </is>
      </c>
      <c r="C136" s="66" t="n">
        <v>1</v>
      </c>
      <c r="D136" s="110" t="inlineStr">
        <is>
          <t>x</t>
        </is>
      </c>
      <c r="E136" s="118">
        <f>K33</f>
        <v/>
      </c>
      <c r="F136" s="110" t="inlineStr">
        <is>
          <t>x</t>
        </is>
      </c>
      <c r="G136" s="67" t="n">
        <v>0.3</v>
      </c>
      <c r="H136" s="110" t="inlineStr">
        <is>
          <t>x</t>
        </is>
      </c>
      <c r="I136" s="118" t="n">
        <v>3</v>
      </c>
      <c r="J136" s="76" t="inlineStr">
        <is>
          <t>=</t>
        </is>
      </c>
      <c r="K136" s="118">
        <f>IF(C121,C121*E121*G121*I121,"")</f>
        <v/>
      </c>
      <c r="L136" s="74" t="inlineStr">
        <is>
          <t>Cum</t>
        </is>
      </c>
    </row>
    <row r="137" customFormat="1" s="110">
      <c r="A137" s="140" t="n"/>
      <c r="B137" s="195" t="inlineStr">
        <is>
          <t>Parapet</t>
        </is>
      </c>
      <c r="C137" s="66" t="n">
        <v>1</v>
      </c>
      <c r="D137" s="110" t="inlineStr">
        <is>
          <t>x</t>
        </is>
      </c>
      <c r="E137" s="118">
        <f>K39</f>
        <v/>
      </c>
      <c r="F137" s="110" t="inlineStr">
        <is>
          <t>x</t>
        </is>
      </c>
      <c r="G137" s="67" t="n">
        <v>0.3</v>
      </c>
      <c r="H137" s="110" t="inlineStr">
        <is>
          <t>x</t>
        </is>
      </c>
      <c r="I137" s="118" t="n">
        <v>0.75</v>
      </c>
      <c r="J137" s="76" t="inlineStr">
        <is>
          <t>=</t>
        </is>
      </c>
      <c r="K137" s="118">
        <f>IF(C122,C122*E122*G122*I122,"")</f>
        <v/>
      </c>
      <c r="L137" s="74" t="inlineStr">
        <is>
          <t>Cum</t>
        </is>
      </c>
    </row>
    <row r="138" customFormat="1" s="110">
      <c r="A138" s="140" t="n"/>
      <c r="B138" s="183" t="n"/>
      <c r="C138" s="66" t="n"/>
      <c r="E138" s="158" t="n"/>
      <c r="F138" s="138" t="n"/>
      <c r="G138" s="34" t="inlineStr">
        <is>
          <t>Gross Qty.</t>
        </is>
      </c>
      <c r="H138" s="138" t="n"/>
      <c r="I138" s="158" t="n"/>
      <c r="J138" s="139" t="inlineStr">
        <is>
          <t>+</t>
        </is>
      </c>
      <c r="K138" s="158">
        <f>SUM(K120:K122)</f>
        <v/>
      </c>
      <c r="L138" s="139" t="inlineStr">
        <is>
          <t>Cum</t>
        </is>
      </c>
    </row>
    <row r="139" customFormat="1" s="110">
      <c r="A139" s="140" t="n"/>
      <c r="B139" s="195" t="inlineStr">
        <is>
          <t>Deductions</t>
        </is>
      </c>
      <c r="C139" s="66" t="n"/>
      <c r="E139" s="118" t="n"/>
      <c r="G139" s="67" t="n"/>
      <c r="H139" s="110" t="n"/>
      <c r="I139" s="118" t="n"/>
      <c r="J139" s="74" t="n"/>
      <c r="K139" s="118" t="n"/>
      <c r="L139" s="74" t="n"/>
    </row>
    <row r="140" customFormat="1" s="110">
      <c r="A140" s="140" t="n"/>
      <c r="B140" s="183" t="inlineStr">
        <is>
          <t>D</t>
        </is>
      </c>
      <c r="C140" s="66" t="n">
        <v>7</v>
      </c>
      <c r="D140" s="110" t="inlineStr">
        <is>
          <t>x</t>
        </is>
      </c>
      <c r="E140" s="118" t="n">
        <v>1.2</v>
      </c>
      <c r="F140" s="110" t="inlineStr">
        <is>
          <t>x</t>
        </is>
      </c>
      <c r="G140" s="67" t="n">
        <v>0.3</v>
      </c>
      <c r="H140" s="110" t="inlineStr">
        <is>
          <t>x</t>
        </is>
      </c>
      <c r="I140" s="118" t="n">
        <v>2.55</v>
      </c>
      <c r="J140" s="76" t="inlineStr">
        <is>
          <t>=</t>
        </is>
      </c>
      <c r="K140" s="118">
        <f>IF(C125,C125*E125*G125*I125,"")</f>
        <v/>
      </c>
      <c r="L140" s="74" t="inlineStr">
        <is>
          <t>Cum</t>
        </is>
      </c>
    </row>
    <row r="141" customFormat="1" s="110">
      <c r="A141" s="140" t="n"/>
      <c r="B141" s="183" t="inlineStr">
        <is>
          <t>D1</t>
        </is>
      </c>
      <c r="C141" s="66" t="n">
        <v>3</v>
      </c>
      <c r="D141" s="110" t="inlineStr">
        <is>
          <t>x</t>
        </is>
      </c>
      <c r="E141" s="118" t="n">
        <v>1.05</v>
      </c>
      <c r="F141" s="110" t="inlineStr">
        <is>
          <t>x</t>
        </is>
      </c>
      <c r="G141" s="67" t="n">
        <v>0.3</v>
      </c>
      <c r="H141" s="110" t="inlineStr">
        <is>
          <t>x</t>
        </is>
      </c>
      <c r="I141" s="118" t="n">
        <v>2.1</v>
      </c>
      <c r="J141" s="76" t="inlineStr">
        <is>
          <t>=</t>
        </is>
      </c>
      <c r="K141" s="118">
        <f>IF(C126,C126*E126*G126*I126,"")</f>
        <v/>
      </c>
      <c r="L141" s="74" t="inlineStr">
        <is>
          <t>Cum</t>
        </is>
      </c>
    </row>
    <row r="142" customFormat="1" s="110">
      <c r="A142" s="140" t="n"/>
      <c r="B142" s="183" t="inlineStr">
        <is>
          <t>D2</t>
        </is>
      </c>
      <c r="C142" s="66" t="n">
        <v>2</v>
      </c>
      <c r="D142" s="110" t="inlineStr">
        <is>
          <t>x</t>
        </is>
      </c>
      <c r="E142" s="118" t="n">
        <v>0.84</v>
      </c>
      <c r="F142" s="110" t="inlineStr">
        <is>
          <t>x</t>
        </is>
      </c>
      <c r="G142" s="67" t="n">
        <v>0.3</v>
      </c>
      <c r="H142" s="110" t="inlineStr">
        <is>
          <t>x</t>
        </is>
      </c>
      <c r="I142" s="118" t="n">
        <v>2.1</v>
      </c>
      <c r="J142" s="76" t="inlineStr">
        <is>
          <t>=</t>
        </is>
      </c>
      <c r="K142" s="118">
        <f>IF(C127,C127*E127*G127*I127,"")</f>
        <v/>
      </c>
      <c r="L142" s="74" t="inlineStr">
        <is>
          <t>Cum</t>
        </is>
      </c>
    </row>
    <row r="143" customFormat="1" s="110">
      <c r="A143" s="140" t="n"/>
      <c r="B143" s="183" t="inlineStr">
        <is>
          <t>D3</t>
        </is>
      </c>
      <c r="C143" s="66" t="n">
        <v>1</v>
      </c>
      <c r="D143" s="110" t="inlineStr">
        <is>
          <t>x</t>
        </is>
      </c>
      <c r="E143" s="118" t="n">
        <v>0.9</v>
      </c>
      <c r="F143" s="110" t="inlineStr">
        <is>
          <t>x</t>
        </is>
      </c>
      <c r="G143" s="67" t="n">
        <v>0.3</v>
      </c>
      <c r="H143" s="110" t="inlineStr">
        <is>
          <t>x</t>
        </is>
      </c>
      <c r="I143" s="118" t="n">
        <v>2.1</v>
      </c>
      <c r="J143" s="76" t="inlineStr">
        <is>
          <t>=</t>
        </is>
      </c>
      <c r="K143" s="118">
        <f>IF(C128,C128*E128*G128*I128,"")</f>
        <v/>
      </c>
      <c r="L143" s="74" t="inlineStr">
        <is>
          <t>Cum</t>
        </is>
      </c>
    </row>
    <row r="144" customFormat="1" s="110">
      <c r="A144" s="140" t="n"/>
      <c r="B144" s="183" t="inlineStr">
        <is>
          <t>D4</t>
        </is>
      </c>
      <c r="C144" s="66" t="n">
        <v>1</v>
      </c>
      <c r="D144" s="110" t="inlineStr">
        <is>
          <t>x</t>
        </is>
      </c>
      <c r="E144" s="118" t="n">
        <v>0.75</v>
      </c>
      <c r="F144" s="110" t="inlineStr">
        <is>
          <t>x</t>
        </is>
      </c>
      <c r="G144" s="67" t="n">
        <v>0.3</v>
      </c>
      <c r="H144" s="110" t="inlineStr">
        <is>
          <t>x</t>
        </is>
      </c>
      <c r="I144" s="118" t="n">
        <v>2.1</v>
      </c>
      <c r="J144" s="76" t="inlineStr">
        <is>
          <t>=</t>
        </is>
      </c>
      <c r="K144" s="118">
        <f>IF(C129,C129*E129*G129*I129,"")</f>
        <v/>
      </c>
      <c r="L144" s="74" t="inlineStr">
        <is>
          <t>Cum</t>
        </is>
      </c>
    </row>
    <row r="145" customFormat="1" s="110">
      <c r="A145" s="140" t="n"/>
      <c r="B145" s="183" t="inlineStr">
        <is>
          <t>W</t>
        </is>
      </c>
      <c r="C145" s="66" t="n">
        <v>7</v>
      </c>
      <c r="D145" s="110" t="inlineStr">
        <is>
          <t>x</t>
        </is>
      </c>
      <c r="E145" s="118" t="n">
        <v>2.1</v>
      </c>
      <c r="F145" s="110" t="inlineStr">
        <is>
          <t>x</t>
        </is>
      </c>
      <c r="G145" s="67" t="n">
        <v>0.3</v>
      </c>
      <c r="H145" s="110" t="inlineStr">
        <is>
          <t>x</t>
        </is>
      </c>
      <c r="I145" s="118" t="n">
        <v>1.8</v>
      </c>
      <c r="J145" s="76" t="inlineStr">
        <is>
          <t>=</t>
        </is>
      </c>
      <c r="K145" s="118">
        <f>IF(C130,C130*E130*G130*I130,"")</f>
        <v/>
      </c>
      <c r="L145" s="74" t="inlineStr">
        <is>
          <t>Cum</t>
        </is>
      </c>
    </row>
    <row r="146" customFormat="1" s="110">
      <c r="A146" s="140" t="n"/>
      <c r="B146" s="183" t="inlineStr">
        <is>
          <t>W1</t>
        </is>
      </c>
      <c r="C146" s="66" t="n">
        <v>8</v>
      </c>
      <c r="D146" s="110" t="inlineStr">
        <is>
          <t>x</t>
        </is>
      </c>
      <c r="E146" s="118" t="n">
        <v>1.5</v>
      </c>
      <c r="F146" s="110" t="inlineStr">
        <is>
          <t>x</t>
        </is>
      </c>
      <c r="G146" s="67" t="n">
        <v>0.3</v>
      </c>
      <c r="H146" s="110" t="inlineStr">
        <is>
          <t>x</t>
        </is>
      </c>
      <c r="I146" s="118" t="n">
        <v>1.8</v>
      </c>
      <c r="J146" s="76" t="inlineStr">
        <is>
          <t>=</t>
        </is>
      </c>
      <c r="K146" s="118">
        <f>IF(C131,C131*E131*G131*I131,"")</f>
        <v/>
      </c>
      <c r="L146" s="74" t="inlineStr">
        <is>
          <t>Cum</t>
        </is>
      </c>
    </row>
    <row r="147" ht="60" customFormat="1" customHeight="1" s="110">
      <c r="A147" s="140" t="n"/>
      <c r="B147" s="183" t="inlineStr">
        <is>
          <t>W2</t>
        </is>
      </c>
      <c r="C147" s="66" t="n">
        <v>9</v>
      </c>
      <c r="D147" s="110" t="inlineStr">
        <is>
          <t>x</t>
        </is>
      </c>
      <c r="E147" s="118" t="n">
        <v>0.9</v>
      </c>
      <c r="F147" s="110" t="inlineStr">
        <is>
          <t>x</t>
        </is>
      </c>
      <c r="G147" s="67" t="n">
        <v>0.3</v>
      </c>
      <c r="H147" s="110" t="inlineStr">
        <is>
          <t>x</t>
        </is>
      </c>
      <c r="I147" s="118" t="n">
        <v>1.8</v>
      </c>
      <c r="J147" s="76" t="inlineStr">
        <is>
          <t>=</t>
        </is>
      </c>
      <c r="K147" s="118">
        <f>IF(C132,C132*E132*G132*I132,"")</f>
        <v/>
      </c>
      <c r="L147" s="74" t="inlineStr">
        <is>
          <t>Cum</t>
        </is>
      </c>
    </row>
    <row r="148" customFormat="1" s="110">
      <c r="A148" s="140" t="n"/>
      <c r="B148" s="183" t="inlineStr">
        <is>
          <t>V</t>
        </is>
      </c>
      <c r="C148" s="66" t="n">
        <v>1</v>
      </c>
      <c r="D148" s="110" t="inlineStr">
        <is>
          <t>x</t>
        </is>
      </c>
      <c r="E148" s="118" t="n">
        <v>1.05</v>
      </c>
      <c r="F148" s="110" t="inlineStr">
        <is>
          <t>x</t>
        </is>
      </c>
      <c r="G148" s="67" t="n">
        <v>0.3</v>
      </c>
      <c r="H148" s="110" t="inlineStr">
        <is>
          <t>x</t>
        </is>
      </c>
      <c r="I148" s="118" t="n">
        <v>0.75</v>
      </c>
      <c r="J148" s="76" t="inlineStr">
        <is>
          <t>=</t>
        </is>
      </c>
      <c r="K148" s="118">
        <f>IF(C133,C133*E133*G133*I133,"")</f>
        <v/>
      </c>
      <c r="L148" s="74" t="inlineStr">
        <is>
          <t>Cum</t>
        </is>
      </c>
    </row>
    <row r="149" customFormat="1" s="110">
      <c r="A149" s="140" t="n"/>
      <c r="B149" s="183" t="inlineStr">
        <is>
          <t>V1</t>
        </is>
      </c>
      <c r="C149" s="66" t="n">
        <v>3</v>
      </c>
      <c r="D149" s="110" t="inlineStr">
        <is>
          <t>x</t>
        </is>
      </c>
      <c r="E149" s="118" t="n">
        <v>0.75</v>
      </c>
      <c r="F149" s="110" t="inlineStr">
        <is>
          <t>x</t>
        </is>
      </c>
      <c r="G149" s="67" t="n">
        <v>0.3</v>
      </c>
      <c r="H149" s="110" t="inlineStr">
        <is>
          <t>x</t>
        </is>
      </c>
      <c r="I149" s="118" t="n">
        <v>0.75</v>
      </c>
      <c r="J149" s="76" t="inlineStr">
        <is>
          <t>=</t>
        </is>
      </c>
      <c r="K149" s="118">
        <f>IF(C134,C134*E134*G134*I134,"")</f>
        <v/>
      </c>
      <c r="L149" s="74" t="inlineStr">
        <is>
          <t>Cum</t>
        </is>
      </c>
    </row>
    <row r="150" ht="60" customHeight="1" s="9">
      <c r="A150" s="140" t="n"/>
      <c r="B150" s="183" t="inlineStr">
        <is>
          <t>V2</t>
        </is>
      </c>
      <c r="C150" s="66" t="n">
        <v>3</v>
      </c>
      <c r="D150" s="110" t="inlineStr">
        <is>
          <t>x</t>
        </is>
      </c>
      <c r="E150" s="118" t="n">
        <v>0.6</v>
      </c>
      <c r="F150" s="110" t="inlineStr">
        <is>
          <t>x</t>
        </is>
      </c>
      <c r="G150" s="67" t="n">
        <v>0.3</v>
      </c>
      <c r="H150" s="110" t="inlineStr">
        <is>
          <t>x</t>
        </is>
      </c>
      <c r="I150" s="118" t="n">
        <v>0.6</v>
      </c>
      <c r="J150" s="76" t="inlineStr">
        <is>
          <t>=</t>
        </is>
      </c>
      <c r="K150" s="118">
        <f>IF(C135,C135*E135*G135*I135,"")</f>
        <v/>
      </c>
      <c r="L150" s="74" t="inlineStr">
        <is>
          <t>Cum</t>
        </is>
      </c>
    </row>
    <row r="151" customFormat="1" s="110">
      <c r="A151" s="140" t="n"/>
      <c r="B151" s="183" t="inlineStr">
        <is>
          <t>Rolling Shutter</t>
        </is>
      </c>
      <c r="C151" s="66" t="n">
        <v>1</v>
      </c>
      <c r="D151" s="110" t="inlineStr">
        <is>
          <t>x</t>
        </is>
      </c>
      <c r="E151" s="118" t="n">
        <v>2.7</v>
      </c>
      <c r="F151" s="110" t="inlineStr">
        <is>
          <t>x</t>
        </is>
      </c>
      <c r="G151" s="67" t="n">
        <v>0.3</v>
      </c>
      <c r="H151" s="110" t="inlineStr">
        <is>
          <t>x</t>
        </is>
      </c>
      <c r="I151" s="118" t="n">
        <v>2.4</v>
      </c>
      <c r="J151" s="76" t="inlineStr">
        <is>
          <t>=</t>
        </is>
      </c>
      <c r="K151" s="118">
        <f>IF(C136,C136*E136*G136*I136,"")</f>
        <v/>
      </c>
      <c r="L151" s="74" t="inlineStr">
        <is>
          <t>Cum</t>
        </is>
      </c>
    </row>
    <row r="152" customFormat="1" s="110">
      <c r="A152" s="140" t="n"/>
      <c r="B152" s="183" t="inlineStr">
        <is>
          <t>Verandah</t>
        </is>
      </c>
      <c r="C152" s="66" t="n">
        <v>1</v>
      </c>
      <c r="D152" s="110" t="inlineStr">
        <is>
          <t>x</t>
        </is>
      </c>
      <c r="E152" s="118" t="n">
        <v>3.6</v>
      </c>
      <c r="F152" s="110" t="inlineStr">
        <is>
          <t>x</t>
        </is>
      </c>
      <c r="G152" s="67" t="n">
        <v>0.3</v>
      </c>
      <c r="H152" s="110" t="inlineStr">
        <is>
          <t>x</t>
        </is>
      </c>
      <c r="I152" s="118" t="n">
        <v>2.4</v>
      </c>
      <c r="J152" s="76" t="inlineStr">
        <is>
          <t>=</t>
        </is>
      </c>
      <c r="K152" s="118">
        <f>IF(C137,C137*E137*G137*I137,"")</f>
        <v/>
      </c>
      <c r="L152" s="74" t="inlineStr">
        <is>
          <t>Cum</t>
        </is>
      </c>
    </row>
    <row r="153" customFormat="1" s="110">
      <c r="A153" s="140" t="n"/>
      <c r="B153" s="183" t="inlineStr">
        <is>
          <t>Verandah</t>
        </is>
      </c>
      <c r="C153" s="66" t="n">
        <v>1</v>
      </c>
      <c r="D153" s="110" t="inlineStr">
        <is>
          <t>x</t>
        </is>
      </c>
      <c r="E153" s="118" t="n">
        <v>1.95</v>
      </c>
      <c r="F153" s="110" t="inlineStr">
        <is>
          <t>x</t>
        </is>
      </c>
      <c r="G153" s="67" t="n">
        <v>0.3</v>
      </c>
      <c r="H153" s="110" t="inlineStr">
        <is>
          <t>x</t>
        </is>
      </c>
      <c r="I153" s="118" t="n">
        <v>2.4</v>
      </c>
      <c r="J153" s="76" t="inlineStr">
        <is>
          <t>=</t>
        </is>
      </c>
      <c r="K153" s="118">
        <f>IF(C138,C138*E138*G138*I138,"")</f>
        <v/>
      </c>
      <c r="L153" s="74" t="inlineStr">
        <is>
          <t>Cum</t>
        </is>
      </c>
    </row>
    <row r="154" customFormat="1" s="110">
      <c r="A154" s="140" t="n"/>
      <c r="B154" s="183" t="inlineStr">
        <is>
          <t>Verandah</t>
        </is>
      </c>
      <c r="C154" s="66" t="n">
        <v>2</v>
      </c>
      <c r="D154" s="110" t="inlineStr">
        <is>
          <t>x</t>
        </is>
      </c>
      <c r="E154" s="118" t="n">
        <v>0.6</v>
      </c>
      <c r="F154" s="110" t="inlineStr">
        <is>
          <t>x</t>
        </is>
      </c>
      <c r="G154" s="67" t="n">
        <v>0.3</v>
      </c>
      <c r="H154" s="110" t="inlineStr">
        <is>
          <t>x</t>
        </is>
      </c>
      <c r="I154" s="118" t="n">
        <v>2.4</v>
      </c>
      <c r="J154" s="76" t="inlineStr">
        <is>
          <t>=</t>
        </is>
      </c>
      <c r="K154" s="118">
        <f>IF(C139,C139*E139*G139*I139,"")</f>
        <v/>
      </c>
      <c r="L154" s="74" t="inlineStr">
        <is>
          <t>Cum</t>
        </is>
      </c>
    </row>
    <row r="155" customFormat="1" s="110">
      <c r="A155" s="140" t="n"/>
      <c r="B155" s="183" t="inlineStr">
        <is>
          <t>Nitch</t>
        </is>
      </c>
      <c r="C155" s="66" t="n">
        <v>2</v>
      </c>
      <c r="D155" s="110" t="inlineStr">
        <is>
          <t>x</t>
        </is>
      </c>
      <c r="E155" s="118" t="n">
        <v>1.8</v>
      </c>
      <c r="F155" s="110" t="inlineStr">
        <is>
          <t>x</t>
        </is>
      </c>
      <c r="G155" s="67" t="n">
        <v>0.3</v>
      </c>
      <c r="H155" s="110" t="inlineStr">
        <is>
          <t>x</t>
        </is>
      </c>
      <c r="I155" s="118" t="n">
        <v>1.35</v>
      </c>
      <c r="J155" s="76" t="inlineStr">
        <is>
          <t>=</t>
        </is>
      </c>
      <c r="K155" s="118">
        <f>IF(C140,C140*E140*G140*I140,"")</f>
        <v/>
      </c>
      <c r="L155" s="74" t="inlineStr">
        <is>
          <t>Cum</t>
        </is>
      </c>
    </row>
    <row r="156" customFormat="1" s="110">
      <c r="A156" s="140" t="n"/>
      <c r="B156" s="183" t="inlineStr">
        <is>
          <t>Nitch</t>
        </is>
      </c>
      <c r="C156" s="66" t="n">
        <v>1</v>
      </c>
      <c r="D156" s="110" t="inlineStr">
        <is>
          <t>x</t>
        </is>
      </c>
      <c r="E156" s="118" t="n">
        <v>2.1</v>
      </c>
      <c r="F156" s="110" t="inlineStr">
        <is>
          <t>x</t>
        </is>
      </c>
      <c r="G156" s="67" t="n">
        <v>0.3</v>
      </c>
      <c r="H156" s="110" t="inlineStr">
        <is>
          <t>x</t>
        </is>
      </c>
      <c r="I156" s="118" t="n">
        <v>1.35</v>
      </c>
      <c r="J156" s="76" t="inlineStr">
        <is>
          <t>=</t>
        </is>
      </c>
      <c r="K156" s="118">
        <f>IF(C141,C141*E141*G141*I141,"")</f>
        <v/>
      </c>
      <c r="L156" s="74" t="inlineStr">
        <is>
          <t>Cum</t>
        </is>
      </c>
    </row>
    <row r="157" customFormat="1" s="110">
      <c r="A157" s="140" t="n"/>
      <c r="B157" s="183" t="inlineStr">
        <is>
          <t>Nitch</t>
        </is>
      </c>
      <c r="C157" s="66" t="n">
        <v>2</v>
      </c>
      <c r="D157" s="110" t="inlineStr">
        <is>
          <t>x</t>
        </is>
      </c>
      <c r="E157" s="118" t="n">
        <v>0.9</v>
      </c>
      <c r="F157" s="110" t="inlineStr">
        <is>
          <t>x</t>
        </is>
      </c>
      <c r="G157" s="67" t="n">
        <v>0.3</v>
      </c>
      <c r="H157" s="110" t="inlineStr">
        <is>
          <t>x</t>
        </is>
      </c>
      <c r="I157" s="118" t="n">
        <v>1.35</v>
      </c>
      <c r="J157" s="76" t="inlineStr">
        <is>
          <t>=</t>
        </is>
      </c>
      <c r="K157" s="118">
        <f>IF(C142,C142*E142*G142*I142,"")</f>
        <v/>
      </c>
      <c r="L157" s="74" t="inlineStr">
        <is>
          <t>Cum</t>
        </is>
      </c>
    </row>
    <row r="158" customFormat="1" s="110">
      <c r="A158" s="140" t="n"/>
      <c r="B158" s="153" t="inlineStr">
        <is>
          <t xml:space="preserve">Lintels </t>
        </is>
      </c>
      <c r="C158" s="66" t="n">
        <v>1</v>
      </c>
      <c r="D158" s="110" t="inlineStr">
        <is>
          <t>x</t>
        </is>
      </c>
      <c r="E158" s="118">
        <f>E120</f>
        <v/>
      </c>
      <c r="F158" s="110" t="inlineStr">
        <is>
          <t>x</t>
        </is>
      </c>
      <c r="G158" s="67" t="n">
        <v>0.3</v>
      </c>
      <c r="H158" s="110" t="inlineStr">
        <is>
          <t>x</t>
        </is>
      </c>
      <c r="I158" s="118" t="n">
        <v>0.15</v>
      </c>
      <c r="J158" s="76" t="inlineStr">
        <is>
          <t>=</t>
        </is>
      </c>
      <c r="K158" s="118">
        <f>IF(C143,C143*E143*G143*I143,"")</f>
        <v/>
      </c>
      <c r="L158" s="74" t="inlineStr">
        <is>
          <t>Cum</t>
        </is>
      </c>
    </row>
    <row r="159" customFormat="1" s="110">
      <c r="A159" s="140" t="n"/>
      <c r="B159" s="153" t="inlineStr">
        <is>
          <t>Lintels FF</t>
        </is>
      </c>
      <c r="C159" s="66" t="n">
        <v>1</v>
      </c>
      <c r="D159" s="110" t="inlineStr">
        <is>
          <t>x</t>
        </is>
      </c>
      <c r="E159" s="118">
        <f>K33</f>
        <v/>
      </c>
      <c r="F159" s="110" t="inlineStr">
        <is>
          <t>x</t>
        </is>
      </c>
      <c r="G159" s="67" t="n">
        <v>0.3</v>
      </c>
      <c r="H159" s="110" t="inlineStr">
        <is>
          <t>x</t>
        </is>
      </c>
      <c r="I159" s="118" t="n">
        <v>0.15</v>
      </c>
      <c r="J159" s="76" t="inlineStr">
        <is>
          <t>=</t>
        </is>
      </c>
      <c r="K159" s="118">
        <f>IF(C144,C144*E144*G144*I144,"")</f>
        <v/>
      </c>
      <c r="L159" s="74" t="inlineStr">
        <is>
          <t>Cum</t>
        </is>
      </c>
    </row>
    <row r="160" customFormat="1" s="110">
      <c r="A160" s="140" t="n"/>
      <c r="B160" s="183" t="n"/>
      <c r="C160" s="66" t="n"/>
      <c r="E160" s="158" t="n"/>
      <c r="F160" s="138" t="n"/>
      <c r="G160" s="34" t="inlineStr">
        <is>
          <t>Total Deductions</t>
        </is>
      </c>
      <c r="H160" s="138" t="n"/>
      <c r="I160" s="158" t="n"/>
      <c r="J160" s="139" t="inlineStr">
        <is>
          <t>-</t>
        </is>
      </c>
      <c r="K160" s="158">
        <f>SUM(K125:K144)</f>
        <v/>
      </c>
      <c r="L160" s="139" t="inlineStr">
        <is>
          <t>Cum</t>
        </is>
      </c>
    </row>
    <row r="161" customFormat="1" s="110">
      <c r="A161" s="83" t="n"/>
      <c r="B161" s="183" t="inlineStr">
        <is>
          <t>Net qty. in Ground floor</t>
        </is>
      </c>
      <c r="C161" s="10" t="n"/>
      <c r="D161" s="100">
        <f>K123</f>
        <v/>
      </c>
      <c r="E161" s="15" t="n"/>
      <c r="F161" s="175" t="inlineStr">
        <is>
          <t>-</t>
        </is>
      </c>
      <c r="G161" s="15">
        <f>K145</f>
        <v/>
      </c>
      <c r="H161" s="14" t="n"/>
      <c r="J161" s="76" t="inlineStr">
        <is>
          <t>=</t>
        </is>
      </c>
      <c r="K161" s="118">
        <f>D146-G146</f>
        <v/>
      </c>
      <c r="L161" s="74" t="inlineStr">
        <is>
          <t>Cum</t>
        </is>
      </c>
    </row>
    <row r="162" customFormat="1" s="110">
      <c r="A162" s="109" t="n">
        <v>9</v>
      </c>
      <c r="B162" s="169">
        <f>GF1_ABS!B16</f>
        <v/>
      </c>
      <c r="C162" s="118" t="n"/>
      <c r="D162" s="44" t="n"/>
      <c r="E162" s="118" t="n"/>
      <c r="F162" s="44" t="n"/>
      <c r="G162" s="67" t="n"/>
    </row>
    <row r="163" customFormat="1" s="110">
      <c r="A163" s="140" t="n"/>
      <c r="B163" s="183" t="inlineStr">
        <is>
          <t>Pillars</t>
        </is>
      </c>
      <c r="C163" s="66" t="n">
        <v>23</v>
      </c>
      <c r="D163" s="110" t="inlineStr">
        <is>
          <t>x</t>
        </is>
      </c>
      <c r="E163" s="118" t="n">
        <v>0.3</v>
      </c>
      <c r="F163" s="110" t="inlineStr">
        <is>
          <t>x</t>
        </is>
      </c>
      <c r="G163" s="67" t="n">
        <v>0.3</v>
      </c>
      <c r="H163" s="110" t="inlineStr">
        <is>
          <t>x</t>
        </is>
      </c>
      <c r="I163" s="118" t="n">
        <v>3</v>
      </c>
      <c r="J163" s="76" t="inlineStr">
        <is>
          <t>=</t>
        </is>
      </c>
      <c r="K163" s="118">
        <f>IF(C148,C148*E148*G148*I148,"")</f>
        <v/>
      </c>
      <c r="L163" s="74" t="inlineStr">
        <is>
          <t>Cum</t>
        </is>
      </c>
    </row>
    <row r="164" customFormat="1" s="110">
      <c r="A164" s="109" t="n"/>
      <c r="B164" s="169" t="n"/>
      <c r="C164" s="118" t="n"/>
      <c r="D164" s="44" t="n"/>
      <c r="E164" s="118" t="n"/>
      <c r="F164" s="44" t="n"/>
      <c r="G164" s="118" t="n"/>
      <c r="I164" s="34" t="inlineStr">
        <is>
          <t xml:space="preserve">Total </t>
        </is>
      </c>
      <c r="J164" s="137" t="inlineStr">
        <is>
          <t>=</t>
        </is>
      </c>
      <c r="K164" s="158">
        <f>SUM(K148:K148)</f>
        <v/>
      </c>
      <c r="L164" s="139" t="inlineStr">
        <is>
          <t>Cum</t>
        </is>
      </c>
    </row>
    <row r="165" customFormat="1" s="110">
      <c r="A165" s="40">
        <f>A147+1</f>
        <v/>
      </c>
      <c r="B165" s="169" t="inlineStr">
        <is>
          <t>Half brick masonry in super structure using bricks of class designation 75 in  Cement Mortar 1:4  ( 1 cement : 4 coarse sand)</t>
        </is>
      </c>
      <c r="C165" s="118" t="n"/>
      <c r="D165" s="44" t="n"/>
      <c r="E165" s="118" t="n"/>
      <c r="F165" s="175" t="n"/>
      <c r="G165" s="67" t="n"/>
      <c r="I165" s="110" t="n"/>
      <c r="K165" s="110" t="n"/>
    </row>
    <row r="166" customFormat="1" s="110">
      <c r="A166" s="140" t="n"/>
      <c r="B166" s="183" t="inlineStr">
        <is>
          <t>Partition walls</t>
        </is>
      </c>
      <c r="C166" s="66" t="n">
        <v>1</v>
      </c>
      <c r="D166" s="110" t="inlineStr">
        <is>
          <t>x</t>
        </is>
      </c>
      <c r="E166" s="118">
        <f>K53</f>
        <v/>
      </c>
      <c r="F166" s="110" t="inlineStr">
        <is>
          <t>x</t>
        </is>
      </c>
      <c r="G166" s="118" t="n">
        <v>3</v>
      </c>
      <c r="I166" s="118" t="n"/>
      <c r="J166" s="76" t="inlineStr">
        <is>
          <t>=</t>
        </is>
      </c>
      <c r="K166" s="118">
        <f>IF(C151,C151*E151*G151,"")</f>
        <v/>
      </c>
      <c r="L166" s="66" t="inlineStr">
        <is>
          <t>Sqm</t>
        </is>
      </c>
    </row>
    <row r="167" customFormat="1" s="110">
      <c r="A167" s="140" t="n"/>
      <c r="B167" s="183" t="inlineStr">
        <is>
          <t>Partition walls in FF</t>
        </is>
      </c>
      <c r="C167" s="66" t="n">
        <v>1</v>
      </c>
      <c r="D167" s="110" t="inlineStr">
        <is>
          <t>x</t>
        </is>
      </c>
      <c r="E167" s="118">
        <f>K59</f>
        <v/>
      </c>
      <c r="F167" s="110" t="inlineStr">
        <is>
          <t>x</t>
        </is>
      </c>
      <c r="G167" s="118" t="n">
        <v>3</v>
      </c>
      <c r="I167" s="118" t="n"/>
      <c r="J167" s="76" t="inlineStr">
        <is>
          <t>=</t>
        </is>
      </c>
      <c r="K167" s="118">
        <f>IF(C152,C152*E152*G152,"")</f>
        <v/>
      </c>
      <c r="L167" s="66" t="inlineStr">
        <is>
          <t>Sqm</t>
        </is>
      </c>
    </row>
    <row r="168" ht="60" customFormat="1" customHeight="1" s="110">
      <c r="A168" s="140" t="n"/>
      <c r="B168" s="183" t="inlineStr">
        <is>
          <t>Nitch</t>
        </is>
      </c>
      <c r="C168" s="66" t="n">
        <v>2</v>
      </c>
      <c r="D168" s="110" t="inlineStr">
        <is>
          <t>x</t>
        </is>
      </c>
      <c r="E168" s="118" t="n">
        <v>1.8</v>
      </c>
      <c r="F168" s="110" t="inlineStr">
        <is>
          <t>x</t>
        </is>
      </c>
      <c r="G168" s="118" t="n">
        <v>1.35</v>
      </c>
      <c r="I168" s="118" t="n"/>
      <c r="J168" s="76" t="inlineStr">
        <is>
          <t>=</t>
        </is>
      </c>
      <c r="K168" s="118">
        <f>IF(C153,C153*E153*G153,"")</f>
        <v/>
      </c>
      <c r="L168" s="66" t="inlineStr">
        <is>
          <t>Sqm</t>
        </is>
      </c>
    </row>
    <row r="169" customFormat="1" s="110">
      <c r="A169" s="140" t="n"/>
      <c r="B169" s="183" t="inlineStr">
        <is>
          <t>Nitch</t>
        </is>
      </c>
      <c r="C169" s="66" t="n">
        <v>1</v>
      </c>
      <c r="D169" s="110" t="inlineStr">
        <is>
          <t>x</t>
        </is>
      </c>
      <c r="E169" s="118" t="n">
        <v>2.1</v>
      </c>
      <c r="F169" s="110" t="inlineStr">
        <is>
          <t>x</t>
        </is>
      </c>
      <c r="G169" s="118" t="n">
        <v>1.35</v>
      </c>
      <c r="I169" s="118" t="n"/>
      <c r="J169" s="76" t="inlineStr">
        <is>
          <t>=</t>
        </is>
      </c>
      <c r="K169" s="118">
        <f>IF(C154,C154*E154*G154,"")</f>
        <v/>
      </c>
      <c r="L169" s="66" t="inlineStr">
        <is>
          <t>Sqm</t>
        </is>
      </c>
    </row>
    <row r="170" customFormat="1" s="110">
      <c r="A170" s="140" t="n"/>
      <c r="B170" s="183" t="inlineStr">
        <is>
          <t>Nitch</t>
        </is>
      </c>
      <c r="C170" s="66" t="n">
        <v>2</v>
      </c>
      <c r="D170" s="110" t="inlineStr">
        <is>
          <t>x</t>
        </is>
      </c>
      <c r="E170" s="118" t="n">
        <v>0.9</v>
      </c>
      <c r="F170" s="110" t="inlineStr">
        <is>
          <t>x</t>
        </is>
      </c>
      <c r="G170" s="118" t="n">
        <v>1.35</v>
      </c>
      <c r="I170" s="118" t="n"/>
      <c r="J170" s="76" t="inlineStr">
        <is>
          <t>=</t>
        </is>
      </c>
      <c r="K170" s="118">
        <f>IF(C155,C155*E155*G155,"")</f>
        <v/>
      </c>
      <c r="L170" s="66" t="inlineStr">
        <is>
          <t>Sqm</t>
        </is>
      </c>
    </row>
    <row r="171" customFormat="1" s="110">
      <c r="A171" s="140" t="n"/>
      <c r="B171" s="183" t="inlineStr">
        <is>
          <t>Parapet walls in FF</t>
        </is>
      </c>
      <c r="C171" s="66" t="n">
        <v>1</v>
      </c>
      <c r="D171" s="110" t="inlineStr">
        <is>
          <t>x</t>
        </is>
      </c>
      <c r="E171" s="118">
        <f>K59</f>
        <v/>
      </c>
      <c r="F171" s="110" t="inlineStr">
        <is>
          <t>x</t>
        </is>
      </c>
      <c r="G171" s="118" t="n">
        <v>0.75</v>
      </c>
      <c r="I171" s="118" t="n"/>
      <c r="J171" s="76" t="inlineStr">
        <is>
          <t>=</t>
        </is>
      </c>
      <c r="K171" s="118">
        <f>IF(C156,C156*E156*G156,"")</f>
        <v/>
      </c>
      <c r="L171" s="66" t="inlineStr">
        <is>
          <t>Sqm</t>
        </is>
      </c>
    </row>
    <row r="172" customFormat="1" s="110">
      <c r="A172" s="140" t="n"/>
      <c r="B172" s="183" t="n"/>
      <c r="C172" s="66" t="n"/>
      <c r="E172" s="158" t="n"/>
      <c r="F172" s="138" t="n"/>
      <c r="G172" s="34" t="inlineStr">
        <is>
          <t>Gross Qty.</t>
        </is>
      </c>
      <c r="H172" s="138" t="n"/>
      <c r="I172" s="158" t="n"/>
      <c r="J172" s="139" t="inlineStr">
        <is>
          <t>+</t>
        </is>
      </c>
      <c r="K172" s="158">
        <f>SUM(K151:K156)</f>
        <v/>
      </c>
      <c r="L172" s="33" t="inlineStr">
        <is>
          <t>Sqm</t>
        </is>
      </c>
    </row>
    <row r="173" ht="60" customFormat="1" customHeight="1" s="110">
      <c r="A173" s="140" t="n"/>
      <c r="B173" s="195" t="inlineStr">
        <is>
          <t>Deductions</t>
        </is>
      </c>
      <c r="C173" s="66" t="n"/>
      <c r="E173" s="118" t="n"/>
      <c r="G173" s="67" t="n"/>
      <c r="H173" s="110" t="n"/>
      <c r="I173" s="118" t="n"/>
      <c r="J173" s="74" t="n"/>
      <c r="K173" s="118" t="n"/>
      <c r="L173" s="66" t="n"/>
    </row>
    <row r="174" ht="45" customFormat="1" customHeight="1" s="110">
      <c r="A174" s="140" t="n"/>
      <c r="B174" s="183" t="inlineStr">
        <is>
          <t>D1</t>
        </is>
      </c>
      <c r="C174" s="66" t="n">
        <v>1</v>
      </c>
      <c r="D174" s="110" t="inlineStr">
        <is>
          <t>x</t>
        </is>
      </c>
      <c r="E174" s="118" t="n">
        <v>1.05</v>
      </c>
      <c r="F174" s="110" t="inlineStr">
        <is>
          <t>x</t>
        </is>
      </c>
      <c r="G174" s="118" t="n">
        <v>2.1</v>
      </c>
      <c r="I174" s="118" t="n"/>
      <c r="J174" s="76" t="inlineStr">
        <is>
          <t>=</t>
        </is>
      </c>
      <c r="K174" s="118">
        <f>IF(C159,C159*E159*G159,"")</f>
        <v/>
      </c>
      <c r="L174" s="66" t="inlineStr">
        <is>
          <t>Sqm</t>
        </is>
      </c>
    </row>
    <row r="175" customFormat="1" s="110">
      <c r="A175" s="140" t="n"/>
      <c r="B175" s="183" t="inlineStr">
        <is>
          <t>D2</t>
        </is>
      </c>
      <c r="C175" s="66" t="n">
        <v>4</v>
      </c>
      <c r="D175" s="110" t="inlineStr">
        <is>
          <t>x</t>
        </is>
      </c>
      <c r="E175" s="118" t="n">
        <v>0.75</v>
      </c>
      <c r="F175" s="110" t="inlineStr">
        <is>
          <t>x</t>
        </is>
      </c>
      <c r="G175" s="118" t="n">
        <v>2.1</v>
      </c>
      <c r="I175" s="118" t="n"/>
      <c r="J175" s="76" t="inlineStr">
        <is>
          <t>=</t>
        </is>
      </c>
      <c r="K175" s="118">
        <f>IF(C160,C160*E160*G160,"")</f>
        <v/>
      </c>
      <c r="L175" s="66" t="inlineStr">
        <is>
          <t>Sqm</t>
        </is>
      </c>
    </row>
    <row r="176" customFormat="1" s="110">
      <c r="A176" s="140" t="n"/>
      <c r="B176" s="183" t="inlineStr">
        <is>
          <t>D3</t>
        </is>
      </c>
      <c r="C176" s="66" t="n">
        <v>2</v>
      </c>
      <c r="D176" s="110" t="inlineStr">
        <is>
          <t>x</t>
        </is>
      </c>
      <c r="E176" s="118" t="n">
        <v>0.75</v>
      </c>
      <c r="F176" s="110" t="inlineStr">
        <is>
          <t>x</t>
        </is>
      </c>
      <c r="G176" s="118" t="n">
        <v>2.1</v>
      </c>
      <c r="I176" s="118" t="n"/>
      <c r="J176" s="76" t="inlineStr">
        <is>
          <t>=</t>
        </is>
      </c>
      <c r="K176" s="118">
        <f>IF(C161,C161*E161*G161,"")</f>
        <v/>
      </c>
      <c r="L176" s="66" t="inlineStr">
        <is>
          <t>Sqm</t>
        </is>
      </c>
    </row>
    <row r="177" customFormat="1" s="110">
      <c r="A177" s="140" t="n"/>
      <c r="B177" s="183" t="inlineStr">
        <is>
          <t>W2</t>
        </is>
      </c>
      <c r="C177" s="66" t="n">
        <v>1</v>
      </c>
      <c r="D177" s="110" t="inlineStr">
        <is>
          <t>x</t>
        </is>
      </c>
      <c r="E177" s="118" t="n">
        <v>0.9</v>
      </c>
      <c r="F177" s="110" t="inlineStr">
        <is>
          <t>x</t>
        </is>
      </c>
      <c r="G177" s="118" t="n">
        <v>1.8</v>
      </c>
      <c r="I177" s="118" t="n"/>
      <c r="J177" s="76" t="inlineStr">
        <is>
          <t>=</t>
        </is>
      </c>
      <c r="K177" s="118">
        <f>IF(C162,C162*E162*G162,"")</f>
        <v/>
      </c>
      <c r="L177" s="66" t="inlineStr">
        <is>
          <t>Sqm</t>
        </is>
      </c>
    </row>
    <row r="178" customFormat="1" s="110">
      <c r="A178" s="140" t="n"/>
      <c r="B178" s="183" t="inlineStr">
        <is>
          <t>V</t>
        </is>
      </c>
      <c r="C178" s="66" t="n">
        <v>1</v>
      </c>
      <c r="D178" s="110" t="inlineStr">
        <is>
          <t>x</t>
        </is>
      </c>
      <c r="E178" s="118" t="n">
        <v>1.05</v>
      </c>
      <c r="F178" s="110" t="inlineStr">
        <is>
          <t>x</t>
        </is>
      </c>
      <c r="G178" s="118" t="n">
        <v>0.75</v>
      </c>
      <c r="I178" s="118" t="n"/>
      <c r="J178" s="76" t="inlineStr">
        <is>
          <t>=</t>
        </is>
      </c>
      <c r="K178" s="118">
        <f>IF(C163,C163*E163*G163,"")</f>
        <v/>
      </c>
      <c r="L178" s="66" t="inlineStr">
        <is>
          <t>Sqm</t>
        </is>
      </c>
    </row>
    <row r="179" ht="90" customFormat="1" customHeight="1" s="110">
      <c r="A179" s="140" t="n"/>
      <c r="B179" s="169" t="inlineStr">
        <is>
          <t xml:space="preserve">Lintels      </t>
        </is>
      </c>
      <c r="C179" s="66" t="n">
        <v>1</v>
      </c>
      <c r="D179" s="110" t="inlineStr">
        <is>
          <t>x</t>
        </is>
      </c>
      <c r="E179" s="118">
        <f>E151</f>
        <v/>
      </c>
      <c r="F179" s="110" t="inlineStr">
        <is>
          <t>x</t>
        </is>
      </c>
      <c r="G179" s="118" t="n">
        <v>0.15</v>
      </c>
      <c r="I179" s="118" t="n"/>
      <c r="J179" s="76" t="inlineStr">
        <is>
          <t>=</t>
        </is>
      </c>
      <c r="K179" s="118">
        <f>IF(C164,C164*E164*G164,"")</f>
        <v/>
      </c>
      <c r="L179" s="66" t="inlineStr">
        <is>
          <t>Sqm</t>
        </is>
      </c>
    </row>
    <row r="180" customFormat="1" s="110">
      <c r="A180" s="140" t="n"/>
      <c r="B180" s="183" t="n"/>
      <c r="C180" s="66" t="n"/>
      <c r="E180" s="158" t="n"/>
      <c r="F180" s="138" t="n"/>
      <c r="G180" s="34" t="inlineStr">
        <is>
          <t>Total Deductions</t>
        </is>
      </c>
      <c r="H180" s="138" t="n"/>
      <c r="I180" s="158" t="n"/>
      <c r="J180" s="139" t="inlineStr">
        <is>
          <t>-</t>
        </is>
      </c>
      <c r="K180" s="158">
        <f>SUM(K159:K164)</f>
        <v/>
      </c>
      <c r="L180" s="33" t="inlineStr">
        <is>
          <t>Sqm</t>
        </is>
      </c>
    </row>
    <row r="181" customFormat="1" s="110">
      <c r="A181" s="83" t="n"/>
      <c r="B181" s="183" t="inlineStr">
        <is>
          <t>Net qty. in Ground floor</t>
        </is>
      </c>
      <c r="C181" s="10" t="n"/>
      <c r="D181" s="100">
        <f>K157</f>
        <v/>
      </c>
      <c r="E181" s="15" t="n"/>
      <c r="F181" s="175" t="inlineStr">
        <is>
          <t>-</t>
        </is>
      </c>
      <c r="G181" s="15">
        <f>K165</f>
        <v/>
      </c>
      <c r="H181" s="14" t="n"/>
      <c r="J181" s="76" t="inlineStr">
        <is>
          <t>=</t>
        </is>
      </c>
      <c r="K181" s="118">
        <f>D166-G166</f>
        <v/>
      </c>
      <c r="L181" s="66" t="inlineStr">
        <is>
          <t>Sqm</t>
        </is>
      </c>
    </row>
    <row r="182" customFormat="1" s="110">
      <c r="A182" s="83" t="n"/>
      <c r="B182" s="183" t="inlineStr">
        <is>
          <t>Total qty. of brick masonry</t>
        </is>
      </c>
      <c r="C182" s="10" t="n"/>
      <c r="D182" s="100" t="n"/>
      <c r="E182" s="15" t="n"/>
      <c r="F182" s="175" t="n"/>
      <c r="G182" s="15" t="n"/>
      <c r="H182" s="14" t="n"/>
      <c r="J182" s="76" t="n"/>
      <c r="K182" s="118">
        <f>K166</f>
        <v/>
      </c>
      <c r="L182" s="66" t="inlineStr">
        <is>
          <t>Sqm</t>
        </is>
      </c>
    </row>
    <row r="183" customFormat="1" s="110">
      <c r="A183" s="83">
        <f>A150+1</f>
        <v/>
      </c>
      <c r="B183" s="169" t="inlineStr">
        <is>
          <t>Brick work in superstructure upto 4.5 metre height  above plinth level Cement Mortar 1:4 with bricks are class designation 75.</t>
        </is>
      </c>
      <c r="C183" s="118" t="n"/>
      <c r="D183" s="44" t="n"/>
      <c r="E183" s="118" t="n"/>
      <c r="F183" s="44" t="n"/>
      <c r="G183" s="67" t="n"/>
    </row>
    <row r="184" customFormat="1" s="110">
      <c r="A184" s="140" t="n"/>
      <c r="B184" s="183" t="inlineStr">
        <is>
          <t>Stair case GF</t>
        </is>
      </c>
      <c r="C184" s="74" t="n">
        <v>51</v>
      </c>
      <c r="D184" s="110" t="inlineStr">
        <is>
          <t>x</t>
        </is>
      </c>
      <c r="E184" s="118" t="n">
        <v>0.9</v>
      </c>
      <c r="F184" s="110" t="inlineStr">
        <is>
          <t>x</t>
        </is>
      </c>
      <c r="G184" s="67" t="n">
        <v>0.3</v>
      </c>
      <c r="H184" s="110" t="inlineStr">
        <is>
          <t>x</t>
        </is>
      </c>
      <c r="I184" s="118" t="n">
        <v>0.08</v>
      </c>
      <c r="J184" s="76" t="inlineStr">
        <is>
          <t>=</t>
        </is>
      </c>
      <c r="K184" s="118">
        <f>IF(C169,C169*E169*G169*I169,"")</f>
        <v/>
      </c>
      <c r="L184" s="74" t="inlineStr">
        <is>
          <t>Cum</t>
        </is>
      </c>
    </row>
    <row r="185" customFormat="1" s="110">
      <c r="A185" s="140" t="n"/>
      <c r="B185" s="183" t="inlineStr">
        <is>
          <t>Kitchen</t>
        </is>
      </c>
      <c r="C185" s="74" t="n">
        <v>6</v>
      </c>
      <c r="D185" s="110" t="inlineStr">
        <is>
          <t>x</t>
        </is>
      </c>
      <c r="E185" s="118" t="n">
        <v>0.75</v>
      </c>
      <c r="F185" s="110" t="inlineStr">
        <is>
          <t>x</t>
        </is>
      </c>
      <c r="G185" s="67" t="n">
        <v>0.23</v>
      </c>
      <c r="H185" s="110" t="inlineStr">
        <is>
          <t>x</t>
        </is>
      </c>
      <c r="I185" s="118" t="n">
        <v>0.75</v>
      </c>
      <c r="J185" s="76" t="inlineStr">
        <is>
          <t>=</t>
        </is>
      </c>
      <c r="K185" s="118">
        <f>IF(C170,C170*E170*G170*I170,"")</f>
        <v/>
      </c>
      <c r="L185" s="74" t="inlineStr">
        <is>
          <t>Cum</t>
        </is>
      </c>
    </row>
    <row r="186" customFormat="1" s="110">
      <c r="A186" s="140" t="n"/>
      <c r="B186" s="183" t="inlineStr">
        <is>
          <t>Tank Stand</t>
        </is>
      </c>
      <c r="C186" s="74" t="n">
        <v>8</v>
      </c>
      <c r="D186" s="110" t="inlineStr">
        <is>
          <t>x</t>
        </is>
      </c>
      <c r="E186" s="118" t="n">
        <v>1.5</v>
      </c>
      <c r="F186" s="110" t="inlineStr">
        <is>
          <t>x</t>
        </is>
      </c>
      <c r="G186" s="67" t="n">
        <v>0.23</v>
      </c>
      <c r="H186" s="110" t="inlineStr">
        <is>
          <t>x</t>
        </is>
      </c>
      <c r="I186" s="118" t="n">
        <v>1.2</v>
      </c>
      <c r="J186" s="76" t="inlineStr">
        <is>
          <t>=</t>
        </is>
      </c>
      <c r="K186" s="118">
        <f>IF(C171,C171*E171*G171*I171,"")</f>
        <v/>
      </c>
      <c r="L186" s="74" t="inlineStr">
        <is>
          <t>Cum</t>
        </is>
      </c>
    </row>
    <row r="187" customFormat="1" s="110">
      <c r="A187" s="140" t="n"/>
      <c r="B187" s="183" t="n"/>
      <c r="C187" s="66" t="n"/>
      <c r="E187" s="118" t="n"/>
      <c r="G187" s="34" t="inlineStr">
        <is>
          <t>Total</t>
        </is>
      </c>
      <c r="H187" s="138" t="n"/>
      <c r="I187" s="158" t="n"/>
      <c r="J187" s="138" t="n"/>
      <c r="K187" s="158">
        <f>SUM(K169:K171)</f>
        <v/>
      </c>
      <c r="L187" s="139" t="inlineStr">
        <is>
          <t>Cum</t>
        </is>
      </c>
    </row>
    <row r="188" customFormat="1" s="110">
      <c r="A188" s="83" t="n">
        <v>12</v>
      </c>
      <c r="B188" s="183" t="inlineStr">
        <is>
          <t xml:space="preserve">Centering &amp; shuttering with plywood or steel sheets including strutting propping, bracing both ways with wooden members and removal of form work </t>
        </is>
      </c>
      <c r="C188" s="118" t="n"/>
      <c r="D188" s="175" t="n"/>
      <c r="E188" s="118" t="n"/>
      <c r="F188" s="175" t="n"/>
      <c r="G188" s="67" t="n"/>
    </row>
    <row r="189" customFormat="1" s="110">
      <c r="A189" s="83" t="n"/>
      <c r="B189" s="183" t="inlineStr">
        <is>
          <t>(A) For foundation in basements, rafts, footings, strap beams, bases of columns etc. upto plinth level</t>
        </is>
      </c>
      <c r="C189" s="118" t="n"/>
      <c r="D189" s="175" t="n"/>
      <c r="E189" s="118" t="n"/>
      <c r="F189" s="175" t="n"/>
      <c r="G189" s="67" t="n"/>
    </row>
    <row r="190" customFormat="1" s="110">
      <c r="A190" s="83" t="n"/>
      <c r="B190" s="195" t="inlineStr">
        <is>
          <t>DPC</t>
        </is>
      </c>
      <c r="C190" s="118" t="n"/>
      <c r="D190" s="44" t="n"/>
      <c r="E190" s="118" t="n"/>
      <c r="F190" s="175" t="n"/>
      <c r="G190" s="67" t="n"/>
      <c r="H190" s="110" t="n"/>
      <c r="I190" s="110" t="n"/>
      <c r="J190" s="110" t="n"/>
      <c r="K190" s="110" t="n"/>
      <c r="L190" s="110" t="n"/>
    </row>
    <row r="191" customFormat="1" s="110">
      <c r="A191" s="140" t="n"/>
      <c r="B191" s="192" t="inlineStr">
        <is>
          <t>Wall01</t>
        </is>
      </c>
      <c r="C191" s="66" t="n">
        <v>2</v>
      </c>
      <c r="D191" s="110" t="inlineStr">
        <is>
          <t>x</t>
        </is>
      </c>
      <c r="E191" s="118">
        <f>K28</f>
        <v/>
      </c>
      <c r="F191" s="110" t="inlineStr">
        <is>
          <t>x</t>
        </is>
      </c>
      <c r="G191" s="118" t="n">
        <v>0.15</v>
      </c>
      <c r="I191" s="118" t="n"/>
      <c r="J191" s="76" t="inlineStr">
        <is>
          <t>=</t>
        </is>
      </c>
      <c r="K191" s="118">
        <f>IF(C176,C176*E176*G176,"")</f>
        <v/>
      </c>
      <c r="L191" s="66" t="inlineStr">
        <is>
          <t>Sqm</t>
        </is>
      </c>
    </row>
    <row r="192" customFormat="1" s="110">
      <c r="A192" s="140" t="n"/>
      <c r="B192" s="192" t="inlineStr">
        <is>
          <t>Wall02</t>
        </is>
      </c>
      <c r="C192" s="66" t="n">
        <v>2</v>
      </c>
      <c r="D192" s="110" t="inlineStr">
        <is>
          <t>x</t>
        </is>
      </c>
      <c r="E192" s="118">
        <f>K53</f>
        <v/>
      </c>
      <c r="F192" s="110" t="inlineStr">
        <is>
          <t>x</t>
        </is>
      </c>
      <c r="G192" s="71" t="n">
        <v>0.15</v>
      </c>
      <c r="H192" s="70" t="n"/>
      <c r="I192" s="71" t="n"/>
      <c r="J192" s="72" t="inlineStr">
        <is>
          <t>=</t>
        </is>
      </c>
      <c r="K192" s="71">
        <f>IF(C177,C177*E177*G177,"")</f>
        <v/>
      </c>
      <c r="L192" s="82" t="inlineStr">
        <is>
          <t>Sqm</t>
        </is>
      </c>
    </row>
    <row r="193" customFormat="1" s="110">
      <c r="A193" s="140" t="n"/>
      <c r="B193" s="176" t="n"/>
      <c r="C193" s="173" t="n"/>
      <c r="E193" s="118" t="n"/>
      <c r="G193" s="67" t="inlineStr">
        <is>
          <t>Total</t>
        </is>
      </c>
      <c r="H193" s="110" t="n"/>
      <c r="I193" s="118" t="n"/>
      <c r="J193" s="110" t="n"/>
      <c r="K193" s="118">
        <f>SUM(K175:K177)</f>
        <v/>
      </c>
      <c r="L193" s="66" t="inlineStr">
        <is>
          <t>Sqm</t>
        </is>
      </c>
    </row>
    <row r="194" customFormat="1" s="110">
      <c r="A194" s="83" t="n"/>
      <c r="B194" s="183" t="inlineStr">
        <is>
          <t xml:space="preserve">(B) For suspended floors, roofs, landing staircases, landing balconies, girders, cantilevers, bands, copings, bed plates, anchor blocks, sills, chajjas etc. for superstructure upto 4.5 Mtr. height above plinth level </t>
        </is>
      </c>
      <c r="C194" s="118" t="n"/>
      <c r="D194" s="175" t="n"/>
      <c r="E194" s="118" t="n"/>
      <c r="F194" s="175" t="n"/>
      <c r="G194" s="67" t="n"/>
    </row>
    <row r="195" customFormat="1" s="110">
      <c r="A195" s="83" t="n"/>
      <c r="B195" s="153" t="inlineStr">
        <is>
          <t xml:space="preserve">Lintels </t>
        </is>
      </c>
      <c r="C195" s="118" t="n"/>
      <c r="D195" s="44" t="n"/>
      <c r="E195" s="118" t="n"/>
      <c r="F195" s="44" t="n"/>
      <c r="G195" s="67" t="n"/>
    </row>
    <row r="196" customFormat="1" s="110">
      <c r="A196" s="140" t="n"/>
      <c r="B196" s="183" t="inlineStr">
        <is>
          <t>Wall01 GF</t>
        </is>
      </c>
      <c r="C196" s="66" t="n">
        <v>2</v>
      </c>
      <c r="D196" s="110" t="inlineStr">
        <is>
          <t>x</t>
        </is>
      </c>
      <c r="E196" s="118">
        <f>E120</f>
        <v/>
      </c>
      <c r="F196" s="110" t="inlineStr">
        <is>
          <t>x</t>
        </is>
      </c>
      <c r="G196" s="118" t="n">
        <v>0.15</v>
      </c>
      <c r="I196" s="118" t="n"/>
      <c r="J196" s="76" t="inlineStr">
        <is>
          <t>=</t>
        </is>
      </c>
      <c r="K196" s="118">
        <f>IF(C181,C181*E181*G181,"")</f>
        <v/>
      </c>
      <c r="L196" s="66" t="inlineStr">
        <is>
          <t>Sqm</t>
        </is>
      </c>
    </row>
    <row r="197" customFormat="1" s="110">
      <c r="A197" s="83" t="n"/>
      <c r="B197" s="154" t="inlineStr">
        <is>
          <t>Wall02</t>
        </is>
      </c>
      <c r="C197" s="66" t="n">
        <v>2</v>
      </c>
      <c r="D197" s="110" t="inlineStr">
        <is>
          <t>x</t>
        </is>
      </c>
      <c r="E197" s="118">
        <f>E151</f>
        <v/>
      </c>
      <c r="F197" s="110" t="inlineStr">
        <is>
          <t>x</t>
        </is>
      </c>
      <c r="G197" s="118" t="n">
        <v>0.15</v>
      </c>
      <c r="J197" s="76" t="inlineStr">
        <is>
          <t>=</t>
        </is>
      </c>
      <c r="K197" s="118">
        <f>IF(C182,C182*E182*G182,"")</f>
        <v/>
      </c>
      <c r="L197" s="66" t="inlineStr">
        <is>
          <t>Sqm</t>
        </is>
      </c>
    </row>
    <row r="198" customFormat="1" s="110">
      <c r="A198" s="83" t="n"/>
      <c r="B198" s="154" t="inlineStr">
        <is>
          <t>Wall02</t>
        </is>
      </c>
      <c r="C198" s="66" t="n">
        <v>2</v>
      </c>
      <c r="D198" s="110" t="inlineStr">
        <is>
          <t>x</t>
        </is>
      </c>
      <c r="E198" s="118">
        <f>E152</f>
        <v/>
      </c>
      <c r="F198" s="110" t="inlineStr">
        <is>
          <t>x</t>
        </is>
      </c>
      <c r="G198" s="118" t="n">
        <v>0.15</v>
      </c>
      <c r="J198" s="76" t="inlineStr">
        <is>
          <t>=</t>
        </is>
      </c>
      <c r="K198" s="118">
        <f>IF(C183,C183*E183*G183,"")</f>
        <v/>
      </c>
      <c r="L198" s="66" t="inlineStr">
        <is>
          <t>Sqm</t>
        </is>
      </c>
    </row>
    <row r="199" customFormat="1" s="110">
      <c r="A199" s="140" t="n"/>
      <c r="B199" s="154" t="inlineStr">
        <is>
          <t>Soffits</t>
        </is>
      </c>
      <c r="C199" s="66" t="n"/>
      <c r="E199" s="118" t="n"/>
      <c r="G199" s="118" t="n"/>
      <c r="I199" s="118" t="n"/>
      <c r="J199" s="76" t="n"/>
      <c r="K199" s="118" t="n"/>
      <c r="L199" s="66" t="n"/>
    </row>
    <row r="200" customFormat="1" s="110">
      <c r="A200" s="140" t="n"/>
      <c r="B200" s="183" t="inlineStr">
        <is>
          <t>D</t>
        </is>
      </c>
      <c r="C200" s="66" t="n">
        <v>7</v>
      </c>
      <c r="D200" s="110" t="inlineStr">
        <is>
          <t>x</t>
        </is>
      </c>
      <c r="E200" s="118" t="n">
        <v>1.2</v>
      </c>
      <c r="F200" s="110" t="inlineStr">
        <is>
          <t>x</t>
        </is>
      </c>
      <c r="G200" s="67" t="n">
        <v>0.3</v>
      </c>
      <c r="J200" s="76" t="inlineStr">
        <is>
          <t>=</t>
        </is>
      </c>
      <c r="K200" s="118">
        <f>IF(C185,C185*E185*G185,"")</f>
        <v/>
      </c>
      <c r="L200" s="66" t="inlineStr">
        <is>
          <t>Sqm</t>
        </is>
      </c>
    </row>
    <row r="201" customFormat="1" s="110">
      <c r="A201" s="140" t="n"/>
      <c r="B201" s="183" t="inlineStr">
        <is>
          <t>D1</t>
        </is>
      </c>
      <c r="C201" s="66" t="n">
        <v>3</v>
      </c>
      <c r="D201" s="110" t="inlineStr">
        <is>
          <t>x</t>
        </is>
      </c>
      <c r="E201" s="118" t="n">
        <v>1.05</v>
      </c>
      <c r="F201" s="110" t="inlineStr">
        <is>
          <t>x</t>
        </is>
      </c>
      <c r="G201" s="67" t="n">
        <v>0.3</v>
      </c>
      <c r="J201" s="76" t="inlineStr">
        <is>
          <t>=</t>
        </is>
      </c>
      <c r="K201" s="118">
        <f>IF(C186,C186*E186*G186,"")</f>
        <v/>
      </c>
      <c r="L201" s="66" t="inlineStr">
        <is>
          <t>Sqm</t>
        </is>
      </c>
    </row>
    <row r="202" customFormat="1" s="110">
      <c r="A202" s="140" t="n"/>
      <c r="B202" s="183" t="inlineStr">
        <is>
          <t>D2</t>
        </is>
      </c>
      <c r="C202" s="66" t="n">
        <v>2</v>
      </c>
      <c r="D202" s="110" t="inlineStr">
        <is>
          <t>x</t>
        </is>
      </c>
      <c r="E202" s="118" t="n">
        <v>0.84</v>
      </c>
      <c r="F202" s="110" t="inlineStr">
        <is>
          <t>x</t>
        </is>
      </c>
      <c r="G202" s="67" t="n">
        <v>0.3</v>
      </c>
      <c r="J202" s="76" t="inlineStr">
        <is>
          <t>=</t>
        </is>
      </c>
      <c r="K202" s="118">
        <f>IF(C187,C187*E187*G187,"")</f>
        <v/>
      </c>
      <c r="L202" s="66" t="inlineStr">
        <is>
          <t>Sqm</t>
        </is>
      </c>
    </row>
    <row r="203" customFormat="1" s="110">
      <c r="A203" s="140" t="n"/>
      <c r="B203" s="183" t="inlineStr">
        <is>
          <t>D3</t>
        </is>
      </c>
      <c r="C203" s="66" t="n">
        <v>1</v>
      </c>
      <c r="D203" s="110" t="inlineStr">
        <is>
          <t>x</t>
        </is>
      </c>
      <c r="E203" s="118" t="n">
        <v>0.9</v>
      </c>
      <c r="F203" s="110" t="inlineStr">
        <is>
          <t>x</t>
        </is>
      </c>
      <c r="G203" s="67" t="n">
        <v>0.3</v>
      </c>
      <c r="J203" s="76" t="inlineStr">
        <is>
          <t>=</t>
        </is>
      </c>
      <c r="K203" s="118">
        <f>IF(C188,C188*E188*G188,"")</f>
        <v/>
      </c>
      <c r="L203" s="66" t="inlineStr">
        <is>
          <t>Sqm</t>
        </is>
      </c>
    </row>
    <row r="204" customFormat="1" s="110">
      <c r="A204" s="140" t="n"/>
      <c r="B204" s="183" t="inlineStr">
        <is>
          <t>D4</t>
        </is>
      </c>
      <c r="C204" s="66" t="n">
        <v>1</v>
      </c>
      <c r="D204" s="110" t="inlineStr">
        <is>
          <t>x</t>
        </is>
      </c>
      <c r="E204" s="118" t="n">
        <v>0.75</v>
      </c>
      <c r="F204" s="110" t="inlineStr">
        <is>
          <t>x</t>
        </is>
      </c>
      <c r="G204" s="67" t="n">
        <v>0.3</v>
      </c>
      <c r="J204" s="76" t="inlineStr">
        <is>
          <t>=</t>
        </is>
      </c>
      <c r="K204" s="118">
        <f>IF(C189,C189*E189*G189,"")</f>
        <v/>
      </c>
      <c r="L204" s="66" t="inlineStr">
        <is>
          <t>Sqm</t>
        </is>
      </c>
    </row>
    <row r="205" customFormat="1" s="110">
      <c r="A205" s="140" t="n"/>
      <c r="B205" s="183" t="inlineStr">
        <is>
          <t>Nitch</t>
        </is>
      </c>
      <c r="C205" s="66" t="n">
        <v>2</v>
      </c>
      <c r="D205" s="110" t="inlineStr">
        <is>
          <t>x</t>
        </is>
      </c>
      <c r="E205" s="118" t="n">
        <v>1.8</v>
      </c>
      <c r="F205" s="110" t="inlineStr">
        <is>
          <t>x</t>
        </is>
      </c>
      <c r="G205" s="67" t="n">
        <v>0.3</v>
      </c>
      <c r="J205" s="76" t="inlineStr">
        <is>
          <t>=</t>
        </is>
      </c>
      <c r="K205" s="118">
        <f>IF(C190,C190*E190*G190,"")</f>
        <v/>
      </c>
      <c r="L205" s="66" t="inlineStr">
        <is>
          <t>Sqm</t>
        </is>
      </c>
    </row>
    <row r="206" customFormat="1" s="110">
      <c r="A206" s="140" t="n"/>
      <c r="B206" s="183" t="inlineStr">
        <is>
          <t>Nitch</t>
        </is>
      </c>
      <c r="C206" s="66" t="n">
        <v>1</v>
      </c>
      <c r="D206" s="110" t="inlineStr">
        <is>
          <t>x</t>
        </is>
      </c>
      <c r="E206" s="118" t="n">
        <v>2.1</v>
      </c>
      <c r="F206" s="110" t="inlineStr">
        <is>
          <t>x</t>
        </is>
      </c>
      <c r="G206" s="67" t="n">
        <v>0.3</v>
      </c>
      <c r="J206" s="76" t="inlineStr">
        <is>
          <t>=</t>
        </is>
      </c>
      <c r="K206" s="118">
        <f>IF(C191,C191*E191*G191,"")</f>
        <v/>
      </c>
      <c r="L206" s="66" t="inlineStr">
        <is>
          <t>Sqm</t>
        </is>
      </c>
    </row>
    <row r="207" customFormat="1" s="110">
      <c r="A207" s="140" t="n"/>
      <c r="B207" s="183" t="inlineStr">
        <is>
          <t>Nitch</t>
        </is>
      </c>
      <c r="C207" s="66" t="n">
        <v>2</v>
      </c>
      <c r="D207" s="110" t="inlineStr">
        <is>
          <t>x</t>
        </is>
      </c>
      <c r="E207" s="118" t="n">
        <v>0.9</v>
      </c>
      <c r="F207" s="110" t="inlineStr">
        <is>
          <t>x</t>
        </is>
      </c>
      <c r="G207" s="67" t="n">
        <v>0.3</v>
      </c>
      <c r="J207" s="76" t="inlineStr">
        <is>
          <t>=</t>
        </is>
      </c>
      <c r="K207" s="118">
        <f>IF(C192,C192*E192*G192,"")</f>
        <v/>
      </c>
      <c r="L207" s="66" t="inlineStr">
        <is>
          <t>Sqm</t>
        </is>
      </c>
    </row>
    <row r="208" customFormat="1" s="110">
      <c r="A208" s="140" t="n"/>
      <c r="B208" s="183" t="inlineStr">
        <is>
          <t>D1</t>
        </is>
      </c>
      <c r="C208" s="66" t="n">
        <v>1</v>
      </c>
      <c r="D208" s="110" t="inlineStr">
        <is>
          <t>x</t>
        </is>
      </c>
      <c r="E208" s="118" t="n">
        <v>1.05</v>
      </c>
      <c r="F208" s="110" t="inlineStr">
        <is>
          <t>x</t>
        </is>
      </c>
      <c r="G208" s="118" t="n">
        <v>0.15</v>
      </c>
      <c r="I208" s="118" t="n"/>
      <c r="J208" s="76" t="inlineStr">
        <is>
          <t>=</t>
        </is>
      </c>
      <c r="K208" s="118">
        <f>IF(C193,C193*E193*G193,"")</f>
        <v/>
      </c>
      <c r="L208" s="66" t="inlineStr">
        <is>
          <t>Sqm</t>
        </is>
      </c>
    </row>
    <row r="209" customFormat="1" s="110">
      <c r="A209" s="140" t="n"/>
      <c r="B209" s="183" t="inlineStr">
        <is>
          <t>D2</t>
        </is>
      </c>
      <c r="C209" s="66" t="n">
        <v>4</v>
      </c>
      <c r="D209" s="110" t="inlineStr">
        <is>
          <t>x</t>
        </is>
      </c>
      <c r="E209" s="118" t="n">
        <v>0.75</v>
      </c>
      <c r="F209" s="110" t="inlineStr">
        <is>
          <t>x</t>
        </is>
      </c>
      <c r="G209" s="118" t="n">
        <v>0.15</v>
      </c>
      <c r="I209" s="118" t="n"/>
      <c r="J209" s="76" t="inlineStr">
        <is>
          <t>=</t>
        </is>
      </c>
      <c r="K209" s="118">
        <f>IF(C194,C194*E194*G194,"")</f>
        <v/>
      </c>
      <c r="L209" s="66" t="inlineStr">
        <is>
          <t>Sqm</t>
        </is>
      </c>
    </row>
    <row r="210" customFormat="1" s="110">
      <c r="A210" s="83" t="n"/>
      <c r="B210" s="153" t="inlineStr">
        <is>
          <t>Sunshades</t>
        </is>
      </c>
      <c r="C210" s="118" t="n"/>
      <c r="D210" s="44" t="n"/>
      <c r="E210" s="118" t="n"/>
      <c r="F210" s="44" t="n"/>
      <c r="G210" s="67" t="n"/>
    </row>
    <row r="211" customFormat="1" s="110">
      <c r="A211" s="140" t="n"/>
      <c r="B211" s="183" t="inlineStr">
        <is>
          <t>W</t>
        </is>
      </c>
      <c r="C211" s="66" t="n">
        <v>7</v>
      </c>
      <c r="D211" s="110" t="inlineStr">
        <is>
          <t>x</t>
        </is>
      </c>
      <c r="E211" s="118" t="n">
        <v>2.1</v>
      </c>
      <c r="F211" s="110" t="inlineStr">
        <is>
          <t>x</t>
        </is>
      </c>
      <c r="G211" s="67" t="n">
        <v>0.9</v>
      </c>
      <c r="J211" s="76" t="inlineStr">
        <is>
          <t>=</t>
        </is>
      </c>
      <c r="K211" s="118">
        <f>IF(C196,C196*E196*G196,"")</f>
        <v/>
      </c>
      <c r="L211" s="66" t="inlineStr">
        <is>
          <t>Sqm</t>
        </is>
      </c>
    </row>
    <row r="212" customFormat="1" s="110">
      <c r="A212" s="140" t="n"/>
      <c r="B212" s="183" t="inlineStr">
        <is>
          <t>W1</t>
        </is>
      </c>
      <c r="C212" s="66" t="n">
        <v>8</v>
      </c>
      <c r="D212" s="110" t="inlineStr">
        <is>
          <t>x</t>
        </is>
      </c>
      <c r="E212" s="118" t="n">
        <v>1.5</v>
      </c>
      <c r="F212" s="110" t="inlineStr">
        <is>
          <t>x</t>
        </is>
      </c>
      <c r="G212" s="67" t="n">
        <v>0.9</v>
      </c>
      <c r="J212" s="76" t="inlineStr">
        <is>
          <t>=</t>
        </is>
      </c>
      <c r="K212" s="118">
        <f>IF(C197,C197*E197*G197,"")</f>
        <v/>
      </c>
      <c r="L212" s="66" t="inlineStr">
        <is>
          <t>Sqm</t>
        </is>
      </c>
    </row>
    <row r="213" customFormat="1" s="110">
      <c r="A213" s="140" t="n"/>
      <c r="B213" s="183" t="inlineStr">
        <is>
          <t>W2</t>
        </is>
      </c>
      <c r="C213" s="66" t="n">
        <v>9</v>
      </c>
      <c r="D213" s="110" t="inlineStr">
        <is>
          <t>x</t>
        </is>
      </c>
      <c r="E213" s="118" t="n">
        <v>0.9</v>
      </c>
      <c r="F213" s="110" t="inlineStr">
        <is>
          <t>x</t>
        </is>
      </c>
      <c r="G213" s="67" t="n">
        <v>0.9</v>
      </c>
      <c r="J213" s="76" t="inlineStr">
        <is>
          <t>=</t>
        </is>
      </c>
      <c r="K213" s="118">
        <f>IF(C198,C198*E198*G198,"")</f>
        <v/>
      </c>
      <c r="L213" s="66" t="inlineStr">
        <is>
          <t>Sqm</t>
        </is>
      </c>
    </row>
    <row r="214" customFormat="1" s="110">
      <c r="A214" s="140" t="n"/>
      <c r="B214" s="183" t="inlineStr">
        <is>
          <t>V</t>
        </is>
      </c>
      <c r="C214" s="66" t="n">
        <v>1</v>
      </c>
      <c r="D214" s="110" t="inlineStr">
        <is>
          <t>x</t>
        </is>
      </c>
      <c r="E214" s="118" t="n">
        <v>1.05</v>
      </c>
      <c r="F214" s="110" t="inlineStr">
        <is>
          <t>x</t>
        </is>
      </c>
      <c r="G214" s="67" t="n">
        <v>0.9</v>
      </c>
      <c r="J214" s="76" t="inlineStr">
        <is>
          <t>=</t>
        </is>
      </c>
      <c r="K214" s="118">
        <f>IF(C199,C199*E199*G199,"")</f>
        <v/>
      </c>
      <c r="L214" s="66" t="inlineStr">
        <is>
          <t>Sqm</t>
        </is>
      </c>
    </row>
    <row r="215" customFormat="1" s="110">
      <c r="A215" s="140" t="n"/>
      <c r="B215" s="183" t="inlineStr">
        <is>
          <t>V1</t>
        </is>
      </c>
      <c r="C215" s="66" t="n">
        <v>3</v>
      </c>
      <c r="D215" s="110" t="inlineStr">
        <is>
          <t>x</t>
        </is>
      </c>
      <c r="E215" s="118" t="n">
        <v>0.75</v>
      </c>
      <c r="F215" s="110" t="inlineStr">
        <is>
          <t>x</t>
        </is>
      </c>
      <c r="G215" s="67" t="n">
        <v>0.9</v>
      </c>
      <c r="J215" s="76" t="inlineStr">
        <is>
          <t>=</t>
        </is>
      </c>
      <c r="K215" s="118">
        <f>IF(C200,C200*E200*G200,"")</f>
        <v/>
      </c>
      <c r="L215" s="66" t="inlineStr">
        <is>
          <t>Sqm</t>
        </is>
      </c>
    </row>
    <row r="216" customFormat="1" s="110">
      <c r="A216" s="140" t="n"/>
      <c r="B216" s="183" t="inlineStr">
        <is>
          <t>V2</t>
        </is>
      </c>
      <c r="C216" s="66" t="n">
        <v>3</v>
      </c>
      <c r="D216" s="110" t="inlineStr">
        <is>
          <t>x</t>
        </is>
      </c>
      <c r="E216" s="118" t="n">
        <v>0.6</v>
      </c>
      <c r="F216" s="110" t="inlineStr">
        <is>
          <t>x</t>
        </is>
      </c>
      <c r="G216" s="67" t="n">
        <v>0.9</v>
      </c>
      <c r="J216" s="76" t="inlineStr">
        <is>
          <t>=</t>
        </is>
      </c>
      <c r="K216" s="118">
        <f>IF(C201,C201*E201*G201,"")</f>
        <v/>
      </c>
      <c r="L216" s="66" t="inlineStr">
        <is>
          <t>Sqm</t>
        </is>
      </c>
    </row>
    <row r="217" customFormat="1" s="110">
      <c r="A217" s="140" t="n"/>
      <c r="B217" s="183" t="inlineStr">
        <is>
          <t>Rolling Shutter</t>
        </is>
      </c>
      <c r="C217" s="66" t="n">
        <v>1</v>
      </c>
      <c r="D217" s="110" t="inlineStr">
        <is>
          <t>x</t>
        </is>
      </c>
      <c r="E217" s="118" t="n">
        <v>2.7</v>
      </c>
      <c r="F217" s="110" t="inlineStr">
        <is>
          <t>x</t>
        </is>
      </c>
      <c r="G217" s="67" t="n">
        <v>0.9</v>
      </c>
      <c r="J217" s="76" t="inlineStr">
        <is>
          <t>=</t>
        </is>
      </c>
      <c r="K217" s="118">
        <f>IF(C202,C202*E202*G202,"")</f>
        <v/>
      </c>
      <c r="L217" s="66" t="inlineStr">
        <is>
          <t>Sqm</t>
        </is>
      </c>
    </row>
    <row r="218" customFormat="1" s="110">
      <c r="A218" s="140" t="n"/>
      <c r="B218" s="183" t="inlineStr">
        <is>
          <t>D3</t>
        </is>
      </c>
      <c r="C218" s="66" t="n">
        <v>2</v>
      </c>
      <c r="D218" s="110" t="inlineStr">
        <is>
          <t>x</t>
        </is>
      </c>
      <c r="E218" s="118" t="n">
        <v>0.75</v>
      </c>
      <c r="F218" s="110" t="inlineStr">
        <is>
          <t>x</t>
        </is>
      </c>
      <c r="G218" s="118" t="n">
        <v>0.75</v>
      </c>
      <c r="I218" s="118" t="n"/>
      <c r="J218" s="76" t="inlineStr">
        <is>
          <t>=</t>
        </is>
      </c>
      <c r="K218" s="118">
        <f>IF(C203,C203*E203*G203,"")</f>
        <v/>
      </c>
      <c r="L218" s="66" t="inlineStr">
        <is>
          <t>Sqm</t>
        </is>
      </c>
    </row>
    <row r="219" customFormat="1" s="110">
      <c r="A219" s="140" t="n"/>
      <c r="B219" s="183" t="inlineStr">
        <is>
          <t>W2</t>
        </is>
      </c>
      <c r="C219" s="66" t="n">
        <v>1</v>
      </c>
      <c r="D219" s="110" t="inlineStr">
        <is>
          <t>x</t>
        </is>
      </c>
      <c r="E219" s="118" t="n">
        <v>0.9</v>
      </c>
      <c r="F219" s="110" t="inlineStr">
        <is>
          <t>x</t>
        </is>
      </c>
      <c r="G219" s="118" t="n">
        <v>0.75</v>
      </c>
      <c r="I219" s="118" t="n"/>
      <c r="J219" s="76" t="inlineStr">
        <is>
          <t>=</t>
        </is>
      </c>
      <c r="K219" s="118">
        <f>IF(C204,C204*E204*G204,"")</f>
        <v/>
      </c>
      <c r="L219" s="66" t="inlineStr">
        <is>
          <t>Sqm</t>
        </is>
      </c>
    </row>
    <row r="220" customFormat="1" s="110">
      <c r="A220" s="140" t="n"/>
      <c r="B220" s="183" t="inlineStr">
        <is>
          <t>V</t>
        </is>
      </c>
      <c r="C220" s="66" t="n">
        <v>1</v>
      </c>
      <c r="D220" s="110" t="inlineStr">
        <is>
          <t>x</t>
        </is>
      </c>
      <c r="E220" s="118" t="n">
        <v>1.05</v>
      </c>
      <c r="F220" s="110" t="inlineStr">
        <is>
          <t>x</t>
        </is>
      </c>
      <c r="G220" s="118" t="n">
        <v>0.75</v>
      </c>
      <c r="I220" s="118" t="n"/>
      <c r="J220" s="76" t="inlineStr">
        <is>
          <t>=</t>
        </is>
      </c>
      <c r="K220" s="118">
        <f>IF(C205,C205*E205*G205,"")</f>
        <v/>
      </c>
      <c r="L220" s="66" t="inlineStr">
        <is>
          <t>Sqm</t>
        </is>
      </c>
    </row>
    <row r="221" customFormat="1" s="110">
      <c r="A221" s="140" t="n"/>
      <c r="B221" s="183" t="inlineStr">
        <is>
          <t>Total Shuttering of sunshades in GF</t>
        </is>
      </c>
      <c r="C221" s="15">
        <f>SUM(K196:K205)</f>
        <v/>
      </c>
      <c r="D221" s="14" t="n"/>
      <c r="E221" s="15" t="n"/>
      <c r="G221" s="66" t="inlineStr">
        <is>
          <t>Sqm</t>
        </is>
      </c>
      <c r="I221" s="118" t="n"/>
      <c r="J221" s="76" t="n"/>
      <c r="K221" s="118" t="n"/>
      <c r="L221" s="66" t="n"/>
    </row>
    <row r="222" customFormat="1" s="110">
      <c r="A222" s="140" t="n"/>
      <c r="B222" s="154" t="inlineStr">
        <is>
          <t>Beams</t>
        </is>
      </c>
      <c r="C222" s="74" t="n"/>
      <c r="E222" s="118" t="n"/>
      <c r="F222" s="110" t="n"/>
      <c r="G222" s="118" t="n"/>
      <c r="I222" s="118" t="n"/>
      <c r="J222" s="76" t="n"/>
      <c r="K222" s="118" t="n"/>
      <c r="L222" s="66" t="n"/>
    </row>
    <row r="223" customFormat="1" s="110">
      <c r="A223" s="140" t="n"/>
      <c r="B223" s="183" t="inlineStr">
        <is>
          <t>FS Garage</t>
        </is>
      </c>
      <c r="C223" s="74" t="n">
        <v>4</v>
      </c>
      <c r="D223" s="110" t="inlineStr">
        <is>
          <t>x</t>
        </is>
      </c>
      <c r="E223" s="118" t="n">
        <v>5.5</v>
      </c>
      <c r="F223" s="110" t="inlineStr">
        <is>
          <t>x</t>
        </is>
      </c>
      <c r="G223" s="118" t="n">
        <v>0.45</v>
      </c>
      <c r="I223" s="118" t="n"/>
      <c r="J223" s="76" t="inlineStr">
        <is>
          <t>=</t>
        </is>
      </c>
      <c r="K223" s="118">
        <f>IF(C208,C208*E208*G208,"")</f>
        <v/>
      </c>
      <c r="L223" s="66" t="inlineStr">
        <is>
          <t>Sqm</t>
        </is>
      </c>
    </row>
    <row r="224" customFormat="1" s="110">
      <c r="A224" s="140" t="n"/>
      <c r="B224" s="183" t="n"/>
      <c r="C224" s="74" t="n">
        <v>2</v>
      </c>
      <c r="D224" s="110" t="inlineStr">
        <is>
          <t>x</t>
        </is>
      </c>
      <c r="E224" s="118" t="n">
        <v>3.6</v>
      </c>
      <c r="F224" s="110" t="inlineStr">
        <is>
          <t>x</t>
        </is>
      </c>
      <c r="G224" s="118" t="n">
        <v>0.45</v>
      </c>
      <c r="I224" s="118" t="n"/>
      <c r="J224" s="76" t="inlineStr">
        <is>
          <t>=</t>
        </is>
      </c>
      <c r="K224" s="118">
        <f>IF(C209,C209*E209*G209,"")</f>
        <v/>
      </c>
      <c r="L224" s="66" t="inlineStr">
        <is>
          <t>Sqm</t>
        </is>
      </c>
    </row>
    <row r="225" customFormat="1" s="110">
      <c r="A225" s="140" t="n"/>
      <c r="B225" s="183" t="inlineStr">
        <is>
          <t>Staircase</t>
        </is>
      </c>
      <c r="C225" s="66" t="n">
        <v>8</v>
      </c>
      <c r="D225" s="110" t="inlineStr">
        <is>
          <t>x</t>
        </is>
      </c>
      <c r="E225" s="118" t="n">
        <v>2.55</v>
      </c>
      <c r="F225" s="110" t="inlineStr">
        <is>
          <t>x</t>
        </is>
      </c>
      <c r="G225" s="67" t="n">
        <v>0.3</v>
      </c>
      <c r="I225" s="118" t="n"/>
      <c r="J225" s="76" t="inlineStr">
        <is>
          <t>=</t>
        </is>
      </c>
      <c r="K225" s="118">
        <f>IF(C210,C210*E210*G210,"")</f>
        <v/>
      </c>
      <c r="L225" s="66" t="inlineStr">
        <is>
          <t>Sqm</t>
        </is>
      </c>
    </row>
    <row r="226" customFormat="1" s="110">
      <c r="A226" s="140" t="n"/>
      <c r="B226" s="183" t="inlineStr">
        <is>
          <t>Library</t>
        </is>
      </c>
      <c r="C226" s="66" t="n">
        <v>4</v>
      </c>
      <c r="D226" s="110" t="inlineStr">
        <is>
          <t>x</t>
        </is>
      </c>
      <c r="E226" s="118" t="n">
        <v>6</v>
      </c>
      <c r="F226" s="110" t="inlineStr">
        <is>
          <t>x</t>
        </is>
      </c>
      <c r="G226" s="67" t="n">
        <v>0.45</v>
      </c>
      <c r="I226" s="118" t="n"/>
      <c r="J226" s="76" t="inlineStr">
        <is>
          <t>=</t>
        </is>
      </c>
      <c r="K226" s="118">
        <f>IF(C211,C211*E211*G211,"")</f>
        <v/>
      </c>
      <c r="L226" s="66" t="inlineStr">
        <is>
          <t>Sqm</t>
        </is>
      </c>
    </row>
    <row r="227" customFormat="1" s="110">
      <c r="A227" s="140" t="n"/>
      <c r="B227" s="183" t="inlineStr">
        <is>
          <t>Verandah</t>
        </is>
      </c>
      <c r="C227" s="66" t="n">
        <v>2</v>
      </c>
      <c r="D227" s="110" t="inlineStr">
        <is>
          <t>x</t>
        </is>
      </c>
      <c r="E227" s="118" t="n">
        <v>4.8</v>
      </c>
      <c r="F227" s="110" t="inlineStr">
        <is>
          <t>x</t>
        </is>
      </c>
      <c r="G227" s="118" t="n">
        <v>0.75</v>
      </c>
      <c r="I227" s="118" t="n"/>
      <c r="J227" s="76" t="inlineStr">
        <is>
          <t>=</t>
        </is>
      </c>
      <c r="K227" s="118">
        <f>IF(C212,C212*E212*G212,"")</f>
        <v/>
      </c>
      <c r="L227" s="66" t="inlineStr">
        <is>
          <t>Sqm</t>
        </is>
      </c>
    </row>
    <row r="228" customFormat="1" s="110">
      <c r="A228" s="140" t="n"/>
      <c r="B228" s="183" t="inlineStr">
        <is>
          <t>Verandah</t>
        </is>
      </c>
      <c r="C228" s="66" t="n">
        <v>2</v>
      </c>
      <c r="D228" s="110" t="inlineStr">
        <is>
          <t>x</t>
        </is>
      </c>
      <c r="E228" s="118" t="n">
        <v>2.15</v>
      </c>
      <c r="F228" s="110" t="inlineStr">
        <is>
          <t>x</t>
        </is>
      </c>
      <c r="G228" s="118" t="n">
        <v>0.75</v>
      </c>
      <c r="I228" s="118" t="n"/>
      <c r="J228" s="76" t="inlineStr">
        <is>
          <t>=</t>
        </is>
      </c>
      <c r="K228" s="118">
        <f>IF(C213,C213*E213*G213,"")</f>
        <v/>
      </c>
      <c r="L228" s="66" t="inlineStr">
        <is>
          <t>Sqm</t>
        </is>
      </c>
    </row>
    <row r="229" customFormat="1" s="110">
      <c r="A229" s="140" t="n"/>
      <c r="B229" s="183" t="inlineStr">
        <is>
          <t>Dining</t>
        </is>
      </c>
      <c r="C229" s="66" t="n">
        <v>4</v>
      </c>
      <c r="D229" s="110" t="inlineStr">
        <is>
          <t>x</t>
        </is>
      </c>
      <c r="E229" s="118" t="n">
        <v>4.8</v>
      </c>
      <c r="F229" s="110" t="inlineStr">
        <is>
          <t>x</t>
        </is>
      </c>
      <c r="G229" s="118" t="n">
        <v>0.3</v>
      </c>
      <c r="I229" s="118" t="n"/>
      <c r="J229" s="76" t="inlineStr">
        <is>
          <t>=</t>
        </is>
      </c>
      <c r="K229" s="118">
        <f>IF(C214,C214*E214*G214,"")</f>
        <v/>
      </c>
      <c r="L229" s="66" t="inlineStr">
        <is>
          <t>Sqm</t>
        </is>
      </c>
    </row>
    <row r="230" customFormat="1" s="110">
      <c r="A230" s="140" t="n"/>
      <c r="B230" s="183" t="inlineStr">
        <is>
          <t>Back Platform</t>
        </is>
      </c>
      <c r="C230" s="66" t="n">
        <v>2</v>
      </c>
      <c r="D230" s="110" t="inlineStr">
        <is>
          <t>x</t>
        </is>
      </c>
      <c r="E230" s="118" t="n">
        <v>4.8</v>
      </c>
      <c r="F230" s="110" t="inlineStr">
        <is>
          <t>x</t>
        </is>
      </c>
      <c r="G230" s="118" t="n">
        <v>0.75</v>
      </c>
      <c r="I230" s="118" t="n"/>
      <c r="J230" s="76" t="inlineStr">
        <is>
          <t>=</t>
        </is>
      </c>
      <c r="K230" s="118">
        <f>IF(C215,C215*E215*G215,"")</f>
        <v/>
      </c>
      <c r="L230" s="66" t="inlineStr">
        <is>
          <t>Sqm</t>
        </is>
      </c>
    </row>
    <row r="231" customFormat="1" s="110">
      <c r="A231" s="140" t="n"/>
      <c r="B231" s="183" t="n"/>
      <c r="C231" s="66" t="n">
        <v>4</v>
      </c>
      <c r="D231" s="110" t="inlineStr">
        <is>
          <t>x</t>
        </is>
      </c>
      <c r="E231" s="118" t="n">
        <v>0.6</v>
      </c>
      <c r="F231" s="110" t="inlineStr">
        <is>
          <t>x</t>
        </is>
      </c>
      <c r="G231" s="118" t="n">
        <v>0.75</v>
      </c>
      <c r="I231" s="118" t="n"/>
      <c r="J231" s="76" t="inlineStr">
        <is>
          <t>=</t>
        </is>
      </c>
      <c r="K231" s="118">
        <f>IF(C216,C216*E216*G216,"")</f>
        <v/>
      </c>
      <c r="L231" s="66" t="inlineStr">
        <is>
          <t>Sqm</t>
        </is>
      </c>
    </row>
    <row r="232" customFormat="1" s="110">
      <c r="A232" s="140" t="n"/>
      <c r="B232" s="183" t="inlineStr">
        <is>
          <t>Bed Corner</t>
        </is>
      </c>
      <c r="C232" s="66" t="n">
        <v>2</v>
      </c>
      <c r="D232" s="110" t="inlineStr">
        <is>
          <t>x</t>
        </is>
      </c>
      <c r="E232" s="118" t="n">
        <v>4.8</v>
      </c>
      <c r="F232" s="110" t="inlineStr">
        <is>
          <t>x</t>
        </is>
      </c>
      <c r="G232" s="118" t="n">
        <v>0.3</v>
      </c>
      <c r="I232" s="118" t="n"/>
      <c r="J232" s="76" t="inlineStr">
        <is>
          <t>=</t>
        </is>
      </c>
      <c r="K232" s="118">
        <f>IF(C217,C217*E217*G217,"")</f>
        <v/>
      </c>
      <c r="L232" s="66" t="inlineStr">
        <is>
          <t>Sqm</t>
        </is>
      </c>
    </row>
    <row r="233" customFormat="1" s="110">
      <c r="A233" s="140" t="n"/>
      <c r="B233" s="183" t="inlineStr">
        <is>
          <t>Staircase base beam</t>
        </is>
      </c>
      <c r="C233" s="66" t="n">
        <v>2</v>
      </c>
      <c r="D233" s="110" t="inlineStr">
        <is>
          <t>x</t>
        </is>
      </c>
      <c r="E233" s="118" t="n">
        <v>0.9</v>
      </c>
      <c r="F233" s="110" t="inlineStr">
        <is>
          <t>x</t>
        </is>
      </c>
      <c r="G233" s="118" t="n">
        <v>0.3</v>
      </c>
      <c r="I233" s="118" t="n"/>
      <c r="J233" s="76" t="inlineStr">
        <is>
          <t>=</t>
        </is>
      </c>
      <c r="K233" s="118">
        <f>IF(C218,C218*E218*G218,"")</f>
        <v/>
      </c>
      <c r="L233" s="66" t="inlineStr">
        <is>
          <t>Sqm</t>
        </is>
      </c>
    </row>
    <row r="234" customFormat="1" s="110">
      <c r="A234" s="140" t="n"/>
      <c r="B234" s="183" t="n"/>
      <c r="C234" s="66" t="n">
        <v>2</v>
      </c>
      <c r="D234" s="110" t="inlineStr">
        <is>
          <t>x</t>
        </is>
      </c>
      <c r="E234" s="118" t="n">
        <v>0.3</v>
      </c>
      <c r="F234" s="110" t="inlineStr">
        <is>
          <t>x</t>
        </is>
      </c>
      <c r="G234" s="118" t="n">
        <v>0.3</v>
      </c>
      <c r="I234" s="118" t="n"/>
      <c r="J234" s="76" t="inlineStr">
        <is>
          <t>=</t>
        </is>
      </c>
      <c r="K234" s="118">
        <f>IF(C219,C219*E219*G219,"")</f>
        <v/>
      </c>
      <c r="L234" s="66" t="inlineStr">
        <is>
          <t>Sqm</t>
        </is>
      </c>
    </row>
    <row r="235" customFormat="1" s="110">
      <c r="A235" s="140" t="n"/>
      <c r="B235" s="183" t="inlineStr">
        <is>
          <t>First Floor</t>
        </is>
      </c>
      <c r="C235" s="74" t="n">
        <v>2</v>
      </c>
      <c r="D235" s="110" t="inlineStr">
        <is>
          <t>x</t>
        </is>
      </c>
      <c r="E235" s="118" t="n">
        <v>3.6</v>
      </c>
      <c r="F235" s="110" t="inlineStr">
        <is>
          <t>x</t>
        </is>
      </c>
      <c r="G235" s="118" t="n">
        <v>0.3</v>
      </c>
      <c r="I235" s="118" t="n"/>
      <c r="J235" s="76" t="inlineStr">
        <is>
          <t>=</t>
        </is>
      </c>
      <c r="K235" s="118">
        <f>IF(C220,C220*E220*G220,"")</f>
        <v/>
      </c>
      <c r="L235" s="66" t="inlineStr">
        <is>
          <t>Sqm</t>
        </is>
      </c>
    </row>
    <row r="236" customFormat="1" s="110">
      <c r="A236" s="140" t="n"/>
      <c r="B236" s="183" t="n"/>
      <c r="C236" s="74" t="n">
        <v>2</v>
      </c>
      <c r="D236" s="110" t="inlineStr">
        <is>
          <t>x</t>
        </is>
      </c>
      <c r="E236" s="118" t="n">
        <v>3.6</v>
      </c>
      <c r="F236" s="110" t="inlineStr">
        <is>
          <t>x</t>
        </is>
      </c>
      <c r="G236" s="118" t="n">
        <v>0.75</v>
      </c>
      <c r="I236" s="118" t="n"/>
      <c r="J236" s="76" t="inlineStr">
        <is>
          <t>=</t>
        </is>
      </c>
      <c r="K236" s="118">
        <f>IF(C221,C221*E221*G221,"")</f>
        <v/>
      </c>
      <c r="L236" s="66" t="inlineStr">
        <is>
          <t>Sqm</t>
        </is>
      </c>
    </row>
    <row r="237" customFormat="1" s="110">
      <c r="A237" s="140" t="n"/>
      <c r="B237" s="183" t="n"/>
      <c r="C237" s="74" t="n">
        <v>2</v>
      </c>
      <c r="D237" s="110" t="inlineStr">
        <is>
          <t>x</t>
        </is>
      </c>
      <c r="E237" s="118" t="n">
        <v>1.8</v>
      </c>
      <c r="F237" s="110" t="inlineStr">
        <is>
          <t>x</t>
        </is>
      </c>
      <c r="G237" s="118" t="n">
        <v>0.75</v>
      </c>
      <c r="I237" s="118" t="n"/>
      <c r="J237" s="76" t="inlineStr">
        <is>
          <t>=</t>
        </is>
      </c>
      <c r="K237" s="118">
        <f>IF(C222,C222*E222*G222,"")</f>
        <v/>
      </c>
      <c r="L237" s="66" t="inlineStr">
        <is>
          <t>Sqm</t>
        </is>
      </c>
    </row>
    <row r="238" customFormat="1" s="110">
      <c r="A238" s="140" t="n"/>
      <c r="B238" s="154" t="inlineStr">
        <is>
          <t>Kitchen Platform</t>
        </is>
      </c>
      <c r="C238" s="74" t="n">
        <v>1</v>
      </c>
      <c r="D238" s="110" t="inlineStr">
        <is>
          <t>x</t>
        </is>
      </c>
      <c r="E238" s="118" t="n">
        <v>7</v>
      </c>
      <c r="F238" s="110" t="inlineStr">
        <is>
          <t>x</t>
        </is>
      </c>
      <c r="G238" s="118" t="n">
        <v>0.75</v>
      </c>
      <c r="I238" s="118" t="n"/>
      <c r="J238" s="76" t="inlineStr">
        <is>
          <t>=</t>
        </is>
      </c>
      <c r="K238" s="118">
        <f>IF(C223,C223*E223*G223,"")</f>
        <v/>
      </c>
      <c r="L238" s="66" t="inlineStr">
        <is>
          <t>Sqm</t>
        </is>
      </c>
    </row>
    <row r="239" customFormat="1" s="110">
      <c r="A239" s="140" t="n"/>
      <c r="B239" s="154" t="inlineStr">
        <is>
          <t>Cup Boards</t>
        </is>
      </c>
      <c r="C239" s="74" t="n"/>
      <c r="E239" s="118" t="n"/>
      <c r="F239" s="110" t="n"/>
      <c r="G239" s="118" t="n"/>
      <c r="I239" s="118" t="n"/>
      <c r="J239" s="76" t="n"/>
      <c r="K239" s="118" t="n"/>
      <c r="L239" s="66" t="n"/>
    </row>
    <row r="240" customFormat="1" s="110">
      <c r="A240" s="140" t="n"/>
      <c r="B240" s="183" t="n"/>
      <c r="C240" s="74" t="n">
        <v>1</v>
      </c>
      <c r="D240" s="110" t="inlineStr">
        <is>
          <t>x</t>
        </is>
      </c>
      <c r="E240" s="118" t="n">
        <v>2.1</v>
      </c>
      <c r="F240" s="110" t="inlineStr">
        <is>
          <t>x</t>
        </is>
      </c>
      <c r="G240" s="118" t="n">
        <v>0.6</v>
      </c>
      <c r="I240" s="118" t="n"/>
      <c r="J240" s="76" t="inlineStr">
        <is>
          <t>=</t>
        </is>
      </c>
      <c r="K240" s="118">
        <f>IF(C225,C225*E225*G225,"")</f>
        <v/>
      </c>
      <c r="L240" s="66" t="inlineStr">
        <is>
          <t>Sqm</t>
        </is>
      </c>
    </row>
    <row r="241" customFormat="1" s="110">
      <c r="A241" s="140" t="n"/>
      <c r="B241" s="183" t="n"/>
      <c r="C241" s="74" t="n">
        <v>2</v>
      </c>
      <c r="D241" s="110" t="inlineStr">
        <is>
          <t>x</t>
        </is>
      </c>
      <c r="E241" s="118" t="n">
        <v>1.8</v>
      </c>
      <c r="F241" s="110" t="inlineStr">
        <is>
          <t>x</t>
        </is>
      </c>
      <c r="G241" s="118" t="n">
        <v>0.6</v>
      </c>
      <c r="I241" s="118" t="n"/>
      <c r="J241" s="76" t="inlineStr">
        <is>
          <t>=</t>
        </is>
      </c>
      <c r="K241" s="118">
        <f>IF(C226,C226*E226*G226,"")</f>
        <v/>
      </c>
      <c r="L241" s="66" t="inlineStr">
        <is>
          <t>Sqm</t>
        </is>
      </c>
    </row>
    <row r="242" customFormat="1" s="110">
      <c r="A242" s="140" t="n"/>
      <c r="B242" s="183" t="n"/>
      <c r="C242" s="74" t="n">
        <v>2</v>
      </c>
      <c r="D242" s="110" t="inlineStr">
        <is>
          <t>x</t>
        </is>
      </c>
      <c r="E242" s="118" t="n">
        <v>1.5</v>
      </c>
      <c r="F242" s="110" t="inlineStr">
        <is>
          <t>x</t>
        </is>
      </c>
      <c r="G242" s="118" t="n">
        <v>0.6</v>
      </c>
      <c r="I242" s="118" t="n"/>
      <c r="J242" s="76" t="inlineStr">
        <is>
          <t>=</t>
        </is>
      </c>
      <c r="K242" s="118">
        <f>IF(C227,C227*E227*G227,"")</f>
        <v/>
      </c>
      <c r="L242" s="66" t="inlineStr">
        <is>
          <t>Sqm</t>
        </is>
      </c>
    </row>
    <row r="243" customFormat="1" s="110">
      <c r="A243" s="140" t="n"/>
      <c r="B243" s="183" t="n"/>
      <c r="C243" s="74" t="n">
        <v>2</v>
      </c>
      <c r="D243" s="110" t="inlineStr">
        <is>
          <t>x</t>
        </is>
      </c>
      <c r="E243" s="118" t="n">
        <v>1.35</v>
      </c>
      <c r="F243" s="110" t="inlineStr">
        <is>
          <t>x</t>
        </is>
      </c>
      <c r="G243" s="118" t="n">
        <v>0.6</v>
      </c>
      <c r="I243" s="118" t="n"/>
      <c r="J243" s="76" t="inlineStr">
        <is>
          <t>=</t>
        </is>
      </c>
      <c r="K243" s="118">
        <f>IF(C228,C228*E228*G228,"")</f>
        <v/>
      </c>
      <c r="L243" s="66" t="inlineStr">
        <is>
          <t>Sqm</t>
        </is>
      </c>
    </row>
    <row r="244" customFormat="1" s="110">
      <c r="A244" s="140" t="n"/>
      <c r="B244" s="183" t="n"/>
      <c r="C244" s="74" t="n">
        <v>3</v>
      </c>
      <c r="D244" s="110" t="inlineStr">
        <is>
          <t>x</t>
        </is>
      </c>
      <c r="E244" s="118" t="n">
        <v>0.75</v>
      </c>
      <c r="F244" s="110" t="inlineStr">
        <is>
          <t>x</t>
        </is>
      </c>
      <c r="G244" s="118" t="n">
        <v>0.6</v>
      </c>
      <c r="I244" s="118" t="n"/>
      <c r="J244" s="76" t="inlineStr">
        <is>
          <t>=</t>
        </is>
      </c>
      <c r="K244" s="118">
        <f>IF(C229,C229*E229*G229,"")</f>
        <v/>
      </c>
      <c r="L244" s="66" t="inlineStr">
        <is>
          <t>Sqm</t>
        </is>
      </c>
    </row>
    <row r="245" customFormat="1" s="110">
      <c r="A245" s="83" t="n"/>
      <c r="B245" s="153" t="inlineStr">
        <is>
          <t>Slabs</t>
        </is>
      </c>
      <c r="C245" s="118" t="n"/>
      <c r="E245" s="118" t="n"/>
      <c r="G245" s="67" t="n"/>
    </row>
    <row r="246" customFormat="1" s="110">
      <c r="A246" s="140" t="n"/>
      <c r="B246" s="183" t="inlineStr">
        <is>
          <t>Servant Room</t>
        </is>
      </c>
      <c r="C246" s="66" t="n">
        <v>1</v>
      </c>
      <c r="D246" s="110" t="inlineStr">
        <is>
          <t>x</t>
        </is>
      </c>
      <c r="E246" s="118" t="n">
        <v>3.05</v>
      </c>
      <c r="F246" s="110" t="inlineStr">
        <is>
          <t>x</t>
        </is>
      </c>
      <c r="G246" s="118" t="n">
        <v>2.44</v>
      </c>
      <c r="I246" s="118" t="n"/>
      <c r="J246" s="76" t="inlineStr">
        <is>
          <t>=</t>
        </is>
      </c>
      <c r="K246" s="118">
        <f>IF(C231,C231*E231*G231,"")</f>
        <v/>
      </c>
      <c r="L246" s="66" t="inlineStr">
        <is>
          <t>Sqm</t>
        </is>
      </c>
    </row>
    <row r="247" customFormat="1" s="110">
      <c r="A247" s="140" t="n"/>
      <c r="B247" s="183" t="inlineStr">
        <is>
          <t>WC</t>
        </is>
      </c>
      <c r="C247" s="66" t="n">
        <v>1</v>
      </c>
      <c r="D247" s="110" t="inlineStr">
        <is>
          <t>x</t>
        </is>
      </c>
      <c r="E247" s="118" t="n">
        <v>1.53</v>
      </c>
      <c r="F247" s="110" t="inlineStr">
        <is>
          <t>x</t>
        </is>
      </c>
      <c r="G247" s="118" t="n">
        <v>1</v>
      </c>
      <c r="I247" s="118" t="n"/>
      <c r="J247" s="76" t="inlineStr">
        <is>
          <t>=</t>
        </is>
      </c>
      <c r="K247" s="118">
        <f>IF(C232,C232*E232*G232,"")</f>
        <v/>
      </c>
      <c r="L247" s="66" t="inlineStr">
        <is>
          <t>Sqm</t>
        </is>
      </c>
    </row>
    <row r="248" customFormat="1" s="110">
      <c r="A248" s="140" t="n"/>
      <c r="B248" s="183" t="inlineStr">
        <is>
          <t>Garage</t>
        </is>
      </c>
      <c r="C248" s="66" t="n">
        <v>1</v>
      </c>
      <c r="D248" s="110" t="inlineStr">
        <is>
          <t>x</t>
        </is>
      </c>
      <c r="E248" s="118" t="n">
        <v>3.05</v>
      </c>
      <c r="F248" s="110" t="inlineStr">
        <is>
          <t>x</t>
        </is>
      </c>
      <c r="G248" s="118" t="n">
        <v>5.19</v>
      </c>
      <c r="I248" s="118" t="n"/>
      <c r="J248" s="76" t="inlineStr">
        <is>
          <t>=</t>
        </is>
      </c>
      <c r="K248" s="118">
        <f>IF(C233,C233*E233*G233,"")</f>
        <v/>
      </c>
      <c r="L248" s="66" t="inlineStr">
        <is>
          <t>Sqm</t>
        </is>
      </c>
    </row>
    <row r="249" customFormat="1" s="110">
      <c r="A249" s="140" t="n"/>
      <c r="B249" s="183" t="inlineStr">
        <is>
          <t>Kitchen</t>
        </is>
      </c>
      <c r="C249" s="66" t="n">
        <v>1</v>
      </c>
      <c r="D249" s="110" t="inlineStr">
        <is>
          <t>x</t>
        </is>
      </c>
      <c r="E249" s="118" t="n">
        <v>3.97</v>
      </c>
      <c r="F249" s="110" t="inlineStr">
        <is>
          <t>x</t>
        </is>
      </c>
      <c r="G249" s="118" t="n">
        <v>3.97</v>
      </c>
      <c r="I249" s="118" t="n"/>
      <c r="J249" s="76" t="inlineStr">
        <is>
          <t>=</t>
        </is>
      </c>
      <c r="K249" s="118">
        <f>IF(C234,C234*E234*G234,"")</f>
        <v/>
      </c>
      <c r="L249" s="66" t="inlineStr">
        <is>
          <t>Sqm</t>
        </is>
      </c>
    </row>
    <row r="250" customFormat="1" s="110">
      <c r="A250" s="140" t="n"/>
      <c r="B250" s="183" t="inlineStr">
        <is>
          <t>Staircase</t>
        </is>
      </c>
      <c r="C250" s="66" t="n">
        <v>1</v>
      </c>
      <c r="D250" s="110" t="inlineStr">
        <is>
          <t>x</t>
        </is>
      </c>
      <c r="E250" s="118" t="n">
        <v>2.9</v>
      </c>
      <c r="F250" s="110" t="inlineStr">
        <is>
          <t>x</t>
        </is>
      </c>
      <c r="G250" s="118" t="n">
        <v>1.99</v>
      </c>
      <c r="I250" s="118" t="n"/>
      <c r="J250" s="76" t="inlineStr">
        <is>
          <t>=</t>
        </is>
      </c>
      <c r="K250" s="118">
        <f>IF(C235,C235*E235*G235,"")</f>
        <v/>
      </c>
      <c r="L250" s="66" t="inlineStr">
        <is>
          <t>Sqm</t>
        </is>
      </c>
    </row>
    <row r="251" customFormat="1" s="110">
      <c r="A251" s="140" t="n"/>
      <c r="B251" s="183" t="inlineStr">
        <is>
          <t>Toilet</t>
        </is>
      </c>
      <c r="C251" s="66" t="n">
        <v>1</v>
      </c>
      <c r="D251" s="110" t="inlineStr">
        <is>
          <t>x</t>
        </is>
      </c>
      <c r="E251" s="118" t="n">
        <v>1.83</v>
      </c>
      <c r="F251" s="110" t="inlineStr">
        <is>
          <t>x</t>
        </is>
      </c>
      <c r="G251" s="118" t="n">
        <v>1.38</v>
      </c>
      <c r="I251" s="118" t="n"/>
      <c r="J251" s="76" t="inlineStr">
        <is>
          <t>=</t>
        </is>
      </c>
      <c r="K251" s="118">
        <f>IF(C236,C236*E236*G236,"")</f>
        <v/>
      </c>
      <c r="L251" s="66" t="inlineStr">
        <is>
          <t>Sqm</t>
        </is>
      </c>
    </row>
    <row r="252" ht="225" customFormat="1" customHeight="1" s="110">
      <c r="A252" s="140" t="n"/>
      <c r="B252" s="183" t="inlineStr">
        <is>
          <t>Library</t>
        </is>
      </c>
      <c r="C252" s="66" t="n">
        <v>1</v>
      </c>
      <c r="D252" s="110" t="inlineStr">
        <is>
          <t>x</t>
        </is>
      </c>
      <c r="E252" s="118" t="n">
        <v>3.66</v>
      </c>
      <c r="F252" s="110" t="inlineStr">
        <is>
          <t>x</t>
        </is>
      </c>
      <c r="G252" s="118" t="n">
        <v>3.05</v>
      </c>
      <c r="I252" s="118" t="n"/>
      <c r="J252" s="76" t="inlineStr">
        <is>
          <t>=</t>
        </is>
      </c>
      <c r="K252" s="118">
        <f>IF(C237,C237*E237*G237,"")</f>
        <v/>
      </c>
      <c r="L252" s="66" t="inlineStr">
        <is>
          <t>Sqm</t>
        </is>
      </c>
    </row>
    <row r="253" customFormat="1" s="110">
      <c r="A253" s="140" t="n"/>
      <c r="B253" s="183" t="inlineStr">
        <is>
          <t>Verandah</t>
        </is>
      </c>
      <c r="C253" s="66" t="n">
        <v>1</v>
      </c>
      <c r="D253" s="110" t="inlineStr">
        <is>
          <t>x</t>
        </is>
      </c>
      <c r="E253" s="118" t="n">
        <v>4.27</v>
      </c>
      <c r="F253" s="110" t="inlineStr">
        <is>
          <t>x</t>
        </is>
      </c>
      <c r="G253" s="118" t="n">
        <v>1.83</v>
      </c>
      <c r="I253" s="118" t="n"/>
      <c r="J253" s="76" t="inlineStr">
        <is>
          <t>=</t>
        </is>
      </c>
      <c r="K253" s="118">
        <f>IF(C238,C238*E238*G238,"")</f>
        <v/>
      </c>
      <c r="L253" s="66" t="inlineStr">
        <is>
          <t>Sqm</t>
        </is>
      </c>
    </row>
    <row r="254" customFormat="1" s="110">
      <c r="A254" s="140" t="n"/>
      <c r="B254" s="183" t="inlineStr">
        <is>
          <t>Canopy</t>
        </is>
      </c>
      <c r="C254" s="66" t="n">
        <v>1</v>
      </c>
      <c r="D254" s="110" t="inlineStr">
        <is>
          <t>x</t>
        </is>
      </c>
      <c r="E254" s="118" t="n">
        <v>6</v>
      </c>
      <c r="F254" s="110" t="inlineStr">
        <is>
          <t>x</t>
        </is>
      </c>
      <c r="G254" s="118" t="n">
        <v>2.4</v>
      </c>
      <c r="I254" s="118" t="n"/>
      <c r="J254" s="76" t="inlineStr">
        <is>
          <t>=</t>
        </is>
      </c>
      <c r="K254" s="118">
        <f>IF(C239,C239*E239*G239,"")</f>
        <v/>
      </c>
      <c r="L254" s="66" t="inlineStr">
        <is>
          <t>Sqm</t>
        </is>
      </c>
    </row>
    <row r="255" customFormat="1" s="110">
      <c r="A255" s="140" t="n"/>
      <c r="B255" s="183" t="inlineStr">
        <is>
          <t>Platform</t>
        </is>
      </c>
      <c r="C255" s="66" t="n">
        <v>1</v>
      </c>
      <c r="D255" s="110" t="inlineStr">
        <is>
          <t>x</t>
        </is>
      </c>
      <c r="E255" s="118" t="n">
        <v>4.27</v>
      </c>
      <c r="F255" s="110" t="inlineStr">
        <is>
          <t>x</t>
        </is>
      </c>
      <c r="G255" s="118" t="n">
        <v>1.68</v>
      </c>
      <c r="I255" s="118" t="n"/>
      <c r="J255" s="76" t="inlineStr">
        <is>
          <t>=</t>
        </is>
      </c>
      <c r="K255" s="118">
        <f>IF(C240,C240*E240*G240,"")</f>
        <v/>
      </c>
      <c r="L255" s="66" t="inlineStr">
        <is>
          <t>Sqm</t>
        </is>
      </c>
    </row>
    <row r="256" customFormat="1" s="110">
      <c r="A256" s="140" t="n"/>
      <c r="B256" s="183" t="inlineStr">
        <is>
          <t>Dining</t>
        </is>
      </c>
      <c r="C256" s="66" t="n">
        <v>1</v>
      </c>
      <c r="D256" s="110" t="inlineStr">
        <is>
          <t>x</t>
        </is>
      </c>
      <c r="E256" s="118" t="n">
        <v>4.27</v>
      </c>
      <c r="F256" s="110" t="inlineStr">
        <is>
          <t>x</t>
        </is>
      </c>
      <c r="G256" s="118" t="n">
        <v>6.86</v>
      </c>
      <c r="I256" s="118" t="n"/>
      <c r="J256" s="76" t="inlineStr">
        <is>
          <t>=</t>
        </is>
      </c>
      <c r="K256" s="118">
        <f>IF(C241,C241*E241*G241,"")</f>
        <v/>
      </c>
      <c r="L256" s="66" t="inlineStr">
        <is>
          <t>Sqm</t>
        </is>
      </c>
    </row>
    <row r="257" customFormat="1" s="110">
      <c r="A257" s="140" t="n"/>
      <c r="B257" s="183" t="inlineStr">
        <is>
          <t>Living</t>
        </is>
      </c>
      <c r="C257" s="66" t="n">
        <v>1</v>
      </c>
      <c r="D257" s="110" t="inlineStr">
        <is>
          <t>x</t>
        </is>
      </c>
      <c r="E257" s="118" t="n">
        <v>4.27</v>
      </c>
      <c r="F257" s="110" t="inlineStr">
        <is>
          <t>x</t>
        </is>
      </c>
      <c r="G257" s="118" t="n">
        <v>4.58</v>
      </c>
      <c r="I257" s="118" t="n"/>
      <c r="J257" s="76" t="inlineStr">
        <is>
          <t>=</t>
        </is>
      </c>
      <c r="K257" s="118">
        <f>IF(C242,C242*E242*G242,"")</f>
        <v/>
      </c>
      <c r="L257" s="66" t="inlineStr">
        <is>
          <t>Sqm</t>
        </is>
      </c>
    </row>
    <row r="258" customFormat="1" s="110">
      <c r="A258" s="140" t="n"/>
      <c r="B258" s="183" t="inlineStr">
        <is>
          <t>Bed Rm</t>
        </is>
      </c>
      <c r="C258" s="66" t="n">
        <v>1</v>
      </c>
      <c r="D258" s="110" t="inlineStr">
        <is>
          <t>x</t>
        </is>
      </c>
      <c r="E258" s="118" t="n">
        <v>4.27</v>
      </c>
      <c r="F258" s="110" t="inlineStr">
        <is>
          <t>x</t>
        </is>
      </c>
      <c r="G258" s="118" t="n">
        <v>3.66</v>
      </c>
      <c r="I258" s="118" t="n"/>
      <c r="J258" s="76" t="inlineStr">
        <is>
          <t>=</t>
        </is>
      </c>
      <c r="K258" s="118">
        <f>IF(C243,C243*E243*G243,"")</f>
        <v/>
      </c>
      <c r="L258" s="66" t="inlineStr">
        <is>
          <t>Sqm</t>
        </is>
      </c>
    </row>
    <row r="259" customFormat="1" s="110">
      <c r="A259" s="140" t="n"/>
      <c r="B259" s="183" t="inlineStr">
        <is>
          <t>Toilet</t>
        </is>
      </c>
      <c r="C259" s="66" t="n">
        <v>2</v>
      </c>
      <c r="D259" s="110" t="inlineStr">
        <is>
          <t>x</t>
        </is>
      </c>
      <c r="E259" s="118" t="n">
        <v>2.44</v>
      </c>
      <c r="F259" s="110" t="inlineStr">
        <is>
          <t>x</t>
        </is>
      </c>
      <c r="G259" s="118" t="n">
        <v>1.68</v>
      </c>
      <c r="I259" s="118" t="n"/>
      <c r="J259" s="76" t="inlineStr">
        <is>
          <t>=</t>
        </is>
      </c>
      <c r="K259" s="118">
        <f>IF(C244,C244*E244*G244,"")</f>
        <v/>
      </c>
      <c r="L259" s="66" t="inlineStr">
        <is>
          <t>Sqm</t>
        </is>
      </c>
    </row>
    <row r="260" customFormat="1" s="110">
      <c r="A260" s="140" t="n"/>
      <c r="B260" s="183" t="inlineStr">
        <is>
          <t>Bed Rm</t>
        </is>
      </c>
      <c r="C260" s="66" t="n">
        <v>1</v>
      </c>
      <c r="D260" s="110" t="inlineStr">
        <is>
          <t>x</t>
        </is>
      </c>
      <c r="E260" s="118" t="n">
        <v>4.27</v>
      </c>
      <c r="F260" s="110" t="inlineStr">
        <is>
          <t>x</t>
        </is>
      </c>
      <c r="G260" s="118" t="n">
        <v>3.66</v>
      </c>
      <c r="I260" s="118" t="n"/>
      <c r="J260" s="76" t="inlineStr">
        <is>
          <t>=</t>
        </is>
      </c>
      <c r="K260" s="118">
        <f>IF(C245,C245*E245*G245,"")</f>
        <v/>
      </c>
      <c r="L260" s="66" t="inlineStr">
        <is>
          <t>Sqm</t>
        </is>
      </c>
    </row>
    <row r="261" customFormat="1" s="110">
      <c r="A261" s="140" t="n"/>
      <c r="B261" s="183" t="inlineStr">
        <is>
          <t>First Floor</t>
        </is>
      </c>
      <c r="C261" s="66" t="n">
        <v>1</v>
      </c>
      <c r="D261" s="110" t="inlineStr">
        <is>
          <t>x</t>
        </is>
      </c>
      <c r="E261" s="118" t="n">
        <v>12</v>
      </c>
      <c r="F261" s="110" t="inlineStr">
        <is>
          <t>x</t>
        </is>
      </c>
      <c r="G261" s="118" t="n">
        <v>3.6</v>
      </c>
      <c r="I261" s="118" t="n"/>
      <c r="J261" s="76" t="inlineStr">
        <is>
          <t>=</t>
        </is>
      </c>
      <c r="K261" s="118">
        <f>IF(C246,C246*E246*G246,"")</f>
        <v/>
      </c>
      <c r="L261" s="66" t="inlineStr">
        <is>
          <t>Sqm</t>
        </is>
      </c>
    </row>
    <row r="262" customFormat="1" s="110">
      <c r="A262" s="140" t="n"/>
      <c r="B262" s="183" t="n"/>
      <c r="C262" s="66" t="n">
        <v>1</v>
      </c>
      <c r="D262" s="110" t="inlineStr">
        <is>
          <t>x</t>
        </is>
      </c>
      <c r="E262" s="118" t="n">
        <v>4.2</v>
      </c>
      <c r="F262" s="110" t="inlineStr">
        <is>
          <t>x</t>
        </is>
      </c>
      <c r="G262" s="118" t="n">
        <v>3.3</v>
      </c>
      <c r="I262" s="118" t="n"/>
      <c r="J262" s="76" t="inlineStr">
        <is>
          <t>=</t>
        </is>
      </c>
      <c r="K262" s="118">
        <f>IF(C247,C247*E247*G247,"")</f>
        <v/>
      </c>
      <c r="L262" s="66" t="inlineStr">
        <is>
          <t>Sqm</t>
        </is>
      </c>
    </row>
    <row r="263" customFormat="1" s="110">
      <c r="A263" s="140" t="n"/>
      <c r="B263" s="183" t="inlineStr">
        <is>
          <t>Staircase</t>
        </is>
      </c>
      <c r="C263" s="66" t="n">
        <v>4</v>
      </c>
      <c r="D263" s="110" t="inlineStr">
        <is>
          <t>x</t>
        </is>
      </c>
      <c r="E263" s="118" t="n">
        <v>4.53</v>
      </c>
      <c r="F263" s="110" t="inlineStr">
        <is>
          <t>x</t>
        </is>
      </c>
      <c r="G263" s="118" t="n">
        <v>0.9</v>
      </c>
      <c r="I263" s="118" t="n"/>
      <c r="J263" s="76" t="inlineStr">
        <is>
          <t>=</t>
        </is>
      </c>
      <c r="K263" s="118">
        <f>IF(C248,C248*E248*G248,"")</f>
        <v/>
      </c>
      <c r="L263" s="66" t="inlineStr">
        <is>
          <t>Sqm</t>
        </is>
      </c>
    </row>
    <row r="264" customFormat="1" s="110">
      <c r="A264" s="140" t="n"/>
      <c r="B264" s="183" t="inlineStr">
        <is>
          <t>Landing</t>
        </is>
      </c>
      <c r="C264" s="66" t="n">
        <v>2</v>
      </c>
      <c r="D264" s="110" t="inlineStr">
        <is>
          <t>x</t>
        </is>
      </c>
      <c r="E264" s="118" t="n">
        <v>1.95</v>
      </c>
      <c r="F264" s="110" t="inlineStr">
        <is>
          <t>x</t>
        </is>
      </c>
      <c r="G264" s="118" t="n">
        <v>0.9</v>
      </c>
      <c r="I264" s="118" t="n"/>
      <c r="J264" s="76" t="inlineStr">
        <is>
          <t>=</t>
        </is>
      </c>
      <c r="K264" s="118">
        <f>IF(C249,C249*E249*G249,"")</f>
        <v/>
      </c>
      <c r="L264" s="66" t="inlineStr">
        <is>
          <t>Sqm</t>
        </is>
      </c>
    </row>
    <row r="265" customFormat="1" s="110">
      <c r="A265" s="140" t="n"/>
      <c r="B265" s="183" t="n"/>
      <c r="C265" s="66" t="n"/>
      <c r="E265" s="118" t="n"/>
      <c r="F265" s="138" t="n"/>
      <c r="G265" s="34" t="inlineStr">
        <is>
          <t>Total GF</t>
        </is>
      </c>
      <c r="H265" s="138" t="n"/>
      <c r="I265" s="158" t="n"/>
      <c r="J265" s="138" t="n"/>
      <c r="K265" s="158">
        <f>SUM(K181:K249)</f>
        <v/>
      </c>
      <c r="L265" s="33" t="inlineStr">
        <is>
          <t>Sqm</t>
        </is>
      </c>
    </row>
    <row r="266" customFormat="1" s="110">
      <c r="A266" s="140" t="n"/>
      <c r="B266" s="183" t="inlineStr">
        <is>
          <t>Area Of Shuttering For Slab in GF</t>
        </is>
      </c>
      <c r="C266" s="15">
        <f>SUM(K231:K249)</f>
        <v/>
      </c>
      <c r="D266" s="14" t="n"/>
      <c r="E266" s="15" t="n"/>
      <c r="F266" s="66" t="inlineStr">
        <is>
          <t>Sqm</t>
        </is>
      </c>
      <c r="G266" s="118" t="n"/>
      <c r="I266" s="118" t="n"/>
      <c r="J266" s="76" t="n"/>
      <c r="K266" s="118" t="n"/>
      <c r="L266" s="66" t="n"/>
    </row>
    <row r="267" customFormat="1" s="110">
      <c r="A267" s="83" t="n">
        <v>13</v>
      </c>
      <c r="B267" s="169">
        <f>GF1_ABS!B22</f>
        <v/>
      </c>
      <c r="C267" s="83" t="n"/>
      <c r="D267" s="20" t="n"/>
      <c r="E267" s="118" t="n"/>
      <c r="F267" s="44" t="n"/>
      <c r="G267" s="67" t="n"/>
    </row>
    <row r="268" customFormat="1" s="110">
      <c r="A268" s="140" t="n"/>
      <c r="B268" s="154" t="inlineStr">
        <is>
          <t>Beams</t>
        </is>
      </c>
      <c r="C268" s="74" t="n"/>
      <c r="E268" s="118" t="n"/>
      <c r="F268" s="110" t="n"/>
      <c r="G268" s="118" t="n"/>
      <c r="H268" s="110" t="n"/>
      <c r="I268" s="118" t="n"/>
      <c r="J268" s="76" t="n"/>
      <c r="K268" s="118" t="n"/>
      <c r="L268" s="74" t="n"/>
    </row>
    <row r="269" customFormat="1" s="110">
      <c r="A269" s="140" t="n"/>
      <c r="B269" s="183" t="inlineStr">
        <is>
          <t>FS Garage</t>
        </is>
      </c>
      <c r="C269" s="74" t="n">
        <v>2</v>
      </c>
      <c r="D269" s="110" t="inlineStr">
        <is>
          <t>x</t>
        </is>
      </c>
      <c r="E269" s="118" t="n">
        <v>5.5</v>
      </c>
      <c r="F269" s="110" t="inlineStr">
        <is>
          <t>x</t>
        </is>
      </c>
      <c r="G269" s="118" t="n">
        <v>0.3</v>
      </c>
      <c r="H269" s="110" t="inlineStr">
        <is>
          <t>x</t>
        </is>
      </c>
      <c r="I269" s="118" t="n">
        <v>0.45</v>
      </c>
      <c r="J269" s="76" t="inlineStr">
        <is>
          <t>=</t>
        </is>
      </c>
      <c r="K269" s="118">
        <f>IF(C254,C254*E254*G254*I254,"")</f>
        <v/>
      </c>
      <c r="L269" s="74" t="inlineStr">
        <is>
          <t>Cum</t>
        </is>
      </c>
    </row>
    <row r="270" customFormat="1" s="110">
      <c r="A270" s="140" t="n"/>
      <c r="B270" s="183" t="n"/>
      <c r="C270" s="74" t="n">
        <v>1</v>
      </c>
      <c r="D270" s="110" t="inlineStr">
        <is>
          <t>x</t>
        </is>
      </c>
      <c r="E270" s="118" t="n">
        <v>3.6</v>
      </c>
      <c r="F270" s="110" t="inlineStr">
        <is>
          <t>x</t>
        </is>
      </c>
      <c r="G270" s="118" t="n">
        <v>0.3</v>
      </c>
      <c r="H270" s="110" t="inlineStr">
        <is>
          <t>x</t>
        </is>
      </c>
      <c r="I270" s="118" t="n">
        <v>0.45</v>
      </c>
      <c r="J270" s="76" t="inlineStr">
        <is>
          <t>=</t>
        </is>
      </c>
      <c r="K270" s="118">
        <f>IF(C255,C255*E255*G255*I255,"")</f>
        <v/>
      </c>
      <c r="L270" s="74" t="inlineStr">
        <is>
          <t>Cum</t>
        </is>
      </c>
    </row>
    <row r="271" customFormat="1" s="110">
      <c r="A271" s="140" t="n"/>
      <c r="B271" s="183" t="inlineStr">
        <is>
          <t>Staircase</t>
        </is>
      </c>
      <c r="C271" s="66" t="n">
        <v>4</v>
      </c>
      <c r="D271" s="110" t="inlineStr">
        <is>
          <t>x</t>
        </is>
      </c>
      <c r="E271" s="118" t="n">
        <v>2.55</v>
      </c>
      <c r="F271" s="110" t="inlineStr">
        <is>
          <t>x</t>
        </is>
      </c>
      <c r="G271" s="118" t="n">
        <v>0.3</v>
      </c>
      <c r="H271" s="110" t="inlineStr">
        <is>
          <t>x</t>
        </is>
      </c>
      <c r="I271" s="67" t="n">
        <v>0.3</v>
      </c>
      <c r="J271" s="76" t="inlineStr">
        <is>
          <t>=</t>
        </is>
      </c>
      <c r="K271" s="118">
        <f>IF(C256,C256*E256*G256*I256,"")</f>
        <v/>
      </c>
      <c r="L271" s="74" t="inlineStr">
        <is>
          <t>Cum</t>
        </is>
      </c>
    </row>
    <row r="272" customFormat="1" s="110">
      <c r="A272" s="140" t="n"/>
      <c r="B272" s="183" t="inlineStr">
        <is>
          <t>Library</t>
        </is>
      </c>
      <c r="C272" s="66" t="n">
        <v>2</v>
      </c>
      <c r="D272" s="110" t="inlineStr">
        <is>
          <t>x</t>
        </is>
      </c>
      <c r="E272" s="118" t="n">
        <v>6</v>
      </c>
      <c r="F272" s="110" t="inlineStr">
        <is>
          <t>x</t>
        </is>
      </c>
      <c r="G272" s="118" t="n">
        <v>0.3</v>
      </c>
      <c r="H272" s="110" t="inlineStr">
        <is>
          <t>x</t>
        </is>
      </c>
      <c r="I272" s="67" t="n">
        <v>0.45</v>
      </c>
      <c r="J272" s="76" t="inlineStr">
        <is>
          <t>=</t>
        </is>
      </c>
      <c r="K272" s="118">
        <f>IF(C257,C257*E257*G257*I257,"")</f>
        <v/>
      </c>
      <c r="L272" s="74" t="inlineStr">
        <is>
          <t>Cum</t>
        </is>
      </c>
    </row>
    <row r="273" customFormat="1" s="110">
      <c r="A273" s="140" t="n"/>
      <c r="B273" s="183" t="inlineStr">
        <is>
          <t>Verandah</t>
        </is>
      </c>
      <c r="C273" s="66" t="n">
        <v>1</v>
      </c>
      <c r="D273" s="110" t="inlineStr">
        <is>
          <t>x</t>
        </is>
      </c>
      <c r="E273" s="118" t="n">
        <v>4.8</v>
      </c>
      <c r="F273" s="110" t="inlineStr">
        <is>
          <t>x</t>
        </is>
      </c>
      <c r="G273" s="118" t="n">
        <v>0.15</v>
      </c>
      <c r="H273" s="110" t="inlineStr">
        <is>
          <t>x</t>
        </is>
      </c>
      <c r="I273" s="118" t="n">
        <v>0.75</v>
      </c>
      <c r="J273" s="76" t="inlineStr">
        <is>
          <t>=</t>
        </is>
      </c>
      <c r="K273" s="118">
        <f>IF(C258,C258*E258*G258*I258,"")</f>
        <v/>
      </c>
      <c r="L273" s="74" t="inlineStr">
        <is>
          <t>Cum</t>
        </is>
      </c>
    </row>
    <row r="274" customFormat="1" s="110">
      <c r="A274" s="140" t="n"/>
      <c r="B274" s="183" t="inlineStr">
        <is>
          <t>Verandah</t>
        </is>
      </c>
      <c r="C274" s="66" t="n">
        <v>1</v>
      </c>
      <c r="D274" s="110" t="inlineStr">
        <is>
          <t>x</t>
        </is>
      </c>
      <c r="E274" s="118" t="n">
        <v>2.15</v>
      </c>
      <c r="F274" s="110" t="inlineStr">
        <is>
          <t>x</t>
        </is>
      </c>
      <c r="G274" s="118" t="n">
        <v>0.15</v>
      </c>
      <c r="H274" s="110" t="inlineStr">
        <is>
          <t>x</t>
        </is>
      </c>
      <c r="I274" s="118" t="n">
        <v>0.75</v>
      </c>
      <c r="J274" s="76" t="inlineStr">
        <is>
          <t>=</t>
        </is>
      </c>
      <c r="K274" s="118">
        <f>IF(C259,C259*E259*G259*I259,"")</f>
        <v/>
      </c>
      <c r="L274" s="74" t="inlineStr">
        <is>
          <t>Cum</t>
        </is>
      </c>
    </row>
    <row r="275" customFormat="1" s="110">
      <c r="A275" s="140" t="n"/>
      <c r="B275" s="183" t="inlineStr">
        <is>
          <t>Dining</t>
        </is>
      </c>
      <c r="C275" s="66" t="n">
        <v>2</v>
      </c>
      <c r="D275" s="110" t="inlineStr">
        <is>
          <t>x</t>
        </is>
      </c>
      <c r="E275" s="118" t="n">
        <v>4.8</v>
      </c>
      <c r="F275" s="110" t="inlineStr">
        <is>
          <t>x</t>
        </is>
      </c>
      <c r="G275" s="118" t="n">
        <v>0.3</v>
      </c>
      <c r="H275" s="110" t="inlineStr">
        <is>
          <t>x</t>
        </is>
      </c>
      <c r="I275" s="118" t="n">
        <v>0.3</v>
      </c>
      <c r="J275" s="76" t="inlineStr">
        <is>
          <t>=</t>
        </is>
      </c>
      <c r="K275" s="118">
        <f>IF(C260,C260*E260*G260*I260,"")</f>
        <v/>
      </c>
      <c r="L275" s="74" t="inlineStr">
        <is>
          <t>Cum</t>
        </is>
      </c>
    </row>
    <row r="276" customFormat="1" s="110">
      <c r="A276" s="140" t="n"/>
      <c r="B276" s="183" t="inlineStr">
        <is>
          <t>Back Platform</t>
        </is>
      </c>
      <c r="C276" s="66" t="n">
        <v>1</v>
      </c>
      <c r="D276" s="110" t="inlineStr">
        <is>
          <t>x</t>
        </is>
      </c>
      <c r="E276" s="118" t="n">
        <v>4.8</v>
      </c>
      <c r="F276" s="110" t="inlineStr">
        <is>
          <t>x</t>
        </is>
      </c>
      <c r="G276" s="118" t="n">
        <v>0.3</v>
      </c>
      <c r="H276" s="110" t="inlineStr">
        <is>
          <t>x</t>
        </is>
      </c>
      <c r="I276" s="118" t="n">
        <v>0.75</v>
      </c>
      <c r="J276" s="76" t="inlineStr">
        <is>
          <t>=</t>
        </is>
      </c>
      <c r="K276" s="118">
        <f>IF(C261,C261*E261*G261*I261,"")</f>
        <v/>
      </c>
      <c r="L276" s="74" t="inlineStr">
        <is>
          <t>Cum</t>
        </is>
      </c>
    </row>
    <row r="277" customFormat="1" s="110">
      <c r="A277" s="140" t="n"/>
      <c r="B277" s="183" t="n"/>
      <c r="C277" s="66" t="n">
        <v>2</v>
      </c>
      <c r="D277" s="110" t="inlineStr">
        <is>
          <t>x</t>
        </is>
      </c>
      <c r="E277" s="118" t="n">
        <v>0.6</v>
      </c>
      <c r="F277" s="110" t="inlineStr">
        <is>
          <t>x</t>
        </is>
      </c>
      <c r="G277" s="118" t="n">
        <v>0.3</v>
      </c>
      <c r="H277" s="110" t="inlineStr">
        <is>
          <t>x</t>
        </is>
      </c>
      <c r="I277" s="118" t="n">
        <v>0.75</v>
      </c>
      <c r="J277" s="76" t="inlineStr">
        <is>
          <t>=</t>
        </is>
      </c>
      <c r="K277" s="118">
        <f>IF(C262,C262*E262*G262*I262,"")</f>
        <v/>
      </c>
      <c r="L277" s="74" t="inlineStr">
        <is>
          <t>Cum</t>
        </is>
      </c>
    </row>
    <row r="278" customFormat="1" s="110">
      <c r="A278" s="140" t="n"/>
      <c r="B278" s="183" t="inlineStr">
        <is>
          <t>Bed Corner</t>
        </is>
      </c>
      <c r="C278" s="66" t="n">
        <v>1</v>
      </c>
      <c r="D278" s="110" t="inlineStr">
        <is>
          <t>x</t>
        </is>
      </c>
      <c r="E278" s="118" t="n">
        <v>4.8</v>
      </c>
      <c r="F278" s="110" t="inlineStr">
        <is>
          <t>x</t>
        </is>
      </c>
      <c r="G278" s="118" t="n">
        <v>0.3</v>
      </c>
      <c r="H278" s="110" t="inlineStr">
        <is>
          <t>x</t>
        </is>
      </c>
      <c r="I278" s="118" t="n">
        <v>0.3</v>
      </c>
      <c r="J278" s="76" t="inlineStr">
        <is>
          <t>=</t>
        </is>
      </c>
      <c r="K278" s="118">
        <f>IF(C263,C263*E263*G263*I263,"")</f>
        <v/>
      </c>
      <c r="L278" s="74" t="inlineStr">
        <is>
          <t>Cum</t>
        </is>
      </c>
    </row>
    <row r="279" customFormat="1" s="110">
      <c r="A279" s="140" t="n"/>
      <c r="B279" s="183" t="inlineStr">
        <is>
          <t>Staircase base beam</t>
        </is>
      </c>
      <c r="C279" s="66" t="n">
        <v>1</v>
      </c>
      <c r="D279" s="110" t="inlineStr">
        <is>
          <t>x</t>
        </is>
      </c>
      <c r="E279" s="118" t="n">
        <v>0.9</v>
      </c>
      <c r="F279" s="110" t="inlineStr">
        <is>
          <t>x</t>
        </is>
      </c>
      <c r="G279" s="118" t="n">
        <v>0.3</v>
      </c>
      <c r="H279" s="110" t="inlineStr">
        <is>
          <t>x</t>
        </is>
      </c>
      <c r="I279" s="118" t="n">
        <v>0.3</v>
      </c>
      <c r="J279" s="76" t="inlineStr">
        <is>
          <t>=</t>
        </is>
      </c>
      <c r="K279" s="118">
        <f>IF(C264,C264*E264*G264*I264,"")</f>
        <v/>
      </c>
      <c r="L279" s="74" t="inlineStr">
        <is>
          <t>Cum</t>
        </is>
      </c>
    </row>
    <row r="280" customFormat="1" s="110">
      <c r="A280" s="140" t="n"/>
      <c r="B280" s="183" t="n"/>
      <c r="C280" s="66" t="n">
        <v>1</v>
      </c>
      <c r="D280" s="110" t="inlineStr">
        <is>
          <t>x</t>
        </is>
      </c>
      <c r="E280" s="118" t="n">
        <v>0.3</v>
      </c>
      <c r="F280" s="110" t="inlineStr">
        <is>
          <t>x</t>
        </is>
      </c>
      <c r="G280" s="118" t="n">
        <v>0.3</v>
      </c>
      <c r="H280" s="110" t="inlineStr">
        <is>
          <t>x</t>
        </is>
      </c>
      <c r="I280" s="118" t="n">
        <v>0.3</v>
      </c>
      <c r="J280" s="76" t="inlineStr">
        <is>
          <t>=</t>
        </is>
      </c>
      <c r="K280" s="118">
        <f>IF(C265,C265*E265*G265*I265,"")</f>
        <v/>
      </c>
      <c r="L280" s="74" t="inlineStr">
        <is>
          <t>Cum</t>
        </is>
      </c>
    </row>
    <row r="281" customFormat="1" s="110">
      <c r="A281" s="140" t="n"/>
      <c r="B281" s="183" t="inlineStr">
        <is>
          <t>First Floor</t>
        </is>
      </c>
      <c r="C281" s="74" t="n">
        <v>1</v>
      </c>
      <c r="D281" s="110" t="inlineStr">
        <is>
          <t>x</t>
        </is>
      </c>
      <c r="E281" s="118" t="n">
        <v>3.6</v>
      </c>
      <c r="F281" s="110" t="inlineStr">
        <is>
          <t>x</t>
        </is>
      </c>
      <c r="G281" s="118" t="n">
        <v>0.3</v>
      </c>
      <c r="H281" s="110" t="inlineStr">
        <is>
          <t>x</t>
        </is>
      </c>
      <c r="I281" s="118" t="n">
        <v>0.3</v>
      </c>
      <c r="J281" s="76" t="inlineStr">
        <is>
          <t>=</t>
        </is>
      </c>
      <c r="K281" s="118">
        <f>IF(C266,C266*E266*G266*I266,"")</f>
        <v/>
      </c>
      <c r="L281" s="74" t="inlineStr">
        <is>
          <t>Cum</t>
        </is>
      </c>
    </row>
    <row r="282" customFormat="1" s="110">
      <c r="A282" s="140" t="n"/>
      <c r="B282" s="183" t="n"/>
      <c r="C282" s="74" t="n">
        <v>1</v>
      </c>
      <c r="D282" s="110" t="inlineStr">
        <is>
          <t>x</t>
        </is>
      </c>
      <c r="E282" s="118" t="n">
        <v>3.6</v>
      </c>
      <c r="F282" s="110" t="inlineStr">
        <is>
          <t>x</t>
        </is>
      </c>
      <c r="G282" s="118" t="n">
        <v>0.15</v>
      </c>
      <c r="H282" s="110" t="inlineStr">
        <is>
          <t>x</t>
        </is>
      </c>
      <c r="I282" s="118" t="n">
        <v>0.75</v>
      </c>
      <c r="J282" s="76" t="inlineStr">
        <is>
          <t>=</t>
        </is>
      </c>
      <c r="K282" s="118">
        <f>IF(C267,C267*E267*G267*I267,"")</f>
        <v/>
      </c>
      <c r="L282" s="74" t="inlineStr">
        <is>
          <t>Cum</t>
        </is>
      </c>
    </row>
    <row r="283" customFormat="1" s="110">
      <c r="A283" s="140" t="n"/>
      <c r="B283" s="183" t="n"/>
      <c r="C283" s="74" t="n">
        <v>1</v>
      </c>
      <c r="D283" s="110" t="inlineStr">
        <is>
          <t>x</t>
        </is>
      </c>
      <c r="E283" s="118" t="n">
        <v>1.8</v>
      </c>
      <c r="F283" s="110" t="inlineStr">
        <is>
          <t>x</t>
        </is>
      </c>
      <c r="G283" s="118" t="n">
        <v>0.15</v>
      </c>
      <c r="H283" s="110" t="inlineStr">
        <is>
          <t>x</t>
        </is>
      </c>
      <c r="I283" s="118" t="n">
        <v>0.75</v>
      </c>
      <c r="J283" s="76" t="inlineStr">
        <is>
          <t>=</t>
        </is>
      </c>
      <c r="K283" s="118">
        <f>IF(C268,C268*E268*G268*I268,"")</f>
        <v/>
      </c>
      <c r="L283" s="74" t="inlineStr">
        <is>
          <t>Cum</t>
        </is>
      </c>
    </row>
    <row r="284" customFormat="1" s="110">
      <c r="A284" s="140" t="n"/>
      <c r="B284" s="154" t="inlineStr">
        <is>
          <t>Kitchen Platform</t>
        </is>
      </c>
      <c r="C284" s="74" t="n">
        <v>1</v>
      </c>
      <c r="D284" s="110" t="inlineStr">
        <is>
          <t>x</t>
        </is>
      </c>
      <c r="E284" s="118" t="n">
        <v>7</v>
      </c>
      <c r="F284" s="110" t="inlineStr">
        <is>
          <t>x</t>
        </is>
      </c>
      <c r="G284" s="118" t="n">
        <v>0.75</v>
      </c>
      <c r="H284" s="110" t="inlineStr">
        <is>
          <t>x</t>
        </is>
      </c>
      <c r="I284" s="118" t="n">
        <v>0.15</v>
      </c>
      <c r="J284" s="76" t="inlineStr">
        <is>
          <t>=</t>
        </is>
      </c>
      <c r="K284" s="118">
        <f>IF(C269,C269*E269*G269*I269,"")</f>
        <v/>
      </c>
      <c r="L284" s="74" t="inlineStr">
        <is>
          <t>Cum</t>
        </is>
      </c>
    </row>
    <row r="285" customFormat="1" s="110">
      <c r="A285" s="140" t="n"/>
      <c r="B285" s="154" t="inlineStr">
        <is>
          <t>Cup Boards</t>
        </is>
      </c>
      <c r="C285" s="74" t="n"/>
      <c r="E285" s="118" t="n"/>
      <c r="F285" s="110" t="n"/>
      <c r="G285" s="118" t="n"/>
      <c r="I285" s="118" t="n"/>
      <c r="J285" s="76" t="n"/>
      <c r="K285" s="118" t="n"/>
      <c r="L285" s="66" t="n"/>
    </row>
    <row r="286" customFormat="1" s="110">
      <c r="A286" s="140" t="n"/>
      <c r="B286" s="183" t="n"/>
      <c r="C286" s="74" t="n">
        <v>1</v>
      </c>
      <c r="D286" s="110" t="inlineStr">
        <is>
          <t>x</t>
        </is>
      </c>
      <c r="E286" s="118" t="n">
        <v>2.1</v>
      </c>
      <c r="F286" s="110" t="inlineStr">
        <is>
          <t>x</t>
        </is>
      </c>
      <c r="G286" s="118" t="n">
        <v>0.6</v>
      </c>
      <c r="H286" s="110" t="inlineStr">
        <is>
          <t>x</t>
        </is>
      </c>
      <c r="I286" s="118" t="n">
        <v>0.15</v>
      </c>
      <c r="J286" s="76" t="inlineStr">
        <is>
          <t>=</t>
        </is>
      </c>
      <c r="K286" s="118">
        <f>IF(C271,C271*E271*G271*I271,"")</f>
        <v/>
      </c>
      <c r="L286" s="74" t="inlineStr">
        <is>
          <t>Cum</t>
        </is>
      </c>
    </row>
    <row r="287" customFormat="1" s="110">
      <c r="A287" s="140" t="n"/>
      <c r="B287" s="183" t="n"/>
      <c r="C287" s="74" t="n">
        <v>2</v>
      </c>
      <c r="D287" s="110" t="inlineStr">
        <is>
          <t>x</t>
        </is>
      </c>
      <c r="E287" s="118" t="n">
        <v>1.8</v>
      </c>
      <c r="F287" s="110" t="inlineStr">
        <is>
          <t>x</t>
        </is>
      </c>
      <c r="G287" s="118" t="n">
        <v>0.6</v>
      </c>
      <c r="H287" s="110" t="inlineStr">
        <is>
          <t>x</t>
        </is>
      </c>
      <c r="I287" s="118" t="n">
        <v>0.15</v>
      </c>
      <c r="J287" s="76" t="inlineStr">
        <is>
          <t>=</t>
        </is>
      </c>
      <c r="K287" s="118">
        <f>IF(C272,C272*E272*G272*I272,"")</f>
        <v/>
      </c>
      <c r="L287" s="74" t="inlineStr">
        <is>
          <t>Cum</t>
        </is>
      </c>
    </row>
    <row r="288" customFormat="1" s="110">
      <c r="A288" s="140" t="n"/>
      <c r="B288" s="183" t="n"/>
      <c r="C288" s="74" t="n">
        <v>2</v>
      </c>
      <c r="D288" s="110" t="inlineStr">
        <is>
          <t>x</t>
        </is>
      </c>
      <c r="E288" s="118" t="n">
        <v>1.5</v>
      </c>
      <c r="F288" s="110" t="inlineStr">
        <is>
          <t>x</t>
        </is>
      </c>
      <c r="G288" s="118" t="n">
        <v>0.6</v>
      </c>
      <c r="H288" s="110" t="inlineStr">
        <is>
          <t>x</t>
        </is>
      </c>
      <c r="I288" s="118" t="n">
        <v>0.15</v>
      </c>
      <c r="J288" s="76" t="inlineStr">
        <is>
          <t>=</t>
        </is>
      </c>
      <c r="K288" s="118">
        <f>IF(C273,C273*E273*G273*I273,"")</f>
        <v/>
      </c>
      <c r="L288" s="74" t="inlineStr">
        <is>
          <t>Cum</t>
        </is>
      </c>
    </row>
    <row r="289" customFormat="1" s="110">
      <c r="A289" s="140" t="n"/>
      <c r="B289" s="183" t="n"/>
      <c r="C289" s="74" t="n">
        <v>2</v>
      </c>
      <c r="D289" s="110" t="inlineStr">
        <is>
          <t>x</t>
        </is>
      </c>
      <c r="E289" s="118" t="n">
        <v>1.35</v>
      </c>
      <c r="F289" s="110" t="inlineStr">
        <is>
          <t>x</t>
        </is>
      </c>
      <c r="G289" s="118" t="n">
        <v>0.6</v>
      </c>
      <c r="H289" s="110" t="inlineStr">
        <is>
          <t>x</t>
        </is>
      </c>
      <c r="I289" s="118" t="n">
        <v>0.15</v>
      </c>
      <c r="J289" s="76" t="inlineStr">
        <is>
          <t>=</t>
        </is>
      </c>
      <c r="K289" s="118">
        <f>IF(C274,C274*E274*G274*I274,"")</f>
        <v/>
      </c>
      <c r="L289" s="74" t="inlineStr">
        <is>
          <t>Cum</t>
        </is>
      </c>
    </row>
    <row r="290" customFormat="1" s="110">
      <c r="A290" s="140" t="n"/>
      <c r="B290" s="183" t="n"/>
      <c r="C290" s="74" t="n">
        <v>3</v>
      </c>
      <c r="D290" s="110" t="inlineStr">
        <is>
          <t>x</t>
        </is>
      </c>
      <c r="E290" s="118" t="n">
        <v>0.75</v>
      </c>
      <c r="F290" s="110" t="inlineStr">
        <is>
          <t>x</t>
        </is>
      </c>
      <c r="G290" s="118" t="n">
        <v>0.6</v>
      </c>
      <c r="H290" s="110" t="inlineStr">
        <is>
          <t>x</t>
        </is>
      </c>
      <c r="I290" s="118" t="n">
        <v>0.15</v>
      </c>
      <c r="J290" s="76" t="inlineStr">
        <is>
          <t>=</t>
        </is>
      </c>
      <c r="K290" s="118">
        <f>IF(C275,C275*E275*G275*I275,"")</f>
        <v/>
      </c>
      <c r="L290" s="74" t="inlineStr">
        <is>
          <t>Cum</t>
        </is>
      </c>
    </row>
    <row r="291" customFormat="1" s="110">
      <c r="A291" s="83" t="n"/>
      <c r="B291" s="153" t="inlineStr">
        <is>
          <t>Slabs</t>
        </is>
      </c>
      <c r="C291" s="118" t="n"/>
      <c r="E291" s="118" t="n"/>
      <c r="G291" s="67" t="n"/>
      <c r="H291" s="110" t="n"/>
      <c r="I291" s="118" t="n"/>
      <c r="J291" s="76" t="n"/>
      <c r="K291" s="118" t="n"/>
      <c r="L291" s="74" t="n"/>
    </row>
    <row r="292" customFormat="1" s="110">
      <c r="A292" s="140" t="n"/>
      <c r="B292" s="183" t="inlineStr">
        <is>
          <t>Servant Room</t>
        </is>
      </c>
      <c r="C292" s="66" t="n">
        <v>1</v>
      </c>
      <c r="D292" s="110" t="inlineStr">
        <is>
          <t>x</t>
        </is>
      </c>
      <c r="E292" s="118" t="n">
        <v>3.35</v>
      </c>
      <c r="F292" s="110" t="inlineStr">
        <is>
          <t>x</t>
        </is>
      </c>
      <c r="G292" s="118" t="n">
        <v>2.74</v>
      </c>
      <c r="H292" s="110" t="inlineStr">
        <is>
          <t>x</t>
        </is>
      </c>
      <c r="I292" s="118" t="n">
        <v>0.13</v>
      </c>
      <c r="J292" s="76" t="inlineStr">
        <is>
          <t>=</t>
        </is>
      </c>
      <c r="K292" s="118">
        <f>IF(C277,C277*E277*G277*I277,"")</f>
        <v/>
      </c>
      <c r="L292" s="74" t="inlineStr">
        <is>
          <t>Cum</t>
        </is>
      </c>
    </row>
    <row r="293" customFormat="1" s="110">
      <c r="A293" s="140" t="n"/>
      <c r="B293" s="183" t="inlineStr">
        <is>
          <t>WC</t>
        </is>
      </c>
      <c r="C293" s="66" t="n">
        <v>1</v>
      </c>
      <c r="D293" s="110" t="inlineStr">
        <is>
          <t>x</t>
        </is>
      </c>
      <c r="E293" s="118" t="n">
        <v>1.83</v>
      </c>
      <c r="F293" s="110" t="inlineStr">
        <is>
          <t>x</t>
        </is>
      </c>
      <c r="G293" s="118" t="n">
        <v>1.3</v>
      </c>
      <c r="H293" s="110" t="inlineStr">
        <is>
          <t>x</t>
        </is>
      </c>
      <c r="I293" s="118" t="n">
        <v>0.13</v>
      </c>
      <c r="J293" s="76" t="inlineStr">
        <is>
          <t>=</t>
        </is>
      </c>
      <c r="K293" s="118">
        <f>IF(C278,C278*E278*G278*I278,"")</f>
        <v/>
      </c>
      <c r="L293" s="74" t="inlineStr">
        <is>
          <t>Cum</t>
        </is>
      </c>
    </row>
    <row r="294" customFormat="1" s="110">
      <c r="A294" s="140" t="n"/>
      <c r="B294" s="183" t="inlineStr">
        <is>
          <t>Garage</t>
        </is>
      </c>
      <c r="C294" s="66" t="n">
        <v>1</v>
      </c>
      <c r="D294" s="110" t="inlineStr">
        <is>
          <t>x</t>
        </is>
      </c>
      <c r="E294" s="118" t="n">
        <v>3.35</v>
      </c>
      <c r="F294" s="110" t="inlineStr">
        <is>
          <t>x</t>
        </is>
      </c>
      <c r="G294" s="118" t="n">
        <v>5.49</v>
      </c>
      <c r="H294" s="110" t="inlineStr">
        <is>
          <t>x</t>
        </is>
      </c>
      <c r="I294" s="118" t="n">
        <v>0.13</v>
      </c>
      <c r="J294" s="76" t="inlineStr">
        <is>
          <t>=</t>
        </is>
      </c>
      <c r="K294" s="118">
        <f>IF(C279,C279*E279*G279*I279,"")</f>
        <v/>
      </c>
      <c r="L294" s="74" t="inlineStr">
        <is>
          <t>Cum</t>
        </is>
      </c>
    </row>
    <row r="295" customFormat="1" s="110">
      <c r="A295" s="140" t="n"/>
      <c r="B295" s="183" t="inlineStr">
        <is>
          <t>Kitchen</t>
        </is>
      </c>
      <c r="C295" s="66" t="n">
        <v>1</v>
      </c>
      <c r="D295" s="110" t="inlineStr">
        <is>
          <t>x</t>
        </is>
      </c>
      <c r="E295" s="118" t="n">
        <v>4.27</v>
      </c>
      <c r="F295" s="110" t="inlineStr">
        <is>
          <t>x</t>
        </is>
      </c>
      <c r="G295" s="118" t="n">
        <v>4.27</v>
      </c>
      <c r="H295" s="110" t="inlineStr">
        <is>
          <t>x</t>
        </is>
      </c>
      <c r="I295" s="118" t="n">
        <v>0.15</v>
      </c>
      <c r="J295" s="76" t="inlineStr">
        <is>
          <t>=</t>
        </is>
      </c>
      <c r="K295" s="118">
        <f>IF(C280,C280*E280*G280*I280,"")</f>
        <v/>
      </c>
      <c r="L295" s="74" t="inlineStr">
        <is>
          <t>Cum</t>
        </is>
      </c>
    </row>
    <row r="296" customFormat="1" s="110">
      <c r="A296" s="140" t="n"/>
      <c r="B296" s="183" t="inlineStr">
        <is>
          <t>Staircase</t>
        </is>
      </c>
      <c r="C296" s="66" t="n">
        <v>1</v>
      </c>
      <c r="D296" s="110" t="inlineStr">
        <is>
          <t>x</t>
        </is>
      </c>
      <c r="E296" s="118" t="n">
        <v>3.2</v>
      </c>
      <c r="F296" s="110" t="inlineStr">
        <is>
          <t>x</t>
        </is>
      </c>
      <c r="G296" s="118" t="n">
        <v>2.29</v>
      </c>
      <c r="H296" s="110" t="inlineStr">
        <is>
          <t>x</t>
        </is>
      </c>
      <c r="I296" s="118" t="n">
        <v>0.13</v>
      </c>
      <c r="J296" s="76" t="inlineStr">
        <is>
          <t>=</t>
        </is>
      </c>
      <c r="K296" s="118">
        <f>IF(C281,C281*E281*G281*I281,"")</f>
        <v/>
      </c>
      <c r="L296" s="74" t="inlineStr">
        <is>
          <t>Cum</t>
        </is>
      </c>
    </row>
    <row r="297" customFormat="1" s="110">
      <c r="A297" s="140" t="n"/>
      <c r="B297" s="183" t="inlineStr">
        <is>
          <t>Toilet</t>
        </is>
      </c>
      <c r="C297" s="66" t="n">
        <v>1</v>
      </c>
      <c r="D297" s="110" t="inlineStr">
        <is>
          <t>x</t>
        </is>
      </c>
      <c r="E297" s="118" t="n">
        <v>2.13</v>
      </c>
      <c r="F297" s="110" t="inlineStr">
        <is>
          <t>x</t>
        </is>
      </c>
      <c r="G297" s="118" t="n">
        <v>1.68</v>
      </c>
      <c r="H297" s="110" t="inlineStr">
        <is>
          <t>x</t>
        </is>
      </c>
      <c r="I297" s="118" t="n">
        <v>0.13</v>
      </c>
      <c r="J297" s="76" t="inlineStr">
        <is>
          <t>=</t>
        </is>
      </c>
      <c r="K297" s="118">
        <f>IF(C282,C282*E282*G282*I282,"")</f>
        <v/>
      </c>
      <c r="L297" s="74" t="inlineStr">
        <is>
          <t>Cum</t>
        </is>
      </c>
    </row>
    <row r="298" ht="60" customFormat="1" customHeight="1" s="110">
      <c r="A298" s="140" t="n"/>
      <c r="B298" s="183" t="inlineStr">
        <is>
          <t>Library</t>
        </is>
      </c>
      <c r="C298" s="66" t="n">
        <v>1</v>
      </c>
      <c r="D298" s="110" t="inlineStr">
        <is>
          <t>x</t>
        </is>
      </c>
      <c r="E298" s="118" t="n">
        <v>3.96</v>
      </c>
      <c r="F298" s="110" t="inlineStr">
        <is>
          <t>x</t>
        </is>
      </c>
      <c r="G298" s="118" t="n">
        <v>3.35</v>
      </c>
      <c r="H298" s="110" t="inlineStr">
        <is>
          <t>x</t>
        </is>
      </c>
      <c r="I298" s="118" t="n">
        <v>0.13</v>
      </c>
      <c r="J298" s="76" t="inlineStr">
        <is>
          <t>=</t>
        </is>
      </c>
      <c r="K298" s="118">
        <f>IF(C283,C283*E283*G283*I283,"")</f>
        <v/>
      </c>
      <c r="L298" s="74" t="inlineStr">
        <is>
          <t>Cum</t>
        </is>
      </c>
    </row>
    <row r="299" customFormat="1" s="110">
      <c r="A299" s="140" t="n"/>
      <c r="B299" s="183" t="inlineStr">
        <is>
          <t>Verandah</t>
        </is>
      </c>
      <c r="C299" s="66" t="n">
        <v>1</v>
      </c>
      <c r="D299" s="110" t="inlineStr">
        <is>
          <t>x</t>
        </is>
      </c>
      <c r="E299" s="118" t="n">
        <v>4.57</v>
      </c>
      <c r="F299" s="110" t="inlineStr">
        <is>
          <t>x</t>
        </is>
      </c>
      <c r="G299" s="118" t="n">
        <v>2.13</v>
      </c>
      <c r="H299" s="110" t="inlineStr">
        <is>
          <t>x</t>
        </is>
      </c>
      <c r="I299" s="118" t="n">
        <v>0.13</v>
      </c>
      <c r="J299" s="76" t="inlineStr">
        <is>
          <t>=</t>
        </is>
      </c>
      <c r="K299" s="118">
        <f>IF(C284,C284*E284*G284*I284,"")</f>
        <v/>
      </c>
      <c r="L299" s="74" t="inlineStr">
        <is>
          <t>Cum</t>
        </is>
      </c>
    </row>
    <row r="300" customFormat="1" s="110">
      <c r="A300" s="140" t="n"/>
      <c r="B300" s="183" t="inlineStr">
        <is>
          <t>Canopy</t>
        </is>
      </c>
      <c r="C300" s="66" t="n">
        <v>1</v>
      </c>
      <c r="D300" s="110" t="inlineStr">
        <is>
          <t>x</t>
        </is>
      </c>
      <c r="E300" s="118" t="n">
        <v>6.3</v>
      </c>
      <c r="F300" s="110" t="inlineStr">
        <is>
          <t>x</t>
        </is>
      </c>
      <c r="G300" s="118" t="n">
        <v>2.7</v>
      </c>
      <c r="H300" s="110" t="inlineStr">
        <is>
          <t>x</t>
        </is>
      </c>
      <c r="I300" s="118" t="n">
        <v>0.13</v>
      </c>
      <c r="J300" s="76" t="inlineStr">
        <is>
          <t>=</t>
        </is>
      </c>
      <c r="K300" s="118">
        <f>IF(C285,C285*E285*G285*I285,"")</f>
        <v/>
      </c>
      <c r="L300" s="74" t="inlineStr">
        <is>
          <t>Cum</t>
        </is>
      </c>
    </row>
    <row r="301" customFormat="1" s="110">
      <c r="A301" s="140" t="n"/>
      <c r="B301" s="183" t="inlineStr">
        <is>
          <t>Platform</t>
        </is>
      </c>
      <c r="C301" s="66" t="n">
        <v>1</v>
      </c>
      <c r="D301" s="110" t="inlineStr">
        <is>
          <t>x</t>
        </is>
      </c>
      <c r="E301" s="118" t="n">
        <v>4.57</v>
      </c>
      <c r="F301" s="110" t="inlineStr">
        <is>
          <t>x</t>
        </is>
      </c>
      <c r="G301" s="118" t="n">
        <v>1.98</v>
      </c>
      <c r="H301" s="110" t="inlineStr">
        <is>
          <t>x</t>
        </is>
      </c>
      <c r="I301" s="118" t="n">
        <v>0.13</v>
      </c>
      <c r="J301" s="76" t="inlineStr">
        <is>
          <t>=</t>
        </is>
      </c>
      <c r="K301" s="118">
        <f>IF(C286,C286*E286*G286*I286,"")</f>
        <v/>
      </c>
      <c r="L301" s="74" t="inlineStr">
        <is>
          <t>Cum</t>
        </is>
      </c>
    </row>
    <row r="302" customFormat="1" s="110">
      <c r="A302" s="140" t="n"/>
      <c r="B302" s="183" t="inlineStr">
        <is>
          <t>Dining</t>
        </is>
      </c>
      <c r="C302" s="66" t="n">
        <v>1</v>
      </c>
      <c r="D302" s="110" t="inlineStr">
        <is>
          <t>x</t>
        </is>
      </c>
      <c r="E302" s="118" t="n">
        <v>4.57</v>
      </c>
      <c r="F302" s="110" t="inlineStr">
        <is>
          <t>x</t>
        </is>
      </c>
      <c r="G302" s="118" t="n">
        <v>7.16</v>
      </c>
      <c r="H302" s="110" t="inlineStr">
        <is>
          <t>x</t>
        </is>
      </c>
      <c r="I302" s="118" t="n">
        <v>0.15</v>
      </c>
      <c r="J302" s="76" t="inlineStr">
        <is>
          <t>=</t>
        </is>
      </c>
      <c r="K302" s="118">
        <f>IF(C287,C287*E287*G287*I287,"")</f>
        <v/>
      </c>
      <c r="L302" s="74" t="inlineStr">
        <is>
          <t>Cum</t>
        </is>
      </c>
    </row>
    <row r="303" customFormat="1" s="110">
      <c r="A303" s="140" t="n"/>
      <c r="B303" s="183" t="inlineStr">
        <is>
          <t>Living</t>
        </is>
      </c>
      <c r="C303" s="66" t="n">
        <v>1</v>
      </c>
      <c r="D303" s="110" t="inlineStr">
        <is>
          <t>x</t>
        </is>
      </c>
      <c r="E303" s="118" t="n">
        <v>4.57</v>
      </c>
      <c r="F303" s="110" t="inlineStr">
        <is>
          <t>x</t>
        </is>
      </c>
      <c r="G303" s="118" t="n">
        <v>4.88</v>
      </c>
      <c r="H303" s="110" t="inlineStr">
        <is>
          <t>x</t>
        </is>
      </c>
      <c r="I303" s="118" t="n">
        <v>0.15</v>
      </c>
      <c r="J303" s="76" t="inlineStr">
        <is>
          <t>=</t>
        </is>
      </c>
      <c r="K303" s="118">
        <f>IF(C288,C288*E288*G288*I288,"")</f>
        <v/>
      </c>
      <c r="L303" s="74" t="inlineStr">
        <is>
          <t>Cum</t>
        </is>
      </c>
    </row>
    <row r="304" customFormat="1" s="110">
      <c r="A304" s="140" t="n"/>
      <c r="B304" s="183" t="inlineStr">
        <is>
          <t>Bed Rm</t>
        </is>
      </c>
      <c r="C304" s="66" t="n">
        <v>1</v>
      </c>
      <c r="D304" s="110" t="inlineStr">
        <is>
          <t>x</t>
        </is>
      </c>
      <c r="E304" s="118" t="n">
        <v>4.57</v>
      </c>
      <c r="F304" s="110" t="inlineStr">
        <is>
          <t>x</t>
        </is>
      </c>
      <c r="G304" s="118" t="n">
        <v>3.96</v>
      </c>
      <c r="H304" s="110" t="inlineStr">
        <is>
          <t>x</t>
        </is>
      </c>
      <c r="I304" s="118" t="n">
        <v>0.15</v>
      </c>
      <c r="J304" s="76" t="inlineStr">
        <is>
          <t>=</t>
        </is>
      </c>
      <c r="K304" s="118">
        <f>IF(C289,C289*E289*G289*I289,"")</f>
        <v/>
      </c>
      <c r="L304" s="74" t="inlineStr">
        <is>
          <t>Cum</t>
        </is>
      </c>
    </row>
    <row r="305" customFormat="1" s="110">
      <c r="A305" s="140" t="n"/>
      <c r="B305" s="183" t="inlineStr">
        <is>
          <t>Toilet</t>
        </is>
      </c>
      <c r="C305" s="66" t="n">
        <v>2</v>
      </c>
      <c r="D305" s="110" t="inlineStr">
        <is>
          <t>x</t>
        </is>
      </c>
      <c r="E305" s="118" t="n">
        <v>2.74</v>
      </c>
      <c r="F305" s="110" t="inlineStr">
        <is>
          <t>x</t>
        </is>
      </c>
      <c r="G305" s="118" t="n">
        <v>1.98</v>
      </c>
      <c r="H305" s="110" t="inlineStr">
        <is>
          <t>x</t>
        </is>
      </c>
      <c r="I305" s="118" t="n">
        <v>0.13</v>
      </c>
      <c r="J305" s="76" t="inlineStr">
        <is>
          <t>=</t>
        </is>
      </c>
      <c r="K305" s="118">
        <f>IF(C290,C290*E290*G290*I290,"")</f>
        <v/>
      </c>
      <c r="L305" s="74" t="inlineStr">
        <is>
          <t>Cum</t>
        </is>
      </c>
    </row>
    <row r="306" customFormat="1" s="110">
      <c r="A306" s="140" t="n"/>
      <c r="B306" s="183" t="inlineStr">
        <is>
          <t>Bed Rm</t>
        </is>
      </c>
      <c r="C306" s="66" t="n">
        <v>1</v>
      </c>
      <c r="D306" s="110" t="inlineStr">
        <is>
          <t>x</t>
        </is>
      </c>
      <c r="E306" s="118" t="n">
        <v>4.57</v>
      </c>
      <c r="F306" s="110" t="inlineStr">
        <is>
          <t>x</t>
        </is>
      </c>
      <c r="G306" s="118" t="n">
        <v>3.96</v>
      </c>
      <c r="H306" s="110" t="inlineStr">
        <is>
          <t>x</t>
        </is>
      </c>
      <c r="I306" s="118" t="n">
        <v>0.13</v>
      </c>
      <c r="J306" s="76" t="inlineStr">
        <is>
          <t>=</t>
        </is>
      </c>
      <c r="K306" s="118">
        <f>IF(C291,C291*E291*G291*I291,"")</f>
        <v/>
      </c>
      <c r="L306" s="74" t="inlineStr">
        <is>
          <t>Cum</t>
        </is>
      </c>
    </row>
    <row r="307" customFormat="1" s="110">
      <c r="A307" s="140" t="n"/>
      <c r="B307" s="183" t="inlineStr">
        <is>
          <t>First Floor</t>
        </is>
      </c>
      <c r="C307" s="66" t="n">
        <v>1</v>
      </c>
      <c r="D307" s="110" t="inlineStr">
        <is>
          <t>x</t>
        </is>
      </c>
      <c r="E307" s="118" t="n">
        <v>12.3</v>
      </c>
      <c r="F307" s="110" t="inlineStr">
        <is>
          <t>x</t>
        </is>
      </c>
      <c r="G307" s="118" t="n">
        <v>3.9</v>
      </c>
      <c r="H307" s="110" t="inlineStr">
        <is>
          <t>x</t>
        </is>
      </c>
      <c r="I307" s="118" t="n">
        <v>0.15</v>
      </c>
      <c r="J307" s="76" t="inlineStr">
        <is>
          <t>=</t>
        </is>
      </c>
      <c r="K307" s="118">
        <f>IF(C292,C292*E292*G292*I292,"")</f>
        <v/>
      </c>
      <c r="L307" s="74" t="inlineStr">
        <is>
          <t>Cum</t>
        </is>
      </c>
    </row>
    <row r="308" customFormat="1" s="110">
      <c r="A308" s="140" t="n"/>
      <c r="B308" s="183" t="n"/>
      <c r="C308" s="66" t="n">
        <v>1</v>
      </c>
      <c r="D308" s="110" t="inlineStr">
        <is>
          <t>x</t>
        </is>
      </c>
      <c r="E308" s="118" t="n">
        <v>4.5</v>
      </c>
      <c r="F308" s="110" t="inlineStr">
        <is>
          <t>x</t>
        </is>
      </c>
      <c r="G308" s="118" t="n">
        <v>3.6</v>
      </c>
      <c r="H308" s="110" t="inlineStr">
        <is>
          <t>x</t>
        </is>
      </c>
      <c r="I308" s="118" t="n">
        <v>0.15</v>
      </c>
      <c r="J308" s="76" t="inlineStr">
        <is>
          <t>=</t>
        </is>
      </c>
      <c r="K308" s="118">
        <f>IF(C293,C293*E293*G293*I293,"")</f>
        <v/>
      </c>
      <c r="L308" s="74" t="inlineStr">
        <is>
          <t>Cum</t>
        </is>
      </c>
    </row>
    <row r="309" customFormat="1" s="110">
      <c r="A309" s="140" t="n"/>
      <c r="B309" s="183" t="inlineStr">
        <is>
          <t>Staircase</t>
        </is>
      </c>
      <c r="C309" s="66" t="n">
        <v>4</v>
      </c>
      <c r="D309" s="110" t="inlineStr">
        <is>
          <t>x</t>
        </is>
      </c>
      <c r="E309" s="118" t="n">
        <v>4.83</v>
      </c>
      <c r="F309" s="110" t="inlineStr">
        <is>
          <t>x</t>
        </is>
      </c>
      <c r="G309" s="118" t="n">
        <v>1.2</v>
      </c>
      <c r="H309" s="110" t="inlineStr">
        <is>
          <t>x</t>
        </is>
      </c>
      <c r="I309" s="118" t="n">
        <v>0.25</v>
      </c>
      <c r="J309" s="76" t="inlineStr">
        <is>
          <t>=</t>
        </is>
      </c>
      <c r="K309" s="118">
        <f>IF(C294,C294*E294*G294*I294,"")</f>
        <v/>
      </c>
      <c r="L309" s="74" t="inlineStr">
        <is>
          <t>Cum</t>
        </is>
      </c>
    </row>
    <row r="310" customFormat="1" s="110">
      <c r="A310" s="140" t="n"/>
      <c r="B310" s="183" t="inlineStr">
        <is>
          <t>Landing</t>
        </is>
      </c>
      <c r="C310" s="66" t="n">
        <v>2</v>
      </c>
      <c r="D310" s="110" t="inlineStr">
        <is>
          <t>x</t>
        </is>
      </c>
      <c r="E310" s="118" t="n">
        <v>2.25</v>
      </c>
      <c r="F310" s="110" t="inlineStr">
        <is>
          <t>x</t>
        </is>
      </c>
      <c r="G310" s="118" t="n">
        <v>1.2</v>
      </c>
      <c r="H310" s="110" t="inlineStr">
        <is>
          <t>x</t>
        </is>
      </c>
      <c r="I310" s="118" t="n">
        <v>0.25</v>
      </c>
      <c r="J310" s="76" t="inlineStr">
        <is>
          <t>=</t>
        </is>
      </c>
      <c r="K310" s="118">
        <f>IF(C295,C295*E295*G295*I295,"")</f>
        <v/>
      </c>
      <c r="L310" s="74" t="inlineStr">
        <is>
          <t>Cum</t>
        </is>
      </c>
    </row>
    <row r="311" customFormat="1" s="110">
      <c r="A311" s="140" t="n"/>
      <c r="B311" s="183" t="inlineStr">
        <is>
          <t>Bed Plates Pillars</t>
        </is>
      </c>
      <c r="C311" s="66" t="n">
        <v>92</v>
      </c>
      <c r="D311" s="110" t="inlineStr">
        <is>
          <t>x</t>
        </is>
      </c>
      <c r="E311" s="118" t="n">
        <v>0.3</v>
      </c>
      <c r="F311" s="110" t="inlineStr">
        <is>
          <t>x</t>
        </is>
      </c>
      <c r="G311" s="67" t="n">
        <v>0.3</v>
      </c>
      <c r="H311" s="110" t="inlineStr">
        <is>
          <t>x</t>
        </is>
      </c>
      <c r="I311" s="118" t="n">
        <v>0.15</v>
      </c>
      <c r="J311" s="76" t="inlineStr">
        <is>
          <t>=</t>
        </is>
      </c>
      <c r="K311" s="118">
        <f>IF(C296,C296*E296*G296*I296,"")</f>
        <v/>
      </c>
      <c r="L311" s="74" t="inlineStr">
        <is>
          <t>Cum</t>
        </is>
      </c>
    </row>
    <row r="312" customFormat="1" s="110">
      <c r="A312" s="140" t="n"/>
      <c r="B312" s="183" t="n"/>
      <c r="C312" s="66" t="n"/>
      <c r="E312" s="158" t="n"/>
      <c r="F312" s="138" t="n"/>
      <c r="G312" s="34" t="inlineStr">
        <is>
          <t>Total in GF</t>
        </is>
      </c>
      <c r="H312" s="138" t="n"/>
      <c r="I312" s="158" t="n"/>
      <c r="J312" s="138" t="n"/>
      <c r="K312" s="158">
        <f>SUM(K253:K296)</f>
        <v/>
      </c>
      <c r="L312" s="139" t="inlineStr">
        <is>
          <t>Cum</t>
        </is>
      </c>
    </row>
    <row r="313" customFormat="1" s="110">
      <c r="A313" s="83" t="n"/>
      <c r="B313" s="183" t="inlineStr">
        <is>
          <t>(B) In Lintels,  chajjas, Shelves, vertical and horizontal individually or forming  box louvers, bands and facias and fins etc.. upto 4.5 m height above plinth level</t>
        </is>
      </c>
      <c r="C313" s="83" t="n"/>
      <c r="D313" s="20" t="n"/>
      <c r="E313" s="118" t="n"/>
      <c r="F313" s="44" t="n"/>
      <c r="G313" s="67" t="n"/>
    </row>
    <row r="314" customFormat="1" s="110">
      <c r="A314" s="83" t="n"/>
      <c r="B314" s="153" t="inlineStr">
        <is>
          <t xml:space="preserve">Lintels </t>
        </is>
      </c>
      <c r="C314" s="118" t="n"/>
      <c r="D314" s="44" t="n"/>
      <c r="E314" s="118" t="n"/>
      <c r="F314" s="44" t="n"/>
      <c r="G314" s="67" t="n"/>
    </row>
    <row r="315" ht="30" customFormat="1" customHeight="1" s="110">
      <c r="A315" s="140" t="n"/>
      <c r="B315" s="183" t="inlineStr">
        <is>
          <t>Wall01 GF</t>
        </is>
      </c>
      <c r="C315" s="66" t="n">
        <v>1</v>
      </c>
      <c r="D315" s="110" t="inlineStr">
        <is>
          <t>x</t>
        </is>
      </c>
      <c r="E315" s="118">
        <f>E181</f>
        <v/>
      </c>
      <c r="F315" s="110" t="inlineStr">
        <is>
          <t>x</t>
        </is>
      </c>
      <c r="G315" s="118" t="n">
        <v>0.38</v>
      </c>
      <c r="H315" s="110" t="inlineStr">
        <is>
          <t>x</t>
        </is>
      </c>
      <c r="I315" s="118" t="n">
        <v>0.23</v>
      </c>
      <c r="J315" s="76" t="inlineStr">
        <is>
          <t>=</t>
        </is>
      </c>
      <c r="K315" s="118">
        <f>IF(C300,C300*E300*G300*I300,"")</f>
        <v/>
      </c>
      <c r="L315" s="74" t="inlineStr">
        <is>
          <t>Cum</t>
        </is>
      </c>
    </row>
    <row r="316" customFormat="1" s="110">
      <c r="A316" s="83" t="n"/>
      <c r="B316" s="154" t="inlineStr">
        <is>
          <t>Wall02</t>
        </is>
      </c>
      <c r="C316" s="66" t="n">
        <v>1</v>
      </c>
      <c r="D316" s="110" t="inlineStr">
        <is>
          <t>x</t>
        </is>
      </c>
      <c r="E316" s="118">
        <f>E182</f>
        <v/>
      </c>
      <c r="F316" s="110" t="inlineStr">
        <is>
          <t>x</t>
        </is>
      </c>
      <c r="G316" s="118" t="n">
        <v>0.15</v>
      </c>
      <c r="H316" s="110" t="inlineStr">
        <is>
          <t>x</t>
        </is>
      </c>
      <c r="I316" s="118" t="n">
        <v>0.15</v>
      </c>
      <c r="J316" s="76" t="inlineStr">
        <is>
          <t>=</t>
        </is>
      </c>
      <c r="K316" s="118">
        <f>IF(C301,C301*E301*G301*I301,"")</f>
        <v/>
      </c>
      <c r="L316" s="74" t="inlineStr">
        <is>
          <t>Cum</t>
        </is>
      </c>
    </row>
    <row r="317" customFormat="1" s="110">
      <c r="A317" s="83" t="n"/>
      <c r="B317" s="154" t="inlineStr">
        <is>
          <t>Wall02 First Floor</t>
        </is>
      </c>
      <c r="C317" s="66" t="n">
        <v>1</v>
      </c>
      <c r="D317" s="110" t="inlineStr">
        <is>
          <t>x</t>
        </is>
      </c>
      <c r="E317" s="118">
        <f>E183</f>
        <v/>
      </c>
      <c r="F317" s="110" t="inlineStr">
        <is>
          <t>x</t>
        </is>
      </c>
      <c r="G317" s="118" t="n">
        <v>0.15</v>
      </c>
      <c r="H317" s="110" t="inlineStr">
        <is>
          <t>x</t>
        </is>
      </c>
      <c r="I317" s="118" t="n">
        <v>0.15</v>
      </c>
      <c r="J317" s="76" t="inlineStr">
        <is>
          <t>=</t>
        </is>
      </c>
      <c r="K317" s="118">
        <f>IF(C302,C302*E302*G302*I302,"")</f>
        <v/>
      </c>
      <c r="L317" s="74" t="inlineStr">
        <is>
          <t>Cum</t>
        </is>
      </c>
    </row>
    <row r="318" customFormat="1" s="110">
      <c r="A318" s="83" t="n"/>
      <c r="B318" s="153" t="inlineStr">
        <is>
          <t>Sunshades</t>
        </is>
      </c>
      <c r="C318" s="118" t="n"/>
      <c r="D318" s="44" t="n"/>
      <c r="E318" s="118" t="n"/>
      <c r="F318" s="44" t="n"/>
      <c r="G318" s="67" t="n"/>
    </row>
    <row r="319" customFormat="1" s="110">
      <c r="A319" s="140" t="n"/>
      <c r="B319" s="183" t="inlineStr">
        <is>
          <t>W</t>
        </is>
      </c>
      <c r="C319" s="66" t="n">
        <v>7</v>
      </c>
      <c r="D319" s="110" t="inlineStr">
        <is>
          <t>x</t>
        </is>
      </c>
      <c r="E319" s="118" t="n">
        <v>2.1</v>
      </c>
      <c r="F319" s="110" t="inlineStr">
        <is>
          <t>x</t>
        </is>
      </c>
      <c r="G319" s="67" t="n">
        <v>0.6</v>
      </c>
      <c r="H319" s="110" t="inlineStr">
        <is>
          <t>x</t>
        </is>
      </c>
      <c r="I319" s="118" t="n">
        <v>0.08</v>
      </c>
      <c r="J319" s="76" t="inlineStr">
        <is>
          <t>=</t>
        </is>
      </c>
      <c r="K319" s="118">
        <f>IF(C304,C304*E304*G304*I304,"")</f>
        <v/>
      </c>
      <c r="L319" s="74" t="inlineStr">
        <is>
          <t>Cum</t>
        </is>
      </c>
    </row>
    <row r="320" ht="120" customFormat="1" customHeight="1" s="110">
      <c r="A320" s="140" t="n"/>
      <c r="B320" s="183" t="inlineStr">
        <is>
          <t>W1</t>
        </is>
      </c>
      <c r="C320" s="66" t="n">
        <v>8</v>
      </c>
      <c r="D320" s="110" t="inlineStr">
        <is>
          <t>x</t>
        </is>
      </c>
      <c r="E320" s="118" t="n">
        <v>1.5</v>
      </c>
      <c r="F320" s="110" t="inlineStr">
        <is>
          <t>x</t>
        </is>
      </c>
      <c r="G320" s="67" t="n">
        <v>0.6</v>
      </c>
      <c r="H320" s="110" t="inlineStr">
        <is>
          <t>x</t>
        </is>
      </c>
      <c r="I320" s="118" t="n">
        <v>0.08</v>
      </c>
      <c r="J320" s="76" t="inlineStr">
        <is>
          <t>=</t>
        </is>
      </c>
      <c r="K320" s="118">
        <f>IF(C305,C305*E305*G305*I305,"")</f>
        <v/>
      </c>
      <c r="L320" s="74" t="inlineStr">
        <is>
          <t>Cum</t>
        </is>
      </c>
    </row>
    <row r="321" customFormat="1" s="110">
      <c r="A321" s="140" t="n"/>
      <c r="B321" s="183" t="inlineStr">
        <is>
          <t>W2</t>
        </is>
      </c>
      <c r="C321" s="66" t="n">
        <v>9</v>
      </c>
      <c r="D321" s="110" t="inlineStr">
        <is>
          <t>x</t>
        </is>
      </c>
      <c r="E321" s="118" t="n">
        <v>0.9</v>
      </c>
      <c r="F321" s="110" t="inlineStr">
        <is>
          <t>x</t>
        </is>
      </c>
      <c r="G321" s="67" t="n">
        <v>0.6</v>
      </c>
      <c r="H321" s="110" t="inlineStr">
        <is>
          <t>x</t>
        </is>
      </c>
      <c r="I321" s="118" t="n">
        <v>0.08</v>
      </c>
      <c r="J321" s="76" t="inlineStr">
        <is>
          <t>=</t>
        </is>
      </c>
      <c r="K321" s="118">
        <f>IF(C306,C306*E306*G306*I306,"")</f>
        <v/>
      </c>
      <c r="L321" s="74" t="inlineStr">
        <is>
          <t>Cum</t>
        </is>
      </c>
    </row>
    <row r="322" customFormat="1" s="110">
      <c r="A322" s="140" t="n"/>
      <c r="B322" s="183" t="inlineStr">
        <is>
          <t>V</t>
        </is>
      </c>
      <c r="C322" s="66" t="n">
        <v>1</v>
      </c>
      <c r="D322" s="110" t="inlineStr">
        <is>
          <t>x</t>
        </is>
      </c>
      <c r="E322" s="118" t="n">
        <v>1.05</v>
      </c>
      <c r="F322" s="110" t="inlineStr">
        <is>
          <t>x</t>
        </is>
      </c>
      <c r="G322" s="67" t="n">
        <v>0.6</v>
      </c>
      <c r="H322" s="110" t="inlineStr">
        <is>
          <t>x</t>
        </is>
      </c>
      <c r="I322" s="118" t="n">
        <v>0.08</v>
      </c>
      <c r="J322" s="76" t="inlineStr">
        <is>
          <t>=</t>
        </is>
      </c>
      <c r="K322" s="118">
        <f>IF(C307,C307*E307*G307*I307,"")</f>
        <v/>
      </c>
      <c r="L322" s="74" t="inlineStr">
        <is>
          <t>Cum</t>
        </is>
      </c>
    </row>
    <row r="323" customFormat="1" s="110">
      <c r="A323" s="140" t="n"/>
      <c r="B323" s="183" t="inlineStr">
        <is>
          <t>V1</t>
        </is>
      </c>
      <c r="C323" s="66" t="n">
        <v>3</v>
      </c>
      <c r="D323" s="110" t="inlineStr">
        <is>
          <t>x</t>
        </is>
      </c>
      <c r="E323" s="118" t="n">
        <v>0.75</v>
      </c>
      <c r="F323" s="110" t="inlineStr">
        <is>
          <t>x</t>
        </is>
      </c>
      <c r="G323" s="67" t="n">
        <v>0.6</v>
      </c>
      <c r="H323" s="110" t="inlineStr">
        <is>
          <t>x</t>
        </is>
      </c>
      <c r="I323" s="118" t="n">
        <v>0.08</v>
      </c>
      <c r="J323" s="76" t="inlineStr">
        <is>
          <t>=</t>
        </is>
      </c>
      <c r="K323" s="118">
        <f>IF(C308,C308*E308*G308*I308,"")</f>
        <v/>
      </c>
      <c r="L323" s="74" t="inlineStr">
        <is>
          <t>Cum</t>
        </is>
      </c>
    </row>
    <row r="324" customFormat="1" s="110">
      <c r="A324" s="140" t="n"/>
      <c r="B324" s="183" t="inlineStr">
        <is>
          <t>V2</t>
        </is>
      </c>
      <c r="C324" s="66" t="n">
        <v>3</v>
      </c>
      <c r="D324" s="110" t="inlineStr">
        <is>
          <t>x</t>
        </is>
      </c>
      <c r="E324" s="118" t="n">
        <v>0.6</v>
      </c>
      <c r="F324" s="110" t="inlineStr">
        <is>
          <t>x</t>
        </is>
      </c>
      <c r="G324" s="67" t="n">
        <v>0.6</v>
      </c>
      <c r="H324" s="110" t="inlineStr">
        <is>
          <t>x</t>
        </is>
      </c>
      <c r="I324" s="118" t="n">
        <v>0.08</v>
      </c>
      <c r="J324" s="76" t="inlineStr">
        <is>
          <t>=</t>
        </is>
      </c>
      <c r="K324" s="118">
        <f>IF(C309,C309*E309*G309*I309,"")</f>
        <v/>
      </c>
      <c r="L324" s="74" t="inlineStr">
        <is>
          <t>Cum</t>
        </is>
      </c>
    </row>
    <row r="325" ht="60" customFormat="1" customHeight="1" s="110">
      <c r="A325" s="140" t="n"/>
      <c r="B325" s="183" t="inlineStr">
        <is>
          <t>Rolling Shutter</t>
        </is>
      </c>
      <c r="C325" s="66" t="n">
        <v>1</v>
      </c>
      <c r="D325" s="110" t="inlineStr">
        <is>
          <t>x</t>
        </is>
      </c>
      <c r="E325" s="118" t="n">
        <v>2.7</v>
      </c>
      <c r="F325" s="110" t="inlineStr">
        <is>
          <t>x</t>
        </is>
      </c>
      <c r="G325" s="67" t="n">
        <v>0.6</v>
      </c>
      <c r="H325" s="110" t="inlineStr">
        <is>
          <t>x</t>
        </is>
      </c>
      <c r="I325" s="118" t="n">
        <v>0.08</v>
      </c>
      <c r="J325" s="76" t="inlineStr">
        <is>
          <t>=</t>
        </is>
      </c>
      <c r="K325" s="118">
        <f>IF(C310,C310*E310*G310*I310,"")</f>
        <v/>
      </c>
      <c r="L325" s="74" t="inlineStr">
        <is>
          <t>Cum</t>
        </is>
      </c>
    </row>
    <row r="326" customFormat="1" s="110">
      <c r="A326" s="140" t="n"/>
      <c r="B326" s="183" t="inlineStr">
        <is>
          <t>D3</t>
        </is>
      </c>
      <c r="C326" s="66" t="n">
        <v>2</v>
      </c>
      <c r="D326" s="110" t="inlineStr">
        <is>
          <t>x</t>
        </is>
      </c>
      <c r="E326" s="118" t="n">
        <v>0.75</v>
      </c>
      <c r="F326" s="110" t="inlineStr">
        <is>
          <t>x</t>
        </is>
      </c>
      <c r="G326" s="67" t="n">
        <v>0.6</v>
      </c>
      <c r="H326" s="110" t="inlineStr">
        <is>
          <t>x</t>
        </is>
      </c>
      <c r="I326" s="118" t="n">
        <v>0.08</v>
      </c>
      <c r="J326" s="76" t="inlineStr">
        <is>
          <t>=</t>
        </is>
      </c>
      <c r="K326" s="118">
        <f>IF(C311,C311*E311*G311*I311,"")</f>
        <v/>
      </c>
      <c r="L326" s="74" t="inlineStr">
        <is>
          <t>Cum</t>
        </is>
      </c>
    </row>
    <row r="327" customFormat="1" s="110">
      <c r="A327" s="140" t="n"/>
      <c r="B327" s="183" t="inlineStr">
        <is>
          <t>W2</t>
        </is>
      </c>
      <c r="C327" s="66" t="n">
        <v>1</v>
      </c>
      <c r="D327" s="110" t="inlineStr">
        <is>
          <t>x</t>
        </is>
      </c>
      <c r="E327" s="118" t="n">
        <v>0.9</v>
      </c>
      <c r="F327" s="110" t="inlineStr">
        <is>
          <t>x</t>
        </is>
      </c>
      <c r="G327" s="67" t="n">
        <v>0.6</v>
      </c>
      <c r="H327" s="110" t="inlineStr">
        <is>
          <t>x</t>
        </is>
      </c>
      <c r="I327" s="118" t="n">
        <v>0.08</v>
      </c>
      <c r="J327" s="76" t="inlineStr">
        <is>
          <t>=</t>
        </is>
      </c>
      <c r="K327" s="118">
        <f>IF(C312,C312*E312*G312*I312,"")</f>
        <v/>
      </c>
      <c r="L327" s="74" t="inlineStr">
        <is>
          <t>Cum</t>
        </is>
      </c>
    </row>
    <row r="328" customFormat="1" s="110">
      <c r="A328" s="140" t="n"/>
      <c r="B328" s="183" t="inlineStr">
        <is>
          <t>V</t>
        </is>
      </c>
      <c r="C328" s="66" t="n">
        <v>1</v>
      </c>
      <c r="D328" s="110" t="inlineStr">
        <is>
          <t>x</t>
        </is>
      </c>
      <c r="E328" s="118" t="n">
        <v>1.05</v>
      </c>
      <c r="F328" s="110" t="inlineStr">
        <is>
          <t>x</t>
        </is>
      </c>
      <c r="G328" s="67" t="n">
        <v>0.6</v>
      </c>
      <c r="H328" s="110" t="inlineStr">
        <is>
          <t>x</t>
        </is>
      </c>
      <c r="I328" s="118" t="n">
        <v>0.08</v>
      </c>
      <c r="J328" s="76" t="inlineStr">
        <is>
          <t>=</t>
        </is>
      </c>
      <c r="K328" s="118">
        <f>IF(C313,C313*E313*G313*I313,"")</f>
        <v/>
      </c>
      <c r="L328" s="74" t="inlineStr">
        <is>
          <t>Cum</t>
        </is>
      </c>
    </row>
    <row r="329" customFormat="1" s="110">
      <c r="A329" s="140" t="n"/>
      <c r="B329" s="183" t="n"/>
      <c r="C329" s="66" t="n"/>
      <c r="E329" s="158" t="n"/>
      <c r="F329" s="138" t="n"/>
      <c r="G329" s="34" t="inlineStr">
        <is>
          <t>Total in GF</t>
        </is>
      </c>
      <c r="H329" s="138" t="n"/>
      <c r="I329" s="158" t="n"/>
      <c r="J329" s="138" t="n"/>
      <c r="K329" s="158">
        <f>SUM(K300:K313)</f>
        <v/>
      </c>
      <c r="L329" s="139" t="inlineStr">
        <is>
          <t>Cum</t>
        </is>
      </c>
    </row>
    <row r="330" customFormat="1" s="110">
      <c r="A330" s="83" t="n"/>
      <c r="B330" s="183" t="inlineStr">
        <is>
          <t>(D) In foundations rafts , footings, strap beams, bases of columns</t>
        </is>
      </c>
      <c r="C330" s="118" t="n"/>
      <c r="E330" s="118" t="n"/>
      <c r="G330" s="67" t="n"/>
    </row>
    <row r="331" customFormat="1" s="110">
      <c r="A331" s="83" t="n"/>
      <c r="B331" s="195" t="inlineStr">
        <is>
          <t>DPC</t>
        </is>
      </c>
      <c r="C331" s="118" t="n"/>
      <c r="D331" s="44" t="n"/>
      <c r="E331" s="118" t="n"/>
      <c r="F331" s="175" t="n"/>
      <c r="G331" s="67" t="n"/>
      <c r="H331" s="110" t="n"/>
      <c r="I331" s="110" t="n"/>
      <c r="J331" s="110" t="n"/>
      <c r="K331" s="118">
        <f>IF(C316,C316*E316*G316*I316,"")</f>
        <v/>
      </c>
      <c r="L331" s="110" t="n"/>
    </row>
    <row r="332" customFormat="1" s="110">
      <c r="A332" s="140" t="n"/>
      <c r="B332" s="192" t="inlineStr">
        <is>
          <t>Wall01</t>
        </is>
      </c>
      <c r="C332" s="66" t="n">
        <v>1</v>
      </c>
      <c r="D332" s="110" t="inlineStr">
        <is>
          <t>x</t>
        </is>
      </c>
      <c r="E332" s="118">
        <f>E176</f>
        <v/>
      </c>
      <c r="F332" s="110" t="inlineStr">
        <is>
          <t>x</t>
        </is>
      </c>
      <c r="G332" s="118" t="n">
        <v>0.45</v>
      </c>
      <c r="H332" s="110" t="inlineStr">
        <is>
          <t>x</t>
        </is>
      </c>
      <c r="I332" s="118" t="n">
        <v>0.15</v>
      </c>
      <c r="J332" s="76" t="inlineStr">
        <is>
          <t>=</t>
        </is>
      </c>
      <c r="K332" s="118">
        <f>IF(C317,C317*E317*G317*I317,"")</f>
        <v/>
      </c>
      <c r="L332" s="74" t="inlineStr">
        <is>
          <t>Cum</t>
        </is>
      </c>
    </row>
    <row r="333" customFormat="1" s="110">
      <c r="A333" s="140" t="n"/>
      <c r="B333" s="192" t="inlineStr">
        <is>
          <t>Wall02</t>
        </is>
      </c>
      <c r="C333" s="66" t="n">
        <v>1</v>
      </c>
      <c r="D333" s="110" t="inlineStr">
        <is>
          <t>x</t>
        </is>
      </c>
      <c r="E333" s="118">
        <f>E177</f>
        <v/>
      </c>
      <c r="F333" s="110" t="inlineStr">
        <is>
          <t>x</t>
        </is>
      </c>
      <c r="G333" s="118" t="n">
        <v>0.3</v>
      </c>
      <c r="H333" s="110" t="inlineStr">
        <is>
          <t>x</t>
        </is>
      </c>
      <c r="I333" s="118" t="n">
        <v>0.15</v>
      </c>
      <c r="J333" s="76" t="inlineStr">
        <is>
          <t>=</t>
        </is>
      </c>
      <c r="K333" s="118">
        <f>IF(C318,C318*E318*G318*I318,"")</f>
        <v/>
      </c>
      <c r="L333" s="74" t="inlineStr">
        <is>
          <t>Cum</t>
        </is>
      </c>
    </row>
    <row r="334" customFormat="1" s="110">
      <c r="A334" s="140" t="n"/>
      <c r="B334" s="183" t="n"/>
      <c r="C334" s="66" t="n"/>
      <c r="E334" s="158" t="n"/>
      <c r="F334" s="138" t="n"/>
      <c r="G334" s="34" t="inlineStr">
        <is>
          <t>Total in GF</t>
        </is>
      </c>
      <c r="H334" s="138" t="n"/>
      <c r="I334" s="158" t="n"/>
      <c r="J334" s="138" t="n"/>
      <c r="K334" s="158">
        <f>SUM(K316:K318)</f>
        <v/>
      </c>
      <c r="L334" s="139" t="inlineStr">
        <is>
          <t>Cum</t>
        </is>
      </c>
    </row>
    <row r="335" customFormat="1" s="110">
      <c r="A335" s="83">
        <f>A252+1</f>
        <v/>
      </c>
      <c r="B335" s="183"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335" s="193" t="n"/>
      <c r="D335" s="44" t="n"/>
      <c r="E335" s="118" t="n"/>
      <c r="F335" s="175" t="n"/>
      <c r="G335" s="67" t="n"/>
    </row>
    <row r="336" customFormat="1" s="110">
      <c r="A336" s="83" t="n"/>
      <c r="B336" s="183" t="inlineStr">
        <is>
          <t>Slab Beam</t>
        </is>
      </c>
      <c r="C336" s="15">
        <f>K297</f>
        <v/>
      </c>
      <c r="D336" s="51" t="n"/>
      <c r="E336" s="118" t="inlineStr">
        <is>
          <t>Cum @</t>
        </is>
      </c>
      <c r="F336" s="175" t="n"/>
      <c r="G336" s="112" t="n">
        <v>100</v>
      </c>
      <c r="H336" s="74" t="inlineStr">
        <is>
          <t>Kg/Cum</t>
        </is>
      </c>
      <c r="J336" s="76" t="inlineStr">
        <is>
          <t>=</t>
        </is>
      </c>
      <c r="K336" s="193">
        <f>C321*G321</f>
        <v/>
      </c>
      <c r="L336" s="110" t="inlineStr">
        <is>
          <t>Kg</t>
        </is>
      </c>
    </row>
    <row r="337" customFormat="1" s="110">
      <c r="A337" s="83" t="n"/>
      <c r="B337" s="183" t="inlineStr">
        <is>
          <t>Lintels</t>
        </is>
      </c>
      <c r="C337" s="15">
        <f>K314</f>
        <v/>
      </c>
      <c r="D337" s="51" t="n"/>
      <c r="E337" s="118" t="inlineStr">
        <is>
          <t>Cum @</t>
        </is>
      </c>
      <c r="F337" s="175" t="n"/>
      <c r="G337" s="112" t="n">
        <v>100</v>
      </c>
      <c r="H337" s="74" t="inlineStr">
        <is>
          <t>Kg/Cum</t>
        </is>
      </c>
      <c r="J337" s="76" t="inlineStr">
        <is>
          <t>=</t>
        </is>
      </c>
      <c r="K337" s="193">
        <f>C322*G322</f>
        <v/>
      </c>
      <c r="L337" s="110" t="inlineStr">
        <is>
          <t>Kg</t>
        </is>
      </c>
    </row>
    <row r="338" customFormat="1" s="110">
      <c r="A338" s="83" t="n"/>
      <c r="B338" s="183" t="inlineStr">
        <is>
          <t>Foundation</t>
        </is>
      </c>
      <c r="C338" s="214">
        <f>K319</f>
        <v/>
      </c>
      <c r="E338" s="118" t="inlineStr">
        <is>
          <t>Cum @</t>
        </is>
      </c>
      <c r="F338" s="175" t="n"/>
      <c r="G338" s="112" t="n">
        <v>80</v>
      </c>
      <c r="H338" s="74" t="inlineStr">
        <is>
          <t>Kg/Cum</t>
        </is>
      </c>
      <c r="I338" s="110" t="n"/>
      <c r="J338" s="76" t="inlineStr">
        <is>
          <t>=</t>
        </is>
      </c>
      <c r="K338" s="193">
        <f>C323*G323</f>
        <v/>
      </c>
      <c r="L338" s="110" t="inlineStr">
        <is>
          <t>Kg</t>
        </is>
      </c>
    </row>
    <row r="339" customFormat="1" s="110">
      <c r="A339" s="140" t="n"/>
      <c r="B339" s="183" t="n"/>
      <c r="C339" s="66" t="n"/>
      <c r="E339" s="118" t="n"/>
      <c r="G339" s="34" t="inlineStr">
        <is>
          <t>Total</t>
        </is>
      </c>
      <c r="H339" s="138" t="n"/>
      <c r="I339" s="158" t="n"/>
      <c r="J339" s="138" t="n"/>
      <c r="K339" s="144">
        <f>SUM(K321:K323)</f>
        <v/>
      </c>
      <c r="L339" s="110" t="inlineStr">
        <is>
          <t>Kg</t>
        </is>
      </c>
    </row>
    <row r="340" customFormat="1" s="110">
      <c r="A340" s="140" t="n">
        <v>15</v>
      </c>
      <c r="B340" s="169" t="inlineStr">
        <is>
          <t>Plaster on new surface on walls in cement sand mortar 1:6 including raking of joints etc. complete fine finished : 20 mm thick.</t>
        </is>
      </c>
      <c r="C340" s="118" t="n"/>
      <c r="D340" s="44" t="n"/>
      <c r="E340" s="118" t="n"/>
      <c r="F340" s="175" t="n"/>
      <c r="G340" s="67" t="n"/>
    </row>
    <row r="341" customFormat="1" s="110">
      <c r="A341" s="140" t="n"/>
      <c r="B341" s="195" t="inlineStr">
        <is>
          <t>GROUND FLOOR  INSIDE PLASTER</t>
        </is>
      </c>
      <c r="C341" s="118" t="n"/>
      <c r="D341" s="44" t="n"/>
      <c r="E341" s="118" t="n"/>
      <c r="F341" s="175" t="n"/>
      <c r="G341" s="67" t="n"/>
    </row>
    <row r="342" customFormat="1" s="110">
      <c r="A342" s="140" t="n"/>
      <c r="B342" s="183" t="inlineStr">
        <is>
          <t>Servant Room</t>
        </is>
      </c>
      <c r="C342" s="66" t="n">
        <v>2</v>
      </c>
      <c r="D342" s="110" t="inlineStr">
        <is>
          <t>x</t>
        </is>
      </c>
      <c r="E342" s="118" t="n">
        <v>3.05</v>
      </c>
      <c r="F342" s="110" t="inlineStr">
        <is>
          <t>x</t>
        </is>
      </c>
      <c r="G342" s="118" t="n">
        <v>2.9</v>
      </c>
      <c r="I342" s="118" t="n"/>
      <c r="J342" s="76" t="inlineStr">
        <is>
          <t>=</t>
        </is>
      </c>
      <c r="K342" s="118">
        <f>IF(C327,C327*E327*G327,"")</f>
        <v/>
      </c>
      <c r="L342" s="66" t="inlineStr">
        <is>
          <t>Sqm</t>
        </is>
      </c>
    </row>
    <row r="343" customFormat="1" s="110">
      <c r="A343" s="140" t="n"/>
      <c r="B343" s="183" t="n"/>
      <c r="C343" s="66" t="n">
        <v>2</v>
      </c>
      <c r="D343" s="110" t="inlineStr">
        <is>
          <t>x</t>
        </is>
      </c>
      <c r="E343" s="118" t="n">
        <v>2.44</v>
      </c>
      <c r="F343" s="110" t="inlineStr">
        <is>
          <t>x</t>
        </is>
      </c>
      <c r="G343" s="118" t="n">
        <v>2.9</v>
      </c>
      <c r="I343" s="118" t="n"/>
      <c r="J343" s="76" t="inlineStr">
        <is>
          <t>=</t>
        </is>
      </c>
      <c r="K343" s="118">
        <f>IF(C328,C328*E328*G328,"")</f>
        <v/>
      </c>
      <c r="L343" s="66" t="inlineStr">
        <is>
          <t>Sqm</t>
        </is>
      </c>
    </row>
    <row r="344" customFormat="1" s="110">
      <c r="A344" s="140" t="n"/>
      <c r="B344" s="183" t="inlineStr">
        <is>
          <t>WC</t>
        </is>
      </c>
      <c r="C344" s="66" t="n">
        <v>2</v>
      </c>
      <c r="D344" s="110" t="inlineStr">
        <is>
          <t>x</t>
        </is>
      </c>
      <c r="E344" s="118" t="n">
        <v>1.53</v>
      </c>
      <c r="F344" s="110" t="inlineStr">
        <is>
          <t>x</t>
        </is>
      </c>
      <c r="G344" s="118" t="n">
        <v>2.9</v>
      </c>
      <c r="I344" s="118" t="n"/>
      <c r="J344" s="76" t="inlineStr">
        <is>
          <t>=</t>
        </is>
      </c>
      <c r="K344" s="118">
        <f>IF(C329,C329*E329*G329,"")</f>
        <v/>
      </c>
      <c r="L344" s="66" t="inlineStr">
        <is>
          <t>Sqm</t>
        </is>
      </c>
    </row>
    <row r="345" customFormat="1" s="110">
      <c r="A345" s="140" t="n"/>
      <c r="B345" s="183" t="n"/>
      <c r="C345" s="66" t="n">
        <v>2</v>
      </c>
      <c r="D345" s="110" t="inlineStr">
        <is>
          <t>x</t>
        </is>
      </c>
      <c r="E345" s="118" t="n">
        <v>1</v>
      </c>
      <c r="F345" s="110" t="inlineStr">
        <is>
          <t>x</t>
        </is>
      </c>
      <c r="G345" s="118" t="n">
        <v>2.9</v>
      </c>
      <c r="I345" s="118" t="n"/>
      <c r="J345" s="76" t="inlineStr">
        <is>
          <t>=</t>
        </is>
      </c>
      <c r="K345" s="118">
        <f>IF(C330,C330*E330*G330,"")</f>
        <v/>
      </c>
      <c r="L345" s="66" t="inlineStr">
        <is>
          <t>Sqm</t>
        </is>
      </c>
    </row>
    <row r="346" customFormat="1" s="110">
      <c r="A346" s="140" t="n"/>
      <c r="B346" s="183" t="inlineStr">
        <is>
          <t>Garage</t>
        </is>
      </c>
      <c r="C346" s="66" t="n">
        <v>2</v>
      </c>
      <c r="D346" s="110" t="inlineStr">
        <is>
          <t>x</t>
        </is>
      </c>
      <c r="E346" s="118" t="n">
        <v>3.05</v>
      </c>
      <c r="F346" s="110" t="inlineStr">
        <is>
          <t>x</t>
        </is>
      </c>
      <c r="G346" s="118" t="n">
        <v>2.9</v>
      </c>
      <c r="I346" s="118" t="n"/>
      <c r="J346" s="76" t="inlineStr">
        <is>
          <t>=</t>
        </is>
      </c>
      <c r="K346" s="118">
        <f>IF(C331,C331*E331*G331,"")</f>
        <v/>
      </c>
      <c r="L346" s="66" t="inlineStr">
        <is>
          <t>Sqm</t>
        </is>
      </c>
    </row>
    <row r="347" customFormat="1" s="110">
      <c r="A347" s="140" t="n"/>
      <c r="B347" s="183" t="n"/>
      <c r="C347" s="66" t="n">
        <v>2</v>
      </c>
      <c r="D347" s="110" t="inlineStr">
        <is>
          <t>x</t>
        </is>
      </c>
      <c r="E347" s="118" t="n">
        <v>5.19</v>
      </c>
      <c r="F347" s="110" t="inlineStr">
        <is>
          <t>x</t>
        </is>
      </c>
      <c r="G347" s="118" t="n">
        <v>2.9</v>
      </c>
      <c r="I347" s="118" t="n"/>
      <c r="J347" s="76" t="inlineStr">
        <is>
          <t>=</t>
        </is>
      </c>
      <c r="K347" s="118">
        <f>IF(C332,C332*E332*G332,"")</f>
        <v/>
      </c>
      <c r="L347" s="66" t="inlineStr">
        <is>
          <t>Sqm</t>
        </is>
      </c>
    </row>
    <row r="348" customFormat="1" s="110">
      <c r="A348" s="140" t="n"/>
      <c r="B348" s="183" t="inlineStr">
        <is>
          <t>Kitchen</t>
        </is>
      </c>
      <c r="C348" s="66" t="n">
        <v>2</v>
      </c>
      <c r="D348" s="110" t="inlineStr">
        <is>
          <t>x</t>
        </is>
      </c>
      <c r="E348" s="118" t="n">
        <v>3.97</v>
      </c>
      <c r="F348" s="110" t="inlineStr">
        <is>
          <t>x</t>
        </is>
      </c>
      <c r="G348" s="118" t="n">
        <v>2.9</v>
      </c>
      <c r="I348" s="118" t="n"/>
      <c r="J348" s="76" t="inlineStr">
        <is>
          <t>=</t>
        </is>
      </c>
      <c r="K348" s="118">
        <f>IF(C333,C333*E333*G333,"")</f>
        <v/>
      </c>
      <c r="L348" s="66" t="inlineStr">
        <is>
          <t>Sqm</t>
        </is>
      </c>
    </row>
    <row r="349" customFormat="1" s="110">
      <c r="A349" s="140" t="n"/>
      <c r="B349" s="183" t="n"/>
      <c r="C349" s="66" t="n">
        <v>2</v>
      </c>
      <c r="D349" s="110" t="inlineStr">
        <is>
          <t>x</t>
        </is>
      </c>
      <c r="E349" s="118" t="n">
        <v>2.97</v>
      </c>
      <c r="F349" s="110" t="inlineStr">
        <is>
          <t>x</t>
        </is>
      </c>
      <c r="G349" s="118" t="n">
        <v>2.9</v>
      </c>
      <c r="I349" s="118" t="n"/>
      <c r="J349" s="76" t="inlineStr">
        <is>
          <t>=</t>
        </is>
      </c>
      <c r="K349" s="118">
        <f>IF(C334,C334*E334*G334,"")</f>
        <v/>
      </c>
      <c r="L349" s="66" t="inlineStr">
        <is>
          <t>Sqm</t>
        </is>
      </c>
    </row>
    <row r="350" customFormat="1" s="110">
      <c r="A350" s="140" t="n"/>
      <c r="B350" s="183" t="inlineStr">
        <is>
          <t>Staircase</t>
        </is>
      </c>
      <c r="C350" s="66" t="n">
        <v>2</v>
      </c>
      <c r="D350" s="110" t="inlineStr">
        <is>
          <t>x</t>
        </is>
      </c>
      <c r="E350" s="118" t="n">
        <v>2.9</v>
      </c>
      <c r="F350" s="110" t="inlineStr">
        <is>
          <t>x</t>
        </is>
      </c>
      <c r="G350" s="118" t="n">
        <v>2.9</v>
      </c>
      <c r="I350" s="118" t="n"/>
      <c r="J350" s="76" t="inlineStr">
        <is>
          <t>=</t>
        </is>
      </c>
      <c r="K350" s="118">
        <f>IF(C335,C335*E335*G335,"")</f>
        <v/>
      </c>
      <c r="L350" s="66" t="inlineStr">
        <is>
          <t>Sqm</t>
        </is>
      </c>
    </row>
    <row r="351" customFormat="1" s="110">
      <c r="A351" s="140" t="n"/>
      <c r="B351" s="183" t="n"/>
      <c r="C351" s="66" t="n">
        <v>2</v>
      </c>
      <c r="D351" s="110" t="inlineStr">
        <is>
          <t>x</t>
        </is>
      </c>
      <c r="E351" s="118" t="n">
        <v>1.99</v>
      </c>
      <c r="F351" s="110" t="inlineStr">
        <is>
          <t>x</t>
        </is>
      </c>
      <c r="G351" s="118" t="n">
        <v>2.9</v>
      </c>
      <c r="I351" s="118" t="n"/>
      <c r="J351" s="76" t="inlineStr">
        <is>
          <t>=</t>
        </is>
      </c>
      <c r="K351" s="118">
        <f>IF(C336,C336*E336*G336,"")</f>
        <v/>
      </c>
      <c r="L351" s="66" t="inlineStr">
        <is>
          <t>Sqm</t>
        </is>
      </c>
    </row>
    <row r="352" customFormat="1" s="110">
      <c r="A352" s="140" t="n"/>
      <c r="B352" s="183" t="inlineStr">
        <is>
          <t>Toilet</t>
        </is>
      </c>
      <c r="C352" s="66" t="n">
        <v>2</v>
      </c>
      <c r="D352" s="110" t="inlineStr">
        <is>
          <t>x</t>
        </is>
      </c>
      <c r="E352" s="118" t="n">
        <v>1.83</v>
      </c>
      <c r="F352" s="110" t="inlineStr">
        <is>
          <t>x</t>
        </is>
      </c>
      <c r="G352" s="118" t="n">
        <v>2.9</v>
      </c>
      <c r="I352" s="118" t="n"/>
      <c r="J352" s="76" t="inlineStr">
        <is>
          <t>=</t>
        </is>
      </c>
      <c r="K352" s="118">
        <f>IF(C337,C337*E337*G337,"")</f>
        <v/>
      </c>
      <c r="L352" s="66" t="inlineStr">
        <is>
          <t>Sqm</t>
        </is>
      </c>
    </row>
    <row r="353" customFormat="1" s="110">
      <c r="A353" s="140" t="n"/>
      <c r="B353" s="183" t="n"/>
      <c r="C353" s="66" t="n">
        <v>2</v>
      </c>
      <c r="D353" s="110" t="inlineStr">
        <is>
          <t>x</t>
        </is>
      </c>
      <c r="E353" s="118" t="n">
        <v>1.38</v>
      </c>
      <c r="F353" s="110" t="inlineStr">
        <is>
          <t>x</t>
        </is>
      </c>
      <c r="G353" s="118" t="n">
        <v>2.9</v>
      </c>
      <c r="I353" s="118" t="n"/>
      <c r="J353" s="76" t="inlineStr">
        <is>
          <t>=</t>
        </is>
      </c>
      <c r="K353" s="118">
        <f>IF(C338,C338*E338*G338,"")</f>
        <v/>
      </c>
      <c r="L353" s="66" t="inlineStr">
        <is>
          <t>Sqm</t>
        </is>
      </c>
    </row>
    <row r="354" customFormat="1" s="110">
      <c r="A354" s="140" t="n"/>
      <c r="B354" s="183" t="inlineStr">
        <is>
          <t>Library</t>
        </is>
      </c>
      <c r="C354" s="66" t="n">
        <v>2</v>
      </c>
      <c r="D354" s="110" t="inlineStr">
        <is>
          <t>x</t>
        </is>
      </c>
      <c r="E354" s="118" t="n">
        <v>3.66</v>
      </c>
      <c r="F354" s="110" t="inlineStr">
        <is>
          <t>x</t>
        </is>
      </c>
      <c r="G354" s="118" t="n">
        <v>2.9</v>
      </c>
      <c r="I354" s="118" t="n"/>
      <c r="J354" s="76" t="inlineStr">
        <is>
          <t>=</t>
        </is>
      </c>
      <c r="K354" s="118">
        <f>IF(C339,C339*E339*G339,"")</f>
        <v/>
      </c>
      <c r="L354" s="66" t="inlineStr">
        <is>
          <t>Sqm</t>
        </is>
      </c>
    </row>
    <row r="355" customFormat="1" s="110">
      <c r="A355" s="140" t="n"/>
      <c r="B355" s="183" t="n"/>
      <c r="C355" s="66" t="n">
        <v>2</v>
      </c>
      <c r="D355" s="110" t="inlineStr">
        <is>
          <t>x</t>
        </is>
      </c>
      <c r="E355" s="118" t="n">
        <v>3.05</v>
      </c>
      <c r="F355" s="110" t="inlineStr">
        <is>
          <t>x</t>
        </is>
      </c>
      <c r="G355" s="118" t="n">
        <v>2.9</v>
      </c>
      <c r="I355" s="118" t="n"/>
      <c r="J355" s="76" t="inlineStr">
        <is>
          <t>=</t>
        </is>
      </c>
      <c r="K355" s="118">
        <f>IF(C340,C340*E340*G340,"")</f>
        <v/>
      </c>
      <c r="L355" s="66" t="inlineStr">
        <is>
          <t>Sqm</t>
        </is>
      </c>
    </row>
    <row r="356" customFormat="1" s="110">
      <c r="A356" s="140" t="n"/>
      <c r="B356" s="183" t="inlineStr">
        <is>
          <t>Verandah</t>
        </is>
      </c>
      <c r="C356" s="66" t="n">
        <v>2</v>
      </c>
      <c r="D356" s="110" t="inlineStr">
        <is>
          <t>x</t>
        </is>
      </c>
      <c r="E356" s="118" t="n">
        <v>4.27</v>
      </c>
      <c r="F356" s="110" t="inlineStr">
        <is>
          <t>x</t>
        </is>
      </c>
      <c r="G356" s="118" t="n">
        <v>2.9</v>
      </c>
      <c r="I356" s="118" t="n"/>
      <c r="J356" s="76" t="inlineStr">
        <is>
          <t>=</t>
        </is>
      </c>
      <c r="K356" s="118">
        <f>IF(C341,C341*E341*G341,"")</f>
        <v/>
      </c>
      <c r="L356" s="66" t="inlineStr">
        <is>
          <t>Sqm</t>
        </is>
      </c>
    </row>
    <row r="357" ht="30" customFormat="1" customHeight="1" s="110">
      <c r="A357" s="140" t="n"/>
      <c r="B357" s="183" t="n"/>
      <c r="C357" s="66" t="n">
        <v>2</v>
      </c>
      <c r="D357" s="110" t="inlineStr">
        <is>
          <t>x</t>
        </is>
      </c>
      <c r="E357" s="118" t="n">
        <v>1.83</v>
      </c>
      <c r="F357" s="110" t="inlineStr">
        <is>
          <t>x</t>
        </is>
      </c>
      <c r="G357" s="118" t="n">
        <v>2.9</v>
      </c>
      <c r="I357" s="118" t="n"/>
      <c r="J357" s="76" t="inlineStr">
        <is>
          <t>=</t>
        </is>
      </c>
      <c r="K357" s="118">
        <f>IF(C342,C342*E342*G342,"")</f>
        <v/>
      </c>
      <c r="L357" s="66" t="inlineStr">
        <is>
          <t>Sqm</t>
        </is>
      </c>
    </row>
    <row r="358" customFormat="1" s="110">
      <c r="A358" s="140" t="n"/>
      <c r="B358" s="183" t="inlineStr">
        <is>
          <t>Dining</t>
        </is>
      </c>
      <c r="C358" s="66" t="n">
        <v>2</v>
      </c>
      <c r="D358" s="110" t="inlineStr">
        <is>
          <t>x</t>
        </is>
      </c>
      <c r="E358" s="118" t="n">
        <v>4.27</v>
      </c>
      <c r="F358" s="110" t="inlineStr">
        <is>
          <t>x</t>
        </is>
      </c>
      <c r="G358" s="118" t="n">
        <v>2.9</v>
      </c>
      <c r="I358" s="118" t="n"/>
      <c r="J358" s="76" t="inlineStr">
        <is>
          <t>=</t>
        </is>
      </c>
      <c r="K358" s="118">
        <f>IF(C343,C343*E343*G343,"")</f>
        <v/>
      </c>
      <c r="L358" s="66" t="inlineStr">
        <is>
          <t>Sqm</t>
        </is>
      </c>
    </row>
    <row r="359" customFormat="1" s="110">
      <c r="A359" s="140" t="n"/>
      <c r="B359" s="183" t="n"/>
      <c r="C359" s="66" t="n">
        <v>2</v>
      </c>
      <c r="D359" s="110" t="inlineStr">
        <is>
          <t>x</t>
        </is>
      </c>
      <c r="E359" s="118" t="n">
        <v>6.86</v>
      </c>
      <c r="F359" s="110" t="inlineStr">
        <is>
          <t>x</t>
        </is>
      </c>
      <c r="G359" s="118" t="n">
        <v>2.9</v>
      </c>
      <c r="I359" s="118" t="n"/>
      <c r="J359" s="76" t="inlineStr">
        <is>
          <t>=</t>
        </is>
      </c>
      <c r="K359" s="118">
        <f>IF(C344,C344*E344*G344,"")</f>
        <v/>
      </c>
      <c r="L359" s="66" t="inlineStr">
        <is>
          <t>Sqm</t>
        </is>
      </c>
    </row>
    <row r="360" customFormat="1" s="110">
      <c r="A360" s="140" t="n"/>
      <c r="B360" s="183" t="inlineStr">
        <is>
          <t>Living</t>
        </is>
      </c>
      <c r="C360" s="66" t="n">
        <v>2</v>
      </c>
      <c r="D360" s="110" t="inlineStr">
        <is>
          <t>x</t>
        </is>
      </c>
      <c r="E360" s="118" t="n">
        <v>4.27</v>
      </c>
      <c r="F360" s="110" t="inlineStr">
        <is>
          <t>x</t>
        </is>
      </c>
      <c r="G360" s="118" t="n">
        <v>2.9</v>
      </c>
      <c r="I360" s="118" t="n"/>
      <c r="J360" s="76" t="inlineStr">
        <is>
          <t>=</t>
        </is>
      </c>
      <c r="K360" s="118">
        <f>IF(C345,C345*E345*G345,"")</f>
        <v/>
      </c>
      <c r="L360" s="66" t="inlineStr">
        <is>
          <t>Sqm</t>
        </is>
      </c>
    </row>
    <row r="361" customFormat="1" s="110">
      <c r="A361" s="140" t="n"/>
      <c r="B361" s="183" t="n"/>
      <c r="C361" s="66" t="n">
        <v>2</v>
      </c>
      <c r="D361" s="110" t="inlineStr">
        <is>
          <t>x</t>
        </is>
      </c>
      <c r="E361" s="118" t="n">
        <v>4.58</v>
      </c>
      <c r="F361" s="110" t="inlineStr">
        <is>
          <t>x</t>
        </is>
      </c>
      <c r="G361" s="118" t="n">
        <v>2.9</v>
      </c>
      <c r="I361" s="118" t="n"/>
      <c r="J361" s="76" t="inlineStr">
        <is>
          <t>=</t>
        </is>
      </c>
      <c r="K361" s="118">
        <f>IF(C346,C346*E346*G346,"")</f>
        <v/>
      </c>
      <c r="L361" s="66" t="inlineStr">
        <is>
          <t>Sqm</t>
        </is>
      </c>
    </row>
    <row r="362" customFormat="1" s="110">
      <c r="A362" s="140" t="n"/>
      <c r="B362" s="183" t="inlineStr">
        <is>
          <t>Bed Rm</t>
        </is>
      </c>
      <c r="C362" s="66" t="n">
        <v>2</v>
      </c>
      <c r="D362" s="110" t="inlineStr">
        <is>
          <t>x</t>
        </is>
      </c>
      <c r="E362" s="118" t="n">
        <v>4.27</v>
      </c>
      <c r="F362" s="110" t="inlineStr">
        <is>
          <t>x</t>
        </is>
      </c>
      <c r="G362" s="118" t="n">
        <v>2.9</v>
      </c>
      <c r="I362" s="118" t="n"/>
      <c r="J362" s="76" t="inlineStr">
        <is>
          <t>=</t>
        </is>
      </c>
      <c r="K362" s="118">
        <f>IF(C347,C347*E347*G347,"")</f>
        <v/>
      </c>
      <c r="L362" s="66" t="inlineStr">
        <is>
          <t>Sqm</t>
        </is>
      </c>
    </row>
    <row r="363" customFormat="1" s="110">
      <c r="A363" s="140" t="n"/>
      <c r="B363" s="183" t="n"/>
      <c r="C363" s="66" t="n">
        <v>2</v>
      </c>
      <c r="D363" s="110" t="inlineStr">
        <is>
          <t>x</t>
        </is>
      </c>
      <c r="E363" s="118" t="n">
        <v>3.66</v>
      </c>
      <c r="F363" s="110" t="inlineStr">
        <is>
          <t>x</t>
        </is>
      </c>
      <c r="G363" s="118" t="n">
        <v>2.9</v>
      </c>
      <c r="I363" s="118" t="n"/>
      <c r="J363" s="76" t="inlineStr">
        <is>
          <t>=</t>
        </is>
      </c>
      <c r="K363" s="118">
        <f>IF(C348,C348*E348*G348,"")</f>
        <v/>
      </c>
      <c r="L363" s="66" t="inlineStr">
        <is>
          <t>Sqm</t>
        </is>
      </c>
    </row>
    <row r="364" customFormat="1" s="110">
      <c r="A364" s="140" t="n"/>
      <c r="B364" s="183" t="inlineStr">
        <is>
          <t>Toilet</t>
        </is>
      </c>
      <c r="C364" s="66" t="n">
        <v>4</v>
      </c>
      <c r="D364" s="110" t="inlineStr">
        <is>
          <t>x</t>
        </is>
      </c>
      <c r="E364" s="118" t="n">
        <v>2.44</v>
      </c>
      <c r="F364" s="110" t="inlineStr">
        <is>
          <t>x</t>
        </is>
      </c>
      <c r="G364" s="118" t="n">
        <v>2.9</v>
      </c>
      <c r="I364" s="118" t="n"/>
      <c r="J364" s="76" t="inlineStr">
        <is>
          <t>=</t>
        </is>
      </c>
      <c r="K364" s="118">
        <f>IF(C349,C349*E349*G349,"")</f>
        <v/>
      </c>
      <c r="L364" s="66" t="inlineStr">
        <is>
          <t>Sqm</t>
        </is>
      </c>
    </row>
    <row r="365" customFormat="1" s="110">
      <c r="A365" s="140" t="n"/>
      <c r="B365" s="183" t="n"/>
      <c r="C365" s="66" t="n">
        <v>2</v>
      </c>
      <c r="D365" s="110" t="inlineStr">
        <is>
          <t>x</t>
        </is>
      </c>
      <c r="E365" s="118" t="n">
        <v>1.68</v>
      </c>
      <c r="F365" s="110" t="inlineStr">
        <is>
          <t>x</t>
        </is>
      </c>
      <c r="G365" s="118" t="n">
        <v>2.9</v>
      </c>
      <c r="I365" s="118" t="n"/>
      <c r="J365" s="76" t="inlineStr">
        <is>
          <t>=</t>
        </is>
      </c>
      <c r="K365" s="118">
        <f>IF(C350,C350*E350*G350,"")</f>
        <v/>
      </c>
      <c r="L365" s="66" t="inlineStr">
        <is>
          <t>Sqm</t>
        </is>
      </c>
    </row>
    <row r="366" customFormat="1" s="110">
      <c r="A366" s="140" t="n"/>
      <c r="B366" s="183" t="inlineStr">
        <is>
          <t>Bed Rm</t>
        </is>
      </c>
      <c r="C366" s="66" t="n">
        <v>2</v>
      </c>
      <c r="D366" s="110" t="inlineStr">
        <is>
          <t>x</t>
        </is>
      </c>
      <c r="E366" s="118" t="n">
        <v>4.27</v>
      </c>
      <c r="F366" s="110" t="inlineStr">
        <is>
          <t>x</t>
        </is>
      </c>
      <c r="G366" s="118" t="n">
        <v>2.9</v>
      </c>
      <c r="I366" s="118" t="n"/>
      <c r="J366" s="76" t="inlineStr">
        <is>
          <t>=</t>
        </is>
      </c>
      <c r="K366" s="118">
        <f>IF(C351,C351*E351*G351,"")</f>
        <v/>
      </c>
      <c r="L366" s="66" t="inlineStr">
        <is>
          <t>Sqm</t>
        </is>
      </c>
    </row>
    <row r="367" customFormat="1" s="110">
      <c r="A367" s="140" t="n"/>
      <c r="B367" s="183" t="n"/>
      <c r="C367" s="66" t="n">
        <v>2</v>
      </c>
      <c r="D367" s="110" t="inlineStr">
        <is>
          <t>x</t>
        </is>
      </c>
      <c r="E367" s="118" t="n">
        <v>3.66</v>
      </c>
      <c r="F367" s="110" t="inlineStr">
        <is>
          <t>x</t>
        </is>
      </c>
      <c r="G367" s="118" t="n">
        <v>2.9</v>
      </c>
      <c r="I367" s="118" t="n"/>
      <c r="J367" s="76" t="inlineStr">
        <is>
          <t>=</t>
        </is>
      </c>
      <c r="K367" s="118">
        <f>IF(C352,C352*E352*G352,"")</f>
        <v/>
      </c>
      <c r="L367" s="66" t="inlineStr">
        <is>
          <t>Sqm</t>
        </is>
      </c>
    </row>
    <row r="368" customFormat="1" s="110">
      <c r="A368" s="140" t="n"/>
      <c r="B368" s="183" t="inlineStr">
        <is>
          <t>First Floor</t>
        </is>
      </c>
      <c r="C368" s="66" t="n">
        <v>2</v>
      </c>
      <c r="D368" s="110" t="inlineStr">
        <is>
          <t>x</t>
        </is>
      </c>
      <c r="E368" s="118" t="n">
        <v>12</v>
      </c>
      <c r="F368" s="110" t="inlineStr">
        <is>
          <t>x</t>
        </is>
      </c>
      <c r="G368" s="118" t="n">
        <v>2.9</v>
      </c>
      <c r="I368" s="118" t="n"/>
      <c r="J368" s="76" t="inlineStr">
        <is>
          <t>=</t>
        </is>
      </c>
      <c r="K368" s="118">
        <f>IF(C353,C353*E353*G353,"")</f>
        <v/>
      </c>
      <c r="L368" s="66" t="inlineStr">
        <is>
          <t>Sqm</t>
        </is>
      </c>
    </row>
    <row r="369" customFormat="1" s="110">
      <c r="A369" s="140" t="n"/>
      <c r="B369" s="183" t="n"/>
      <c r="C369" s="66" t="n">
        <v>2</v>
      </c>
      <c r="D369" s="110" t="inlineStr">
        <is>
          <t>x</t>
        </is>
      </c>
      <c r="E369" s="118" t="n">
        <v>3.6</v>
      </c>
      <c r="F369" s="110" t="inlineStr">
        <is>
          <t>x</t>
        </is>
      </c>
      <c r="G369" s="118" t="n">
        <v>2.9</v>
      </c>
      <c r="I369" s="118" t="n"/>
      <c r="J369" s="76" t="inlineStr">
        <is>
          <t>=</t>
        </is>
      </c>
      <c r="K369" s="118">
        <f>IF(C354,C354*E354*G354,"")</f>
        <v/>
      </c>
      <c r="L369" s="66" t="inlineStr">
        <is>
          <t>Sqm</t>
        </is>
      </c>
    </row>
    <row r="370" customFormat="1" s="110">
      <c r="A370" s="140" t="n"/>
      <c r="B370" s="183" t="n"/>
      <c r="C370" s="66" t="n">
        <v>2</v>
      </c>
      <c r="D370" s="110" t="inlineStr">
        <is>
          <t>x</t>
        </is>
      </c>
      <c r="E370" s="118" t="n">
        <v>4.2</v>
      </c>
      <c r="F370" s="110" t="inlineStr">
        <is>
          <t>x</t>
        </is>
      </c>
      <c r="G370" s="118" t="n">
        <v>2.9</v>
      </c>
      <c r="I370" s="118" t="n"/>
      <c r="J370" s="76" t="inlineStr">
        <is>
          <t>=</t>
        </is>
      </c>
      <c r="K370" s="118">
        <f>IF(C355,C355*E355*G355,"")</f>
        <v/>
      </c>
      <c r="L370" s="66" t="inlineStr">
        <is>
          <t>Sqm</t>
        </is>
      </c>
    </row>
    <row r="371" customFormat="1" s="110">
      <c r="A371" s="140" t="n"/>
      <c r="B371" s="183" t="n"/>
      <c r="C371" s="66" t="n">
        <v>2</v>
      </c>
      <c r="D371" s="110" t="inlineStr">
        <is>
          <t>x</t>
        </is>
      </c>
      <c r="E371" s="118" t="n">
        <v>3.3</v>
      </c>
      <c r="F371" s="110" t="inlineStr">
        <is>
          <t>x</t>
        </is>
      </c>
      <c r="G371" s="118" t="n">
        <v>2.9</v>
      </c>
      <c r="I371" s="118" t="n"/>
      <c r="J371" s="76" t="inlineStr">
        <is>
          <t>=</t>
        </is>
      </c>
      <c r="K371" s="118">
        <f>IF(C356,C356*E356*G356,"")</f>
        <v/>
      </c>
      <c r="L371" s="66" t="inlineStr">
        <is>
          <t>Sqm</t>
        </is>
      </c>
    </row>
    <row r="372" customFormat="1" s="110">
      <c r="A372" s="140" t="n"/>
      <c r="B372" s="195" t="inlineStr">
        <is>
          <t>Gross Area Of Plaster Inside Rooms in GF</t>
        </is>
      </c>
      <c r="C372" s="214">
        <f>SUM(K327:K356)</f>
        <v/>
      </c>
      <c r="F372" s="110" t="inlineStr">
        <is>
          <t>Sqm</t>
        </is>
      </c>
      <c r="G372" s="118" t="n"/>
      <c r="I372" s="118" t="n"/>
      <c r="J372" s="76" t="n"/>
      <c r="K372" s="118" t="n"/>
      <c r="L372" s="66" t="n"/>
    </row>
    <row r="373" customFormat="1" s="110">
      <c r="A373" s="140" t="n"/>
      <c r="B373" s="183" t="inlineStr">
        <is>
          <t>Inside Parapet</t>
        </is>
      </c>
      <c r="C373" s="66" t="n">
        <v>1</v>
      </c>
      <c r="D373" s="110" t="inlineStr">
        <is>
          <t>x</t>
        </is>
      </c>
      <c r="E373" s="118">
        <f>K39</f>
        <v/>
      </c>
      <c r="F373" s="110" t="inlineStr">
        <is>
          <t>x</t>
        </is>
      </c>
      <c r="G373" s="118" t="n">
        <v>0.75</v>
      </c>
      <c r="H373" s="110" t="n"/>
      <c r="I373" s="118" t="n"/>
      <c r="J373" s="76" t="inlineStr">
        <is>
          <t>=</t>
        </is>
      </c>
      <c r="K373" s="118">
        <f>IF(C358,C358*E358*G358,"")</f>
        <v/>
      </c>
      <c r="L373" s="66" t="inlineStr">
        <is>
          <t>Sqm</t>
        </is>
      </c>
    </row>
    <row r="374" customFormat="1" s="110">
      <c r="A374" s="140" t="n"/>
      <c r="B374" s="183" t="inlineStr">
        <is>
          <t>Inside Parapet</t>
        </is>
      </c>
      <c r="C374" s="66" t="n">
        <v>1</v>
      </c>
      <c r="D374" s="110" t="inlineStr">
        <is>
          <t>x</t>
        </is>
      </c>
      <c r="E374" s="118">
        <f>K59</f>
        <v/>
      </c>
      <c r="F374" s="110" t="inlineStr">
        <is>
          <t>x</t>
        </is>
      </c>
      <c r="G374" s="118" t="n">
        <v>0.75</v>
      </c>
      <c r="H374" s="110" t="n"/>
      <c r="I374" s="118" t="n"/>
      <c r="J374" s="76" t="inlineStr">
        <is>
          <t>=</t>
        </is>
      </c>
      <c r="K374" s="118">
        <f>IF(C359,C359*E359*G359,"")</f>
        <v/>
      </c>
      <c r="L374" s="66" t="inlineStr">
        <is>
          <t>Sqm</t>
        </is>
      </c>
    </row>
    <row r="375" customFormat="1" s="110">
      <c r="A375" s="140" t="n"/>
      <c r="B375" s="183" t="n"/>
      <c r="C375" s="66" t="n"/>
      <c r="E375" s="158" t="n"/>
      <c r="F375" s="138" t="n"/>
      <c r="G375" s="34" t="inlineStr">
        <is>
          <t>Gross Qty.</t>
        </is>
      </c>
      <c r="H375" s="138" t="n"/>
      <c r="I375" s="158" t="n"/>
      <c r="J375" s="139" t="inlineStr">
        <is>
          <t>+</t>
        </is>
      </c>
      <c r="K375" s="158">
        <f>SUM(K327:K359)</f>
        <v/>
      </c>
      <c r="L375" s="33" t="inlineStr">
        <is>
          <t>Sqm</t>
        </is>
      </c>
    </row>
    <row r="376" customFormat="1" s="110">
      <c r="A376" s="140" t="n"/>
      <c r="B376" s="195" t="inlineStr">
        <is>
          <t>Deductions</t>
        </is>
      </c>
      <c r="C376" s="66" t="n"/>
      <c r="E376" s="118" t="n"/>
      <c r="G376" s="67" t="n"/>
      <c r="H376" s="110" t="n"/>
      <c r="I376" s="118" t="n"/>
      <c r="J376" s="74" t="n"/>
      <c r="K376" s="118" t="n"/>
      <c r="L376" s="66" t="n"/>
    </row>
    <row r="377" customFormat="1" s="110">
      <c r="A377" s="140" t="n"/>
      <c r="B377" s="183" t="inlineStr">
        <is>
          <t>D</t>
        </is>
      </c>
      <c r="C377" s="66" t="n">
        <v>7</v>
      </c>
      <c r="D377" s="110" t="inlineStr">
        <is>
          <t>x</t>
        </is>
      </c>
      <c r="E377" s="118" t="n">
        <v>1.2</v>
      </c>
      <c r="F377" s="110" t="inlineStr">
        <is>
          <t>x</t>
        </is>
      </c>
      <c r="G377" s="118" t="n">
        <v>2.55</v>
      </c>
      <c r="I377" s="118" t="n"/>
      <c r="J377" s="76" t="inlineStr">
        <is>
          <t>=</t>
        </is>
      </c>
      <c r="K377" s="118">
        <f>IF(C362,C362*E362*G362,"")</f>
        <v/>
      </c>
      <c r="L377" s="66" t="inlineStr">
        <is>
          <t>Sqm</t>
        </is>
      </c>
    </row>
    <row r="378" customFormat="1" s="110">
      <c r="A378" s="140" t="n"/>
      <c r="B378" s="183" t="inlineStr">
        <is>
          <t>D1</t>
        </is>
      </c>
      <c r="C378" s="66" t="n">
        <v>4</v>
      </c>
      <c r="D378" s="110" t="inlineStr">
        <is>
          <t>x</t>
        </is>
      </c>
      <c r="E378" s="118" t="n">
        <v>1.05</v>
      </c>
      <c r="F378" s="110" t="inlineStr">
        <is>
          <t>x</t>
        </is>
      </c>
      <c r="G378" s="118" t="n">
        <v>2.1</v>
      </c>
      <c r="I378" s="118" t="n"/>
      <c r="J378" s="76" t="inlineStr">
        <is>
          <t>=</t>
        </is>
      </c>
      <c r="K378" s="118">
        <f>IF(C363,C363*E363*G363,"")</f>
        <v/>
      </c>
      <c r="L378" s="66" t="inlineStr">
        <is>
          <t>Sqm</t>
        </is>
      </c>
    </row>
    <row r="379" customFormat="1" s="110">
      <c r="A379" s="140" t="n"/>
      <c r="B379" s="183" t="inlineStr">
        <is>
          <t>D2</t>
        </is>
      </c>
      <c r="C379" s="66" t="n">
        <v>6</v>
      </c>
      <c r="D379" s="110" t="inlineStr">
        <is>
          <t>x</t>
        </is>
      </c>
      <c r="E379" s="118" t="n">
        <v>0.84</v>
      </c>
      <c r="F379" s="110" t="inlineStr">
        <is>
          <t>x</t>
        </is>
      </c>
      <c r="G379" s="118" t="n">
        <v>2.1</v>
      </c>
      <c r="I379" s="118" t="n"/>
      <c r="J379" s="76" t="inlineStr">
        <is>
          <t>=</t>
        </is>
      </c>
      <c r="K379" s="118">
        <f>IF(C364,C364*E364*G364,"")</f>
        <v/>
      </c>
      <c r="L379" s="66" t="inlineStr">
        <is>
          <t>Sqm</t>
        </is>
      </c>
    </row>
    <row r="380" customFormat="1" s="110">
      <c r="A380" s="140" t="n"/>
      <c r="B380" s="183" t="inlineStr">
        <is>
          <t>D3</t>
        </is>
      </c>
      <c r="C380" s="66" t="n">
        <v>3</v>
      </c>
      <c r="D380" s="110" t="inlineStr">
        <is>
          <t>x</t>
        </is>
      </c>
      <c r="E380" s="118" t="n">
        <v>0.9</v>
      </c>
      <c r="F380" s="110" t="inlineStr">
        <is>
          <t>x</t>
        </is>
      </c>
      <c r="G380" s="118" t="n">
        <v>2.1</v>
      </c>
      <c r="I380" s="118" t="n"/>
      <c r="J380" s="76" t="inlineStr">
        <is>
          <t>=</t>
        </is>
      </c>
      <c r="K380" s="118">
        <f>IF(C365,C365*E365*G365,"")</f>
        <v/>
      </c>
      <c r="L380" s="66" t="inlineStr">
        <is>
          <t>Sqm</t>
        </is>
      </c>
    </row>
    <row r="381" customFormat="1" s="110">
      <c r="A381" s="140" t="n"/>
      <c r="B381" s="183" t="inlineStr">
        <is>
          <t>D4</t>
        </is>
      </c>
      <c r="C381" s="66" t="n">
        <v>1</v>
      </c>
      <c r="D381" s="110" t="inlineStr">
        <is>
          <t>x</t>
        </is>
      </c>
      <c r="E381" s="118" t="n">
        <v>0.75</v>
      </c>
      <c r="F381" s="110" t="inlineStr">
        <is>
          <t>x</t>
        </is>
      </c>
      <c r="G381" s="118" t="n">
        <v>2.1</v>
      </c>
      <c r="I381" s="118" t="n"/>
      <c r="J381" s="76" t="inlineStr">
        <is>
          <t>=</t>
        </is>
      </c>
      <c r="K381" s="118">
        <f>IF(C366,C366*E366*G366,"")</f>
        <v/>
      </c>
      <c r="L381" s="66" t="inlineStr">
        <is>
          <t>Sqm</t>
        </is>
      </c>
    </row>
    <row r="382" customFormat="1" s="110">
      <c r="A382" s="140" t="n"/>
      <c r="B382" s="183" t="inlineStr">
        <is>
          <t>W</t>
        </is>
      </c>
      <c r="C382" s="66" t="n">
        <v>7</v>
      </c>
      <c r="D382" s="110" t="inlineStr">
        <is>
          <t>x</t>
        </is>
      </c>
      <c r="E382" s="118" t="n">
        <v>2.1</v>
      </c>
      <c r="F382" s="110" t="inlineStr">
        <is>
          <t>x</t>
        </is>
      </c>
      <c r="G382" s="118" t="n">
        <v>1.8</v>
      </c>
      <c r="I382" s="118" t="n"/>
      <c r="J382" s="76" t="inlineStr">
        <is>
          <t>=</t>
        </is>
      </c>
      <c r="K382" s="118">
        <f>IF(C367,C367*E367*G367,"")</f>
        <v/>
      </c>
      <c r="L382" s="66" t="inlineStr">
        <is>
          <t>Sqm</t>
        </is>
      </c>
    </row>
    <row r="383" customFormat="1" s="110">
      <c r="A383" s="140" t="n"/>
      <c r="B383" s="183" t="inlineStr">
        <is>
          <t>W1</t>
        </is>
      </c>
      <c r="C383" s="66" t="n">
        <v>8</v>
      </c>
      <c r="D383" s="110" t="inlineStr">
        <is>
          <t>x</t>
        </is>
      </c>
      <c r="E383" s="118" t="n">
        <v>1.5</v>
      </c>
      <c r="F383" s="110" t="inlineStr">
        <is>
          <t>x</t>
        </is>
      </c>
      <c r="G383" s="118" t="n">
        <v>1.8</v>
      </c>
      <c r="I383" s="118" t="n"/>
      <c r="J383" s="76" t="inlineStr">
        <is>
          <t>=</t>
        </is>
      </c>
      <c r="K383" s="118">
        <f>IF(C368,C368*E368*G368,"")</f>
        <v/>
      </c>
      <c r="L383" s="66" t="inlineStr">
        <is>
          <t>Sqm</t>
        </is>
      </c>
    </row>
    <row r="384" customFormat="1" s="110">
      <c r="A384" s="140" t="n"/>
      <c r="B384" s="183" t="inlineStr">
        <is>
          <t>W2</t>
        </is>
      </c>
      <c r="C384" s="66" t="n">
        <v>10</v>
      </c>
      <c r="D384" s="110" t="inlineStr">
        <is>
          <t>x</t>
        </is>
      </c>
      <c r="E384" s="118" t="n">
        <v>0.9</v>
      </c>
      <c r="F384" s="110" t="inlineStr">
        <is>
          <t>x</t>
        </is>
      </c>
      <c r="G384" s="118" t="n">
        <v>1.8</v>
      </c>
      <c r="I384" s="118" t="n"/>
      <c r="J384" s="76" t="inlineStr">
        <is>
          <t>=</t>
        </is>
      </c>
      <c r="K384" s="118">
        <f>IF(C369,C369*E369*G369,"")</f>
        <v/>
      </c>
      <c r="L384" s="66" t="inlineStr">
        <is>
          <t>Sqm</t>
        </is>
      </c>
    </row>
    <row r="385" customFormat="1" s="110">
      <c r="A385" s="140" t="n"/>
      <c r="B385" s="183" t="inlineStr">
        <is>
          <t>V</t>
        </is>
      </c>
      <c r="C385" s="66" t="n">
        <v>2</v>
      </c>
      <c r="D385" s="110" t="inlineStr">
        <is>
          <t>x</t>
        </is>
      </c>
      <c r="E385" s="118" t="n">
        <v>1.05</v>
      </c>
      <c r="F385" s="110" t="inlineStr">
        <is>
          <t>x</t>
        </is>
      </c>
      <c r="G385" s="118" t="n">
        <v>0.75</v>
      </c>
      <c r="I385" s="118" t="n"/>
      <c r="J385" s="76" t="inlineStr">
        <is>
          <t>=</t>
        </is>
      </c>
      <c r="K385" s="118">
        <f>IF(C370,C370*E370*G370,"")</f>
        <v/>
      </c>
      <c r="L385" s="66" t="inlineStr">
        <is>
          <t>Sqm</t>
        </is>
      </c>
    </row>
    <row r="386" customFormat="1" s="110">
      <c r="A386" s="140" t="n"/>
      <c r="B386" s="183" t="inlineStr">
        <is>
          <t>V1</t>
        </is>
      </c>
      <c r="C386" s="66" t="n">
        <v>3</v>
      </c>
      <c r="D386" s="110" t="inlineStr">
        <is>
          <t>x</t>
        </is>
      </c>
      <c r="E386" s="118" t="n">
        <v>0.75</v>
      </c>
      <c r="F386" s="110" t="inlineStr">
        <is>
          <t>x</t>
        </is>
      </c>
      <c r="G386" s="118" t="n">
        <v>0.75</v>
      </c>
      <c r="I386" s="118" t="n"/>
      <c r="J386" s="76" t="inlineStr">
        <is>
          <t>=</t>
        </is>
      </c>
      <c r="K386" s="118">
        <f>IF(C371,C371*E371*G371,"")</f>
        <v/>
      </c>
      <c r="L386" s="66" t="inlineStr">
        <is>
          <t>Sqm</t>
        </is>
      </c>
    </row>
    <row r="387" ht="60" customFormat="1" customHeight="1" s="110">
      <c r="A387" s="140" t="n"/>
      <c r="B387" s="183" t="inlineStr">
        <is>
          <t>V2</t>
        </is>
      </c>
      <c r="C387" s="66" t="n">
        <v>3</v>
      </c>
      <c r="D387" s="110" t="inlineStr">
        <is>
          <t>x</t>
        </is>
      </c>
      <c r="E387" s="118" t="n">
        <v>0.6</v>
      </c>
      <c r="F387" s="110" t="inlineStr">
        <is>
          <t>x</t>
        </is>
      </c>
      <c r="G387" s="118" t="n">
        <v>0.6</v>
      </c>
      <c r="I387" s="118" t="n"/>
      <c r="J387" s="76" t="inlineStr">
        <is>
          <t>=</t>
        </is>
      </c>
      <c r="K387" s="118">
        <f>IF(C372,C372*E372*G372,"")</f>
        <v/>
      </c>
      <c r="L387" s="66" t="inlineStr">
        <is>
          <t>Sqm</t>
        </is>
      </c>
    </row>
    <row r="388" customFormat="1" s="110">
      <c r="A388" s="140" t="n"/>
      <c r="B388" s="183" t="inlineStr">
        <is>
          <t>Rolling Shutter</t>
        </is>
      </c>
      <c r="C388" s="66" t="n">
        <v>1</v>
      </c>
      <c r="D388" s="110" t="inlineStr">
        <is>
          <t>x</t>
        </is>
      </c>
      <c r="E388" s="118" t="n">
        <v>2.7</v>
      </c>
      <c r="F388" s="110" t="inlineStr">
        <is>
          <t>x</t>
        </is>
      </c>
      <c r="G388" s="118" t="n">
        <v>2.4</v>
      </c>
      <c r="I388" s="118" t="n"/>
      <c r="J388" s="76" t="inlineStr">
        <is>
          <t>=</t>
        </is>
      </c>
      <c r="K388" s="118">
        <f>IF(C373,C373*E373*G373,"")</f>
        <v/>
      </c>
      <c r="L388" s="66" t="inlineStr">
        <is>
          <t>Sqm</t>
        </is>
      </c>
    </row>
    <row r="389" customFormat="1" s="110">
      <c r="A389" s="140" t="n"/>
      <c r="B389" s="183" t="inlineStr">
        <is>
          <t>Verandah</t>
        </is>
      </c>
      <c r="C389" s="66" t="n">
        <v>1</v>
      </c>
      <c r="D389" s="110" t="inlineStr">
        <is>
          <t>x</t>
        </is>
      </c>
      <c r="E389" s="118" t="n">
        <v>3.6</v>
      </c>
      <c r="F389" s="110" t="inlineStr">
        <is>
          <t>x</t>
        </is>
      </c>
      <c r="G389" s="67" t="n">
        <v>2.4</v>
      </c>
      <c r="I389" s="118" t="n"/>
      <c r="J389" s="76" t="inlineStr">
        <is>
          <t>=</t>
        </is>
      </c>
      <c r="K389" s="118">
        <f>IF(C374,C374*E374*G374,"")</f>
        <v/>
      </c>
      <c r="L389" s="66" t="inlineStr">
        <is>
          <t>Sqm</t>
        </is>
      </c>
    </row>
    <row r="390" customFormat="1" s="110">
      <c r="A390" s="140" t="n"/>
      <c r="B390" s="183" t="inlineStr">
        <is>
          <t>Verandah</t>
        </is>
      </c>
      <c r="C390" s="66" t="n">
        <v>1</v>
      </c>
      <c r="D390" s="110" t="inlineStr">
        <is>
          <t>x</t>
        </is>
      </c>
      <c r="E390" s="118" t="n">
        <v>4.2</v>
      </c>
      <c r="F390" s="110" t="inlineStr">
        <is>
          <t>x</t>
        </is>
      </c>
      <c r="G390" s="67" t="n">
        <v>2.4</v>
      </c>
      <c r="I390" s="118" t="n"/>
      <c r="J390" s="76" t="inlineStr">
        <is>
          <t>=</t>
        </is>
      </c>
      <c r="K390" s="118">
        <f>IF(C375,C375*E375*G375,"")</f>
        <v/>
      </c>
      <c r="L390" s="66" t="inlineStr">
        <is>
          <t>Sqm</t>
        </is>
      </c>
    </row>
    <row r="391" ht="30" customFormat="1" customHeight="1" s="110">
      <c r="A391" s="140" t="n"/>
      <c r="B391" s="183" t="inlineStr">
        <is>
          <t>Platform</t>
        </is>
      </c>
      <c r="C391" s="66" t="n">
        <v>2</v>
      </c>
      <c r="D391" s="110" t="inlineStr">
        <is>
          <t>x</t>
        </is>
      </c>
      <c r="E391" s="118" t="n">
        <v>0.6</v>
      </c>
      <c r="F391" s="110" t="inlineStr">
        <is>
          <t>x</t>
        </is>
      </c>
      <c r="G391" s="118" t="n">
        <v>2.4</v>
      </c>
      <c r="I391" s="118" t="n"/>
      <c r="J391" s="76" t="inlineStr">
        <is>
          <t>=</t>
        </is>
      </c>
      <c r="K391" s="118">
        <f>IF(C376,C376*E376*G376,"")</f>
        <v/>
      </c>
      <c r="L391" s="66" t="inlineStr">
        <is>
          <t>Sqm</t>
        </is>
      </c>
    </row>
    <row r="392" customFormat="1" s="110">
      <c r="A392" s="140" t="n"/>
      <c r="B392" s="183" t="n"/>
      <c r="C392" s="66" t="n"/>
      <c r="E392" s="158" t="n"/>
      <c r="F392" s="138" t="n"/>
      <c r="G392" s="34" t="inlineStr">
        <is>
          <t>Total Deductions</t>
        </is>
      </c>
      <c r="H392" s="138" t="n"/>
      <c r="I392" s="158" t="n"/>
      <c r="J392" s="139" t="inlineStr">
        <is>
          <t>-</t>
        </is>
      </c>
      <c r="K392" s="158">
        <f>SUM(K362:K376)</f>
        <v/>
      </c>
      <c r="L392" s="33" t="inlineStr">
        <is>
          <t>Sqm</t>
        </is>
      </c>
    </row>
    <row r="393" customFormat="1" s="110">
      <c r="A393" s="83" t="n"/>
      <c r="B393" s="169" t="inlineStr">
        <is>
          <t>Net qty. of Internal Plaster in GF</t>
        </is>
      </c>
      <c r="C393" s="10" t="n"/>
      <c r="D393" s="100">
        <f>K360</f>
        <v/>
      </c>
      <c r="E393" s="15" t="n"/>
      <c r="F393" s="175" t="inlineStr">
        <is>
          <t>-</t>
        </is>
      </c>
      <c r="G393" s="51">
        <f>K377</f>
        <v/>
      </c>
      <c r="H393" s="14" t="n"/>
      <c r="J393" s="76" t="inlineStr">
        <is>
          <t>=</t>
        </is>
      </c>
      <c r="K393" s="118">
        <f>D378-G378</f>
        <v/>
      </c>
      <c r="L393" s="66" t="inlineStr">
        <is>
          <t>Sqm</t>
        </is>
      </c>
    </row>
    <row r="394" ht="210" customFormat="1" customHeight="1" s="110">
      <c r="A394" s="83" t="n"/>
      <c r="B394" s="169" t="n"/>
      <c r="C394" s="10" t="n"/>
      <c r="D394" s="100" t="n"/>
      <c r="E394" s="15" t="n"/>
      <c r="F394" s="175" t="n"/>
      <c r="G394" s="15" t="n"/>
      <c r="H394" s="14" t="n"/>
      <c r="J394" s="76" t="n"/>
      <c r="K394" s="118" t="n"/>
      <c r="L394" s="66" t="n"/>
    </row>
    <row r="395" ht="15.75" customFormat="1" customHeight="1" s="110">
      <c r="A395" s="140" t="n"/>
      <c r="B395" s="153" t="inlineStr">
        <is>
          <t>External plaster</t>
        </is>
      </c>
      <c r="C395" s="118" t="n"/>
      <c r="D395" s="44" t="n"/>
      <c r="E395" s="118" t="n"/>
      <c r="F395" s="175" t="n"/>
      <c r="G395" s="67" t="n"/>
    </row>
    <row r="396" ht="15.75" customFormat="1" customHeight="1" s="110">
      <c r="A396" s="140" t="n"/>
      <c r="B396" s="183" t="inlineStr">
        <is>
          <t>Ground Floor</t>
        </is>
      </c>
      <c r="C396" s="66" t="n">
        <v>1</v>
      </c>
      <c r="D396" s="110" t="inlineStr">
        <is>
          <t>x</t>
        </is>
      </c>
      <c r="E396" s="118">
        <f>E122</f>
        <v/>
      </c>
      <c r="F396" s="110" t="inlineStr">
        <is>
          <t>x</t>
        </is>
      </c>
      <c r="G396" s="118">
        <f>5.5-0.6</f>
        <v/>
      </c>
      <c r="I396" s="118" t="n"/>
      <c r="J396" s="76" t="inlineStr">
        <is>
          <t>=</t>
        </is>
      </c>
      <c r="K396" s="118">
        <f>IF(C381,C381*E381*G381,"")</f>
        <v/>
      </c>
      <c r="L396" s="66" t="inlineStr">
        <is>
          <t>Sqm</t>
        </is>
      </c>
    </row>
    <row r="397" ht="15.75" customFormat="1" customHeight="1" s="110">
      <c r="A397" s="140" t="n"/>
      <c r="B397" s="183" t="inlineStr">
        <is>
          <t>First Floor</t>
        </is>
      </c>
      <c r="C397" s="66" t="n">
        <v>1</v>
      </c>
      <c r="D397" s="110" t="inlineStr">
        <is>
          <t>x</t>
        </is>
      </c>
      <c r="E397" s="118">
        <f>E359</f>
        <v/>
      </c>
      <c r="F397" s="110" t="inlineStr">
        <is>
          <t>x</t>
        </is>
      </c>
      <c r="G397" s="118" t="n">
        <v>3.9</v>
      </c>
      <c r="I397" s="118" t="n"/>
      <c r="J397" s="76" t="inlineStr">
        <is>
          <t>=</t>
        </is>
      </c>
      <c r="K397" s="118">
        <f>IF(C382,C382*E382*G382,"")</f>
        <v/>
      </c>
      <c r="L397" s="66" t="inlineStr">
        <is>
          <t>Sqm</t>
        </is>
      </c>
    </row>
    <row r="398" ht="15.75" customFormat="1" customHeight="1" s="110">
      <c r="A398" s="140" t="n"/>
      <c r="B398" s="183" t="inlineStr">
        <is>
          <t>Tank Stand</t>
        </is>
      </c>
      <c r="C398" s="66" t="n">
        <v>8</v>
      </c>
      <c r="D398" s="110" t="inlineStr">
        <is>
          <t>x</t>
        </is>
      </c>
      <c r="E398" s="118" t="n">
        <v>1.5</v>
      </c>
      <c r="F398" s="110" t="inlineStr">
        <is>
          <t>x</t>
        </is>
      </c>
      <c r="G398" s="118" t="n">
        <v>1.2</v>
      </c>
      <c r="I398" s="118" t="n"/>
      <c r="J398" s="76" t="inlineStr">
        <is>
          <t>=</t>
        </is>
      </c>
      <c r="K398" s="118">
        <f>IF(C383,C383*E383*G383,"")</f>
        <v/>
      </c>
      <c r="L398" s="66" t="inlineStr">
        <is>
          <t>Sqm</t>
        </is>
      </c>
    </row>
    <row r="399" ht="15.75" customFormat="1" customHeight="1" s="110">
      <c r="A399" s="140" t="n"/>
      <c r="B399" s="183" t="n"/>
      <c r="C399" s="33" t="n"/>
      <c r="D399" s="138" t="n"/>
      <c r="E399" s="158" t="n"/>
      <c r="F399" s="194" t="inlineStr">
        <is>
          <t>Net qty. of External Plaster</t>
        </is>
      </c>
      <c r="G399" s="34" t="n"/>
      <c r="H399" s="138" t="n"/>
      <c r="I399" s="158" t="n"/>
      <c r="J399" s="139" t="inlineStr">
        <is>
          <t>=</t>
        </is>
      </c>
      <c r="K399" s="158">
        <f>SUM(K381:K383)</f>
        <v/>
      </c>
      <c r="L399" s="33" t="inlineStr">
        <is>
          <t>Sqm</t>
        </is>
      </c>
    </row>
    <row r="400" customFormat="1" s="110">
      <c r="A400" s="140" t="n"/>
      <c r="B400" s="183" t="n"/>
      <c r="C400" s="66" t="n"/>
      <c r="E400" s="118" t="n"/>
      <c r="F400" s="187" t="n"/>
      <c r="G400" s="67" t="n"/>
      <c r="H400" s="110" t="n"/>
      <c r="I400" s="118" t="n"/>
      <c r="J400" s="74" t="n"/>
      <c r="K400" s="118" t="n"/>
      <c r="L400" s="66" t="n"/>
    </row>
    <row r="401" customFormat="1" s="110">
      <c r="A401" s="83" t="n"/>
      <c r="B401" s="169" t="inlineStr">
        <is>
          <t>Total qty. of  Plaster</t>
        </is>
      </c>
      <c r="C401" s="10" t="n"/>
      <c r="D401" s="116">
        <f>K378</f>
        <v/>
      </c>
      <c r="E401" s="15" t="n"/>
      <c r="F401" s="175" t="inlineStr">
        <is>
          <t>+</t>
        </is>
      </c>
      <c r="G401" s="51">
        <f>K384</f>
        <v/>
      </c>
      <c r="H401" s="14" t="n"/>
      <c r="J401" s="76" t="inlineStr">
        <is>
          <t>=</t>
        </is>
      </c>
      <c r="K401" s="118">
        <f>D386+G386</f>
        <v/>
      </c>
      <c r="L401" s="66" t="inlineStr">
        <is>
          <t>Sqm</t>
        </is>
      </c>
    </row>
    <row r="402" ht="300" customFormat="1" customHeight="1" s="110">
      <c r="A402" s="186" t="n">
        <v>16</v>
      </c>
      <c r="B402" s="169" t="inlineStr">
        <is>
          <t>Plaster on new surface over ceiling in cement sand mortar 1:3 including raking of joints etc. complete fine finished :12 mm thick.</t>
        </is>
      </c>
      <c r="C402" s="118" t="n"/>
      <c r="E402" s="118" t="n"/>
      <c r="F402" s="74" t="n"/>
      <c r="G402" s="67" t="n"/>
    </row>
    <row r="403" ht="15.75" customFormat="1" customHeight="1" s="204">
      <c r="A403" s="83" t="n"/>
      <c r="B403" s="169" t="inlineStr">
        <is>
          <t>Qty. of Sunshade shuttering</t>
        </is>
      </c>
      <c r="C403" s="193" t="n"/>
      <c r="D403" s="175" t="n"/>
      <c r="E403" s="118" t="n"/>
      <c r="F403" s="175" t="n"/>
      <c r="G403" s="67" t="n"/>
      <c r="H403" s="110" t="n"/>
      <c r="I403" s="110" t="n"/>
      <c r="J403" s="74" t="inlineStr">
        <is>
          <t>=</t>
        </is>
      </c>
      <c r="K403" s="118">
        <f>C206</f>
        <v/>
      </c>
      <c r="L403" s="110" t="inlineStr">
        <is>
          <t>Sqm</t>
        </is>
      </c>
    </row>
    <row r="404" ht="15.75" customFormat="1" customHeight="1" s="204">
      <c r="A404" s="83" t="n"/>
      <c r="B404" s="169" t="inlineStr">
        <is>
          <t>Qty. of Slab shuttering</t>
        </is>
      </c>
      <c r="C404" s="118" t="n"/>
      <c r="D404" s="44" t="n"/>
      <c r="E404" s="118" t="n"/>
      <c r="F404" s="175" t="n"/>
      <c r="G404" s="67" t="n"/>
      <c r="H404" s="110" t="n"/>
      <c r="I404" s="110" t="n"/>
      <c r="J404" s="74" t="inlineStr">
        <is>
          <t>=</t>
        </is>
      </c>
      <c r="K404" s="118">
        <f>C251</f>
        <v/>
      </c>
      <c r="L404" s="110" t="inlineStr">
        <is>
          <t>Sqm</t>
        </is>
      </c>
    </row>
    <row r="405" ht="15.75" customFormat="1" customHeight="1" s="204">
      <c r="A405" s="140" t="n"/>
      <c r="B405" s="183" t="n"/>
      <c r="C405" s="66" t="n"/>
      <c r="E405" s="158" t="n"/>
      <c r="F405" s="138" t="n"/>
      <c r="G405" s="34" t="inlineStr">
        <is>
          <t>Total</t>
        </is>
      </c>
      <c r="H405" s="138" t="n"/>
      <c r="I405" s="158" t="n"/>
      <c r="J405" s="139" t="inlineStr">
        <is>
          <t>=</t>
        </is>
      </c>
      <c r="K405" s="158">
        <f>SUM(K388:K389)</f>
        <v/>
      </c>
      <c r="L405" s="33" t="inlineStr">
        <is>
          <t>Sqm</t>
        </is>
      </c>
    </row>
    <row r="406" ht="15.75" customFormat="1" customHeight="1" s="204">
      <c r="A406" s="83" t="n">
        <v>17</v>
      </c>
      <c r="B406" s="183" t="inlineStr">
        <is>
          <t>Random rubble dry stone kharanja under floor.</t>
        </is>
      </c>
      <c r="C406" s="118" t="n"/>
      <c r="D406" s="44" t="n"/>
      <c r="E406" s="118" t="n"/>
      <c r="F406" s="44" t="n"/>
      <c r="G406" s="67" t="n"/>
    </row>
    <row r="407" ht="15.75" customFormat="1" customHeight="1" s="204">
      <c r="A407" s="140" t="n"/>
      <c r="B407" s="183" t="inlineStr">
        <is>
          <t>Ref. Qty. of earth filling</t>
        </is>
      </c>
      <c r="C407" s="15">
        <f>K90</f>
        <v/>
      </c>
      <c r="D407" s="14" t="n"/>
      <c r="E407" s="14" t="n"/>
      <c r="F407" s="110" t="inlineStr">
        <is>
          <t>x</t>
        </is>
      </c>
      <c r="G407" s="118" t="n">
        <v>0.23</v>
      </c>
      <c r="H407" s="177" t="inlineStr">
        <is>
          <t>/</t>
        </is>
      </c>
      <c r="I407" s="118" t="n">
        <v>1.2</v>
      </c>
      <c r="J407" s="76" t="inlineStr">
        <is>
          <t>=</t>
        </is>
      </c>
      <c r="K407" s="118">
        <f>C392*G392/I392</f>
        <v/>
      </c>
      <c r="L407" s="110" t="inlineStr">
        <is>
          <t>Cum</t>
        </is>
      </c>
    </row>
    <row r="408" ht="15.75" customFormat="1" customHeight="1" s="204">
      <c r="A408" s="140" t="n"/>
      <c r="B408" s="183" t="n"/>
      <c r="C408" s="15" t="n"/>
      <c r="D408" s="14" t="n"/>
      <c r="E408" s="14" t="n"/>
      <c r="G408" s="118" t="n"/>
      <c r="H408" s="177" t="n"/>
      <c r="I408" s="118" t="n"/>
      <c r="J408" s="76" t="n"/>
      <c r="K408" s="118" t="n"/>
    </row>
    <row r="409" customFormat="1" s="110">
      <c r="A409" s="83" t="n">
        <v>18</v>
      </c>
      <c r="B409" s="183"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409" s="118" t="n"/>
      <c r="E409" s="118" t="n"/>
      <c r="F409" s="74" t="n"/>
      <c r="G409" s="67" t="n"/>
    </row>
    <row r="410" customFormat="1" s="110">
      <c r="A410" s="140" t="n"/>
      <c r="B410" s="203" t="inlineStr">
        <is>
          <t>D</t>
        </is>
      </c>
      <c r="C410" s="201" t="n">
        <v>7</v>
      </c>
      <c r="D410" s="74" t="inlineStr">
        <is>
          <t>x(</t>
        </is>
      </c>
      <c r="E410" s="118" t="n">
        <v>1.5</v>
      </c>
      <c r="F410" s="74" t="inlineStr">
        <is>
          <t>+</t>
        </is>
      </c>
      <c r="G410" s="67" t="n">
        <v>2.6</v>
      </c>
      <c r="H410" s="74" t="inlineStr">
        <is>
          <t>+</t>
        </is>
      </c>
      <c r="I410" s="118" t="n">
        <v>2.6</v>
      </c>
      <c r="J410" s="74" t="inlineStr">
        <is>
          <t>)=</t>
        </is>
      </c>
      <c r="K410" s="118">
        <f>C395*(E395+G395+I395)</f>
        <v/>
      </c>
      <c r="L410" s="66" t="inlineStr">
        <is>
          <t>RM</t>
        </is>
      </c>
    </row>
    <row r="411" ht="30" customFormat="1" customHeight="1" s="110">
      <c r="A411" s="140" t="n"/>
      <c r="B411" s="203" t="inlineStr">
        <is>
          <t>D1</t>
        </is>
      </c>
      <c r="C411" s="201" t="n">
        <v>4</v>
      </c>
      <c r="D411" s="74" t="inlineStr">
        <is>
          <t>x(</t>
        </is>
      </c>
      <c r="E411" s="118" t="n">
        <v>1.35</v>
      </c>
      <c r="F411" s="74" t="inlineStr">
        <is>
          <t>+</t>
        </is>
      </c>
      <c r="G411" s="67" t="n">
        <v>2.15</v>
      </c>
      <c r="H411" s="74" t="inlineStr">
        <is>
          <t>+</t>
        </is>
      </c>
      <c r="I411" s="118" t="n">
        <v>2.15</v>
      </c>
      <c r="J411" s="74" t="inlineStr">
        <is>
          <t>)=</t>
        </is>
      </c>
      <c r="K411" s="118">
        <f>C396*(E396+G396+I396)</f>
        <v/>
      </c>
      <c r="L411" s="66" t="inlineStr">
        <is>
          <t>RM</t>
        </is>
      </c>
    </row>
    <row r="412" ht="15.75" customFormat="1" customHeight="1" s="110">
      <c r="A412" s="140" t="n"/>
      <c r="B412" s="203" t="inlineStr">
        <is>
          <t>D2</t>
        </is>
      </c>
      <c r="C412" s="201" t="n">
        <v>6</v>
      </c>
      <c r="D412" s="74" t="inlineStr">
        <is>
          <t>x(</t>
        </is>
      </c>
      <c r="E412" s="118" t="n">
        <v>1.14</v>
      </c>
      <c r="F412" s="74" t="inlineStr">
        <is>
          <t>+</t>
        </is>
      </c>
      <c r="G412" s="67" t="n">
        <v>2.15</v>
      </c>
      <c r="H412" s="74" t="inlineStr">
        <is>
          <t>+</t>
        </is>
      </c>
      <c r="I412" s="118" t="n">
        <v>2.15</v>
      </c>
      <c r="J412" s="74" t="inlineStr">
        <is>
          <t>)=</t>
        </is>
      </c>
      <c r="K412" s="118">
        <f>C397*(E397+G397+I397)</f>
        <v/>
      </c>
      <c r="L412" s="66" t="inlineStr">
        <is>
          <t>RM</t>
        </is>
      </c>
    </row>
    <row r="413" ht="15.75" customFormat="1" customHeight="1" s="110">
      <c r="A413" s="140" t="n"/>
      <c r="B413" s="203" t="inlineStr">
        <is>
          <t>D3</t>
        </is>
      </c>
      <c r="C413" s="201" t="n">
        <v>3</v>
      </c>
      <c r="D413" s="74" t="inlineStr">
        <is>
          <t>x(</t>
        </is>
      </c>
      <c r="E413" s="118" t="n">
        <v>1.2</v>
      </c>
      <c r="F413" s="74" t="inlineStr">
        <is>
          <t>+</t>
        </is>
      </c>
      <c r="G413" s="67" t="n">
        <v>2.15</v>
      </c>
      <c r="H413" s="74" t="inlineStr">
        <is>
          <t>+</t>
        </is>
      </c>
      <c r="I413" s="118" t="n">
        <v>2.15</v>
      </c>
      <c r="J413" s="74" t="inlineStr">
        <is>
          <t>)=</t>
        </is>
      </c>
      <c r="K413" s="118">
        <f>C398*(E398+G398+I398)</f>
        <v/>
      </c>
      <c r="L413" s="66" t="inlineStr">
        <is>
          <t>RM</t>
        </is>
      </c>
    </row>
    <row r="414" ht="15.75" customFormat="1" customHeight="1" s="110">
      <c r="A414" s="140" t="n"/>
      <c r="B414" s="203" t="inlineStr">
        <is>
          <t>D4</t>
        </is>
      </c>
      <c r="C414" s="201" t="n">
        <v>1</v>
      </c>
      <c r="D414" s="74" t="inlineStr">
        <is>
          <t>x(</t>
        </is>
      </c>
      <c r="E414" s="118" t="n">
        <v>1.05</v>
      </c>
      <c r="F414" s="74" t="inlineStr">
        <is>
          <t>+</t>
        </is>
      </c>
      <c r="G414" s="67" t="n">
        <v>2.15</v>
      </c>
      <c r="H414" s="74" t="inlineStr">
        <is>
          <t>+</t>
        </is>
      </c>
      <c r="I414" s="118" t="n">
        <v>2.15</v>
      </c>
      <c r="J414" s="74" t="inlineStr">
        <is>
          <t>)=</t>
        </is>
      </c>
      <c r="K414" s="118">
        <f>C399*(E399+G399+I399)</f>
        <v/>
      </c>
      <c r="L414" s="66" t="inlineStr">
        <is>
          <t>RM</t>
        </is>
      </c>
    </row>
    <row r="415" ht="15.75" customFormat="1" customHeight="1" s="110">
      <c r="A415" s="140" t="n"/>
      <c r="B415" s="183" t="n"/>
      <c r="C415" s="66" t="n"/>
      <c r="E415" s="118" t="n"/>
      <c r="G415" s="34" t="inlineStr">
        <is>
          <t>Total</t>
        </is>
      </c>
      <c r="H415" s="138" t="n"/>
      <c r="I415" s="158" t="n"/>
      <c r="J415" s="138" t="n"/>
      <c r="K415" s="158">
        <f>SUM(K395:K399)</f>
        <v/>
      </c>
      <c r="L415" s="33" t="inlineStr">
        <is>
          <t>RM</t>
        </is>
      </c>
    </row>
    <row r="416" ht="15.75" customFormat="1" customHeight="1" s="110">
      <c r="A416" s="140" t="n"/>
      <c r="B416" s="183" t="n"/>
      <c r="C416" s="66" t="n"/>
      <c r="E416" s="118">
        <f>K400</f>
        <v/>
      </c>
      <c r="F416" s="110" t="inlineStr">
        <is>
          <t>RM</t>
        </is>
      </c>
      <c r="G416" s="67" t="n"/>
      <c r="H416" s="205" t="inlineStr">
        <is>
          <t>@ 6.15 Kg/m</t>
        </is>
      </c>
      <c r="I416" s="118" t="n"/>
      <c r="J416" s="110" t="n"/>
      <c r="K416" s="118">
        <f>E401*6.15</f>
        <v/>
      </c>
      <c r="L416" s="66" t="inlineStr">
        <is>
          <t>Kg</t>
        </is>
      </c>
    </row>
    <row r="417" ht="15.75" customFormat="1" customHeight="1" s="110">
      <c r="A417" s="83" t="n">
        <v>19</v>
      </c>
      <c r="B417" s="183"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c r="C417" s="118" t="n"/>
      <c r="D417" s="44" t="n"/>
      <c r="E417" s="118" t="n"/>
      <c r="F417" s="175" t="n"/>
      <c r="G417" s="67" t="n"/>
    </row>
    <row r="418" customFormat="1" s="110">
      <c r="A418" s="80" t="n"/>
      <c r="B418" s="203" t="inlineStr">
        <is>
          <t>W</t>
        </is>
      </c>
      <c r="C418" s="201" t="n">
        <v>7</v>
      </c>
      <c r="D418" s="204" t="inlineStr">
        <is>
          <t>x</t>
        </is>
      </c>
      <c r="E418" s="75" t="n">
        <v>2.1</v>
      </c>
      <c r="F418" s="204" t="inlineStr">
        <is>
          <t>x</t>
        </is>
      </c>
      <c r="G418" s="75" t="n">
        <v>1.8</v>
      </c>
      <c r="I418" s="75" t="n"/>
      <c r="J418" s="202" t="inlineStr">
        <is>
          <t>=</t>
        </is>
      </c>
      <c r="K418" s="75">
        <f>IF(C403,C403*E403*G403,"")</f>
        <v/>
      </c>
      <c r="L418" s="201" t="inlineStr">
        <is>
          <t>Sqm</t>
        </is>
      </c>
    </row>
    <row r="419" ht="75" customFormat="1" customHeight="1" s="110">
      <c r="A419" s="80" t="n"/>
      <c r="B419" s="203" t="inlineStr">
        <is>
          <t>W1</t>
        </is>
      </c>
      <c r="C419" s="201" t="n">
        <v>8</v>
      </c>
      <c r="D419" s="204" t="inlineStr">
        <is>
          <t>x</t>
        </is>
      </c>
      <c r="E419" s="75" t="n">
        <v>1.5</v>
      </c>
      <c r="F419" s="204" t="inlineStr">
        <is>
          <t>x</t>
        </is>
      </c>
      <c r="G419" s="75" t="n">
        <v>1.8</v>
      </c>
      <c r="I419" s="75" t="n"/>
      <c r="J419" s="202" t="inlineStr">
        <is>
          <t>=</t>
        </is>
      </c>
      <c r="K419" s="75">
        <f>IF(C404,C404*E404*G404,"")</f>
        <v/>
      </c>
      <c r="L419" s="201" t="inlineStr">
        <is>
          <t>Sqm</t>
        </is>
      </c>
    </row>
    <row r="420" customFormat="1" s="110">
      <c r="A420" s="80" t="n"/>
      <c r="B420" s="203" t="inlineStr">
        <is>
          <t>W2</t>
        </is>
      </c>
      <c r="C420" s="201" t="n">
        <v>10</v>
      </c>
      <c r="D420" s="204" t="inlineStr">
        <is>
          <t>x</t>
        </is>
      </c>
      <c r="E420" s="75" t="n">
        <v>0.9</v>
      </c>
      <c r="F420" s="204" t="inlineStr">
        <is>
          <t>x</t>
        </is>
      </c>
      <c r="G420" s="75" t="n">
        <v>1.8</v>
      </c>
      <c r="I420" s="75" t="n"/>
      <c r="J420" s="202" t="inlineStr">
        <is>
          <t>=</t>
        </is>
      </c>
      <c r="K420" s="75">
        <f>IF(C405,C405*E405*G405,"")</f>
        <v/>
      </c>
      <c r="L420" s="201" t="inlineStr">
        <is>
          <t>Sqm</t>
        </is>
      </c>
    </row>
    <row r="421" ht="105" customFormat="1" customHeight="1" s="110">
      <c r="A421" s="80" t="n"/>
      <c r="B421" s="203" t="inlineStr">
        <is>
          <t>V</t>
        </is>
      </c>
      <c r="C421" s="201" t="n">
        <v>2</v>
      </c>
      <c r="D421" s="204" t="inlineStr">
        <is>
          <t>x</t>
        </is>
      </c>
      <c r="E421" s="75" t="n">
        <v>1.05</v>
      </c>
      <c r="F421" s="204" t="inlineStr">
        <is>
          <t>x</t>
        </is>
      </c>
      <c r="G421" s="75" t="n">
        <v>0.75</v>
      </c>
      <c r="I421" s="75" t="n"/>
      <c r="J421" s="202" t="inlineStr">
        <is>
          <t>=</t>
        </is>
      </c>
      <c r="K421" s="75">
        <f>IF(C406,C406*E406*G406,"")</f>
        <v/>
      </c>
      <c r="L421" s="201" t="inlineStr">
        <is>
          <t>Sqm</t>
        </is>
      </c>
    </row>
    <row r="422" customFormat="1" s="110">
      <c r="A422" s="80" t="n"/>
      <c r="B422" s="203" t="inlineStr">
        <is>
          <t>V1</t>
        </is>
      </c>
      <c r="C422" s="201" t="n">
        <v>3</v>
      </c>
      <c r="D422" s="204" t="inlineStr">
        <is>
          <t>x</t>
        </is>
      </c>
      <c r="E422" s="75" t="n">
        <v>0.75</v>
      </c>
      <c r="F422" s="204" t="inlineStr">
        <is>
          <t>x</t>
        </is>
      </c>
      <c r="G422" s="75" t="n">
        <v>0.75</v>
      </c>
      <c r="I422" s="75" t="n"/>
      <c r="J422" s="202" t="inlineStr">
        <is>
          <t>=</t>
        </is>
      </c>
      <c r="K422" s="75">
        <f>IF(C407,C407*E407*G407,"")</f>
        <v/>
      </c>
      <c r="L422" s="201" t="inlineStr">
        <is>
          <t>Sqm</t>
        </is>
      </c>
    </row>
    <row r="423" customFormat="1" s="110">
      <c r="A423" s="80" t="n"/>
      <c r="B423" s="203" t="inlineStr">
        <is>
          <t>V2</t>
        </is>
      </c>
      <c r="C423" s="201" t="n">
        <v>3</v>
      </c>
      <c r="D423" s="204" t="inlineStr">
        <is>
          <t>x</t>
        </is>
      </c>
      <c r="E423" s="75" t="n">
        <v>0.6</v>
      </c>
      <c r="F423" s="204" t="inlineStr">
        <is>
          <t>x</t>
        </is>
      </c>
      <c r="G423" s="75" t="n">
        <v>0.6</v>
      </c>
      <c r="I423" s="75" t="n"/>
      <c r="J423" s="202" t="inlineStr">
        <is>
          <t>=</t>
        </is>
      </c>
      <c r="K423" s="75">
        <f>IF(C408,C408*E408*G408,"")</f>
        <v/>
      </c>
      <c r="L423" s="201" t="inlineStr">
        <is>
          <t>Sqm</t>
        </is>
      </c>
    </row>
    <row r="424" customFormat="1" s="110">
      <c r="A424" s="140" t="n"/>
      <c r="B424" s="183" t="n"/>
      <c r="C424" s="66" t="n"/>
      <c r="E424" s="118" t="n"/>
      <c r="G424" s="34" t="inlineStr">
        <is>
          <t>Total</t>
        </is>
      </c>
      <c r="H424" s="138" t="n"/>
      <c r="I424" s="158" t="n"/>
      <c r="J424" s="138" t="n"/>
      <c r="K424" s="158">
        <f>SUM(K403:K408)</f>
        <v/>
      </c>
      <c r="L424" s="33" t="inlineStr">
        <is>
          <t>Sqm</t>
        </is>
      </c>
    </row>
    <row r="425" customFormat="1" s="110">
      <c r="A425" s="83" t="n"/>
      <c r="B425" s="169" t="n"/>
      <c r="C425" s="118" t="n"/>
      <c r="E425" s="118" t="n"/>
      <c r="F425" s="74" t="n"/>
      <c r="G425" s="67" t="n"/>
    </row>
    <row r="426" customFormat="1" s="110">
      <c r="A426" s="83">
        <f>A402+1</f>
        <v/>
      </c>
      <c r="B426" s="183" t="inlineStr">
        <is>
          <t>Providing and fixing square bars or other flat welded to window, ventilators etc.</t>
        </is>
      </c>
      <c r="C426" s="118" t="n"/>
      <c r="D426" s="44" t="n"/>
      <c r="E426" s="118" t="n"/>
      <c r="F426" s="175" t="n"/>
      <c r="G426" s="67" t="n"/>
    </row>
    <row r="427" customFormat="1" s="110">
      <c r="A427" s="140" t="n"/>
      <c r="B427" s="203" t="inlineStr">
        <is>
          <t>W</t>
        </is>
      </c>
      <c r="C427" s="201" t="n">
        <v>7</v>
      </c>
      <c r="D427" s="204" t="inlineStr">
        <is>
          <t>x</t>
        </is>
      </c>
      <c r="E427" s="75" t="n">
        <v>2.1</v>
      </c>
      <c r="F427" s="110" t="inlineStr">
        <is>
          <t>x</t>
        </is>
      </c>
      <c r="G427" s="112" t="n">
        <v>16</v>
      </c>
      <c r="H427" s="206" t="inlineStr">
        <is>
          <t>@ 1.13 Kg/m</t>
        </is>
      </c>
      <c r="I427" s="118" t="n">
        <v>1.13</v>
      </c>
      <c r="J427" s="76" t="inlineStr">
        <is>
          <t>=</t>
        </is>
      </c>
      <c r="K427" s="118">
        <f>C412*E412*G412*I412</f>
        <v/>
      </c>
      <c r="L427" s="66" t="inlineStr">
        <is>
          <t>Kg</t>
        </is>
      </c>
    </row>
    <row r="428" customFormat="1" s="110">
      <c r="A428" s="140" t="n"/>
      <c r="B428" s="203" t="inlineStr">
        <is>
          <t>W1</t>
        </is>
      </c>
      <c r="C428" s="201" t="n">
        <v>8</v>
      </c>
      <c r="D428" s="204" t="inlineStr">
        <is>
          <t>x</t>
        </is>
      </c>
      <c r="E428" s="75" t="n">
        <v>1.5</v>
      </c>
      <c r="F428" s="110" t="inlineStr">
        <is>
          <t>x</t>
        </is>
      </c>
      <c r="G428" s="112" t="n">
        <v>16</v>
      </c>
      <c r="H428" s="206" t="inlineStr">
        <is>
          <t>@ 1.13 Kg/m</t>
        </is>
      </c>
      <c r="I428" s="118" t="n">
        <v>1.13</v>
      </c>
      <c r="J428" s="76" t="inlineStr">
        <is>
          <t>=</t>
        </is>
      </c>
      <c r="K428" s="118">
        <f>C413*E413*G413*I413</f>
        <v/>
      </c>
      <c r="L428" s="66" t="inlineStr">
        <is>
          <t>Kg</t>
        </is>
      </c>
    </row>
    <row r="429" customFormat="1" s="110">
      <c r="A429" s="140" t="n"/>
      <c r="B429" s="203" t="inlineStr">
        <is>
          <t>W2</t>
        </is>
      </c>
      <c r="C429" s="201" t="n">
        <v>10</v>
      </c>
      <c r="D429" s="204" t="inlineStr">
        <is>
          <t>x</t>
        </is>
      </c>
      <c r="E429" s="75" t="n">
        <v>0.9</v>
      </c>
      <c r="F429" s="110" t="inlineStr">
        <is>
          <t>x</t>
        </is>
      </c>
      <c r="G429" s="112" t="n">
        <v>16</v>
      </c>
      <c r="H429" s="206" t="inlineStr">
        <is>
          <t>@ 1.13 Kg/m</t>
        </is>
      </c>
      <c r="I429" s="118" t="n">
        <v>1.13</v>
      </c>
      <c r="J429" s="76" t="inlineStr">
        <is>
          <t>=</t>
        </is>
      </c>
      <c r="K429" s="118">
        <f>C414*E414*G414*I414</f>
        <v/>
      </c>
      <c r="L429" s="66" t="inlineStr">
        <is>
          <t>Kg</t>
        </is>
      </c>
    </row>
    <row r="430" customFormat="1" s="110">
      <c r="A430" s="140" t="n"/>
      <c r="B430" s="203" t="inlineStr">
        <is>
          <t>V</t>
        </is>
      </c>
      <c r="C430" s="201" t="n">
        <v>2</v>
      </c>
      <c r="D430" s="204" t="inlineStr">
        <is>
          <t>x</t>
        </is>
      </c>
      <c r="E430" s="75" t="n">
        <v>1.05</v>
      </c>
      <c r="F430" s="110" t="inlineStr">
        <is>
          <t>x</t>
        </is>
      </c>
      <c r="G430" s="112" t="n">
        <v>7</v>
      </c>
      <c r="H430" s="206" t="inlineStr">
        <is>
          <t>@ 1.13 Kg/m</t>
        </is>
      </c>
      <c r="I430" s="118" t="n">
        <v>1.13</v>
      </c>
      <c r="J430" s="76" t="inlineStr">
        <is>
          <t>=</t>
        </is>
      </c>
      <c r="K430" s="118">
        <f>C415*E415*G415*I415</f>
        <v/>
      </c>
      <c r="L430" s="66" t="inlineStr">
        <is>
          <t>Kg</t>
        </is>
      </c>
    </row>
    <row r="431" ht="90" customFormat="1" customHeight="1" s="110">
      <c r="A431" s="140" t="n"/>
      <c r="B431" s="203" t="inlineStr">
        <is>
          <t>V1</t>
        </is>
      </c>
      <c r="C431" s="201" t="n">
        <v>3</v>
      </c>
      <c r="D431" s="204" t="inlineStr">
        <is>
          <t>x</t>
        </is>
      </c>
      <c r="E431" s="75" t="n">
        <v>0.75</v>
      </c>
      <c r="F431" s="110" t="inlineStr">
        <is>
          <t>x</t>
        </is>
      </c>
      <c r="G431" s="112" t="n">
        <v>7</v>
      </c>
      <c r="H431" s="206" t="inlineStr">
        <is>
          <t>@ 1.13 Kg/m</t>
        </is>
      </c>
      <c r="I431" s="118" t="n">
        <v>1.13</v>
      </c>
      <c r="J431" s="76" t="inlineStr">
        <is>
          <t>=</t>
        </is>
      </c>
      <c r="K431" s="118">
        <f>C416*E416*G416*I416</f>
        <v/>
      </c>
      <c r="L431" s="66" t="inlineStr">
        <is>
          <t>Kg</t>
        </is>
      </c>
    </row>
    <row r="432" customFormat="1" s="110">
      <c r="A432" s="140" t="n"/>
      <c r="B432" s="203" t="inlineStr">
        <is>
          <t>V2</t>
        </is>
      </c>
      <c r="C432" s="201" t="n">
        <v>3</v>
      </c>
      <c r="D432" s="204" t="inlineStr">
        <is>
          <t>x</t>
        </is>
      </c>
      <c r="E432" s="75" t="n">
        <v>0.6</v>
      </c>
      <c r="F432" s="110" t="inlineStr">
        <is>
          <t>x</t>
        </is>
      </c>
      <c r="G432" s="112" t="n">
        <v>5</v>
      </c>
      <c r="H432" s="206" t="inlineStr">
        <is>
          <t>@ 1.13 Kg/m</t>
        </is>
      </c>
      <c r="I432" s="118" t="n">
        <v>1.13</v>
      </c>
      <c r="J432" s="76" t="inlineStr">
        <is>
          <t>=</t>
        </is>
      </c>
      <c r="K432" s="118">
        <f>C417*E417*G417*I417</f>
        <v/>
      </c>
      <c r="L432" s="66" t="inlineStr">
        <is>
          <t>Kg</t>
        </is>
      </c>
    </row>
    <row r="433" ht="75" customFormat="1" customHeight="1" s="110">
      <c r="A433" s="140" t="n"/>
      <c r="B433" s="183" t="n"/>
      <c r="C433" s="66" t="n"/>
      <c r="E433" s="118" t="n"/>
      <c r="G433" s="34" t="inlineStr">
        <is>
          <t>Total</t>
        </is>
      </c>
      <c r="H433" s="138" t="n"/>
      <c r="I433" s="158" t="n"/>
      <c r="J433" s="138" t="n"/>
      <c r="K433" s="158">
        <f>SUM(K412:K417)</f>
        <v/>
      </c>
      <c r="L433" s="33" t="inlineStr">
        <is>
          <t>Kg</t>
        </is>
      </c>
    </row>
    <row r="434" ht="30" customFormat="1" customHeight="1" s="110">
      <c r="A434" s="83">
        <f>A411+1</f>
        <v/>
      </c>
      <c r="B434" s="183" t="inlineStr">
        <is>
          <t>Supplying and fixing wire gauge of 14 mesh x 24 gauge to the metal frame of rolled section by metal beading 20 x 3 mm with suitable screw at not exceeding 150 mm distance.</t>
        </is>
      </c>
      <c r="C434" s="118" t="n"/>
      <c r="D434" s="44" t="n"/>
      <c r="E434" s="118" t="n"/>
      <c r="F434" s="175" t="n"/>
      <c r="G434" s="67" t="n"/>
    </row>
    <row r="435" customFormat="1" s="110">
      <c r="A435" s="140" t="n"/>
      <c r="B435" s="169" t="inlineStr">
        <is>
          <t>Qty.  80% of total windows area</t>
        </is>
      </c>
      <c r="C435" s="15">
        <f>K409</f>
        <v/>
      </c>
      <c r="D435" s="14" t="n"/>
      <c r="E435" s="14" t="n"/>
      <c r="F435" s="110" t="inlineStr">
        <is>
          <t>x</t>
        </is>
      </c>
      <c r="G435" s="214" t="n">
        <v>0.8</v>
      </c>
      <c r="I435" s="118" t="n"/>
      <c r="K435" s="118">
        <f>C420*G420</f>
        <v/>
      </c>
      <c r="L435" s="66" t="inlineStr">
        <is>
          <t>Sqm</t>
        </is>
      </c>
    </row>
    <row r="436" customFormat="1" s="110">
      <c r="A436" s="83">
        <f>A419+1</f>
        <v/>
      </c>
      <c r="B436" s="169" t="inlineStr">
        <is>
          <t>Supplying and fixing in cement mortar welded hand railing made out of MS round or square bars flats. etc. for staircase or verandah as per design complete in all respect (wooden or PVC hand railing to be paid extra) with priming coat of red oxide.</t>
        </is>
      </c>
      <c r="C436" s="118" t="n"/>
      <c r="D436" s="44" t="n"/>
      <c r="E436" s="118" t="n"/>
      <c r="F436" s="175" t="n"/>
      <c r="G436" s="67" t="n"/>
    </row>
    <row r="437" customFormat="1" s="110">
      <c r="A437" s="83" t="n"/>
      <c r="B437" s="183" t="inlineStr">
        <is>
          <t>Staircase</t>
        </is>
      </c>
      <c r="C437" s="118" t="n"/>
      <c r="D437" s="44" t="n"/>
      <c r="E437" s="118" t="n"/>
      <c r="F437" s="175" t="n"/>
      <c r="G437" s="67" t="n"/>
      <c r="H437" s="110" t="n"/>
      <c r="I437" s="110" t="n"/>
      <c r="J437" s="110" t="n"/>
      <c r="K437" s="110" t="n"/>
      <c r="L437" s="110" t="n"/>
    </row>
    <row r="438" ht="30" customFormat="1" customHeight="1" s="110">
      <c r="A438" s="140" t="n"/>
      <c r="B438" s="183" t="inlineStr">
        <is>
          <t>20 mm Square bar</t>
        </is>
      </c>
      <c r="C438" s="66" t="n">
        <v>51</v>
      </c>
      <c r="D438" s="110" t="inlineStr">
        <is>
          <t>x</t>
        </is>
      </c>
      <c r="E438" s="118" t="n">
        <v>1.2</v>
      </c>
      <c r="F438" s="206" t="inlineStr">
        <is>
          <t xml:space="preserve">@ </t>
        </is>
      </c>
      <c r="G438" s="118">
        <f>0.2*0.002*7850</f>
        <v/>
      </c>
      <c r="H438" s="110" t="n"/>
      <c r="I438" s="110" t="n"/>
      <c r="J438" s="76" t="inlineStr">
        <is>
          <t>=</t>
        </is>
      </c>
      <c r="K438" s="118">
        <f>C423*E423*G423</f>
        <v/>
      </c>
      <c r="L438" s="66" t="inlineStr">
        <is>
          <t>Kg</t>
        </is>
      </c>
    </row>
    <row r="439" ht="15.75" customFormat="1" customHeight="1" s="204">
      <c r="A439" s="140" t="n"/>
      <c r="B439" s="183" t="n"/>
      <c r="C439" s="66" t="n">
        <v>51</v>
      </c>
      <c r="D439" s="110" t="inlineStr">
        <is>
          <t>x</t>
        </is>
      </c>
      <c r="E439" s="118" t="n">
        <v>0.05</v>
      </c>
      <c r="F439" s="206" t="inlineStr">
        <is>
          <t xml:space="preserve">@ </t>
        </is>
      </c>
      <c r="G439" s="118">
        <f>0.2*0.002*7850</f>
        <v/>
      </c>
      <c r="H439" s="110" t="n"/>
      <c r="I439" s="110" t="n"/>
      <c r="J439" s="76" t="inlineStr">
        <is>
          <t>=</t>
        </is>
      </c>
      <c r="K439" s="118">
        <f>C424*E424*G424</f>
        <v/>
      </c>
      <c r="L439" s="66" t="inlineStr">
        <is>
          <t>Kg</t>
        </is>
      </c>
    </row>
    <row r="440" ht="15.75" customFormat="1" customHeight="1" s="204">
      <c r="A440" s="140" t="n"/>
      <c r="B440" s="183" t="inlineStr">
        <is>
          <t>Flat 50x5 mm</t>
        </is>
      </c>
      <c r="C440" s="66" t="n">
        <v>2</v>
      </c>
      <c r="D440" s="110" t="inlineStr">
        <is>
          <t>x</t>
        </is>
      </c>
      <c r="E440" s="118" t="n">
        <v>9.449999999999999</v>
      </c>
      <c r="F440" s="206" t="inlineStr">
        <is>
          <t xml:space="preserve">@ </t>
        </is>
      </c>
      <c r="G440" s="118">
        <f>0.05*0.005*7850</f>
        <v/>
      </c>
      <c r="H440" s="206" t="n"/>
      <c r="I440" s="118" t="n"/>
      <c r="J440" s="76" t="inlineStr">
        <is>
          <t>=</t>
        </is>
      </c>
      <c r="K440" s="118">
        <f>C425*E425*G425</f>
        <v/>
      </c>
      <c r="L440" s="66" t="inlineStr">
        <is>
          <t>Kg</t>
        </is>
      </c>
    </row>
    <row r="441" ht="15.75" customFormat="1" customHeight="1" s="204">
      <c r="A441" s="83" t="n"/>
      <c r="B441" s="183" t="inlineStr">
        <is>
          <t>Balcony &amp; Parapet</t>
        </is>
      </c>
      <c r="C441" s="118" t="n"/>
      <c r="D441" s="44" t="n"/>
      <c r="E441" s="118" t="n"/>
      <c r="F441" s="175" t="n"/>
      <c r="G441" s="67" t="n"/>
      <c r="H441" s="110" t="n"/>
      <c r="I441" s="110" t="n"/>
      <c r="J441" s="110" t="n"/>
      <c r="K441" s="110" t="n"/>
      <c r="L441" s="110" t="n"/>
    </row>
    <row r="442" ht="15.75" customFormat="1" customHeight="1" s="204">
      <c r="A442" s="140" t="n"/>
      <c r="B442" s="183" t="inlineStr">
        <is>
          <t>20 mm Square bar</t>
        </is>
      </c>
      <c r="C442" s="66" t="n">
        <v>80</v>
      </c>
      <c r="D442" s="110" t="inlineStr">
        <is>
          <t>x</t>
        </is>
      </c>
      <c r="E442" s="118" t="n">
        <v>0.9</v>
      </c>
      <c r="F442" s="206" t="inlineStr">
        <is>
          <t xml:space="preserve">@ </t>
        </is>
      </c>
      <c r="G442" s="118">
        <f>0.2*0.002*7850</f>
        <v/>
      </c>
      <c r="H442" s="110" t="n"/>
      <c r="I442" s="110" t="n"/>
      <c r="J442" s="76" t="inlineStr">
        <is>
          <t>=</t>
        </is>
      </c>
      <c r="K442" s="118">
        <f>C427*E427*G427</f>
        <v/>
      </c>
      <c r="L442" s="66" t="inlineStr">
        <is>
          <t>Kg</t>
        </is>
      </c>
    </row>
    <row r="443" ht="15.75" customFormat="1" customHeight="1" s="204">
      <c r="A443" s="140" t="n"/>
      <c r="B443" s="183" t="n"/>
      <c r="C443" s="66" t="n">
        <v>80</v>
      </c>
      <c r="D443" s="110" t="inlineStr">
        <is>
          <t>x</t>
        </is>
      </c>
      <c r="E443" s="118" t="n">
        <v>0.05</v>
      </c>
      <c r="F443" s="206" t="inlineStr">
        <is>
          <t xml:space="preserve">@ </t>
        </is>
      </c>
      <c r="G443" s="118">
        <f>0.2*0.002*7850</f>
        <v/>
      </c>
      <c r="J443" s="76" t="inlineStr">
        <is>
          <t>=</t>
        </is>
      </c>
      <c r="K443" s="118">
        <f>C428*E428*G428</f>
        <v/>
      </c>
      <c r="L443" s="66" t="inlineStr">
        <is>
          <t>Kg</t>
        </is>
      </c>
    </row>
    <row r="444" ht="15.75" customFormat="1" customHeight="1" s="204">
      <c r="A444" s="140" t="n"/>
      <c r="B444" s="183" t="inlineStr">
        <is>
          <t>Flat 50x5 mm</t>
        </is>
      </c>
      <c r="C444" s="66" t="n">
        <v>3</v>
      </c>
      <c r="D444" s="110" t="inlineStr">
        <is>
          <t>x</t>
        </is>
      </c>
      <c r="E444" s="118" t="n">
        <v>6</v>
      </c>
      <c r="F444" s="206" t="inlineStr">
        <is>
          <t xml:space="preserve">@ </t>
        </is>
      </c>
      <c r="G444" s="71">
        <f>0.05*0.005*7850</f>
        <v/>
      </c>
      <c r="H444" s="98" t="n"/>
      <c r="I444" s="71" t="n"/>
      <c r="J444" s="72" t="inlineStr">
        <is>
          <t>=</t>
        </is>
      </c>
      <c r="K444" s="71">
        <f>C429*E429*G429</f>
        <v/>
      </c>
      <c r="L444" s="82" t="inlineStr">
        <is>
          <t>Kg</t>
        </is>
      </c>
    </row>
    <row r="445" ht="15.75" customFormat="1" customHeight="1" s="204">
      <c r="A445" s="140" t="n"/>
      <c r="B445" s="183" t="n"/>
      <c r="C445" s="66" t="n"/>
      <c r="E445" s="118" t="n"/>
      <c r="G445" s="34" t="inlineStr">
        <is>
          <t>Total</t>
        </is>
      </c>
      <c r="H445" s="138" t="n"/>
      <c r="I445" s="158" t="n"/>
      <c r="J445" s="138" t="n"/>
      <c r="K445" s="158">
        <f>SUM(K423:K429)</f>
        <v/>
      </c>
      <c r="L445" s="33" t="inlineStr">
        <is>
          <t>Kg</t>
        </is>
      </c>
    </row>
    <row r="446" ht="15.75" customFormat="1" customHeight="1" s="204">
      <c r="A446" s="83">
        <f>A421+1</f>
        <v/>
      </c>
      <c r="B446" s="169" t="inlineStr">
        <is>
          <t>Cement concrete including curing compaction etc. complete using stone aggregate 40 mm nominal size in foundation plinth, excluding the cost of shuttering, using : 1 Cement : 5 Sand : 10 aggregate Mix. (under floor)</t>
        </is>
      </c>
      <c r="C446" s="118" t="n"/>
      <c r="D446" s="44" t="n"/>
      <c r="E446" s="118" t="n"/>
      <c r="F446" s="44" t="n"/>
      <c r="G446" s="67" t="n"/>
    </row>
    <row r="447" ht="15.75" customFormat="1" customHeight="1" s="204">
      <c r="A447" s="140" t="n"/>
      <c r="B447" s="183" t="inlineStr">
        <is>
          <t>Ref. Qty. of earth filling</t>
        </is>
      </c>
      <c r="C447" s="15">
        <f>C392</f>
        <v/>
      </c>
      <c r="D447" s="14" t="n"/>
      <c r="E447" s="14" t="n"/>
      <c r="F447" s="110" t="inlineStr">
        <is>
          <t>x</t>
        </is>
      </c>
      <c r="G447" s="118" t="n">
        <v>0.1</v>
      </c>
      <c r="H447" s="177" t="inlineStr">
        <is>
          <t>/</t>
        </is>
      </c>
      <c r="I447" s="118" t="n">
        <v>1.2</v>
      </c>
      <c r="J447" s="76" t="inlineStr">
        <is>
          <t>=</t>
        </is>
      </c>
      <c r="K447" s="118">
        <f>C432*G432/I432</f>
        <v/>
      </c>
      <c r="L447" s="110" t="inlineStr">
        <is>
          <t>Cum</t>
        </is>
      </c>
    </row>
    <row r="448" ht="15.75" customFormat="1" customHeight="1" s="204">
      <c r="A448" s="83">
        <f>A431+1</f>
        <v/>
      </c>
      <c r="B448" s="183">
        <f>GF1_ABS!B35</f>
        <v/>
      </c>
      <c r="C448" s="118" t="n"/>
      <c r="D448" s="44" t="n"/>
      <c r="E448" s="118" t="n"/>
      <c r="F448" s="175" t="n"/>
      <c r="G448" s="67" t="n"/>
    </row>
    <row r="449" ht="15.75" customFormat="1" customHeight="1" s="204">
      <c r="A449" s="83" t="n"/>
      <c r="B449" s="183" t="inlineStr">
        <is>
          <t>(a) for area of each slab from 901  to 2000 sq. cm 25 mm thick  slab.</t>
        </is>
      </c>
      <c r="C449" s="118" t="n"/>
      <c r="E449" s="118" t="n"/>
      <c r="F449" s="74" t="n"/>
      <c r="G449" s="67">
        <f>IF(C434,C434*E434,"")</f>
        <v/>
      </c>
    </row>
    <row r="450" ht="15.75" customFormat="1" customHeight="1" s="204">
      <c r="A450" s="140" t="n"/>
      <c r="B450" s="195" t="inlineStr">
        <is>
          <t>Skirting</t>
        </is>
      </c>
      <c r="C450" s="66" t="n"/>
      <c r="E450" s="118" t="n"/>
      <c r="G450" s="118" t="n"/>
      <c r="I450" s="118" t="n"/>
      <c r="J450" s="76" t="n"/>
      <c r="K450" s="118" t="n"/>
      <c r="L450" s="66" t="n"/>
    </row>
    <row r="451" ht="15.75" customFormat="1" customHeight="1" s="204">
      <c r="A451" s="140" t="n"/>
      <c r="B451" s="183" t="inlineStr">
        <is>
          <t>Ref. Inside Gross Plaster Area</t>
        </is>
      </c>
      <c r="C451" s="15">
        <f>C357</f>
        <v/>
      </c>
      <c r="D451" s="14" t="n"/>
      <c r="E451" s="14" t="n"/>
      <c r="F451" s="110" t="inlineStr">
        <is>
          <t>x</t>
        </is>
      </c>
      <c r="G451" s="118" t="n">
        <v>0.1</v>
      </c>
      <c r="H451" s="177" t="inlineStr">
        <is>
          <t>/</t>
        </is>
      </c>
      <c r="I451" s="118" t="n">
        <v>2.9</v>
      </c>
      <c r="J451" s="76" t="inlineStr">
        <is>
          <t>=</t>
        </is>
      </c>
      <c r="K451" s="118">
        <f>C436*G436/I436</f>
        <v/>
      </c>
      <c r="L451" s="66" t="inlineStr">
        <is>
          <t>Sqm</t>
        </is>
      </c>
    </row>
    <row r="452" ht="15.75" customFormat="1" customHeight="1" s="204">
      <c r="A452" s="140" t="n"/>
      <c r="B452" s="183" t="n"/>
      <c r="C452" s="66" t="n"/>
      <c r="E452" s="118" t="n"/>
      <c r="G452" s="34" t="inlineStr">
        <is>
          <t>Total</t>
        </is>
      </c>
      <c r="H452" s="138" t="n"/>
      <c r="I452" s="158" t="n"/>
      <c r="J452" s="138" t="n"/>
      <c r="K452" s="158">
        <f>SUM(K436:K436)</f>
        <v/>
      </c>
      <c r="L452" s="66" t="inlineStr">
        <is>
          <t>Sqm</t>
        </is>
      </c>
    </row>
    <row r="453" ht="15.75" customFormat="1" customHeight="1" s="204">
      <c r="A453" s="83" t="n"/>
      <c r="B453" s="183" t="inlineStr">
        <is>
          <t>(b) for area of each slab from 2001  to 5000 sq. cm 25 mm thick  slab.</t>
        </is>
      </c>
      <c r="C453" s="118" t="n"/>
      <c r="E453" s="118" t="n"/>
      <c r="F453" s="74" t="n"/>
      <c r="G453" s="67">
        <f>IF(C438,C438*E438,"")</f>
        <v/>
      </c>
    </row>
    <row r="454" ht="15.75" customFormat="1" customHeight="1" s="204">
      <c r="A454" s="108" t="n"/>
      <c r="B454" s="203" t="inlineStr">
        <is>
          <t>Servant Room</t>
        </is>
      </c>
      <c r="C454" s="201" t="n">
        <v>1</v>
      </c>
      <c r="D454" s="204" t="inlineStr">
        <is>
          <t>x</t>
        </is>
      </c>
      <c r="E454" s="75" t="n">
        <v>3.05</v>
      </c>
      <c r="F454" s="204" t="inlineStr">
        <is>
          <t>x</t>
        </is>
      </c>
      <c r="G454" s="75" t="n">
        <v>2.44</v>
      </c>
      <c r="I454" s="75" t="n"/>
      <c r="J454" s="202" t="inlineStr">
        <is>
          <t>=</t>
        </is>
      </c>
      <c r="K454" s="75">
        <f>IF(C439,C439*E439*G439,"")</f>
        <v/>
      </c>
      <c r="L454" s="201" t="inlineStr">
        <is>
          <t>Sqm</t>
        </is>
      </c>
    </row>
    <row r="455" ht="15.75" customFormat="1" customHeight="1" s="204">
      <c r="A455" s="80" t="n"/>
      <c r="B455" s="203" t="inlineStr">
        <is>
          <t>WC</t>
        </is>
      </c>
      <c r="C455" s="201" t="n">
        <v>1</v>
      </c>
      <c r="D455" s="204" t="inlineStr">
        <is>
          <t>x</t>
        </is>
      </c>
      <c r="E455" s="75" t="n">
        <v>1.53</v>
      </c>
      <c r="F455" s="204" t="inlineStr">
        <is>
          <t>x</t>
        </is>
      </c>
      <c r="G455" s="75" t="n">
        <v>1</v>
      </c>
      <c r="I455" s="75" t="n"/>
      <c r="J455" s="202" t="inlineStr">
        <is>
          <t>=</t>
        </is>
      </c>
      <c r="K455" s="75">
        <f>IF(C440,C440*E440*G440,"")</f>
        <v/>
      </c>
      <c r="L455" s="201" t="inlineStr">
        <is>
          <t>Sqm</t>
        </is>
      </c>
    </row>
    <row r="456" ht="16.5" customFormat="1" customHeight="1" s="204">
      <c r="A456" s="80" t="n"/>
      <c r="B456" s="203" t="inlineStr">
        <is>
          <t>Garage</t>
        </is>
      </c>
      <c r="C456" s="201" t="n">
        <v>1</v>
      </c>
      <c r="D456" s="204" t="inlineStr">
        <is>
          <t>x</t>
        </is>
      </c>
      <c r="E456" s="75" t="n">
        <v>3.05</v>
      </c>
      <c r="F456" s="204" t="inlineStr">
        <is>
          <t>x</t>
        </is>
      </c>
      <c r="G456" s="75" t="n">
        <v>5.19</v>
      </c>
      <c r="I456" s="75" t="n"/>
      <c r="J456" s="202" t="inlineStr">
        <is>
          <t>=</t>
        </is>
      </c>
      <c r="K456" s="75">
        <f>IF(C441,C441*E441*G441,"")</f>
        <v/>
      </c>
      <c r="L456" s="201" t="inlineStr">
        <is>
          <t>Sqm</t>
        </is>
      </c>
    </row>
    <row r="457" ht="15.75" customFormat="1" customHeight="1" s="204">
      <c r="A457" s="80" t="n"/>
      <c r="B457" s="203" t="inlineStr">
        <is>
          <t>Kitchen</t>
        </is>
      </c>
      <c r="C457" s="201" t="n">
        <v>1</v>
      </c>
      <c r="D457" s="204" t="inlineStr">
        <is>
          <t>x</t>
        </is>
      </c>
      <c r="E457" s="75" t="n">
        <v>3.97</v>
      </c>
      <c r="F457" s="204" t="inlineStr">
        <is>
          <t>x</t>
        </is>
      </c>
      <c r="G457" s="75" t="n">
        <v>3.97</v>
      </c>
      <c r="I457" s="75" t="n"/>
      <c r="J457" s="202" t="inlineStr">
        <is>
          <t>=</t>
        </is>
      </c>
      <c r="K457" s="75">
        <f>IF(C442,C442*E442*G442,"")</f>
        <v/>
      </c>
      <c r="L457" s="201" t="inlineStr">
        <is>
          <t>Sqm</t>
        </is>
      </c>
    </row>
    <row r="458" ht="15.75" customFormat="1" customHeight="1" s="204">
      <c r="A458" s="80" t="n"/>
      <c r="B458" s="203" t="inlineStr">
        <is>
          <t>Staircase</t>
        </is>
      </c>
      <c r="C458" s="201" t="n">
        <v>1</v>
      </c>
      <c r="D458" s="204" t="inlineStr">
        <is>
          <t>x</t>
        </is>
      </c>
      <c r="E458" s="75" t="n">
        <v>2.9</v>
      </c>
      <c r="F458" s="204" t="inlineStr">
        <is>
          <t>x</t>
        </is>
      </c>
      <c r="G458" s="75" t="n">
        <v>1.99</v>
      </c>
      <c r="I458" s="75" t="n"/>
      <c r="J458" s="202" t="inlineStr">
        <is>
          <t>=</t>
        </is>
      </c>
      <c r="K458" s="75">
        <f>IF(C443,C443*E443*G443,"")</f>
        <v/>
      </c>
      <c r="L458" s="201" t="inlineStr">
        <is>
          <t>Sqm</t>
        </is>
      </c>
    </row>
    <row r="459" ht="15.75" customFormat="1" customHeight="1" s="204">
      <c r="A459" s="80" t="n"/>
      <c r="B459" s="203" t="inlineStr">
        <is>
          <t>Toilet</t>
        </is>
      </c>
      <c r="C459" s="201" t="n">
        <v>1</v>
      </c>
      <c r="D459" s="204" t="inlineStr">
        <is>
          <t>x</t>
        </is>
      </c>
      <c r="E459" s="75" t="n">
        <v>1.83</v>
      </c>
      <c r="F459" s="204" t="inlineStr">
        <is>
          <t>x</t>
        </is>
      </c>
      <c r="G459" s="75" t="n">
        <v>1.38</v>
      </c>
      <c r="I459" s="75" t="n"/>
      <c r="J459" s="202" t="inlineStr">
        <is>
          <t>=</t>
        </is>
      </c>
      <c r="K459" s="75">
        <f>IF(C444,C444*E444*G444,"")</f>
        <v/>
      </c>
      <c r="L459" s="201" t="inlineStr">
        <is>
          <t>Sqm</t>
        </is>
      </c>
    </row>
    <row r="460" customFormat="1" s="110">
      <c r="A460" s="80" t="n"/>
      <c r="B460" s="203" t="inlineStr">
        <is>
          <t>Platform</t>
        </is>
      </c>
      <c r="C460" s="201" t="n">
        <v>1</v>
      </c>
      <c r="D460" s="204" t="inlineStr">
        <is>
          <t>x</t>
        </is>
      </c>
      <c r="E460" s="75" t="n">
        <v>4.27</v>
      </c>
      <c r="F460" s="204" t="inlineStr">
        <is>
          <t>x</t>
        </is>
      </c>
      <c r="G460" s="75" t="n">
        <v>1.68</v>
      </c>
      <c r="I460" s="75" t="n"/>
      <c r="J460" s="202" t="inlineStr">
        <is>
          <t>=</t>
        </is>
      </c>
      <c r="K460" s="75">
        <f>IF(C445,C445*E445*G445,"")</f>
        <v/>
      </c>
      <c r="L460" s="201" t="inlineStr">
        <is>
          <t>Sqm</t>
        </is>
      </c>
    </row>
    <row r="461" customFormat="1" s="110">
      <c r="A461" s="80" t="n"/>
      <c r="B461" s="203" t="inlineStr">
        <is>
          <t>Dining</t>
        </is>
      </c>
      <c r="C461" s="201" t="n">
        <v>1</v>
      </c>
      <c r="D461" s="204" t="inlineStr">
        <is>
          <t>x</t>
        </is>
      </c>
      <c r="E461" s="75" t="n">
        <v>4.27</v>
      </c>
      <c r="F461" s="204" t="inlineStr">
        <is>
          <t>x</t>
        </is>
      </c>
      <c r="G461" s="75" t="n">
        <v>6.86</v>
      </c>
      <c r="I461" s="75" t="n"/>
      <c r="J461" s="202" t="inlineStr">
        <is>
          <t>=</t>
        </is>
      </c>
      <c r="K461" s="75">
        <f>IF(C446,C446*E446*G446,"")</f>
        <v/>
      </c>
      <c r="L461" s="201" t="inlineStr">
        <is>
          <t>Sqm</t>
        </is>
      </c>
    </row>
    <row r="462" customFormat="1" s="110">
      <c r="A462" s="80" t="n"/>
      <c r="B462" s="203" t="inlineStr">
        <is>
          <t>Bed Rm</t>
        </is>
      </c>
      <c r="C462" s="201" t="n">
        <v>1</v>
      </c>
      <c r="D462" s="204" t="inlineStr">
        <is>
          <t>x</t>
        </is>
      </c>
      <c r="E462" s="75" t="n">
        <v>4.27</v>
      </c>
      <c r="F462" s="204" t="inlineStr">
        <is>
          <t>x</t>
        </is>
      </c>
      <c r="G462" s="75" t="n">
        <v>3.66</v>
      </c>
      <c r="I462" s="75" t="n"/>
      <c r="J462" s="202" t="inlineStr">
        <is>
          <t>=</t>
        </is>
      </c>
      <c r="K462" s="75">
        <f>IF(C447,C447*E447*G447,"")</f>
        <v/>
      </c>
      <c r="L462" s="201" t="inlineStr">
        <is>
          <t>Sqm</t>
        </is>
      </c>
    </row>
    <row r="463" customFormat="1" s="110">
      <c r="A463" s="80" t="n"/>
      <c r="B463" s="203" t="inlineStr">
        <is>
          <t>Toilet</t>
        </is>
      </c>
      <c r="C463" s="201" t="n">
        <v>2</v>
      </c>
      <c r="D463" s="204" t="inlineStr">
        <is>
          <t>x</t>
        </is>
      </c>
      <c r="E463" s="75" t="n">
        <v>2.44</v>
      </c>
      <c r="F463" s="204" t="inlineStr">
        <is>
          <t>x</t>
        </is>
      </c>
      <c r="G463" s="75" t="n">
        <v>1.68</v>
      </c>
      <c r="I463" s="75" t="n"/>
      <c r="J463" s="202" t="inlineStr">
        <is>
          <t>=</t>
        </is>
      </c>
      <c r="K463" s="75">
        <f>IF(C448,C448*E448*G448,"")</f>
        <v/>
      </c>
      <c r="L463" s="201" t="inlineStr">
        <is>
          <t>Sqm</t>
        </is>
      </c>
    </row>
    <row r="464" customFormat="1" s="110">
      <c r="A464" s="80" t="n"/>
      <c r="B464" s="203" t="inlineStr">
        <is>
          <t>Bed Rm</t>
        </is>
      </c>
      <c r="C464" s="201" t="n">
        <v>1</v>
      </c>
      <c r="D464" s="204" t="inlineStr">
        <is>
          <t>x</t>
        </is>
      </c>
      <c r="E464" s="75" t="n">
        <v>4.27</v>
      </c>
      <c r="F464" s="204" t="inlineStr">
        <is>
          <t>x</t>
        </is>
      </c>
      <c r="G464" s="75" t="n">
        <v>3.66</v>
      </c>
      <c r="I464" s="75" t="n"/>
      <c r="J464" s="202" t="inlineStr">
        <is>
          <t>=</t>
        </is>
      </c>
      <c r="K464" s="75">
        <f>IF(C449,C449*E449*G449,"")</f>
        <v/>
      </c>
      <c r="L464" s="201" t="inlineStr">
        <is>
          <t>Sqm</t>
        </is>
      </c>
    </row>
    <row r="465" ht="15.75" customFormat="1" customHeight="1" s="110">
      <c r="A465" s="80" t="n"/>
      <c r="B465" s="203" t="inlineStr">
        <is>
          <t>First Floor</t>
        </is>
      </c>
      <c r="C465" s="201" t="n">
        <v>1</v>
      </c>
      <c r="D465" s="204" t="inlineStr">
        <is>
          <t>x</t>
        </is>
      </c>
      <c r="E465" s="75" t="n">
        <v>12</v>
      </c>
      <c r="F465" s="204" t="inlineStr">
        <is>
          <t>x</t>
        </is>
      </c>
      <c r="G465" s="75" t="n">
        <v>3.6</v>
      </c>
      <c r="I465" s="75" t="n"/>
      <c r="J465" s="202" t="inlineStr">
        <is>
          <t>=</t>
        </is>
      </c>
      <c r="K465" s="75">
        <f>IF(C450,C450*E450*G450,"")</f>
        <v/>
      </c>
      <c r="L465" s="201" t="inlineStr">
        <is>
          <t>Sqm</t>
        </is>
      </c>
    </row>
    <row r="466" ht="15.75" customFormat="1" customHeight="1" s="110">
      <c r="A466" s="80" t="n"/>
      <c r="B466" s="203" t="inlineStr">
        <is>
          <t>Staircase</t>
        </is>
      </c>
      <c r="C466" s="201" t="n">
        <v>2</v>
      </c>
      <c r="D466" s="204" t="inlineStr">
        <is>
          <t>x</t>
        </is>
      </c>
      <c r="E466" s="75" t="n">
        <v>4.2</v>
      </c>
      <c r="F466" s="204" t="inlineStr">
        <is>
          <t>x</t>
        </is>
      </c>
      <c r="G466" s="75" t="n">
        <v>1.9</v>
      </c>
      <c r="I466" s="75" t="n"/>
      <c r="J466" s="202" t="inlineStr">
        <is>
          <t>=</t>
        </is>
      </c>
      <c r="K466" s="75">
        <f>IF(C451,C451*E451*G451,"")</f>
        <v/>
      </c>
      <c r="L466" s="201" t="inlineStr">
        <is>
          <t>Sqm</t>
        </is>
      </c>
    </row>
    <row r="467" ht="15.75" customFormat="1" customHeight="1" s="110">
      <c r="A467" s="80" t="n"/>
      <c r="B467" s="203" t="n"/>
      <c r="C467" s="201" t="n">
        <v>1</v>
      </c>
      <c r="D467" s="204" t="inlineStr">
        <is>
          <t>x</t>
        </is>
      </c>
      <c r="E467" s="75" t="n">
        <v>4.2</v>
      </c>
      <c r="F467" s="204" t="inlineStr">
        <is>
          <t>x</t>
        </is>
      </c>
      <c r="G467" s="75" t="n">
        <v>3.3</v>
      </c>
      <c r="I467" s="75" t="n"/>
      <c r="J467" s="202" t="inlineStr">
        <is>
          <t>=</t>
        </is>
      </c>
      <c r="K467" s="75">
        <f>IF(C452,C452*E452*G452,"")</f>
        <v/>
      </c>
      <c r="L467" s="201" t="inlineStr">
        <is>
          <t>Sqm</t>
        </is>
      </c>
    </row>
    <row r="468" ht="15.75" customFormat="1" customHeight="1" s="110">
      <c r="A468" s="80" t="n"/>
      <c r="B468" s="203" t="inlineStr">
        <is>
          <t>Staircase</t>
        </is>
      </c>
      <c r="C468" s="201" t="n">
        <v>50</v>
      </c>
      <c r="D468" s="204" t="inlineStr">
        <is>
          <t>x</t>
        </is>
      </c>
      <c r="E468" s="75" t="n">
        <v>0.9</v>
      </c>
      <c r="F468" s="204" t="inlineStr">
        <is>
          <t>x</t>
        </is>
      </c>
      <c r="G468" s="75" t="n">
        <v>0.3</v>
      </c>
      <c r="I468" s="75" t="n"/>
      <c r="J468" s="202" t="inlineStr">
        <is>
          <t>=</t>
        </is>
      </c>
      <c r="K468" s="75">
        <f>IF(C453,C453*E453*G453,"")</f>
        <v/>
      </c>
      <c r="L468" s="201" t="inlineStr">
        <is>
          <t>Sqm</t>
        </is>
      </c>
    </row>
    <row r="469" ht="15.75" customFormat="1" customHeight="1" s="110">
      <c r="A469" s="80" t="n"/>
      <c r="B469" s="203" t="n"/>
      <c r="C469" s="201" t="n">
        <v>54</v>
      </c>
      <c r="D469" s="204" t="inlineStr">
        <is>
          <t>x</t>
        </is>
      </c>
      <c r="E469" s="75" t="n">
        <v>0.9</v>
      </c>
      <c r="F469" s="204" t="inlineStr">
        <is>
          <t>x</t>
        </is>
      </c>
      <c r="G469" s="75" t="n">
        <v>0.15</v>
      </c>
      <c r="I469" s="75" t="n"/>
      <c r="J469" s="202" t="inlineStr">
        <is>
          <t>=</t>
        </is>
      </c>
      <c r="K469" s="75">
        <f>IF(C454,C454*E454*G454,"")</f>
        <v/>
      </c>
      <c r="L469" s="201" t="inlineStr">
        <is>
          <t>Sqm</t>
        </is>
      </c>
    </row>
    <row r="470" ht="15.75" customFormat="1" customHeight="1" s="110">
      <c r="A470" s="80" t="n"/>
      <c r="B470" s="203" t="inlineStr">
        <is>
          <t>Landing</t>
        </is>
      </c>
      <c r="C470" s="201" t="n">
        <v>2</v>
      </c>
      <c r="D470" s="204" t="inlineStr">
        <is>
          <t>x</t>
        </is>
      </c>
      <c r="E470" s="75" t="n">
        <v>1.95</v>
      </c>
      <c r="F470" s="204" t="inlineStr">
        <is>
          <t>x</t>
        </is>
      </c>
      <c r="G470" s="75" t="n">
        <v>0.9</v>
      </c>
      <c r="I470" s="75" t="n"/>
      <c r="J470" s="202" t="inlineStr">
        <is>
          <t>=</t>
        </is>
      </c>
      <c r="K470" s="75">
        <f>IF(C455,C455*E455*G455,"")</f>
        <v/>
      </c>
      <c r="L470" s="201" t="inlineStr">
        <is>
          <t>Sqm</t>
        </is>
      </c>
    </row>
    <row r="471" ht="15.75" customFormat="1" customHeight="1" s="204">
      <c r="A471" s="80" t="n"/>
      <c r="B471" s="203" t="inlineStr">
        <is>
          <t>Library</t>
        </is>
      </c>
      <c r="C471" s="201" t="n">
        <v>1</v>
      </c>
      <c r="D471" s="204" t="inlineStr">
        <is>
          <t>x</t>
        </is>
      </c>
      <c r="E471" s="75" t="n">
        <v>3.66</v>
      </c>
      <c r="F471" s="204" t="inlineStr">
        <is>
          <t>x</t>
        </is>
      </c>
      <c r="G471" s="75" t="n">
        <v>3.05</v>
      </c>
      <c r="I471" s="75" t="n"/>
      <c r="J471" s="202" t="inlineStr">
        <is>
          <t>=</t>
        </is>
      </c>
      <c r="K471" s="75">
        <f>IF(C456,C456*E456*G456,"")</f>
        <v/>
      </c>
      <c r="L471" s="201" t="inlineStr">
        <is>
          <t>Sqm</t>
        </is>
      </c>
    </row>
    <row r="472" ht="15.75" customFormat="1" customHeight="1" s="204">
      <c r="A472" s="80" t="n"/>
      <c r="B472" s="203" t="inlineStr">
        <is>
          <t>Verandah</t>
        </is>
      </c>
      <c r="C472" s="201" t="n">
        <v>1</v>
      </c>
      <c r="D472" s="204" t="inlineStr">
        <is>
          <t>x</t>
        </is>
      </c>
      <c r="E472" s="75" t="n">
        <v>4.27</v>
      </c>
      <c r="F472" s="204" t="inlineStr">
        <is>
          <t>x</t>
        </is>
      </c>
      <c r="G472" s="75" t="n">
        <v>1.83</v>
      </c>
      <c r="I472" s="75" t="n"/>
      <c r="J472" s="202" t="inlineStr">
        <is>
          <t>=</t>
        </is>
      </c>
      <c r="K472" s="75">
        <f>IF(C457,C457*E457*G457,"")</f>
        <v/>
      </c>
      <c r="L472" s="201" t="inlineStr">
        <is>
          <t>Sqm</t>
        </is>
      </c>
    </row>
    <row r="473" ht="15.75" customFormat="1" customHeight="1" s="204">
      <c r="A473" s="80" t="n"/>
      <c r="B473" s="203" t="inlineStr">
        <is>
          <t>Canopy</t>
        </is>
      </c>
      <c r="C473" s="201" t="n">
        <v>1</v>
      </c>
      <c r="D473" s="204" t="inlineStr">
        <is>
          <t>x</t>
        </is>
      </c>
      <c r="E473" s="75" t="n">
        <v>6</v>
      </c>
      <c r="F473" s="204" t="inlineStr">
        <is>
          <t>x</t>
        </is>
      </c>
      <c r="G473" s="75" t="n">
        <v>2.4</v>
      </c>
      <c r="I473" s="75" t="n"/>
      <c r="J473" s="202" t="inlineStr">
        <is>
          <t>=</t>
        </is>
      </c>
      <c r="K473" s="75">
        <f>IF(C458,C458*E458*G458,"")</f>
        <v/>
      </c>
      <c r="L473" s="201" t="inlineStr">
        <is>
          <t>Sqm</t>
        </is>
      </c>
    </row>
    <row r="474" ht="15.75" customFormat="1" customHeight="1" s="204">
      <c r="A474" s="80" t="n"/>
      <c r="B474" s="203" t="inlineStr">
        <is>
          <t>Living</t>
        </is>
      </c>
      <c r="C474" s="201" t="n">
        <v>1</v>
      </c>
      <c r="D474" s="204" t="inlineStr">
        <is>
          <t>x</t>
        </is>
      </c>
      <c r="E474" s="75" t="n">
        <v>4.27</v>
      </c>
      <c r="F474" s="204" t="inlineStr">
        <is>
          <t>x</t>
        </is>
      </c>
      <c r="G474" s="75" t="n">
        <v>4.58</v>
      </c>
      <c r="I474" s="75" t="n"/>
      <c r="J474" s="202" t="inlineStr">
        <is>
          <t>=</t>
        </is>
      </c>
      <c r="K474" s="75">
        <f>IF(C459,C459*E459*G459,"")</f>
        <v/>
      </c>
      <c r="L474" s="201" t="inlineStr">
        <is>
          <t>Sqm</t>
        </is>
      </c>
    </row>
    <row r="475" ht="15.75" customFormat="1" customHeight="1" s="204">
      <c r="A475" s="140" t="n"/>
      <c r="B475" s="183" t="inlineStr">
        <is>
          <t>Steps Front Ent</t>
        </is>
      </c>
      <c r="C475" s="66" t="n">
        <v>3</v>
      </c>
      <c r="D475" s="110" t="inlineStr">
        <is>
          <t>x</t>
        </is>
      </c>
      <c r="E475" s="118" t="n">
        <v>0.9</v>
      </c>
      <c r="F475" s="110" t="inlineStr">
        <is>
          <t>x</t>
        </is>
      </c>
      <c r="G475" s="118" t="n">
        <v>0.3</v>
      </c>
      <c r="H475" s="110" t="n"/>
      <c r="I475" s="118" t="n"/>
      <c r="J475" s="76" t="inlineStr">
        <is>
          <t>=</t>
        </is>
      </c>
      <c r="K475" s="118">
        <f>IF(C460,C460*E460*G460,"")</f>
        <v/>
      </c>
      <c r="L475" s="66" t="inlineStr">
        <is>
          <t>Sqm</t>
        </is>
      </c>
    </row>
    <row r="476" ht="15.75" customFormat="1" customHeight="1" s="204">
      <c r="A476" s="140" t="n"/>
      <c r="B476" s="183" t="inlineStr">
        <is>
          <t>Steps</t>
        </is>
      </c>
      <c r="C476" s="66" t="n">
        <v>4</v>
      </c>
      <c r="D476" s="110" t="inlineStr">
        <is>
          <t>x</t>
        </is>
      </c>
      <c r="E476" s="118" t="n">
        <v>0.9</v>
      </c>
      <c r="F476" s="110" t="inlineStr">
        <is>
          <t>x</t>
        </is>
      </c>
      <c r="G476" s="118" t="n">
        <v>0.15</v>
      </c>
      <c r="H476" s="110" t="n"/>
      <c r="I476" s="118" t="n"/>
      <c r="J476" s="76" t="inlineStr">
        <is>
          <t>=</t>
        </is>
      </c>
      <c r="K476" s="118">
        <f>IF(C461,C461*E461*G461,"")</f>
        <v/>
      </c>
      <c r="L476" s="66" t="inlineStr">
        <is>
          <t>Sqm</t>
        </is>
      </c>
    </row>
    <row r="477" ht="15.75" customFormat="1" customHeight="1" s="204">
      <c r="A477" s="140" t="n"/>
      <c r="B477" s="183" t="inlineStr">
        <is>
          <t>Steps Other Ent</t>
        </is>
      </c>
      <c r="C477" s="66" t="n">
        <v>3</v>
      </c>
      <c r="D477" s="110" t="inlineStr">
        <is>
          <t>x</t>
        </is>
      </c>
      <c r="E477" s="118" t="n">
        <v>1.5</v>
      </c>
      <c r="F477" s="110" t="inlineStr">
        <is>
          <t>x</t>
        </is>
      </c>
      <c r="G477" s="118" t="n">
        <v>0.3</v>
      </c>
      <c r="H477" s="110" t="n"/>
      <c r="I477" s="118" t="n"/>
      <c r="J477" s="76" t="inlineStr">
        <is>
          <t>=</t>
        </is>
      </c>
      <c r="K477" s="118">
        <f>IF(C462,C462*E462*G462,"")</f>
        <v/>
      </c>
      <c r="L477" s="66" t="inlineStr">
        <is>
          <t>Sqm</t>
        </is>
      </c>
    </row>
    <row r="478" ht="15.75" customFormat="1" customHeight="1" s="204">
      <c r="A478" s="140" t="n"/>
      <c r="B478" s="183" t="inlineStr">
        <is>
          <t>Steps</t>
        </is>
      </c>
      <c r="C478" s="66" t="n">
        <v>4</v>
      </c>
      <c r="D478" s="110" t="inlineStr">
        <is>
          <t>x</t>
        </is>
      </c>
      <c r="E478" s="118" t="n">
        <v>1.5</v>
      </c>
      <c r="F478" s="110" t="inlineStr">
        <is>
          <t>x</t>
        </is>
      </c>
      <c r="G478" s="118" t="n">
        <v>0.15</v>
      </c>
      <c r="H478" s="110" t="n"/>
      <c r="I478" s="118" t="n"/>
      <c r="J478" s="76" t="inlineStr">
        <is>
          <t>=</t>
        </is>
      </c>
      <c r="K478" s="118">
        <f>IF(C463,C463*E463*G463,"")</f>
        <v/>
      </c>
      <c r="L478" s="66" t="inlineStr">
        <is>
          <t>Sqm</t>
        </is>
      </c>
    </row>
    <row r="479" ht="15.75" customFormat="1" customHeight="1" s="204">
      <c r="A479" s="83" t="n"/>
      <c r="B479" s="174" t="inlineStr">
        <is>
          <t>Window Sills</t>
        </is>
      </c>
      <c r="C479" s="118" t="n"/>
      <c r="D479" s="44" t="n"/>
      <c r="E479" s="118" t="n"/>
      <c r="F479" s="175" t="n"/>
      <c r="G479" s="67" t="n"/>
      <c r="I479" s="132" t="n"/>
      <c r="J479" s="132" t="n"/>
      <c r="K479" s="133" t="n"/>
    </row>
    <row r="480" customFormat="1" s="110">
      <c r="A480" s="140" t="n"/>
      <c r="B480" s="203" t="inlineStr">
        <is>
          <t>W</t>
        </is>
      </c>
      <c r="C480" s="201" t="n">
        <v>7</v>
      </c>
      <c r="D480" s="204" t="inlineStr">
        <is>
          <t>x</t>
        </is>
      </c>
      <c r="E480" s="75" t="n">
        <v>2.1</v>
      </c>
      <c r="F480" s="110" t="inlineStr">
        <is>
          <t>x</t>
        </is>
      </c>
      <c r="G480" s="67" t="n">
        <v>0.3</v>
      </c>
      <c r="I480" s="118" t="n"/>
      <c r="J480" s="76" t="inlineStr">
        <is>
          <t>=</t>
        </is>
      </c>
      <c r="K480" s="118">
        <f>IF(C465,C465*E465*G465,"")</f>
        <v/>
      </c>
      <c r="L480" s="74" t="inlineStr">
        <is>
          <t>Cum</t>
        </is>
      </c>
    </row>
    <row r="481" ht="60" customFormat="1" customHeight="1" s="110">
      <c r="A481" s="140" t="n"/>
      <c r="B481" s="203" t="inlineStr">
        <is>
          <t>W1</t>
        </is>
      </c>
      <c r="C481" s="201" t="n">
        <v>8</v>
      </c>
      <c r="D481" s="204" t="inlineStr">
        <is>
          <t>x</t>
        </is>
      </c>
      <c r="E481" s="75" t="n">
        <v>1.5</v>
      </c>
      <c r="F481" s="110" t="inlineStr">
        <is>
          <t>x</t>
        </is>
      </c>
      <c r="G481" s="67" t="n">
        <v>0.3</v>
      </c>
      <c r="I481" s="118" t="n"/>
      <c r="J481" s="76" t="inlineStr">
        <is>
          <t>=</t>
        </is>
      </c>
      <c r="K481" s="118">
        <f>IF(C466,C466*E466*G466,"")</f>
        <v/>
      </c>
      <c r="L481" s="74" t="inlineStr">
        <is>
          <t>Cum</t>
        </is>
      </c>
    </row>
    <row r="482" customFormat="1" s="110">
      <c r="A482" s="140" t="n"/>
      <c r="B482" s="203" t="inlineStr">
        <is>
          <t>W2</t>
        </is>
      </c>
      <c r="C482" s="201" t="n">
        <v>10</v>
      </c>
      <c r="D482" s="204" t="inlineStr">
        <is>
          <t>x</t>
        </is>
      </c>
      <c r="E482" s="75" t="n">
        <v>0.9</v>
      </c>
      <c r="F482" s="110" t="inlineStr">
        <is>
          <t>x</t>
        </is>
      </c>
      <c r="G482" s="67" t="n">
        <v>0.3</v>
      </c>
      <c r="I482" s="118" t="n"/>
      <c r="J482" s="76" t="inlineStr">
        <is>
          <t>=</t>
        </is>
      </c>
      <c r="K482" s="118">
        <f>IF(C467,C467*E467*G467,"")</f>
        <v/>
      </c>
      <c r="L482" s="74" t="inlineStr">
        <is>
          <t>Cum</t>
        </is>
      </c>
    </row>
    <row r="483" customFormat="1" s="110">
      <c r="A483" s="140" t="n"/>
      <c r="B483" s="203" t="inlineStr">
        <is>
          <t>V</t>
        </is>
      </c>
      <c r="C483" s="201" t="n">
        <v>2</v>
      </c>
      <c r="D483" s="204" t="inlineStr">
        <is>
          <t>x</t>
        </is>
      </c>
      <c r="E483" s="75" t="n">
        <v>1.05</v>
      </c>
      <c r="F483" s="110" t="inlineStr">
        <is>
          <t>x</t>
        </is>
      </c>
      <c r="G483" s="118" t="n">
        <v>0.3</v>
      </c>
      <c r="I483" s="118" t="n"/>
      <c r="J483" s="76" t="inlineStr">
        <is>
          <t>=</t>
        </is>
      </c>
      <c r="K483" s="118">
        <f>IF(C468,C468*E468*G468,"")</f>
        <v/>
      </c>
      <c r="L483" s="66" t="inlineStr">
        <is>
          <t>Sqm</t>
        </is>
      </c>
    </row>
    <row r="484" customFormat="1" s="110">
      <c r="A484" s="140" t="n"/>
      <c r="B484" s="203" t="inlineStr">
        <is>
          <t>V1</t>
        </is>
      </c>
      <c r="C484" s="201" t="n">
        <v>3</v>
      </c>
      <c r="D484" s="204" t="inlineStr">
        <is>
          <t>x</t>
        </is>
      </c>
      <c r="E484" s="75" t="n">
        <v>0.75</v>
      </c>
      <c r="F484" s="110" t="inlineStr">
        <is>
          <t>x</t>
        </is>
      </c>
      <c r="G484" s="67" t="n">
        <v>0.3</v>
      </c>
      <c r="H484" s="204" t="n"/>
      <c r="I484" s="204" t="n"/>
      <c r="J484" s="202" t="inlineStr">
        <is>
          <t>=</t>
        </is>
      </c>
      <c r="K484" s="75">
        <f>IF(C469,C469*E469*G469,"")</f>
        <v/>
      </c>
      <c r="L484" s="201" t="inlineStr">
        <is>
          <t>Sqm</t>
        </is>
      </c>
    </row>
    <row r="485" customFormat="1" s="110">
      <c r="A485" s="140" t="n"/>
      <c r="B485" s="203" t="inlineStr">
        <is>
          <t>V2</t>
        </is>
      </c>
      <c r="C485" s="201" t="n">
        <v>3</v>
      </c>
      <c r="D485" s="204" t="inlineStr">
        <is>
          <t>x</t>
        </is>
      </c>
      <c r="E485" s="75" t="n">
        <v>0.6</v>
      </c>
      <c r="F485" s="110" t="inlineStr">
        <is>
          <t>x</t>
        </is>
      </c>
      <c r="G485" s="67" t="n">
        <v>0.3</v>
      </c>
      <c r="H485" s="204" t="n"/>
      <c r="I485" s="204" t="n"/>
      <c r="J485" s="202" t="inlineStr">
        <is>
          <t>=</t>
        </is>
      </c>
      <c r="K485" s="75">
        <f>IF(C470,C470*E470*G470,"")</f>
        <v/>
      </c>
      <c r="L485" s="201" t="inlineStr">
        <is>
          <t>Sqm</t>
        </is>
      </c>
    </row>
    <row r="486" ht="15.75" customFormat="1" customHeight="1" s="204">
      <c r="A486" s="80" t="n"/>
      <c r="B486" s="203" t="inlineStr">
        <is>
          <t>Nitch</t>
        </is>
      </c>
      <c r="C486" s="201" t="n">
        <v>2</v>
      </c>
      <c r="D486" s="204" t="inlineStr">
        <is>
          <t>x</t>
        </is>
      </c>
      <c r="E486" s="75" t="n">
        <v>1.8</v>
      </c>
      <c r="F486" s="204" t="inlineStr">
        <is>
          <t>x</t>
        </is>
      </c>
      <c r="G486" s="107" t="n">
        <v>0.3</v>
      </c>
      <c r="J486" s="202" t="inlineStr">
        <is>
          <t>=</t>
        </is>
      </c>
      <c r="K486" s="75">
        <f>IF(C471,C471*E471*G471,"")</f>
        <v/>
      </c>
      <c r="L486" s="201" t="inlineStr">
        <is>
          <t>Sqm</t>
        </is>
      </c>
    </row>
    <row r="487" ht="15.75" customFormat="1" customHeight="1" s="204">
      <c r="A487" s="80" t="n"/>
      <c r="B487" s="203" t="inlineStr">
        <is>
          <t>Nitch</t>
        </is>
      </c>
      <c r="C487" s="201" t="n">
        <v>1</v>
      </c>
      <c r="D487" s="204" t="inlineStr">
        <is>
          <t>x</t>
        </is>
      </c>
      <c r="E487" s="75" t="n">
        <v>2.1</v>
      </c>
      <c r="F487" s="204" t="inlineStr">
        <is>
          <t>x</t>
        </is>
      </c>
      <c r="G487" s="107" t="n">
        <v>0.3</v>
      </c>
      <c r="J487" s="202" t="inlineStr">
        <is>
          <t>=</t>
        </is>
      </c>
      <c r="K487" s="75">
        <f>IF(C472,C472*E472*G472,"")</f>
        <v/>
      </c>
      <c r="L487" s="201" t="inlineStr">
        <is>
          <t>Sqm</t>
        </is>
      </c>
    </row>
    <row r="488" ht="15.75" customFormat="1" customHeight="1" s="204">
      <c r="A488" s="80" t="n"/>
      <c r="B488" s="203" t="inlineStr">
        <is>
          <t>Nitch</t>
        </is>
      </c>
      <c r="C488" s="201" t="n">
        <v>2</v>
      </c>
      <c r="D488" s="204" t="inlineStr">
        <is>
          <t>x</t>
        </is>
      </c>
      <c r="E488" s="75" t="n">
        <v>0.9</v>
      </c>
      <c r="F488" s="204" t="inlineStr">
        <is>
          <t>x</t>
        </is>
      </c>
      <c r="G488" s="107" t="n">
        <v>0.3</v>
      </c>
      <c r="J488" s="202" t="inlineStr">
        <is>
          <t>=</t>
        </is>
      </c>
      <c r="K488" s="75">
        <f>IF(C473,C473*E473*G473,"")</f>
        <v/>
      </c>
      <c r="L488" s="201" t="inlineStr">
        <is>
          <t>Sqm</t>
        </is>
      </c>
    </row>
    <row r="489" ht="15.75" customFormat="1" customHeight="1" s="204">
      <c r="A489" s="80" t="n"/>
      <c r="B489" s="146" t="inlineStr">
        <is>
          <t>Cup Boards</t>
        </is>
      </c>
      <c r="C489" s="117" t="n"/>
      <c r="E489" s="75" t="n"/>
      <c r="F489" s="204" t="n"/>
      <c r="G489" s="75" t="n"/>
      <c r="I489" s="75" t="n"/>
      <c r="J489" s="202" t="n"/>
      <c r="K489" s="75" t="n"/>
      <c r="L489" s="201" t="n"/>
    </row>
    <row r="490" ht="15.75" customFormat="1" customHeight="1" s="204">
      <c r="A490" s="80" t="n"/>
      <c r="B490" s="203" t="n"/>
      <c r="C490" s="117" t="n">
        <v>1</v>
      </c>
      <c r="D490" s="204" t="inlineStr">
        <is>
          <t>x</t>
        </is>
      </c>
      <c r="E490" s="75" t="n">
        <v>2.1</v>
      </c>
      <c r="F490" s="204" t="inlineStr">
        <is>
          <t>x</t>
        </is>
      </c>
      <c r="G490" s="75" t="n">
        <v>0.6</v>
      </c>
      <c r="J490" s="202" t="inlineStr">
        <is>
          <t>=</t>
        </is>
      </c>
      <c r="K490" s="75">
        <f>IF(C475,C475*E475*G475,"")</f>
        <v/>
      </c>
      <c r="L490" s="201" t="inlineStr">
        <is>
          <t>Sqm</t>
        </is>
      </c>
    </row>
    <row r="491" ht="15.75" customFormat="1" customHeight="1" s="204">
      <c r="A491" s="80" t="n"/>
      <c r="B491" s="203" t="n"/>
      <c r="C491" s="117" t="n">
        <v>2</v>
      </c>
      <c r="D491" s="204" t="inlineStr">
        <is>
          <t>x</t>
        </is>
      </c>
      <c r="E491" s="75" t="n">
        <v>1.8</v>
      </c>
      <c r="F491" s="204" t="inlineStr">
        <is>
          <t>x</t>
        </is>
      </c>
      <c r="G491" s="75" t="n">
        <v>0.6</v>
      </c>
      <c r="J491" s="202" t="inlineStr">
        <is>
          <t>=</t>
        </is>
      </c>
      <c r="K491" s="75">
        <f>IF(C476,C476*E476*G476,"")</f>
        <v/>
      </c>
      <c r="L491" s="201" t="inlineStr">
        <is>
          <t>Sqm</t>
        </is>
      </c>
    </row>
    <row r="492" ht="15.75" customFormat="1" customHeight="1" s="204">
      <c r="A492" s="80" t="n"/>
      <c r="B492" s="203" t="n"/>
      <c r="C492" s="117" t="n">
        <v>2</v>
      </c>
      <c r="D492" s="204" t="inlineStr">
        <is>
          <t>x</t>
        </is>
      </c>
      <c r="E492" s="75" t="n">
        <v>1.5</v>
      </c>
      <c r="F492" s="204" t="inlineStr">
        <is>
          <t>x</t>
        </is>
      </c>
      <c r="G492" s="75" t="n">
        <v>0.6</v>
      </c>
      <c r="J492" s="202" t="inlineStr">
        <is>
          <t>=</t>
        </is>
      </c>
      <c r="K492" s="75">
        <f>IF(C477,C477*E477*G477,"")</f>
        <v/>
      </c>
      <c r="L492" s="201" t="inlineStr">
        <is>
          <t>Sqm</t>
        </is>
      </c>
    </row>
    <row r="493" ht="15.75" customFormat="1" customHeight="1" s="204">
      <c r="A493" s="80" t="n"/>
      <c r="B493" s="203" t="n"/>
      <c r="C493" s="117" t="n">
        <v>2</v>
      </c>
      <c r="D493" s="204" t="inlineStr">
        <is>
          <t>x</t>
        </is>
      </c>
      <c r="E493" s="75" t="n">
        <v>1.35</v>
      </c>
      <c r="F493" s="204" t="inlineStr">
        <is>
          <t>x</t>
        </is>
      </c>
      <c r="G493" s="75" t="n">
        <v>0.6</v>
      </c>
      <c r="J493" s="202" t="inlineStr">
        <is>
          <t>=</t>
        </is>
      </c>
      <c r="K493" s="75">
        <f>IF(C478,C478*E478*G478,"")</f>
        <v/>
      </c>
      <c r="L493" s="201" t="inlineStr">
        <is>
          <t>Sqm</t>
        </is>
      </c>
    </row>
    <row r="494" ht="15.75" customFormat="1" customHeight="1" s="204">
      <c r="A494" s="80" t="n"/>
      <c r="B494" s="203" t="n"/>
      <c r="C494" s="117" t="n">
        <v>3</v>
      </c>
      <c r="D494" s="204" t="inlineStr">
        <is>
          <t>x</t>
        </is>
      </c>
      <c r="E494" s="75" t="n">
        <v>0.75</v>
      </c>
      <c r="F494" s="204" t="inlineStr">
        <is>
          <t>x</t>
        </is>
      </c>
      <c r="G494" s="75" t="n">
        <v>0.6</v>
      </c>
      <c r="J494" s="202" t="inlineStr">
        <is>
          <t>=</t>
        </is>
      </c>
      <c r="K494" s="75">
        <f>IF(C479,C479*E479*G479,"")</f>
        <v/>
      </c>
      <c r="L494" s="201" t="inlineStr">
        <is>
          <t>Sqm</t>
        </is>
      </c>
    </row>
    <row r="495" ht="15.75" customFormat="1" customHeight="1" s="204">
      <c r="A495" s="140" t="n"/>
      <c r="B495" s="183" t="n"/>
      <c r="C495" s="66" t="n"/>
      <c r="E495" s="118" t="n"/>
      <c r="G495" s="34" t="inlineStr">
        <is>
          <t>Total</t>
        </is>
      </c>
      <c r="H495" s="138" t="n"/>
      <c r="I495" s="158" t="n"/>
      <c r="J495" s="138" t="n"/>
      <c r="K495" s="158">
        <f>SUM(K439:K479)</f>
        <v/>
      </c>
      <c r="L495" s="66" t="inlineStr">
        <is>
          <t>Sqm</t>
        </is>
      </c>
    </row>
    <row r="496" ht="15.75" customFormat="1" customHeight="1" s="204">
      <c r="A496" s="83" t="n">
        <v>25</v>
      </c>
      <c r="B496" s="169" t="inlineStr">
        <is>
          <t xml:space="preserve">Supplying and fixing in wall machine cut and polished stone shelves, tands and sills in cement mortar 1:3 with machine cut edge.  </t>
        </is>
      </c>
      <c r="C496" s="118" t="n"/>
      <c r="E496" s="118" t="n"/>
      <c r="F496" s="74" t="n"/>
      <c r="G496" s="67" t="n"/>
    </row>
    <row r="497" ht="15.75" customFormat="1" customHeight="1" s="204">
      <c r="A497" s="83" t="n"/>
      <c r="B497" s="183" t="inlineStr">
        <is>
          <t>(A) Kota stone 25 to 30 mm thick</t>
        </is>
      </c>
      <c r="C497" s="118" t="n"/>
      <c r="E497" s="118" t="n"/>
      <c r="F497" s="74" t="n"/>
      <c r="G497" s="67" t="n"/>
    </row>
    <row r="498" ht="15.75" customFormat="1" customHeight="1" s="204">
      <c r="A498" s="140" t="n"/>
      <c r="B498" s="154" t="inlineStr">
        <is>
          <t>Kitchen Platform</t>
        </is>
      </c>
      <c r="C498" s="74" t="n">
        <v>1</v>
      </c>
      <c r="D498" s="110" t="inlineStr">
        <is>
          <t>x</t>
        </is>
      </c>
      <c r="E498" s="118" t="n">
        <v>7</v>
      </c>
      <c r="F498" s="110" t="inlineStr">
        <is>
          <t>x</t>
        </is>
      </c>
      <c r="G498" s="118" t="n">
        <v>0.75</v>
      </c>
      <c r="I498" s="118" t="n"/>
      <c r="J498" s="76" t="inlineStr">
        <is>
          <t>=</t>
        </is>
      </c>
      <c r="K498" s="118">
        <f>IF(C483,C483*E483*G483,"")</f>
        <v/>
      </c>
      <c r="L498" s="66" t="inlineStr">
        <is>
          <t>Sqm</t>
        </is>
      </c>
    </row>
    <row r="499" ht="15.75" customFormat="1" customHeight="1" s="204">
      <c r="A499" s="140" t="n"/>
      <c r="B499" s="183" t="n"/>
      <c r="C499" s="66" t="n">
        <v>2</v>
      </c>
      <c r="D499" s="110" t="inlineStr">
        <is>
          <t>x</t>
        </is>
      </c>
      <c r="E499" s="118" t="n">
        <v>7</v>
      </c>
      <c r="F499" s="110" t="inlineStr">
        <is>
          <t>x</t>
        </is>
      </c>
      <c r="G499" s="118" t="n">
        <v>0.6</v>
      </c>
      <c r="I499" s="118" t="n"/>
      <c r="J499" s="76" t="inlineStr">
        <is>
          <t>=</t>
        </is>
      </c>
      <c r="K499" s="118">
        <f>IF(C484,C484*E484*G484,"")</f>
        <v/>
      </c>
      <c r="L499" s="66" t="inlineStr">
        <is>
          <t>Sqm</t>
        </is>
      </c>
    </row>
    <row r="500" ht="15.75" customFormat="1" customHeight="1" s="204">
      <c r="A500" s="140" t="n"/>
      <c r="B500" s="183" t="n"/>
      <c r="C500" s="66" t="n">
        <v>4</v>
      </c>
      <c r="D500" s="110" t="inlineStr">
        <is>
          <t>x</t>
        </is>
      </c>
      <c r="E500" s="118" t="n">
        <v>7</v>
      </c>
      <c r="F500" s="110" t="inlineStr">
        <is>
          <t>x</t>
        </is>
      </c>
      <c r="G500" s="118" t="n">
        <v>0.3</v>
      </c>
      <c r="I500" s="118" t="n"/>
      <c r="J500" s="76" t="inlineStr">
        <is>
          <t>=</t>
        </is>
      </c>
      <c r="K500" s="118">
        <f>IF(C485,C485*E485*G485,"")</f>
        <v/>
      </c>
      <c r="L500" s="66" t="inlineStr">
        <is>
          <t>Sqm</t>
        </is>
      </c>
    </row>
    <row r="501" ht="15.75" customFormat="1" customHeight="1" s="204">
      <c r="A501" s="80" t="n"/>
      <c r="B501" s="203" t="inlineStr">
        <is>
          <t>Nitch</t>
        </is>
      </c>
      <c r="C501" s="201" t="n">
        <v>8</v>
      </c>
      <c r="D501" s="204" t="inlineStr">
        <is>
          <t>x</t>
        </is>
      </c>
      <c r="E501" s="75" t="n">
        <v>1.8</v>
      </c>
      <c r="F501" s="204" t="inlineStr">
        <is>
          <t>x</t>
        </is>
      </c>
      <c r="G501" s="107" t="n">
        <v>0.3</v>
      </c>
      <c r="J501" s="202" t="inlineStr">
        <is>
          <t>=</t>
        </is>
      </c>
      <c r="K501" s="75">
        <f>IF(C486,C486*E486*G486,"")</f>
        <v/>
      </c>
      <c r="L501" s="201" t="inlineStr">
        <is>
          <t>Sqm</t>
        </is>
      </c>
    </row>
    <row r="502" ht="15.75" customFormat="1" customHeight="1" s="204">
      <c r="A502" s="80" t="n"/>
      <c r="B502" s="203" t="inlineStr">
        <is>
          <t>Nitch</t>
        </is>
      </c>
      <c r="C502" s="201" t="n">
        <v>4</v>
      </c>
      <c r="D502" s="204" t="inlineStr">
        <is>
          <t>x</t>
        </is>
      </c>
      <c r="E502" s="75" t="n">
        <v>2.1</v>
      </c>
      <c r="F502" s="204" t="inlineStr">
        <is>
          <t>x</t>
        </is>
      </c>
      <c r="G502" s="107" t="n">
        <v>0.3</v>
      </c>
      <c r="J502" s="202" t="inlineStr">
        <is>
          <t>=</t>
        </is>
      </c>
      <c r="K502" s="75">
        <f>IF(C487,C487*E487*G487,"")</f>
        <v/>
      </c>
      <c r="L502" s="201" t="inlineStr">
        <is>
          <t>Sqm</t>
        </is>
      </c>
    </row>
    <row r="503" ht="15.75" customFormat="1" customHeight="1" s="204">
      <c r="A503" s="80" t="n"/>
      <c r="B503" s="203" t="inlineStr">
        <is>
          <t>Nitch</t>
        </is>
      </c>
      <c r="C503" s="201" t="n">
        <v>8</v>
      </c>
      <c r="D503" s="204" t="inlineStr">
        <is>
          <t>x</t>
        </is>
      </c>
      <c r="E503" s="75" t="n">
        <v>0.9</v>
      </c>
      <c r="F503" s="204" t="inlineStr">
        <is>
          <t>x</t>
        </is>
      </c>
      <c r="G503" s="107" t="n">
        <v>0.3</v>
      </c>
      <c r="J503" s="202" t="inlineStr">
        <is>
          <t>=</t>
        </is>
      </c>
      <c r="K503" s="75">
        <f>IF(C488,C488*E488*G488,"")</f>
        <v/>
      </c>
      <c r="L503" s="201" t="inlineStr">
        <is>
          <t>Sqm</t>
        </is>
      </c>
    </row>
    <row r="504" ht="15.75" customFormat="1" customHeight="1" s="204">
      <c r="A504" s="80" t="n"/>
      <c r="B504" s="146" t="inlineStr">
        <is>
          <t>Cup Boards</t>
        </is>
      </c>
      <c r="C504" s="117" t="n"/>
      <c r="E504" s="75" t="n"/>
      <c r="F504" s="204" t="n"/>
      <c r="G504" s="75" t="n"/>
      <c r="I504" s="75" t="n"/>
      <c r="J504" s="202" t="n"/>
      <c r="K504" s="75" t="n"/>
      <c r="L504" s="201" t="n"/>
    </row>
    <row r="505" customFormat="1" s="110">
      <c r="A505" s="80" t="n"/>
      <c r="B505" s="203" t="n"/>
      <c r="C505" s="117" t="n">
        <v>2</v>
      </c>
      <c r="D505" s="204" t="inlineStr">
        <is>
          <t>x</t>
        </is>
      </c>
      <c r="E505" s="75" t="n">
        <v>2.1</v>
      </c>
      <c r="F505" s="204" t="inlineStr">
        <is>
          <t>x</t>
        </is>
      </c>
      <c r="G505" s="75" t="n">
        <v>0.6</v>
      </c>
      <c r="J505" s="202" t="inlineStr">
        <is>
          <t>=</t>
        </is>
      </c>
      <c r="K505" s="75">
        <f>IF(C490,C490*E490*G490,"")</f>
        <v/>
      </c>
      <c r="L505" s="201" t="inlineStr">
        <is>
          <t>Sqm</t>
        </is>
      </c>
    </row>
    <row r="506" ht="30" customFormat="1" customHeight="1" s="110">
      <c r="A506" s="80" t="n"/>
      <c r="B506" s="207" t="inlineStr">
        <is>
          <t>Verticals</t>
        </is>
      </c>
      <c r="C506" s="74">
        <f>C490/2</f>
        <v/>
      </c>
      <c r="D506" s="110" t="inlineStr">
        <is>
          <t>x</t>
        </is>
      </c>
      <c r="E506" s="118">
        <f>E490</f>
        <v/>
      </c>
      <c r="F506" s="110" t="inlineStr">
        <is>
          <t>x</t>
        </is>
      </c>
      <c r="G506" s="118" t="n">
        <v>2</v>
      </c>
      <c r="H506" s="110" t="n"/>
      <c r="I506" s="110" t="n"/>
      <c r="J506" s="76" t="inlineStr">
        <is>
          <t>=</t>
        </is>
      </c>
      <c r="K506" s="118">
        <f>IF(C491,C491*E491*G491,"")</f>
        <v/>
      </c>
      <c r="L506" s="66" t="inlineStr">
        <is>
          <t>Sqm</t>
        </is>
      </c>
    </row>
    <row r="507" customFormat="1" s="110">
      <c r="A507" s="80" t="n"/>
      <c r="B507" s="203" t="n"/>
      <c r="C507" s="74" t="n">
        <v>4</v>
      </c>
      <c r="D507" s="110" t="inlineStr">
        <is>
          <t>x</t>
        </is>
      </c>
      <c r="E507" s="118">
        <f>E490/2</f>
        <v/>
      </c>
      <c r="F507" s="110" t="inlineStr">
        <is>
          <t>x</t>
        </is>
      </c>
      <c r="G507" s="118" t="n">
        <v>0.6</v>
      </c>
      <c r="H507" s="110" t="n"/>
      <c r="I507" s="110" t="n"/>
      <c r="J507" s="76" t="inlineStr">
        <is>
          <t>=</t>
        </is>
      </c>
      <c r="K507" s="118">
        <f>IF(C492,C492*E492*G492,"")</f>
        <v/>
      </c>
      <c r="L507" s="66" t="inlineStr">
        <is>
          <t>Sqm</t>
        </is>
      </c>
    </row>
    <row r="508" customFormat="1" s="110">
      <c r="A508" s="80" t="n"/>
      <c r="B508" s="203" t="n"/>
      <c r="C508" s="117" t="n">
        <v>4</v>
      </c>
      <c r="D508" s="204" t="inlineStr">
        <is>
          <t>x</t>
        </is>
      </c>
      <c r="E508" s="75" t="n">
        <v>1.8</v>
      </c>
      <c r="F508" s="204" t="inlineStr">
        <is>
          <t>x</t>
        </is>
      </c>
      <c r="G508" s="75" t="n">
        <v>0.6</v>
      </c>
      <c r="J508" s="202" t="inlineStr">
        <is>
          <t>=</t>
        </is>
      </c>
      <c r="K508" s="75">
        <f>IF(C493,C493*E493*G493,"")</f>
        <v/>
      </c>
      <c r="L508" s="201" t="inlineStr">
        <is>
          <t>Sqm</t>
        </is>
      </c>
    </row>
    <row r="509" customFormat="1" s="110">
      <c r="A509" s="80" t="n"/>
      <c r="B509" s="207" t="inlineStr">
        <is>
          <t>Verticals</t>
        </is>
      </c>
      <c r="C509" s="74">
        <f>C493/2</f>
        <v/>
      </c>
      <c r="D509" s="110" t="inlineStr">
        <is>
          <t>x</t>
        </is>
      </c>
      <c r="E509" s="118">
        <f>E493</f>
        <v/>
      </c>
      <c r="F509" s="110" t="inlineStr">
        <is>
          <t>x</t>
        </is>
      </c>
      <c r="G509" s="118" t="n">
        <v>2</v>
      </c>
      <c r="H509" s="110" t="n"/>
      <c r="I509" s="110" t="n"/>
      <c r="J509" s="76" t="inlineStr">
        <is>
          <t>=</t>
        </is>
      </c>
      <c r="K509" s="118">
        <f>IF(C494,C494*E494*G494,"")</f>
        <v/>
      </c>
      <c r="L509" s="66" t="inlineStr">
        <is>
          <t>Sqm</t>
        </is>
      </c>
    </row>
    <row r="510" customFormat="1" s="110">
      <c r="A510" s="80" t="n"/>
      <c r="B510" s="203" t="n"/>
      <c r="C510" s="74" t="n">
        <v>4</v>
      </c>
      <c r="D510" s="110" t="inlineStr">
        <is>
          <t>x</t>
        </is>
      </c>
      <c r="E510" s="118">
        <f>E493/2</f>
        <v/>
      </c>
      <c r="F510" s="110" t="inlineStr">
        <is>
          <t>x</t>
        </is>
      </c>
      <c r="G510" s="118" t="n">
        <v>0.6</v>
      </c>
      <c r="H510" s="110" t="n"/>
      <c r="I510" s="110" t="n"/>
      <c r="J510" s="76" t="inlineStr">
        <is>
          <t>=</t>
        </is>
      </c>
      <c r="K510" s="118">
        <f>IF(C495,C495*E495*G495,"")</f>
        <v/>
      </c>
      <c r="L510" s="66" t="inlineStr">
        <is>
          <t>Sqm</t>
        </is>
      </c>
    </row>
    <row r="511" ht="180" customFormat="1" customHeight="1" s="110">
      <c r="A511" s="80" t="n"/>
      <c r="B511" s="203" t="n"/>
      <c r="C511" s="117" t="n">
        <v>4</v>
      </c>
      <c r="D511" s="204" t="inlineStr">
        <is>
          <t>x</t>
        </is>
      </c>
      <c r="E511" s="75" t="n">
        <v>1.5</v>
      </c>
      <c r="F511" s="204" t="inlineStr">
        <is>
          <t>x</t>
        </is>
      </c>
      <c r="G511" s="75" t="n">
        <v>0.6</v>
      </c>
      <c r="J511" s="202" t="inlineStr">
        <is>
          <t>=</t>
        </is>
      </c>
      <c r="K511" s="75">
        <f>IF(C496,C496*E496*G496,"")</f>
        <v/>
      </c>
      <c r="L511" s="201" t="inlineStr">
        <is>
          <t>Sqm</t>
        </is>
      </c>
    </row>
    <row r="512" ht="15.75" customFormat="1" customHeight="1" s="110">
      <c r="A512" s="80" t="n"/>
      <c r="B512" s="207" t="inlineStr">
        <is>
          <t>Verticals</t>
        </is>
      </c>
      <c r="C512" s="74">
        <f>C496/2</f>
        <v/>
      </c>
      <c r="D512" s="110" t="inlineStr">
        <is>
          <t>x</t>
        </is>
      </c>
      <c r="E512" s="118">
        <f>E496</f>
        <v/>
      </c>
      <c r="F512" s="110" t="inlineStr">
        <is>
          <t>x</t>
        </is>
      </c>
      <c r="G512" s="118" t="n">
        <v>2</v>
      </c>
      <c r="H512" s="110" t="n"/>
      <c r="I512" s="110" t="n"/>
      <c r="J512" s="76" t="inlineStr">
        <is>
          <t>=</t>
        </is>
      </c>
      <c r="K512" s="118">
        <f>IF(C497,C497*E497*G497,"")</f>
        <v/>
      </c>
      <c r="L512" s="66" t="inlineStr">
        <is>
          <t>Sqm</t>
        </is>
      </c>
    </row>
    <row r="513" customFormat="1" s="110">
      <c r="A513" s="80" t="n"/>
      <c r="B513" s="203" t="n"/>
      <c r="C513" s="74" t="n">
        <v>4</v>
      </c>
      <c r="D513" s="110" t="inlineStr">
        <is>
          <t>x</t>
        </is>
      </c>
      <c r="E513" s="118">
        <f>E496/2</f>
        <v/>
      </c>
      <c r="F513" s="110" t="inlineStr">
        <is>
          <t>x</t>
        </is>
      </c>
      <c r="G513" s="118" t="n">
        <v>0.6</v>
      </c>
      <c r="H513" s="110" t="n"/>
      <c r="I513" s="110" t="n"/>
      <c r="J513" s="76" t="inlineStr">
        <is>
          <t>=</t>
        </is>
      </c>
      <c r="K513" s="118">
        <f>IF(C498,C498*E498*G498,"")</f>
        <v/>
      </c>
      <c r="L513" s="66" t="inlineStr">
        <is>
          <t>Sqm</t>
        </is>
      </c>
    </row>
    <row r="514" ht="180" customFormat="1" customHeight="1" s="110">
      <c r="A514" s="80" t="n"/>
      <c r="B514" s="203" t="n"/>
      <c r="C514" s="117" t="n">
        <v>4</v>
      </c>
      <c r="D514" s="204" t="inlineStr">
        <is>
          <t>x</t>
        </is>
      </c>
      <c r="E514" s="75" t="n">
        <v>1.35</v>
      </c>
      <c r="F514" s="204" t="inlineStr">
        <is>
          <t>x</t>
        </is>
      </c>
      <c r="G514" s="75" t="n">
        <v>0.6</v>
      </c>
      <c r="J514" s="202" t="inlineStr">
        <is>
          <t>=</t>
        </is>
      </c>
      <c r="K514" s="75">
        <f>IF(C499,C499*E499*G499,"")</f>
        <v/>
      </c>
      <c r="L514" s="201" t="inlineStr">
        <is>
          <t>Sqm</t>
        </is>
      </c>
    </row>
    <row r="515" ht="15.75" customFormat="1" customHeight="1" s="110">
      <c r="A515" s="80" t="n"/>
      <c r="B515" s="207" t="inlineStr">
        <is>
          <t>Verticals</t>
        </is>
      </c>
      <c r="C515" s="74">
        <f>C499/2</f>
        <v/>
      </c>
      <c r="D515" s="110" t="inlineStr">
        <is>
          <t>x</t>
        </is>
      </c>
      <c r="E515" s="118">
        <f>E499</f>
        <v/>
      </c>
      <c r="F515" s="110" t="inlineStr">
        <is>
          <t>x</t>
        </is>
      </c>
      <c r="G515" s="118" t="n">
        <v>2</v>
      </c>
      <c r="H515" s="110" t="n"/>
      <c r="I515" s="110" t="n"/>
      <c r="J515" s="76" t="inlineStr">
        <is>
          <t>=</t>
        </is>
      </c>
      <c r="K515" s="118">
        <f>IF(C500,C500*E500*G500,"")</f>
        <v/>
      </c>
      <c r="L515" s="66" t="inlineStr">
        <is>
          <t>Sqm</t>
        </is>
      </c>
    </row>
    <row r="516" ht="15.75" customFormat="1" customHeight="1" s="110">
      <c r="A516" s="80" t="n"/>
      <c r="B516" s="203" t="n"/>
      <c r="C516" s="74" t="n">
        <v>4</v>
      </c>
      <c r="D516" s="110" t="inlineStr">
        <is>
          <t>x</t>
        </is>
      </c>
      <c r="E516" s="118">
        <f>E499/2</f>
        <v/>
      </c>
      <c r="F516" s="110" t="inlineStr">
        <is>
          <t>x</t>
        </is>
      </c>
      <c r="G516" s="118" t="n">
        <v>0.6</v>
      </c>
      <c r="H516" s="110" t="n"/>
      <c r="I516" s="110" t="n"/>
      <c r="J516" s="76" t="inlineStr">
        <is>
          <t>=</t>
        </is>
      </c>
      <c r="K516" s="118">
        <f>IF(C501,C501*E501*G501,"")</f>
        <v/>
      </c>
      <c r="L516" s="66" t="inlineStr">
        <is>
          <t>Sqm</t>
        </is>
      </c>
    </row>
    <row r="517" ht="15.75" customFormat="1" customHeight="1" s="110">
      <c r="A517" s="80" t="n"/>
      <c r="B517" s="203" t="n"/>
      <c r="C517" s="117" t="n">
        <v>6</v>
      </c>
      <c r="D517" s="204" t="inlineStr">
        <is>
          <t>x</t>
        </is>
      </c>
      <c r="E517" s="75" t="n">
        <v>0.75</v>
      </c>
      <c r="F517" s="204" t="inlineStr">
        <is>
          <t>x</t>
        </is>
      </c>
      <c r="G517" s="75" t="n">
        <v>0.6</v>
      </c>
      <c r="J517" s="202" t="inlineStr">
        <is>
          <t>=</t>
        </is>
      </c>
      <c r="K517" s="75">
        <f>IF(C502,C502*E502*G502,"")</f>
        <v/>
      </c>
      <c r="L517" s="201" t="inlineStr">
        <is>
          <t>Sqm</t>
        </is>
      </c>
    </row>
    <row r="518" ht="15.75" customFormat="1" customHeight="1" s="110">
      <c r="A518" s="80" t="n"/>
      <c r="B518" s="207" t="inlineStr">
        <is>
          <t>Verticals</t>
        </is>
      </c>
      <c r="C518" s="74">
        <f>C502/2</f>
        <v/>
      </c>
      <c r="D518" s="110" t="inlineStr">
        <is>
          <t>x</t>
        </is>
      </c>
      <c r="E518" s="118">
        <f>E502</f>
        <v/>
      </c>
      <c r="F518" s="110" t="inlineStr">
        <is>
          <t>x</t>
        </is>
      </c>
      <c r="G518" s="118" t="n">
        <v>2</v>
      </c>
      <c r="H518" s="110" t="n"/>
      <c r="I518" s="110" t="n"/>
      <c r="J518" s="76" t="inlineStr">
        <is>
          <t>=</t>
        </is>
      </c>
      <c r="K518" s="118">
        <f>IF(C503,C503*E503*G503,"")</f>
        <v/>
      </c>
      <c r="L518" s="66" t="inlineStr">
        <is>
          <t>Sqm</t>
        </is>
      </c>
    </row>
    <row r="519" customFormat="1" s="110">
      <c r="A519" s="80" t="n"/>
      <c r="B519" s="203" t="n"/>
      <c r="C519" s="74" t="n">
        <v>4</v>
      </c>
      <c r="D519" s="110" t="inlineStr">
        <is>
          <t>x</t>
        </is>
      </c>
      <c r="E519" s="118">
        <f>E502/2</f>
        <v/>
      </c>
      <c r="F519" s="110" t="inlineStr">
        <is>
          <t>x</t>
        </is>
      </c>
      <c r="G519" s="118" t="n">
        <v>0.6</v>
      </c>
      <c r="H519" s="110" t="n"/>
      <c r="I519" s="110" t="n"/>
      <c r="J519" s="76" t="inlineStr">
        <is>
          <t>=</t>
        </is>
      </c>
      <c r="K519" s="118">
        <f>IF(C504,C504*E504*G504,"")</f>
        <v/>
      </c>
      <c r="L519" s="66" t="inlineStr">
        <is>
          <t>Sqm</t>
        </is>
      </c>
    </row>
    <row r="520" ht="90" customFormat="1" customHeight="1" s="110">
      <c r="A520" s="140" t="n"/>
      <c r="B520" s="183" t="n"/>
      <c r="C520" s="66" t="n"/>
      <c r="E520" s="118" t="n"/>
      <c r="G520" s="34" t="inlineStr">
        <is>
          <t>Total</t>
        </is>
      </c>
      <c r="H520" s="138" t="n"/>
      <c r="I520" s="158" t="n"/>
      <c r="J520" s="138" t="n"/>
      <c r="K520" s="158">
        <f>SUM(K483:K504)</f>
        <v/>
      </c>
      <c r="L520" s="33" t="inlineStr">
        <is>
          <t>Sqm</t>
        </is>
      </c>
    </row>
    <row r="521" customFormat="1" s="110">
      <c r="A521" s="83" t="n"/>
      <c r="B521" s="183" t="inlineStr">
        <is>
          <t>(B) Sand or other approved  stone 50 mm thick</t>
        </is>
      </c>
      <c r="C521" s="118" t="n"/>
      <c r="E521" s="118" t="n"/>
      <c r="F521" s="74" t="n"/>
      <c r="G521" s="67" t="n"/>
    </row>
    <row r="522" customFormat="1" s="110">
      <c r="A522" s="140" t="n"/>
      <c r="B522" s="183" t="inlineStr">
        <is>
          <t>Tank Stand</t>
        </is>
      </c>
      <c r="C522" s="66" t="n">
        <v>4</v>
      </c>
      <c r="D522" s="74" t="inlineStr">
        <is>
          <t>x</t>
        </is>
      </c>
      <c r="E522" s="118" t="n">
        <v>1.5</v>
      </c>
      <c r="F522" s="74" t="inlineStr">
        <is>
          <t>x</t>
        </is>
      </c>
      <c r="G522" s="67" t="n">
        <v>1.5</v>
      </c>
      <c r="I522" s="118" t="n"/>
      <c r="J522" s="76" t="inlineStr">
        <is>
          <t>=</t>
        </is>
      </c>
      <c r="K522" s="118">
        <f>IF(C507,C507*E507*G507,"")</f>
        <v/>
      </c>
      <c r="L522" s="66" t="inlineStr">
        <is>
          <t>Sqm</t>
        </is>
      </c>
    </row>
    <row r="523" customFormat="1" s="110">
      <c r="A523" s="140" t="n"/>
      <c r="B523" s="183" t="inlineStr">
        <is>
          <t>Sore</t>
        </is>
      </c>
      <c r="C523" s="66" t="n">
        <v>4</v>
      </c>
      <c r="D523" s="74" t="inlineStr">
        <is>
          <t>x</t>
        </is>
      </c>
      <c r="E523" s="118" t="n">
        <v>1.5</v>
      </c>
      <c r="F523" s="74" t="inlineStr">
        <is>
          <t>x</t>
        </is>
      </c>
      <c r="G523" s="67" t="n">
        <v>0.75</v>
      </c>
      <c r="I523" s="118" t="n"/>
      <c r="J523" s="76" t="inlineStr">
        <is>
          <t>=</t>
        </is>
      </c>
      <c r="K523" s="118">
        <f>IF(C508,C508*E508*G508,"")</f>
        <v/>
      </c>
      <c r="L523" s="66" t="inlineStr">
        <is>
          <t>Sqm</t>
        </is>
      </c>
    </row>
    <row r="524" customFormat="1" s="110">
      <c r="A524" s="140" t="n"/>
      <c r="B524" s="183" t="inlineStr">
        <is>
          <t>Garage</t>
        </is>
      </c>
      <c r="C524" s="66" t="n">
        <v>4</v>
      </c>
      <c r="D524" s="74" t="inlineStr">
        <is>
          <t>x</t>
        </is>
      </c>
      <c r="E524" s="118" t="n">
        <v>1.5</v>
      </c>
      <c r="F524" s="74" t="inlineStr">
        <is>
          <t>x</t>
        </is>
      </c>
      <c r="G524" s="67" t="n">
        <v>0.75</v>
      </c>
      <c r="I524" s="118" t="n"/>
      <c r="J524" s="76" t="inlineStr">
        <is>
          <t>=</t>
        </is>
      </c>
      <c r="K524" s="118">
        <f>IF(C509,C509*E509*G509,"")</f>
        <v/>
      </c>
      <c r="L524" s="66" t="inlineStr">
        <is>
          <t>Sqm</t>
        </is>
      </c>
    </row>
    <row r="525" ht="75" customFormat="1" customHeight="1" s="110">
      <c r="A525" s="140" t="n"/>
      <c r="B525" s="183" t="n"/>
      <c r="C525" s="66" t="n"/>
      <c r="E525" s="118" t="n"/>
      <c r="G525" s="34" t="inlineStr">
        <is>
          <t>Total</t>
        </is>
      </c>
      <c r="H525" s="138" t="n"/>
      <c r="I525" s="158" t="n"/>
      <c r="J525" s="138" t="n"/>
      <c r="K525" s="158">
        <f>SUM(K507:K509)</f>
        <v/>
      </c>
      <c r="L525" s="33" t="inlineStr">
        <is>
          <t>Sqm</t>
        </is>
      </c>
    </row>
    <row r="526" customFormat="1" s="110">
      <c r="A526" s="186">
        <f>A481+1</f>
        <v/>
      </c>
      <c r="B526" s="183"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526" s="118" t="n"/>
      <c r="E526" s="118" t="n"/>
      <c r="F526" s="74" t="n"/>
      <c r="G526" s="67" t="n"/>
    </row>
    <row r="527" ht="60" customFormat="1" customHeight="1" s="110">
      <c r="A527" s="140" t="n"/>
      <c r="B527" s="203" t="inlineStr">
        <is>
          <t>D3</t>
        </is>
      </c>
      <c r="C527" s="201" t="n">
        <v>3</v>
      </c>
      <c r="D527" s="74" t="inlineStr">
        <is>
          <t>x</t>
        </is>
      </c>
      <c r="E527" s="118" t="n">
        <v>0.9</v>
      </c>
      <c r="F527" s="74" t="inlineStr">
        <is>
          <t>x</t>
        </is>
      </c>
      <c r="G527" s="67" t="n">
        <v>2.1</v>
      </c>
      <c r="H527" s="110" t="n"/>
      <c r="I527" s="118" t="n"/>
      <c r="J527" s="76" t="inlineStr">
        <is>
          <t>=</t>
        </is>
      </c>
      <c r="K527" s="118">
        <f>C512*E512*G512</f>
        <v/>
      </c>
      <c r="L527" s="66" t="inlineStr">
        <is>
          <t>Sqm</t>
        </is>
      </c>
    </row>
    <row r="528" customFormat="1" s="110">
      <c r="A528" s="140" t="n"/>
      <c r="B528" s="183" t="n"/>
      <c r="C528" s="66" t="n"/>
      <c r="E528" s="118" t="n"/>
      <c r="G528" s="34" t="inlineStr">
        <is>
          <t>Total</t>
        </is>
      </c>
      <c r="H528" s="138" t="n"/>
      <c r="I528" s="158" t="n"/>
      <c r="J528" s="138" t="n"/>
      <c r="K528" s="158">
        <f>SUM(K512)</f>
        <v/>
      </c>
      <c r="L528" s="33" t="inlineStr">
        <is>
          <t>Sqm</t>
        </is>
      </c>
    </row>
    <row r="529" customFormat="1" s="110">
      <c r="A529" s="186">
        <f>A511+1</f>
        <v/>
      </c>
      <c r="B529" s="183" t="inlineStr">
        <is>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529" s="118" t="n"/>
      <c r="E529" s="118" t="n"/>
      <c r="F529" s="74" t="n"/>
      <c r="G529" s="67" t="n"/>
    </row>
    <row r="530" customFormat="1" s="110">
      <c r="A530" s="140" t="n"/>
      <c r="B530" s="203" t="inlineStr">
        <is>
          <t>D</t>
        </is>
      </c>
      <c r="C530" s="201" t="n">
        <v>7</v>
      </c>
      <c r="D530" s="74" t="inlineStr">
        <is>
          <t>x</t>
        </is>
      </c>
      <c r="E530" s="118" t="n">
        <v>1.2</v>
      </c>
      <c r="F530" s="74" t="inlineStr">
        <is>
          <t>x</t>
        </is>
      </c>
      <c r="G530" s="67" t="n">
        <v>2.1</v>
      </c>
      <c r="H530" s="110" t="n"/>
      <c r="I530" s="118" t="n"/>
      <c r="J530" s="76" t="inlineStr">
        <is>
          <t>=</t>
        </is>
      </c>
      <c r="K530" s="118">
        <f>C515*E515*G515</f>
        <v/>
      </c>
      <c r="L530" s="66" t="inlineStr">
        <is>
          <t>Sqm</t>
        </is>
      </c>
    </row>
    <row r="531" customFormat="1" s="110">
      <c r="A531" s="140" t="n"/>
      <c r="B531" s="203" t="inlineStr">
        <is>
          <t>D1</t>
        </is>
      </c>
      <c r="C531" s="201" t="n">
        <v>4</v>
      </c>
      <c r="D531" s="74" t="inlineStr">
        <is>
          <t>x</t>
        </is>
      </c>
      <c r="E531" s="118" t="n">
        <v>1.05</v>
      </c>
      <c r="F531" s="74" t="inlineStr">
        <is>
          <t>x</t>
        </is>
      </c>
      <c r="G531" s="67" t="n">
        <v>2.1</v>
      </c>
      <c r="H531" s="110" t="n"/>
      <c r="I531" s="118" t="n"/>
      <c r="J531" s="76" t="inlineStr">
        <is>
          <t>=</t>
        </is>
      </c>
      <c r="K531" s="118">
        <f>C516*E516*G516</f>
        <v/>
      </c>
      <c r="L531" s="66" t="inlineStr">
        <is>
          <t>Sqm</t>
        </is>
      </c>
    </row>
    <row r="532" customFormat="1" s="110">
      <c r="A532" s="140" t="n"/>
      <c r="B532" s="203" t="inlineStr">
        <is>
          <t>D2</t>
        </is>
      </c>
      <c r="C532" s="201" t="n">
        <v>6</v>
      </c>
      <c r="D532" s="74" t="inlineStr">
        <is>
          <t>x</t>
        </is>
      </c>
      <c r="E532" s="118" t="n">
        <v>0.84</v>
      </c>
      <c r="F532" s="74" t="inlineStr">
        <is>
          <t>x</t>
        </is>
      </c>
      <c r="G532" s="67" t="n">
        <v>2.1</v>
      </c>
      <c r="H532" s="110" t="n"/>
      <c r="I532" s="118" t="n"/>
      <c r="J532" s="76" t="inlineStr">
        <is>
          <t>=</t>
        </is>
      </c>
      <c r="K532" s="118">
        <f>C517*E517*G517</f>
        <v/>
      </c>
      <c r="L532" s="66" t="inlineStr">
        <is>
          <t>Sqm</t>
        </is>
      </c>
    </row>
    <row r="533" customFormat="1" s="110">
      <c r="A533" s="140" t="n"/>
      <c r="B533" s="203" t="inlineStr">
        <is>
          <t>D4</t>
        </is>
      </c>
      <c r="C533" s="201" t="n">
        <v>1</v>
      </c>
      <c r="D533" s="74" t="inlineStr">
        <is>
          <t>x</t>
        </is>
      </c>
      <c r="E533" s="118" t="n">
        <v>0.75</v>
      </c>
      <c r="F533" s="74" t="inlineStr">
        <is>
          <t>x</t>
        </is>
      </c>
      <c r="G533" s="67" t="n">
        <v>2.1</v>
      </c>
      <c r="H533" s="110" t="n"/>
      <c r="I533" s="118" t="n"/>
      <c r="J533" s="76" t="inlineStr">
        <is>
          <t>=</t>
        </is>
      </c>
      <c r="K533" s="118">
        <f>C518*E518*G518</f>
        <v/>
      </c>
      <c r="L533" s="66" t="inlineStr">
        <is>
          <t>Sqm</t>
        </is>
      </c>
    </row>
    <row r="534" customFormat="1" s="110">
      <c r="A534" s="140" t="n"/>
      <c r="B534" s="183" t="n"/>
      <c r="C534" s="66" t="n"/>
      <c r="E534" s="118" t="n"/>
      <c r="G534" s="34" t="inlineStr">
        <is>
          <t>Total</t>
        </is>
      </c>
      <c r="H534" s="138" t="n"/>
      <c r="I534" s="158" t="n"/>
      <c r="J534" s="138" t="n"/>
      <c r="K534" s="158">
        <f>SUM(K515:K518)</f>
        <v/>
      </c>
      <c r="L534" s="33" t="inlineStr">
        <is>
          <t>Sqm</t>
        </is>
      </c>
    </row>
    <row r="535" ht="45" customFormat="1" customHeight="1" s="110">
      <c r="A535" s="186" t="n">
        <v>28</v>
      </c>
      <c r="B535" s="183">
        <f>GF1_ABS!B43</f>
        <v/>
      </c>
      <c r="C535" s="118" t="n"/>
      <c r="D535" s="44" t="n"/>
      <c r="E535" s="118" t="n"/>
      <c r="F535" s="175" t="n"/>
      <c r="G535" s="67" t="n"/>
    </row>
    <row r="536" customFormat="1" s="110">
      <c r="A536" s="83" t="n"/>
      <c r="B536" s="183" t="inlineStr">
        <is>
          <t>Qty. of Internal Plaster</t>
        </is>
      </c>
      <c r="C536" s="118" t="n"/>
      <c r="D536" s="44" t="n"/>
      <c r="E536" s="118" t="n"/>
      <c r="F536" s="175" t="n"/>
      <c r="G536" s="67" t="n"/>
      <c r="J536" s="74" t="inlineStr">
        <is>
          <t>=</t>
        </is>
      </c>
      <c r="K536" s="118">
        <f>K378</f>
        <v/>
      </c>
      <c r="L536" s="110" t="inlineStr">
        <is>
          <t>Sqm</t>
        </is>
      </c>
    </row>
    <row r="537" ht="60" customHeight="1" s="9">
      <c r="A537" s="83" t="n"/>
      <c r="B537" s="169" t="inlineStr">
        <is>
          <t>Qty. of Sunshade shuttering</t>
        </is>
      </c>
      <c r="C537" s="193" t="n">
        <v>2</v>
      </c>
      <c r="D537" s="175" t="inlineStr">
        <is>
          <t>x</t>
        </is>
      </c>
      <c r="E537" s="118">
        <f>C206</f>
        <v/>
      </c>
      <c r="F537" s="175" t="n"/>
      <c r="G537" s="67" t="n"/>
      <c r="H537" s="110" t="n"/>
      <c r="I537" s="110" t="n"/>
      <c r="J537" s="74" t="inlineStr">
        <is>
          <t>=</t>
        </is>
      </c>
      <c r="K537" s="118">
        <f>C522*E522</f>
        <v/>
      </c>
      <c r="L537" s="110" t="inlineStr">
        <is>
          <t>Sqm</t>
        </is>
      </c>
    </row>
    <row r="538" customFormat="1" s="110">
      <c r="A538" s="83" t="n"/>
      <c r="B538" s="169" t="inlineStr">
        <is>
          <t>Qty. of Slab shuttering</t>
        </is>
      </c>
      <c r="C538" s="118" t="n"/>
      <c r="D538" s="44" t="n"/>
      <c r="E538" s="118" t="n"/>
      <c r="F538" s="175" t="n"/>
      <c r="G538" s="67" t="n"/>
      <c r="H538" s="110" t="n"/>
      <c r="I538" s="110" t="n"/>
      <c r="J538" s="74" t="inlineStr">
        <is>
          <t>=</t>
        </is>
      </c>
      <c r="K538" s="118">
        <f>C251</f>
        <v/>
      </c>
      <c r="L538" s="110" t="inlineStr">
        <is>
          <t>Sqm</t>
        </is>
      </c>
    </row>
    <row r="539" customFormat="1" s="110">
      <c r="A539" s="140" t="n"/>
      <c r="B539" s="183" t="n"/>
      <c r="C539" s="66" t="n"/>
      <c r="E539" s="118" t="n"/>
      <c r="G539" s="34" t="inlineStr">
        <is>
          <t>Total</t>
        </is>
      </c>
      <c r="H539" s="138" t="n"/>
      <c r="I539" s="158" t="n"/>
      <c r="J539" s="138" t="n"/>
      <c r="K539" s="158">
        <f>SUM(K521:K523)</f>
        <v/>
      </c>
      <c r="L539" s="33" t="inlineStr">
        <is>
          <t>Sqm</t>
        </is>
      </c>
    </row>
    <row r="540" customFormat="1" s="110">
      <c r="A540" s="83">
        <f>A520+1</f>
        <v/>
      </c>
      <c r="B540" s="169">
        <f>GF1_ABS!B44</f>
        <v/>
      </c>
      <c r="C540" s="118" t="n"/>
      <c r="D540" s="44" t="n"/>
      <c r="E540" s="118" t="n"/>
      <c r="F540" s="175" t="n"/>
      <c r="G540" s="67" t="n"/>
    </row>
    <row r="541" customFormat="1" s="110">
      <c r="A541" s="83" t="n"/>
      <c r="B541" s="169" t="inlineStr">
        <is>
          <t>Qty. of External Plaster</t>
        </is>
      </c>
      <c r="C541" s="193" t="n">
        <v>1</v>
      </c>
      <c r="D541" s="175" t="inlineStr">
        <is>
          <t>x</t>
        </is>
      </c>
      <c r="E541" s="15">
        <f>K384</f>
        <v/>
      </c>
      <c r="F541" s="99" t="n"/>
      <c r="G541" s="188" t="n"/>
      <c r="H541" s="70" t="n"/>
      <c r="I541" s="70" t="n"/>
      <c r="J541" s="73" t="inlineStr">
        <is>
          <t>=</t>
        </is>
      </c>
      <c r="K541" s="71">
        <f>K384</f>
        <v/>
      </c>
      <c r="L541" s="70" t="inlineStr">
        <is>
          <t>Sqm</t>
        </is>
      </c>
    </row>
    <row r="542" customFormat="1" s="110">
      <c r="A542" s="83">
        <f>A525+1</f>
        <v/>
      </c>
      <c r="B542" s="183" t="inlineStr">
        <is>
          <t>Applying priming coat with ready mix pink or Grey primer of approved brand and manufacture on wood work hard and soft wood.</t>
        </is>
      </c>
      <c r="C542" s="118" t="n"/>
      <c r="D542" s="44" t="n"/>
      <c r="E542" s="118" t="n"/>
      <c r="F542" s="175" t="n"/>
      <c r="G542" s="67" t="n"/>
    </row>
    <row r="543" customFormat="1" s="110">
      <c r="A543" s="140" t="n"/>
      <c r="B543" s="169" t="inlineStr">
        <is>
          <t>Double Leaf door shutters</t>
        </is>
      </c>
      <c r="C543" s="100">
        <f>K513</f>
        <v/>
      </c>
      <c r="D543" s="14" t="n"/>
      <c r="E543" s="15" t="n"/>
      <c r="F543" s="110" t="inlineStr">
        <is>
          <t>Sqm</t>
        </is>
      </c>
      <c r="G543" s="67" t="n"/>
      <c r="H543" s="89" t="inlineStr">
        <is>
          <t>@</t>
        </is>
      </c>
      <c r="I543" s="187" t="n">
        <v>2.25</v>
      </c>
      <c r="J543" s="76" t="inlineStr">
        <is>
          <t>=</t>
        </is>
      </c>
      <c r="K543" s="118">
        <f>C528*I528</f>
        <v/>
      </c>
      <c r="L543" s="74" t="inlineStr">
        <is>
          <t>Sqm</t>
        </is>
      </c>
    </row>
    <row r="544" customFormat="1" s="110">
      <c r="A544" s="140" t="n"/>
      <c r="B544" s="183" t="inlineStr">
        <is>
          <t>Single Leaf door shutters</t>
        </is>
      </c>
      <c r="C544" s="100">
        <f>K519</f>
        <v/>
      </c>
      <c r="D544" s="14" t="n"/>
      <c r="E544" s="15" t="n"/>
      <c r="F544" s="110" t="inlineStr">
        <is>
          <t>Sqm</t>
        </is>
      </c>
      <c r="G544" s="67" t="n"/>
      <c r="H544" s="89" t="inlineStr">
        <is>
          <t>@</t>
        </is>
      </c>
      <c r="I544" s="187" t="n">
        <v>2.25</v>
      </c>
      <c r="J544" s="76" t="inlineStr">
        <is>
          <t>=</t>
        </is>
      </c>
      <c r="K544" s="118">
        <f>C529*I529</f>
        <v/>
      </c>
      <c r="L544" s="74" t="inlineStr">
        <is>
          <t>Sqm</t>
        </is>
      </c>
    </row>
    <row r="545" customFormat="1" s="110">
      <c r="A545" s="140" t="n"/>
      <c r="B545" s="169" t="inlineStr">
        <is>
          <t>Windows</t>
        </is>
      </c>
      <c r="C545" s="100">
        <f>K409</f>
        <v/>
      </c>
      <c r="D545" s="14" t="n"/>
      <c r="E545" s="15" t="n"/>
      <c r="F545" s="110" t="inlineStr">
        <is>
          <t>Sqm</t>
        </is>
      </c>
      <c r="G545" s="67" t="n"/>
      <c r="H545" s="89" t="inlineStr">
        <is>
          <t>@</t>
        </is>
      </c>
      <c r="I545" s="187" t="n">
        <v>2.6</v>
      </c>
      <c r="J545" s="76" t="inlineStr">
        <is>
          <t>=</t>
        </is>
      </c>
      <c r="K545" s="118">
        <f>C530*I530</f>
        <v/>
      </c>
      <c r="L545" s="74" t="inlineStr">
        <is>
          <t>Sqm</t>
        </is>
      </c>
    </row>
    <row r="546" customFormat="1" s="110">
      <c r="A546" s="140" t="n"/>
      <c r="B546" s="183" t="inlineStr">
        <is>
          <t>Collapsible shutters</t>
        </is>
      </c>
      <c r="C546" s="74" t="n">
        <v>3</v>
      </c>
      <c r="D546" s="110" t="inlineStr">
        <is>
          <t>x</t>
        </is>
      </c>
      <c r="E546" s="118" t="n">
        <v>3</v>
      </c>
      <c r="F546" s="110" t="inlineStr">
        <is>
          <t>x</t>
        </is>
      </c>
      <c r="G546" s="67" t="n">
        <v>2.55</v>
      </c>
      <c r="H546" s="89" t="inlineStr">
        <is>
          <t>@</t>
        </is>
      </c>
      <c r="I546" s="187" t="n">
        <v>2</v>
      </c>
      <c r="J546" s="76" t="inlineStr">
        <is>
          <t>=</t>
        </is>
      </c>
      <c r="K546" s="118">
        <f>C531*E531*G531*I531</f>
        <v/>
      </c>
      <c r="L546" s="74" t="inlineStr">
        <is>
          <t>Sqm</t>
        </is>
      </c>
    </row>
    <row r="547" customFormat="1" s="110">
      <c r="A547" s="140" t="n"/>
      <c r="B547" s="183" t="inlineStr">
        <is>
          <t>Railing</t>
        </is>
      </c>
      <c r="C547" s="74" t="n">
        <v>4</v>
      </c>
      <c r="D547" s="110" t="inlineStr">
        <is>
          <t>x</t>
        </is>
      </c>
      <c r="E547" s="118" t="n">
        <v>4.71</v>
      </c>
      <c r="F547" s="110" t="inlineStr">
        <is>
          <t>x</t>
        </is>
      </c>
      <c r="G547" s="67" t="n">
        <v>1</v>
      </c>
      <c r="H547" s="89" t="inlineStr">
        <is>
          <t>@</t>
        </is>
      </c>
      <c r="I547" s="187" t="n">
        <v>1</v>
      </c>
      <c r="J547" s="76" t="inlineStr">
        <is>
          <t>=</t>
        </is>
      </c>
      <c r="K547" s="118">
        <f>C532*E532*G532*I532</f>
        <v/>
      </c>
      <c r="L547" s="74" t="inlineStr">
        <is>
          <t>Sqm</t>
        </is>
      </c>
    </row>
    <row r="548" ht="60" customFormat="1" customHeight="1" s="110">
      <c r="A548" s="140" t="n"/>
      <c r="B548" s="183" t="inlineStr">
        <is>
          <t>Railing</t>
        </is>
      </c>
      <c r="C548" s="74" t="n">
        <v>3</v>
      </c>
      <c r="D548" s="110" t="inlineStr">
        <is>
          <t>x</t>
        </is>
      </c>
      <c r="E548" s="118" t="n">
        <v>6</v>
      </c>
      <c r="F548" s="110" t="inlineStr">
        <is>
          <t>x</t>
        </is>
      </c>
      <c r="G548" s="67" t="n">
        <v>1</v>
      </c>
      <c r="H548" s="89" t="inlineStr">
        <is>
          <t>@</t>
        </is>
      </c>
      <c r="I548" s="77" t="n">
        <v>1</v>
      </c>
      <c r="J548" s="72" t="inlineStr">
        <is>
          <t>=</t>
        </is>
      </c>
      <c r="K548" s="71">
        <f>C533*E533*G533*I533</f>
        <v/>
      </c>
      <c r="L548" s="73" t="inlineStr">
        <is>
          <t>Sqm</t>
        </is>
      </c>
    </row>
    <row r="549" ht="60" customHeight="1" s="9">
      <c r="A549" s="140" t="n"/>
      <c r="B549" s="169" t="n"/>
      <c r="C549" s="74" t="n"/>
      <c r="E549" s="118" t="n"/>
      <c r="I549" s="34" t="inlineStr">
        <is>
          <t>Total</t>
        </is>
      </c>
      <c r="J549" s="137" t="inlineStr">
        <is>
          <t>=</t>
        </is>
      </c>
      <c r="K549" s="158">
        <f>SUM(K528:K533)</f>
        <v/>
      </c>
      <c r="L549" s="139" t="inlineStr">
        <is>
          <t>Sqm</t>
        </is>
      </c>
    </row>
    <row r="550">
      <c r="A550" s="83">
        <f>A527+1</f>
        <v/>
      </c>
      <c r="B550" s="169" t="inlineStr">
        <is>
          <t>Painting with enamel paint of approved brand and manufacture to give an even shade two or more coats on new work.</t>
        </is>
      </c>
      <c r="C550" s="118" t="n"/>
      <c r="D550" s="44" t="n"/>
      <c r="E550" s="118" t="n"/>
      <c r="F550" s="175" t="n"/>
      <c r="G550" s="67" t="n"/>
    </row>
    <row r="551" ht="90" customHeight="1" s="9">
      <c r="A551" s="83" t="n"/>
      <c r="B551" s="183" t="inlineStr">
        <is>
          <t xml:space="preserve">Qty. of priming </t>
        </is>
      </c>
      <c r="C551" s="118" t="n"/>
      <c r="D551" s="44" t="n"/>
      <c r="E551" s="118" t="n"/>
      <c r="F551" s="175" t="n"/>
      <c r="G551" s="67" t="n"/>
      <c r="K551" s="118">
        <f>K534</f>
        <v/>
      </c>
      <c r="L551" s="74" t="inlineStr">
        <is>
          <t>Sqm</t>
        </is>
      </c>
    </row>
    <row r="552" ht="105" customFormat="1" customHeight="1" s="110">
      <c r="A552" s="83" t="n">
        <v>32</v>
      </c>
      <c r="B552" s="169" t="inlineStr">
        <is>
          <t>Spreading of hot blown bitumen (IS grade 85/25, 90/25 industrial grade) applied at 175 to 180 C @ rate of 1.75 Kg. per Sqm. complete.</t>
        </is>
      </c>
      <c r="C552" s="118" t="n"/>
      <c r="D552" s="44" t="n"/>
      <c r="E552" s="118" t="n"/>
      <c r="F552" s="175" t="n"/>
      <c r="G552" s="67" t="n"/>
      <c r="I552" s="110" t="n"/>
      <c r="K552" s="110" t="n"/>
    </row>
    <row r="553" customFormat="1" s="110">
      <c r="A553" s="140" t="n"/>
      <c r="B553" s="183" t="inlineStr">
        <is>
          <t>Servant room</t>
        </is>
      </c>
      <c r="C553" s="66" t="n">
        <v>1</v>
      </c>
      <c r="D553" s="110" t="inlineStr">
        <is>
          <t>x</t>
        </is>
      </c>
      <c r="E553" s="118" t="n">
        <v>3</v>
      </c>
      <c r="F553" s="110" t="inlineStr">
        <is>
          <t>x</t>
        </is>
      </c>
      <c r="G553" s="118" t="n">
        <v>2.4</v>
      </c>
      <c r="H553" s="110" t="n"/>
      <c r="I553" s="118" t="n"/>
      <c r="J553" s="76" t="inlineStr">
        <is>
          <t>=</t>
        </is>
      </c>
      <c r="K553" s="118">
        <f>IF(C538,C538*E538*G538,"")</f>
        <v/>
      </c>
      <c r="L553" s="66" t="inlineStr">
        <is>
          <t>Sqm</t>
        </is>
      </c>
    </row>
    <row r="554" customFormat="1" s="110">
      <c r="A554" s="140" t="n"/>
      <c r="B554" s="183" t="inlineStr">
        <is>
          <t>Kitchen</t>
        </is>
      </c>
      <c r="C554" s="66" t="n">
        <v>1</v>
      </c>
      <c r="D554" s="110" t="inlineStr">
        <is>
          <t>x</t>
        </is>
      </c>
      <c r="E554" s="118" t="n">
        <v>10.05</v>
      </c>
      <c r="F554" s="110" t="inlineStr">
        <is>
          <t>x</t>
        </is>
      </c>
      <c r="G554" s="118" t="n">
        <v>3.95</v>
      </c>
      <c r="H554" s="110" t="n"/>
      <c r="I554" s="118" t="n"/>
      <c r="J554" s="76" t="inlineStr">
        <is>
          <t>=</t>
        </is>
      </c>
      <c r="K554" s="118">
        <f>IF(C539,C539*E539*G539,"")</f>
        <v/>
      </c>
      <c r="L554" s="66" t="inlineStr">
        <is>
          <t>Sqm</t>
        </is>
      </c>
    </row>
    <row r="555" customFormat="1" s="110">
      <c r="A555" s="140" t="n"/>
      <c r="B555" s="183" t="n"/>
      <c r="C555" s="66" t="n">
        <v>1</v>
      </c>
      <c r="D555" s="110" t="inlineStr">
        <is>
          <t>x</t>
        </is>
      </c>
      <c r="E555" s="118" t="n">
        <v>4.55</v>
      </c>
      <c r="F555" s="110" t="inlineStr">
        <is>
          <t>x</t>
        </is>
      </c>
      <c r="G555" s="118" t="n">
        <v>0.9</v>
      </c>
      <c r="H555" s="110" t="n"/>
      <c r="I555" s="118" t="n"/>
      <c r="J555" s="76" t="inlineStr">
        <is>
          <t>=</t>
        </is>
      </c>
      <c r="K555" s="118">
        <f>IF(C540,C540*E540*G540,"")</f>
        <v/>
      </c>
      <c r="L555" s="66" t="inlineStr">
        <is>
          <t>Sqm</t>
        </is>
      </c>
    </row>
    <row r="556" customFormat="1" s="110">
      <c r="A556" s="140" t="n"/>
      <c r="B556" s="183" t="inlineStr">
        <is>
          <t>Dining</t>
        </is>
      </c>
      <c r="C556" s="66" t="n">
        <v>1</v>
      </c>
      <c r="D556" s="110" t="inlineStr">
        <is>
          <t>x</t>
        </is>
      </c>
      <c r="E556" s="118" t="n">
        <v>8.85</v>
      </c>
      <c r="F556" s="110" t="inlineStr">
        <is>
          <t>x</t>
        </is>
      </c>
      <c r="G556" s="118" t="n">
        <v>8.1</v>
      </c>
      <c r="H556" s="110" t="n"/>
      <c r="I556" s="118" t="n"/>
      <c r="J556" s="76" t="inlineStr">
        <is>
          <t>=</t>
        </is>
      </c>
      <c r="K556" s="118">
        <f>IF(C541,C541*E541*G541,"")</f>
        <v/>
      </c>
      <c r="L556" s="66" t="inlineStr">
        <is>
          <t>Sqm</t>
        </is>
      </c>
    </row>
    <row r="557" customFormat="1" s="110">
      <c r="A557" s="140" t="n"/>
      <c r="B557" s="183" t="n"/>
      <c r="C557" s="66" t="n">
        <v>1</v>
      </c>
      <c r="D557" s="110" t="inlineStr">
        <is>
          <t>x</t>
        </is>
      </c>
      <c r="E557" s="118" t="n">
        <v>10.98</v>
      </c>
      <c r="F557" s="110" t="inlineStr">
        <is>
          <t>x</t>
        </is>
      </c>
      <c r="G557" s="118" t="n">
        <v>8.1</v>
      </c>
      <c r="H557" s="110" t="n"/>
      <c r="I557" s="118" t="n"/>
      <c r="J557" s="76" t="inlineStr">
        <is>
          <t>=</t>
        </is>
      </c>
      <c r="K557" s="118">
        <f>IF(C542,C542*E542*G542,"")</f>
        <v/>
      </c>
      <c r="L557" s="66" t="inlineStr">
        <is>
          <t>Sqm</t>
        </is>
      </c>
    </row>
    <row r="558" customFormat="1" s="110">
      <c r="A558" s="140" t="n"/>
      <c r="B558" s="183" t="inlineStr">
        <is>
          <t>Toilet</t>
        </is>
      </c>
      <c r="C558" s="66" t="n">
        <v>1</v>
      </c>
      <c r="D558" s="110" t="inlineStr">
        <is>
          <t>x</t>
        </is>
      </c>
      <c r="E558" s="118" t="n">
        <v>3.25</v>
      </c>
      <c r="F558" s="110" t="inlineStr">
        <is>
          <t>x</t>
        </is>
      </c>
      <c r="G558" s="118" t="n">
        <v>1.65</v>
      </c>
      <c r="H558" s="110" t="n"/>
      <c r="I558" s="118" t="n"/>
      <c r="J558" s="76" t="inlineStr">
        <is>
          <t>=</t>
        </is>
      </c>
      <c r="K558" s="118">
        <f>IF(C543,C543*E543*G543,"")</f>
        <v/>
      </c>
      <c r="L558" s="66" t="inlineStr">
        <is>
          <t>Sqm</t>
        </is>
      </c>
    </row>
    <row r="559" ht="45" customFormat="1" customHeight="1" s="110">
      <c r="A559" s="140" t="n"/>
      <c r="B559" s="183" t="inlineStr">
        <is>
          <t>Library</t>
        </is>
      </c>
      <c r="C559" s="66" t="n">
        <v>1</v>
      </c>
      <c r="D559" s="110" t="inlineStr">
        <is>
          <t>x</t>
        </is>
      </c>
      <c r="E559" s="118" t="n">
        <v>3.65</v>
      </c>
      <c r="F559" s="110" t="inlineStr">
        <is>
          <t>x</t>
        </is>
      </c>
      <c r="G559" s="118" t="n">
        <v>5</v>
      </c>
      <c r="H559" s="110" t="n"/>
      <c r="I559" s="118" t="n"/>
      <c r="J559" s="76" t="inlineStr">
        <is>
          <t>=</t>
        </is>
      </c>
      <c r="K559" s="118">
        <f>IF(C544,C544*E544*G544,"")</f>
        <v/>
      </c>
      <c r="L559" s="66" t="inlineStr">
        <is>
          <t>Sqm</t>
        </is>
      </c>
    </row>
    <row r="560" customFormat="1" s="110">
      <c r="A560" s="140" t="n"/>
      <c r="B560" s="183" t="inlineStr">
        <is>
          <t>First Floor</t>
        </is>
      </c>
      <c r="C560" s="66" t="n">
        <v>1</v>
      </c>
      <c r="D560" s="110" t="inlineStr">
        <is>
          <t>x</t>
        </is>
      </c>
      <c r="E560" s="118" t="n">
        <v>3</v>
      </c>
      <c r="F560" s="110" t="inlineStr">
        <is>
          <t>x</t>
        </is>
      </c>
      <c r="G560" s="118" t="n">
        <v>7.5</v>
      </c>
      <c r="H560" s="110" t="n"/>
      <c r="I560" s="118" t="n"/>
      <c r="J560" s="76" t="inlineStr">
        <is>
          <t>=</t>
        </is>
      </c>
      <c r="K560" s="118">
        <f>IF(C545,C545*E545*G545,"")</f>
        <v/>
      </c>
      <c r="L560" s="66" t="inlineStr">
        <is>
          <t>Sqm</t>
        </is>
      </c>
    </row>
    <row r="561" ht="60" customFormat="1" customHeight="1" s="110">
      <c r="A561" s="140" t="n"/>
      <c r="B561" s="183" t="n"/>
      <c r="C561" s="66" t="n">
        <v>1</v>
      </c>
      <c r="D561" s="110" t="inlineStr">
        <is>
          <t>x</t>
        </is>
      </c>
      <c r="E561" s="118" t="n">
        <v>1.9</v>
      </c>
      <c r="F561" s="110" t="inlineStr">
        <is>
          <t>x</t>
        </is>
      </c>
      <c r="G561" s="118" t="n">
        <v>3.6</v>
      </c>
      <c r="H561" s="110" t="n"/>
      <c r="I561" s="118" t="n"/>
      <c r="J561" s="76" t="inlineStr">
        <is>
          <t>=</t>
        </is>
      </c>
      <c r="K561" s="118">
        <f>IF(C546,C546*E546*G546,"")</f>
        <v/>
      </c>
      <c r="L561" s="66" t="inlineStr">
        <is>
          <t>Sqm</t>
        </is>
      </c>
    </row>
    <row r="562" customFormat="1" s="110">
      <c r="A562" s="140" t="n"/>
      <c r="B562" s="183" t="n"/>
      <c r="C562" s="66" t="n"/>
      <c r="E562" s="34" t="inlineStr">
        <is>
          <t>Total</t>
        </is>
      </c>
      <c r="F562" s="138" t="n"/>
      <c r="G562" s="34" t="n"/>
      <c r="H562" s="138" t="n"/>
      <c r="I562" s="158" t="n"/>
      <c r="J562" s="138" t="n"/>
      <c r="K562" s="158">
        <f>SUM(K538:K546)</f>
        <v/>
      </c>
      <c r="L562" s="33" t="inlineStr">
        <is>
          <t>Sqm</t>
        </is>
      </c>
    </row>
    <row r="563" customFormat="1" s="110">
      <c r="A563" s="83" t="n">
        <v>33</v>
      </c>
      <c r="B563" s="169" t="inlineStr">
        <is>
          <t xml:space="preserve">Providing brick kharanja in cement sand mortar 1 : 4 in square pattern over roof of ground  floor  75 to 100 mm thick average. </t>
        </is>
      </c>
      <c r="C563" s="118" t="n"/>
      <c r="D563" s="44" t="n"/>
      <c r="E563" s="118" t="inlineStr">
        <is>
          <t>Qty. same as Brick Kharanja</t>
        </is>
      </c>
      <c r="F563" s="175" t="n"/>
      <c r="G563" s="67" t="n"/>
      <c r="H563" s="110" t="n"/>
      <c r="I563" s="110" t="n"/>
      <c r="J563" s="76" t="inlineStr">
        <is>
          <t>=</t>
        </is>
      </c>
      <c r="K563" s="118">
        <f>K547</f>
        <v/>
      </c>
      <c r="L563" s="110" t="inlineStr">
        <is>
          <t>Sqm</t>
        </is>
      </c>
    </row>
    <row r="564" customFormat="1" s="110">
      <c r="A564" s="83" t="n">
        <v>34</v>
      </c>
      <c r="B564" s="169" t="inlineStr">
        <is>
          <t>Providing batta (gola) 75 mm x 75 mm in cement concrete (1 :2 :4) including finishing with cement mortar 1 : 3 as per standard design.</t>
        </is>
      </c>
      <c r="C564" s="118" t="n"/>
      <c r="D564" s="44" t="n"/>
      <c r="E564" s="118" t="n"/>
      <c r="F564" s="175" t="n"/>
      <c r="G564" s="67" t="n"/>
      <c r="I564" s="110" t="n"/>
      <c r="K564" s="110" t="n"/>
    </row>
    <row r="565" ht="210" customHeight="1" s="9">
      <c r="A565" s="83" t="n"/>
      <c r="B565" s="169" t="inlineStr">
        <is>
          <t>@' 0.25 M per Sqm of Kharanja</t>
        </is>
      </c>
      <c r="C565" s="118" t="n"/>
      <c r="D565" s="44" t="n"/>
      <c r="E565" s="118">
        <f>K547</f>
        <v/>
      </c>
      <c r="F565" s="140" t="inlineStr">
        <is>
          <t xml:space="preserve">@' 0.25 M per Sqm </t>
        </is>
      </c>
      <c r="G565" s="140" t="n"/>
      <c r="H565" s="140" t="n"/>
      <c r="I565" s="140" t="n"/>
      <c r="J565" s="140" t="inlineStr">
        <is>
          <t>=</t>
        </is>
      </c>
      <c r="K565" s="196">
        <f>E550*0.25</f>
        <v/>
      </c>
      <c r="L565" s="66" t="inlineStr">
        <is>
          <t>Sqm</t>
        </is>
      </c>
    </row>
    <row r="566" customFormat="1" s="110">
      <c r="A566" s="83">
        <f>IF(A549,A549+1,#REF!+1)</f>
        <v/>
      </c>
      <c r="B566" s="169" t="inlineStr">
        <is>
          <t xml:space="preserve">Finishing with  25 mm thick cement plaster on roofs in cement sand mortar 1:4 mix including water proofing compound @ 2% of cement used with neat cement finishing, curing etc. complete in all respects. </t>
        </is>
      </c>
      <c r="C566" s="118" t="n"/>
      <c r="D566" s="44" t="n"/>
      <c r="E566" s="118" t="inlineStr">
        <is>
          <t>Qty. same as Brick Kharanja</t>
        </is>
      </c>
      <c r="F566" s="175" t="n"/>
      <c r="G566" s="67" t="n"/>
      <c r="I566" s="110" t="n"/>
      <c r="J566" s="76" t="inlineStr">
        <is>
          <t>=</t>
        </is>
      </c>
      <c r="K566" s="118">
        <f>K547</f>
        <v/>
      </c>
      <c r="L566" s="110" t="inlineStr">
        <is>
          <t>Sqm</t>
        </is>
      </c>
    </row>
    <row r="567" customFormat="1" s="110">
      <c r="A567" s="83" t="n">
        <v>36</v>
      </c>
      <c r="B567" s="169" t="inlineStr">
        <is>
          <t>Providing and fixing Ist quality white Glazed  Tiles of approved make &amp; size (Somani, Johnson etc.)  5 mm thick in walls, floors, steps, pillars etc. laid on a bed of neat cement slurry  finished with flush pointing with white cement  ( excluding cost of cement plaster)</t>
        </is>
      </c>
      <c r="C567" s="118" t="n"/>
      <c r="D567" s="44" t="n"/>
      <c r="E567" s="118" t="n"/>
      <c r="F567" s="175" t="n"/>
      <c r="G567" s="67" t="n"/>
    </row>
    <row r="568" customFormat="1" s="110">
      <c r="A568" s="140" t="n"/>
      <c r="B568" s="183" t="inlineStr">
        <is>
          <t>Kitchen</t>
        </is>
      </c>
      <c r="C568" s="66" t="n">
        <v>2</v>
      </c>
      <c r="D568" s="74" t="inlineStr">
        <is>
          <t>x</t>
        </is>
      </c>
      <c r="E568" s="118" t="n">
        <v>3</v>
      </c>
      <c r="F568" s="74" t="inlineStr">
        <is>
          <t>x</t>
        </is>
      </c>
      <c r="G568" s="67" t="n">
        <v>0.6</v>
      </c>
      <c r="I568" s="118" t="n"/>
      <c r="J568" s="76" t="inlineStr">
        <is>
          <t>=</t>
        </is>
      </c>
      <c r="K568" s="118">
        <f>IF(C553,C553*E553*G553,"")</f>
        <v/>
      </c>
      <c r="L568" s="66" t="inlineStr">
        <is>
          <t>Sqm</t>
        </is>
      </c>
    </row>
    <row r="569" customFormat="1" s="110">
      <c r="A569" s="140" t="n"/>
      <c r="B569" s="183" t="inlineStr">
        <is>
          <t>Toilets</t>
        </is>
      </c>
      <c r="C569" s="66" t="n">
        <v>2</v>
      </c>
      <c r="D569" s="74" t="inlineStr">
        <is>
          <t>x</t>
        </is>
      </c>
      <c r="E569" s="118" t="n">
        <v>8.1</v>
      </c>
      <c r="F569" s="74" t="inlineStr">
        <is>
          <t>x</t>
        </is>
      </c>
      <c r="G569" s="67" t="n">
        <v>2.1</v>
      </c>
      <c r="I569" s="118" t="n"/>
      <c r="J569" s="76" t="inlineStr">
        <is>
          <t>=</t>
        </is>
      </c>
      <c r="K569" s="118">
        <f>IF(C554,C554*E554*G554,"")</f>
        <v/>
      </c>
      <c r="L569" s="66" t="inlineStr">
        <is>
          <t>Sqm</t>
        </is>
      </c>
    </row>
    <row r="570">
      <c r="A570" s="140" t="n"/>
      <c r="B570" s="183" t="n"/>
      <c r="C570" s="66" t="n">
        <v>1</v>
      </c>
      <c r="D570" s="74" t="inlineStr">
        <is>
          <t>x</t>
        </is>
      </c>
      <c r="E570" s="118" t="n">
        <v>6.3</v>
      </c>
      <c r="F570" s="74" t="inlineStr">
        <is>
          <t>x</t>
        </is>
      </c>
      <c r="G570" s="67" t="n">
        <v>2.1</v>
      </c>
      <c r="I570" s="118" t="n"/>
      <c r="J570" s="76" t="inlineStr">
        <is>
          <t>=</t>
        </is>
      </c>
      <c r="K570" s="118">
        <f>IF(C555,C555*E555*G555,"")</f>
        <v/>
      </c>
      <c r="L570" s="66" t="inlineStr">
        <is>
          <t>Sqm</t>
        </is>
      </c>
    </row>
    <row r="571">
      <c r="A571" s="140" t="n"/>
      <c r="B571" s="183" t="n"/>
      <c r="C571" s="66" t="n">
        <v>1</v>
      </c>
      <c r="D571" s="74" t="inlineStr">
        <is>
          <t>x</t>
        </is>
      </c>
      <c r="E571" s="118" t="n">
        <v>9</v>
      </c>
      <c r="F571" s="74" t="inlineStr">
        <is>
          <t>x</t>
        </is>
      </c>
      <c r="G571" s="67" t="n">
        <v>2.1</v>
      </c>
      <c r="I571" s="118" t="n"/>
      <c r="J571" s="76" t="inlineStr">
        <is>
          <t>=</t>
        </is>
      </c>
      <c r="K571" s="118">
        <f>IF(C556,C556*E556*G556,"")</f>
        <v/>
      </c>
      <c r="L571" s="66" t="inlineStr">
        <is>
          <t>Sqm</t>
        </is>
      </c>
    </row>
    <row r="572">
      <c r="A572" s="140" t="n"/>
      <c r="B572" s="183" t="inlineStr">
        <is>
          <t>WC</t>
        </is>
      </c>
      <c r="C572" s="66" t="n">
        <v>1</v>
      </c>
      <c r="D572" s="74" t="inlineStr">
        <is>
          <t>x</t>
        </is>
      </c>
      <c r="E572" s="118">
        <f>16.5*0.3</f>
        <v/>
      </c>
      <c r="F572" s="74" t="inlineStr">
        <is>
          <t>x</t>
        </is>
      </c>
      <c r="G572" s="67" t="n">
        <v>1.2</v>
      </c>
      <c r="I572" s="118" t="n"/>
      <c r="J572" s="76" t="inlineStr">
        <is>
          <t>=</t>
        </is>
      </c>
      <c r="K572" s="118">
        <f>IF(C557,C557*E557*G557,"")</f>
        <v/>
      </c>
      <c r="L572" s="66" t="inlineStr">
        <is>
          <t>Sqm</t>
        </is>
      </c>
    </row>
    <row r="573">
      <c r="A573" s="140" t="n"/>
      <c r="B573" s="183" t="n"/>
      <c r="C573" s="66" t="n"/>
      <c r="E573" s="118" t="n"/>
      <c r="G573" s="184" t="n"/>
      <c r="H573" s="110" t="n"/>
      <c r="I573" s="34" t="inlineStr">
        <is>
          <t>Total</t>
        </is>
      </c>
      <c r="J573" s="137" t="inlineStr">
        <is>
          <t>=</t>
        </is>
      </c>
      <c r="K573" s="158">
        <f>SUM(K553:K557)</f>
        <v/>
      </c>
      <c r="L573" s="33" t="inlineStr">
        <is>
          <t>Sqm</t>
        </is>
      </c>
    </row>
    <row r="574">
      <c r="A574" s="83">
        <f>A552+1</f>
        <v/>
      </c>
      <c r="B574" s="183" t="inlineStr">
        <is>
          <t>Supplying and fixing ashlar rain water spouts fine ( 3 line) dressed as per approved design of size 60 x 30 x 25 cm.</t>
        </is>
      </c>
      <c r="C574" s="66" t="n">
        <v>10</v>
      </c>
      <c r="D574" s="74" t="inlineStr">
        <is>
          <t>x</t>
        </is>
      </c>
      <c r="E574" s="118" t="n">
        <v>1</v>
      </c>
      <c r="F574" s="74" t="n"/>
      <c r="G574" s="67" t="n"/>
      <c r="I574" s="118" t="n"/>
      <c r="J574" s="76" t="inlineStr">
        <is>
          <t>=</t>
        </is>
      </c>
      <c r="K574" s="118">
        <f>C559*E559</f>
        <v/>
      </c>
      <c r="L574" s="66" t="inlineStr">
        <is>
          <t>Nos.</t>
        </is>
      </c>
    </row>
    <row r="575">
      <c r="A575" s="140" t="n"/>
      <c r="B575" s="183" t="n"/>
      <c r="C575" s="66" t="n"/>
      <c r="E575" s="118" t="n"/>
      <c r="G575" s="184" t="n"/>
      <c r="H575" s="110" t="n"/>
      <c r="I575" s="34" t="inlineStr">
        <is>
          <t>Total</t>
        </is>
      </c>
      <c r="J575" s="137" t="inlineStr">
        <is>
          <t>=</t>
        </is>
      </c>
      <c r="K575" s="158">
        <f>SUM(K559:K559)</f>
        <v/>
      </c>
      <c r="L575" s="66" t="inlineStr">
        <is>
          <t>Nos.</t>
        </is>
      </c>
    </row>
    <row r="576">
      <c r="A576" s="186" t="n">
        <v>38</v>
      </c>
      <c r="B576" s="183" t="inlineStr">
        <is>
          <t>Providing and fixing precast cement concrete coping 1:2:4 mix 50 mm thick complete as per specification 50 mm thick.</t>
        </is>
      </c>
      <c r="C576" s="215" t="n"/>
      <c r="D576" s="214" t="n"/>
      <c r="E576" s="215" t="n"/>
      <c r="F576" s="118" t="n"/>
      <c r="L576" s="214" t="n"/>
    </row>
    <row r="577">
      <c r="A577" s="140" t="n"/>
      <c r="B577" s="183" t="inlineStr">
        <is>
          <t>Coping GF Parapet  300 mm wall</t>
        </is>
      </c>
      <c r="C577" s="66" t="n">
        <v>1</v>
      </c>
      <c r="D577" s="110" t="inlineStr">
        <is>
          <t>x</t>
        </is>
      </c>
      <c r="E577" s="118">
        <f>K39</f>
        <v/>
      </c>
      <c r="F577" s="110" t="inlineStr">
        <is>
          <t>x</t>
        </is>
      </c>
      <c r="G577" s="67" t="n">
        <v>0.35</v>
      </c>
      <c r="I577" s="118" t="n"/>
      <c r="J577" s="76" t="inlineStr">
        <is>
          <t>=</t>
        </is>
      </c>
      <c r="K577" s="118">
        <f>IF(C562,C562*E562*G562,"")</f>
        <v/>
      </c>
      <c r="L577" s="66" t="inlineStr">
        <is>
          <t>Sqm</t>
        </is>
      </c>
    </row>
    <row r="578">
      <c r="A578" s="140" t="n"/>
      <c r="B578" s="183" t="inlineStr">
        <is>
          <t>Coping FF Parapet  150 mm wall</t>
        </is>
      </c>
      <c r="C578" s="66" t="n">
        <v>1</v>
      </c>
      <c r="D578" s="110" t="inlineStr">
        <is>
          <t>x</t>
        </is>
      </c>
      <c r="E578" s="118">
        <f>K39</f>
        <v/>
      </c>
      <c r="F578" s="110" t="inlineStr">
        <is>
          <t>x</t>
        </is>
      </c>
      <c r="G578" s="67" t="n">
        <v>0.2</v>
      </c>
      <c r="I578" s="118" t="n"/>
      <c r="J578" s="76" t="inlineStr">
        <is>
          <t>=</t>
        </is>
      </c>
      <c r="K578" s="118">
        <f>IF(C563,C563*E563*G563,"")</f>
        <v/>
      </c>
      <c r="L578" s="66" t="inlineStr">
        <is>
          <t>Sqm</t>
        </is>
      </c>
    </row>
    <row r="579">
      <c r="A579" s="140" t="n"/>
      <c r="B579" s="183" t="n"/>
      <c r="C579" s="66" t="n"/>
      <c r="D579" s="74" t="n"/>
      <c r="E579" s="118" t="n"/>
      <c r="F579" s="74" t="n"/>
      <c r="G579" s="67" t="n"/>
      <c r="H579" s="110" t="n"/>
      <c r="I579" s="34" t="inlineStr">
        <is>
          <t>Total</t>
        </is>
      </c>
      <c r="J579" s="137" t="inlineStr">
        <is>
          <t>=</t>
        </is>
      </c>
      <c r="K579" s="158">
        <f>SUM(K562:K563)</f>
        <v/>
      </c>
      <c r="L579" s="33" t="inlineStr">
        <is>
          <t>Sqm</t>
        </is>
      </c>
    </row>
    <row r="580">
      <c r="A580" s="156" t="n">
        <v>39</v>
      </c>
      <c r="B580" s="152" t="inlineStr">
        <is>
          <t>Supplying and fixing rolling shutters of approved make, made of 80 x 1.25 mm MS laths interlocked together through their entire length and jointed together at the end by end locks mounted on specially designed pipe shaft with brackets, side guides and arrangement for inside and outside locking with push and pull operation complete including cost of spring hooks, providing and fixing necessary 25.3 cm long wire springs grade No.2 and MS top cover 1.25 mm thick for rolling shutters as per design. (Clear openable area to be measured.)</t>
        </is>
      </c>
      <c r="C580" s="66" t="n">
        <v>1</v>
      </c>
      <c r="D580" s="110" t="inlineStr">
        <is>
          <t>x</t>
        </is>
      </c>
      <c r="E580" s="118" t="n">
        <v>2.7</v>
      </c>
      <c r="F580" s="110" t="inlineStr">
        <is>
          <t>x</t>
        </is>
      </c>
      <c r="G580" s="67" t="n">
        <v>2.4</v>
      </c>
      <c r="H580" s="110" t="n"/>
      <c r="I580" s="118" t="n"/>
      <c r="J580" s="76" t="inlineStr">
        <is>
          <t>=</t>
        </is>
      </c>
      <c r="K580" s="118">
        <f>IF(C565,C565*E565*G565,"")</f>
        <v/>
      </c>
      <c r="L580" s="66" t="inlineStr">
        <is>
          <t>Sqm</t>
        </is>
      </c>
    </row>
    <row r="581">
      <c r="A581" s="140" t="n"/>
      <c r="B581" s="183" t="inlineStr">
        <is>
          <t>Garage</t>
        </is>
      </c>
      <c r="G581" s="67" t="n"/>
    </row>
    <row r="582">
      <c r="A582" s="140" t="n"/>
      <c r="B582" s="183" t="n"/>
      <c r="C582" s="66" t="n"/>
      <c r="D582" s="74" t="n"/>
      <c r="E582" s="118" t="n"/>
      <c r="F582" s="74" t="n"/>
      <c r="G582" s="67" t="n"/>
      <c r="H582" s="110" t="n"/>
      <c r="I582" s="118" t="n"/>
      <c r="J582" s="76" t="n"/>
      <c r="K582" s="118" t="n"/>
      <c r="L582" s="66" t="n"/>
    </row>
    <row r="583">
      <c r="A583" s="10" t="n"/>
      <c r="B583" s="176" t="inlineStr">
        <is>
          <t>ASSISTANT ENGINEER,</t>
        </is>
      </c>
      <c r="F583" s="14" t="n"/>
      <c r="K583" s="189" t="inlineStr">
        <is>
          <t>EXECUTIVE  ENGINEER,</t>
        </is>
      </c>
    </row>
    <row r="584">
      <c r="A584" s="10" t="n"/>
      <c r="B584" s="176" t="inlineStr">
        <is>
          <t>P.W.D. Sub Div.- NATHDWARA</t>
        </is>
      </c>
      <c r="F584" s="14" t="n"/>
      <c r="K584" s="189" t="inlineStr">
        <is>
          <t>P.W.D. Div.- RAJSAMAND</t>
        </is>
      </c>
    </row>
  </sheetData>
  <mergeCells count="6">
    <mergeCell ref="A2:L2"/>
    <mergeCell ref="G420:H420"/>
    <mergeCell ref="A1:L1"/>
    <mergeCell ref="A3:L3"/>
    <mergeCell ref="C357:E357"/>
    <mergeCell ref="C323:D323"/>
  </mergeCells>
  <printOptions horizontalCentered="1"/>
  <pageMargins left="0.75" right="0.16" top="0.75" bottom="0.75" header="0.5" footer="0.5"/>
  <pageSetup orientation="portrait" paperSize="9" scale="88" fitToHeight="30" horizontalDpi="180" verticalDpi="180"/>
  <headerFooter alignWithMargins="0">
    <oddHeader/>
    <oddFooter>&amp;CMes -  &amp;P</oddFooter>
    <evenHeader/>
    <evenFooter/>
    <firstHeader/>
    <firstFooter/>
  </headerFooter>
  <rowBreaks count="1" manualBreakCount="1">
    <brk id="409" min="0" max="16383" man="1"/>
  </rowBreaks>
</worksheet>
</file>

<file path=xl/worksheets/sheet5.xml><?xml version="1.0" encoding="utf-8"?>
<worksheet xmlns="http://schemas.openxmlformats.org/spreadsheetml/2006/main">
  <sheetPr>
    <outlinePr summaryBelow="1" summaryRight="1"/>
    <pageSetUpPr/>
  </sheetPr>
  <dimension ref="A1:L87"/>
  <sheetViews>
    <sheetView zoomScaleNormal="100" zoomScaleSheetLayoutView="100" workbookViewId="0">
      <selection activeCell="C11" sqref="C11"/>
    </sheetView>
    <sheetView topLeftCell="A96" workbookViewId="1">
      <selection activeCell="E98" sqref="E98"/>
    </sheetView>
    <sheetView view="pageBreakPreview" topLeftCell="A33" zoomScale="60" zoomScaleNormal="100" workbookViewId="2">
      <selection activeCell="C36" sqref="C36"/>
    </sheetView>
  </sheetViews>
  <sheetFormatPr baseColWidth="8" defaultRowHeight="15"/>
  <cols>
    <col width="4.44140625" bestFit="1" customWidth="1" style="40" min="1" max="1"/>
    <col width="36.44140625" customWidth="1" style="147" min="2" max="2"/>
    <col width="7.88671875" customWidth="1" style="23" min="3" max="3"/>
    <col width="5.21875" customWidth="1" style="44" min="4" max="4"/>
    <col width="8.44140625" bestFit="1" customWidth="1" style="92" min="5" max="5"/>
    <col width="5.21875" customWidth="1" style="44" min="6" max="6"/>
    <col width="10.88671875" customWidth="1" style="92" min="7" max="7"/>
    <col width="8.88671875" customWidth="1" style="167" min="8" max="8"/>
  </cols>
  <sheetData>
    <row r="1" ht="24" customFormat="1" customHeight="1" s="110">
      <c r="A1" s="211">
        <f>'gen-abstract'!A2</f>
        <v/>
      </c>
      <c r="H1" s="199" t="n"/>
    </row>
    <row r="2" customFormat="1" s="110">
      <c r="A2" s="217" t="inlineStr">
        <is>
          <t>PART 'B'  SANITARY &amp; WATER SUPPLY  WORK</t>
        </is>
      </c>
      <c r="H2" s="199" t="n"/>
    </row>
    <row r="3" customFormat="1" s="110">
      <c r="A3" s="216" t="inlineStr">
        <is>
          <t>ABSTRACT OF COST</t>
        </is>
      </c>
      <c r="B3" s="7" t="n"/>
      <c r="C3" s="7" t="n"/>
      <c r="D3" s="7" t="n"/>
      <c r="E3" s="7" t="n"/>
      <c r="F3" s="7" t="n"/>
      <c r="G3" s="7" t="n"/>
      <c r="H3" s="199" t="n"/>
    </row>
    <row r="4" customFormat="1" s="110">
      <c r="A4" s="36" t="inlineStr">
        <is>
          <t>S.No.</t>
        </is>
      </c>
      <c r="B4" s="168" t="inlineStr">
        <is>
          <t>Particulars.</t>
        </is>
      </c>
      <c r="C4" s="30" t="inlineStr">
        <is>
          <t xml:space="preserve">Quantity </t>
        </is>
      </c>
      <c r="D4" s="49" t="n"/>
      <c r="E4" s="30" t="inlineStr">
        <is>
          <t>Rate</t>
        </is>
      </c>
      <c r="F4" s="49" t="inlineStr">
        <is>
          <t>Unit</t>
        </is>
      </c>
      <c r="G4" s="144" t="inlineStr">
        <is>
          <t>Amount</t>
        </is>
      </c>
      <c r="H4" s="199" t="n"/>
    </row>
    <row r="5" ht="75" customHeight="1" s="9">
      <c r="A5" s="1" t="n">
        <v>1</v>
      </c>
      <c r="B5" s="155" t="inlineStr">
        <is>
          <t>P &amp; F Indian Type white glazed vitreous china Ist quality WC Orissa Pan (IS : 2556 Mark) with 100 mm vitreous china P or S trap including cutting and making good the wall and floor. Size 580x440 mm</t>
        </is>
      </c>
      <c r="C5" s="87" t="n">
        <v>2</v>
      </c>
      <c r="D5" s="39" t="inlineStr">
        <is>
          <t>Nos.</t>
        </is>
      </c>
      <c r="E5" s="92" t="n">
        <v>890</v>
      </c>
      <c r="F5" s="44" t="inlineStr">
        <is>
          <t>Each</t>
        </is>
      </c>
      <c r="G5" s="67">
        <f>IF(C5,ROUNDUP(C5*E5,0),"")</f>
        <v/>
      </c>
    </row>
    <row r="6" ht="45" customHeight="1" s="9">
      <c r="A6" s="1">
        <f>A5+1</f>
        <v/>
      </c>
      <c r="B6" s="155" t="inlineStr">
        <is>
          <t>P &amp; F Flush cock/Flush valve (IS : 9758 Mark) for WC of approved quality make : C.P. Brass concealed 25 mm</t>
        </is>
      </c>
      <c r="C6" s="87" t="n">
        <v>2</v>
      </c>
      <c r="D6" s="39" t="inlineStr">
        <is>
          <t>Nos.</t>
        </is>
      </c>
      <c r="E6" s="92" t="n">
        <v>650</v>
      </c>
      <c r="F6" s="44" t="inlineStr">
        <is>
          <t>Each</t>
        </is>
      </c>
      <c r="G6" s="67">
        <f>IF(C6,ROUNDUP(C6*E6,0),"")</f>
        <v/>
      </c>
    </row>
    <row r="7" ht="105" customHeight="1" s="9">
      <c r="A7" s="1">
        <f>IF(A6,A6+1,#REF!+1)</f>
        <v/>
      </c>
      <c r="B7" s="147" t="inlineStr">
        <is>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is>
      </c>
      <c r="C7" s="87" t="n">
        <v>4</v>
      </c>
      <c r="D7" s="39" t="inlineStr">
        <is>
          <t>Nos.</t>
        </is>
      </c>
      <c r="E7" s="92" t="n">
        <v>1250</v>
      </c>
      <c r="F7" s="44" t="inlineStr">
        <is>
          <t>Each</t>
        </is>
      </c>
      <c r="G7" s="67">
        <f>IF(C7,ROUNDUP(C7*E7,0),"")</f>
        <v/>
      </c>
    </row>
    <row r="8" ht="75" customHeight="1" s="9">
      <c r="A8" s="1">
        <f>IF(A7,A7+1,A6+1)</f>
        <v/>
      </c>
      <c r="B8" s="147" t="inlineStr">
        <is>
          <t xml:space="preserve">P&amp;F beveled edge mirror of special glass of approved make (Atul or equivalent) complete with 6 mm thick Asbestos Cement  sheet ground fixed to wooden screws &amp; washers sizes 600 x 450 mm x 4 mm thick. </t>
        </is>
      </c>
      <c r="C8" s="87" t="n">
        <v>4</v>
      </c>
      <c r="D8" s="39" t="inlineStr">
        <is>
          <t>Nos.</t>
        </is>
      </c>
      <c r="E8" s="92" t="n">
        <v>210</v>
      </c>
      <c r="F8" s="44" t="inlineStr">
        <is>
          <t>Each</t>
        </is>
      </c>
      <c r="G8" s="67">
        <f>IF(C8,ROUNDUP(C8*E8,0),"")</f>
        <v/>
      </c>
    </row>
    <row r="9" ht="30" customHeight="1" s="9">
      <c r="A9" s="1">
        <f>IF(A8,A8+1,A7+1)</f>
        <v/>
      </c>
      <c r="B9" s="155" t="inlineStr">
        <is>
          <t>P &amp; F grating of approved/quality make : Cast iron.</t>
        </is>
      </c>
      <c r="C9" s="87" t="n">
        <v>8</v>
      </c>
      <c r="D9" s="39" t="inlineStr">
        <is>
          <t>Nos.</t>
        </is>
      </c>
      <c r="E9" s="92" t="n">
        <v>30</v>
      </c>
      <c r="F9" s="44" t="inlineStr">
        <is>
          <t>Each</t>
        </is>
      </c>
      <c r="G9" s="67">
        <f>IF(C9,ROUNDUP(C9*E9,0),"")</f>
        <v/>
      </c>
    </row>
    <row r="10" ht="45" customHeight="1" s="9">
      <c r="A10" s="1">
        <f>IF(A9,A9+1,A8+1)</f>
        <v/>
      </c>
      <c r="B10" s="147" t="inlineStr">
        <is>
          <t xml:space="preserve">P &amp; F GI Pipes (Internal work) with G.I. fittings (IS : 1239 Mark) &amp; MS clamps, including cutting and making good the wall and floors : </t>
        </is>
      </c>
      <c r="C10" s="214" t="n"/>
      <c r="D10" s="39" t="n"/>
      <c r="G10" s="67">
        <f>IF(C10,ROUNDUP(C10*E10,0),"")</f>
        <v/>
      </c>
    </row>
    <row r="11">
      <c r="A11" s="84" t="inlineStr">
        <is>
          <t>A.</t>
        </is>
      </c>
      <c r="B11" s="147" t="inlineStr">
        <is>
          <t>15 mm Dai nominal bore `B’ Class.</t>
        </is>
      </c>
      <c r="C11" s="214">
        <f>sanitary_MEASUR!K22</f>
        <v/>
      </c>
      <c r="D11" s="39" t="inlineStr">
        <is>
          <t>RM</t>
        </is>
      </c>
      <c r="E11" s="92" t="n">
        <v>70</v>
      </c>
      <c r="F11" s="175" t="inlineStr">
        <is>
          <t>P RM</t>
        </is>
      </c>
      <c r="G11" s="67">
        <f>IF(C11,ROUNDUP(C11*E11,0),"")</f>
        <v/>
      </c>
    </row>
    <row r="12">
      <c r="A12" s="84" t="inlineStr">
        <is>
          <t>B.</t>
        </is>
      </c>
      <c r="B12" s="147" t="inlineStr">
        <is>
          <t xml:space="preserve">25 mm Dai nominal bore `B’ Class </t>
        </is>
      </c>
      <c r="C12" s="214">
        <f>sanitary_MEASUR!K27</f>
        <v/>
      </c>
      <c r="D12" s="39" t="inlineStr">
        <is>
          <t>RM</t>
        </is>
      </c>
      <c r="E12" s="92" t="n">
        <v>117</v>
      </c>
      <c r="F12" s="175" t="inlineStr">
        <is>
          <t>P RM</t>
        </is>
      </c>
      <c r="G12" s="67">
        <f>IF(C12,ROUNDUP(C12*E12,0),"")</f>
        <v/>
      </c>
    </row>
    <row r="13" ht="45" customHeight="1" s="9">
      <c r="A13" s="1" t="n">
        <v>7</v>
      </c>
      <c r="B13" s="155" t="inlineStr">
        <is>
          <t xml:space="preserve">P &amp; F GI Pipes (External work) with G.I. fittings (IS : 1239 Mark) , including  trenching and refilling earth etc. : </t>
        </is>
      </c>
      <c r="C13" s="214" t="n"/>
      <c r="D13" s="39" t="n"/>
      <c r="G13" s="67">
        <f>IF(C13,ROUNDUP(C13*E13,0),"")</f>
        <v/>
      </c>
    </row>
    <row r="14">
      <c r="A14" s="84" t="inlineStr">
        <is>
          <t>A.</t>
        </is>
      </c>
      <c r="B14" s="147" t="inlineStr">
        <is>
          <t>25 mm Dai nominal bore `B’ Class.</t>
        </is>
      </c>
      <c r="C14" s="214">
        <f>sanitary_MEASUR!K32</f>
        <v/>
      </c>
      <c r="D14" s="39" t="inlineStr">
        <is>
          <t>RM</t>
        </is>
      </c>
      <c r="E14" s="92" t="n">
        <v>98</v>
      </c>
      <c r="F14" s="175" t="inlineStr">
        <is>
          <t>P RM</t>
        </is>
      </c>
      <c r="G14" s="67">
        <f>IF(C14,ROUNDUP(C14*E14,0),"")</f>
        <v/>
      </c>
    </row>
    <row r="15" ht="45" customHeight="1" s="9">
      <c r="A15" s="40">
        <f>A13+1</f>
        <v/>
      </c>
      <c r="B15" s="147" t="inlineStr">
        <is>
          <t>Making connection of G.I. distribution branch with G.I. main including all fittings . (a) upto 25 mm  Dai.</t>
        </is>
      </c>
      <c r="C15" s="87">
        <f>sanitary_MEASUR!K35</f>
        <v/>
      </c>
      <c r="D15" s="39" t="inlineStr">
        <is>
          <t>Nos.</t>
        </is>
      </c>
      <c r="E15" s="92" t="n">
        <v>100</v>
      </c>
      <c r="F15" s="44" t="inlineStr">
        <is>
          <t>Each</t>
        </is>
      </c>
      <c r="G15" s="67">
        <f>IF(C15,ROUNDUP(C15*E15,0),"")</f>
        <v/>
      </c>
      <c r="H15" s="167" t="n"/>
    </row>
    <row r="16" ht="45" customHeight="1" s="9">
      <c r="A16" s="1" t="n">
        <v>9</v>
      </c>
      <c r="B16" s="155" t="inlineStr">
        <is>
          <t xml:space="preserve">P &amp; F Bib Cock (IS : 8931 Mark) superior quality of approved make : Brass 400 gram 15 mm </t>
        </is>
      </c>
      <c r="C16" s="87" t="n">
        <v>15</v>
      </c>
      <c r="D16" s="39" t="inlineStr">
        <is>
          <t>Nos.</t>
        </is>
      </c>
      <c r="E16" s="92" t="n">
        <v>120</v>
      </c>
      <c r="F16" s="44" t="inlineStr">
        <is>
          <t>Each</t>
        </is>
      </c>
      <c r="G16" s="67">
        <f>IF(C16,ROUNDUP(C16*E16,0),"")</f>
        <v/>
      </c>
    </row>
    <row r="17" ht="45" customHeight="1" s="9">
      <c r="A17" s="1">
        <f>IF(A16,A16+1,#REF!+1)</f>
        <v/>
      </c>
      <c r="B17" s="155" t="inlineStr">
        <is>
          <t xml:space="preserve">P &amp; F Stop Cock (IS : 8931 Mark) superior quality of approved make : Brass 400 gram 15 mm </t>
        </is>
      </c>
      <c r="C17" s="87" t="n">
        <v>5</v>
      </c>
      <c r="D17" s="39" t="inlineStr">
        <is>
          <t>Nos.</t>
        </is>
      </c>
      <c r="E17" s="92" t="n">
        <v>120</v>
      </c>
      <c r="F17" s="44" t="inlineStr">
        <is>
          <t>Each</t>
        </is>
      </c>
      <c r="G17" s="67">
        <f>IF(C17,ROUNDUP(C17*E17,0),"")</f>
        <v/>
      </c>
    </row>
    <row r="18" ht="30" customHeight="1" s="9">
      <c r="A18" s="1" t="n">
        <v>11</v>
      </c>
      <c r="B18" s="155" t="inlineStr">
        <is>
          <t xml:space="preserve">P/F full way valve (IS:778 Mark) or wheel valve of approved make: gun metal  </t>
        </is>
      </c>
      <c r="C18" s="87" t="n"/>
      <c r="D18" s="39" t="n"/>
      <c r="G18" s="67">
        <f>IF(C18,ROUNDUP(C18*E18,0),"")</f>
        <v/>
      </c>
    </row>
    <row r="19">
      <c r="A19" s="1" t="n"/>
      <c r="B19" s="155" t="inlineStr">
        <is>
          <t>(A)  15 mm</t>
        </is>
      </c>
      <c r="C19" s="87" t="n">
        <v>2</v>
      </c>
      <c r="D19" s="39" t="inlineStr">
        <is>
          <t>Nos.</t>
        </is>
      </c>
      <c r="E19" s="92" t="n">
        <v>150</v>
      </c>
      <c r="F19" s="44" t="inlineStr">
        <is>
          <t>Each</t>
        </is>
      </c>
      <c r="G19" s="67">
        <f>IF(C19,ROUNDUP(C19*E19,0),"")</f>
        <v/>
      </c>
    </row>
    <row r="20">
      <c r="A20" s="1" t="n"/>
      <c r="B20" s="155" t="inlineStr">
        <is>
          <t>(B) 25 mm</t>
        </is>
      </c>
      <c r="C20" s="87" t="n">
        <v>2</v>
      </c>
      <c r="D20" s="39" t="inlineStr">
        <is>
          <t>Nos.</t>
        </is>
      </c>
      <c r="E20" s="92" t="n">
        <v>300</v>
      </c>
      <c r="F20" s="44" t="inlineStr">
        <is>
          <t>Each</t>
        </is>
      </c>
      <c r="G20" s="67">
        <f>IF(C20,ROUNDUP(C20*E20,0),"")</f>
        <v/>
      </c>
    </row>
    <row r="21" ht="90" customHeight="1" s="9">
      <c r="A21" s="1">
        <f>IF(A18,A18+1,#REF!+1)</f>
        <v/>
      </c>
      <c r="B21" s="147" t="inlineStr">
        <is>
          <t>P &amp; F PVC Storage Tank confirming to IS standards of approved make with cover, 25 mm Dai 1 M long C.I. over flow pipe &amp; 25 cm. long wash out pipe with plug and socket, including making connection, etc. complete of approved design:</t>
        </is>
      </c>
      <c r="G21" s="67">
        <f>IF(C21,ROUNDUP(C21*E21,0),"")</f>
        <v/>
      </c>
    </row>
    <row r="22" s="9">
      <c r="A22" s="1" t="n"/>
      <c r="B22" s="155" t="inlineStr">
        <is>
          <t>(A) 1000 (litres capacity).</t>
        </is>
      </c>
      <c r="C22" s="87" t="n">
        <v>4</v>
      </c>
      <c r="D22" s="39" t="inlineStr">
        <is>
          <t>Nos.</t>
        </is>
      </c>
      <c r="E22" s="92">
        <f>5000</f>
        <v/>
      </c>
      <c r="F22" s="44" t="inlineStr">
        <is>
          <t>Each</t>
        </is>
      </c>
      <c r="G22" s="67">
        <f>IF(C22,ROUNDUP(C22*E22,0),"")</f>
        <v/>
      </c>
      <c r="H22" s="167" t="n"/>
    </row>
    <row r="23" ht="30" customHeight="1" s="9">
      <c r="A23" s="1">
        <f>IF(A21,A21+1,A18+1)</f>
        <v/>
      </c>
      <c r="B23" s="155" t="inlineStr">
        <is>
          <t>P &amp; F Ball Cock (IS : 1703 Mark) with Rod &amp; PVC Ball complete :</t>
        </is>
      </c>
      <c r="C23" s="87" t="n"/>
      <c r="D23" s="39" t="n"/>
      <c r="G23" s="67">
        <f>IF(C23,ROUNDUP(C23*E23,0),"")</f>
        <v/>
      </c>
    </row>
    <row r="24" s="9">
      <c r="A24" s="1" t="n"/>
      <c r="B24" s="155" t="inlineStr">
        <is>
          <t>(A)  Brass wt. 400 gram 15 mm.</t>
        </is>
      </c>
      <c r="C24" s="87" t="n">
        <v>4</v>
      </c>
      <c r="D24" s="39" t="inlineStr">
        <is>
          <t>Nos.</t>
        </is>
      </c>
      <c r="E24" s="92" t="n">
        <v>150</v>
      </c>
      <c r="F24" s="44" t="inlineStr">
        <is>
          <t>Each</t>
        </is>
      </c>
      <c r="G24" s="67">
        <f>IF(C24,ROUNDUP(C24*E24,0),"")</f>
        <v/>
      </c>
      <c r="H24" s="167" t="n"/>
    </row>
    <row r="25" ht="90" customHeight="1" s="9">
      <c r="A25" s="1">
        <f>IF(A23,A23+1,A21+1)</f>
        <v/>
      </c>
      <c r="B25" s="147" t="inlineStr">
        <is>
          <t xml:space="preserve">Providing and fixing Unplasticized Poly Vinyl Chloride (UPVC) SWR pipes type B for soil and rain and waste discharge system (IS:13592 : 1992 marked) of approved quality/ make including jointing the pipes complete. </t>
        </is>
      </c>
      <c r="C25" s="214" t="n"/>
      <c r="D25" s="175" t="n"/>
      <c r="G25" s="67">
        <f>IF(C25,ROUNDUP(C25*E25,0),"")</f>
        <v/>
      </c>
    </row>
    <row r="26">
      <c r="B26" s="155" t="inlineStr">
        <is>
          <t xml:space="preserve">(A) 110 mm dia. </t>
        </is>
      </c>
      <c r="C26" s="214">
        <f>sanitary_MEASUR!K59</f>
        <v/>
      </c>
      <c r="D26" s="39" t="inlineStr">
        <is>
          <t>RM</t>
        </is>
      </c>
      <c r="E26" s="92">
        <f>200</f>
        <v/>
      </c>
      <c r="F26" s="44" t="inlineStr">
        <is>
          <t>P RM</t>
        </is>
      </c>
      <c r="G26" s="67">
        <f>IF(C26,ROUNDUP(C26*E26,0),"")</f>
        <v/>
      </c>
    </row>
    <row r="27" ht="90" customHeight="1" s="9">
      <c r="A27" s="40" t="n">
        <v>15</v>
      </c>
      <c r="B27" s="147" t="inlineStr">
        <is>
          <t>Providing and fixing Unplasticized Poly Vinyl Chloride (UPVC) SWR pipe fittings type B for soil and rain and waste discharge system (IS:13592 : 1992 marked) of approved quality/ make including jointing the pipes complete.</t>
        </is>
      </c>
      <c r="C27" s="87" t="n"/>
      <c r="D27" s="175" t="n"/>
      <c r="G27" s="67">
        <f>IF(C27,ROUNDUP(C27*E27,0),"")</f>
        <v/>
      </c>
    </row>
    <row r="28">
      <c r="A28" s="40" t="inlineStr">
        <is>
          <t>A.</t>
        </is>
      </c>
      <c r="B28" s="155" t="inlineStr">
        <is>
          <t>110  mm dia. Offset</t>
        </is>
      </c>
      <c r="C28" s="87" t="n">
        <v>1</v>
      </c>
      <c r="D28" s="39" t="inlineStr">
        <is>
          <t>Nos.</t>
        </is>
      </c>
      <c r="E28" s="92" t="n">
        <v>162</v>
      </c>
      <c r="F28" s="44" t="inlineStr">
        <is>
          <t>Each</t>
        </is>
      </c>
      <c r="G28" s="67">
        <f>IF(C28,ROUNDUP(C28*E28,0),"")</f>
        <v/>
      </c>
    </row>
    <row r="29">
      <c r="A29" s="40" t="inlineStr">
        <is>
          <t>B.</t>
        </is>
      </c>
      <c r="B29" s="155" t="inlineStr">
        <is>
          <t>110 mm dia. Coupler</t>
        </is>
      </c>
      <c r="C29" s="87" t="n">
        <v>5</v>
      </c>
      <c r="D29" s="39" t="inlineStr">
        <is>
          <t>Nos.</t>
        </is>
      </c>
      <c r="E29" s="92" t="n">
        <v>62</v>
      </c>
      <c r="F29" s="44" t="inlineStr">
        <is>
          <t>Each</t>
        </is>
      </c>
      <c r="G29" s="67">
        <f>IF(C29,ROUNDUP(C29*E29,0),"")</f>
        <v/>
      </c>
    </row>
    <row r="30">
      <c r="A30" s="40" t="inlineStr">
        <is>
          <t>C.</t>
        </is>
      </c>
      <c r="B30" s="155" t="inlineStr">
        <is>
          <t>110 mm dia. Single 'Y' with Door</t>
        </is>
      </c>
      <c r="C30" s="87" t="n">
        <v>1</v>
      </c>
      <c r="D30" s="39" t="inlineStr">
        <is>
          <t>Nos.</t>
        </is>
      </c>
      <c r="E30" s="92" t="n">
        <v>199</v>
      </c>
      <c r="F30" s="44" t="inlineStr">
        <is>
          <t>Each</t>
        </is>
      </c>
      <c r="G30" s="67">
        <f>IF(C30,ROUNDUP(C30*E30,0),"")</f>
        <v/>
      </c>
    </row>
    <row r="31">
      <c r="A31" s="40" t="inlineStr">
        <is>
          <t>D.</t>
        </is>
      </c>
      <c r="B31" s="147" t="inlineStr">
        <is>
          <t>100 mm dia. vent  Cowl</t>
        </is>
      </c>
      <c r="C31" s="87">
        <f>sanitary_MEASUR!K64</f>
        <v/>
      </c>
      <c r="D31" s="39" t="inlineStr">
        <is>
          <t>Nos.</t>
        </is>
      </c>
      <c r="E31" s="92" t="n">
        <v>34</v>
      </c>
      <c r="F31" s="44" t="inlineStr">
        <is>
          <t>Each</t>
        </is>
      </c>
      <c r="G31" s="67">
        <f>IF(C31,ROUNDUP(C31*E31,0),"")</f>
        <v/>
      </c>
    </row>
    <row r="32">
      <c r="A32" s="40" t="inlineStr">
        <is>
          <t>E.</t>
        </is>
      </c>
      <c r="B32" s="155" t="inlineStr">
        <is>
          <t>110 mm dia. Single 'Y'</t>
        </is>
      </c>
      <c r="C32" s="87" t="n">
        <v>1</v>
      </c>
      <c r="D32" s="39" t="inlineStr">
        <is>
          <t>Nos.</t>
        </is>
      </c>
      <c r="E32" s="92" t="n">
        <v>159</v>
      </c>
      <c r="F32" s="44" t="inlineStr">
        <is>
          <t>Each</t>
        </is>
      </c>
      <c r="G32" s="67">
        <f>IF(C32,ROUNDUP(C32*E32,0),"")</f>
        <v/>
      </c>
    </row>
    <row r="33" s="9">
      <c r="A33" s="40" t="inlineStr">
        <is>
          <t>F.</t>
        </is>
      </c>
      <c r="B33" s="155" t="inlineStr">
        <is>
          <t>110 mm dia.  door  Bend</t>
        </is>
      </c>
      <c r="C33" s="87" t="n">
        <v>1</v>
      </c>
      <c r="D33" s="39" t="inlineStr">
        <is>
          <t>Nos.</t>
        </is>
      </c>
      <c r="E33" s="92" t="n">
        <v>111</v>
      </c>
      <c r="F33" s="44" t="inlineStr">
        <is>
          <t>Each</t>
        </is>
      </c>
      <c r="G33" s="67">
        <f>IF(C33,ROUNDUP(C33*E33,0),"")</f>
        <v/>
      </c>
      <c r="H33" s="167" t="n"/>
    </row>
    <row r="34" s="9">
      <c r="A34" s="40" t="inlineStr">
        <is>
          <t>G.</t>
        </is>
      </c>
      <c r="B34" s="155" t="inlineStr">
        <is>
          <t>110 mm dia.   Bend 87.5 degree.</t>
        </is>
      </c>
      <c r="C34" s="87" t="n">
        <v>1</v>
      </c>
      <c r="D34" s="39" t="inlineStr">
        <is>
          <t>Nos.</t>
        </is>
      </c>
      <c r="E34" s="92" t="n">
        <v>89</v>
      </c>
      <c r="F34" s="44" t="inlineStr">
        <is>
          <t>Each</t>
        </is>
      </c>
      <c r="G34" s="67">
        <f>IF(C34,ROUNDUP(C34*E34,0),"")</f>
        <v/>
      </c>
      <c r="H34" s="167" t="n"/>
    </row>
    <row r="35" ht="75" customHeight="1" s="9">
      <c r="A35" s="40" t="n">
        <v>16</v>
      </c>
      <c r="B35" s="155" t="inlineStr">
        <is>
          <t xml:space="preserve">Providing and fixing Spun Cast Iron  (SCI ) Floor Trap (Nahni) of (IS : 3789mark) approved quality /make with socket down or hinged grating including cutting and making good the floor :- size 100x100 mm. </t>
        </is>
      </c>
      <c r="C35" s="87" t="n">
        <v>4</v>
      </c>
      <c r="D35" s="39" t="inlineStr">
        <is>
          <t>Nos.</t>
        </is>
      </c>
      <c r="E35" s="92" t="n">
        <v>140</v>
      </c>
      <c r="F35" s="44" t="inlineStr">
        <is>
          <t>Each</t>
        </is>
      </c>
      <c r="G35" s="67">
        <f>IF(C35,ROUNDUP(C35*E35,0),"")</f>
        <v/>
      </c>
    </row>
    <row r="36" ht="180" customHeight="1" s="9">
      <c r="A36" s="1" t="n">
        <v>17</v>
      </c>
      <c r="B36" s="147"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is>
      </c>
      <c r="C36" s="87" t="n"/>
      <c r="D36" s="39" t="n"/>
      <c r="G36" s="67">
        <f>IF(C36,ROUNDUP(C36*E36,0),"")</f>
        <v/>
      </c>
    </row>
    <row r="37">
      <c r="A37" s="1" t="n"/>
      <c r="B37" s="147" t="inlineStr">
        <is>
          <t>(A) Depth upto 0.5 M</t>
        </is>
      </c>
      <c r="C37" s="87" t="n">
        <v>3</v>
      </c>
      <c r="D37" s="39" t="inlineStr">
        <is>
          <t>Nos.</t>
        </is>
      </c>
      <c r="E37" s="92" t="n">
        <v>1500</v>
      </c>
      <c r="F37" s="44" t="inlineStr">
        <is>
          <t>Each</t>
        </is>
      </c>
      <c r="G37" s="67">
        <f>IF(C37,ROUNDUP(C37*E37,0),"")</f>
        <v/>
      </c>
    </row>
    <row r="38">
      <c r="A38" s="1" t="n"/>
      <c r="B38" s="155" t="inlineStr">
        <is>
          <t>(B) Depth 0.5 M to 1.0 M</t>
        </is>
      </c>
      <c r="C38" s="87" t="n">
        <v>3</v>
      </c>
      <c r="D38" s="39" t="inlineStr">
        <is>
          <t>Nos.</t>
        </is>
      </c>
      <c r="E38" s="92" t="n">
        <v>2050</v>
      </c>
      <c r="F38" s="44" t="inlineStr">
        <is>
          <t>Each</t>
        </is>
      </c>
      <c r="G38" s="67">
        <f>IF(C38,ROUNDUP(C38*E38,0),"")</f>
        <v/>
      </c>
    </row>
    <row r="39" ht="30" customFormat="1" customHeight="1" s="110">
      <c r="A39" s="1">
        <f>IF(A36,A36+1,#REF!+1)</f>
        <v/>
      </c>
      <c r="B39" s="169" t="inlineStr">
        <is>
          <t>Supplying and fixing  C.I. cover with frame, C.I. gratings for chambers &amp; man holes.</t>
        </is>
      </c>
      <c r="C39" s="214">
        <f>sanitary_MEASUR!K72</f>
        <v/>
      </c>
      <c r="D39" s="110" t="inlineStr">
        <is>
          <t>Kg.</t>
        </is>
      </c>
      <c r="E39" s="118" t="n">
        <v>12</v>
      </c>
      <c r="F39" s="110" t="inlineStr">
        <is>
          <t>P Kg.</t>
        </is>
      </c>
      <c r="G39" s="67">
        <f>IF(C39,ROUNDUP(C39*E39,0),"")</f>
        <v/>
      </c>
      <c r="H39" s="199" t="n"/>
    </row>
    <row r="40" ht="105" customHeight="1" s="9">
      <c r="A40" s="40" t="n">
        <v>19</v>
      </c>
      <c r="B40" s="147"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C40" s="214" t="n">
        <v>40</v>
      </c>
      <c r="D40" s="39" t="inlineStr">
        <is>
          <t>RM</t>
        </is>
      </c>
      <c r="E40" s="92" t="n">
        <v>95</v>
      </c>
      <c r="F40" s="44" t="inlineStr">
        <is>
          <t>P RM</t>
        </is>
      </c>
      <c r="G40" s="67">
        <f>IF(C40,ROUNDUP(C40*E40,0),"")</f>
        <v/>
      </c>
    </row>
    <row r="41" ht="75" customFormat="1" customHeight="1" s="110">
      <c r="A41" s="85" t="n">
        <v>20</v>
      </c>
      <c r="B41" s="183" t="inlineStr">
        <is>
          <t>Providing &amp; laying CC 1 : 5 : 10 (stone aggregate 40 nominal size) all around SW pipe incl. 15cm thick bed concrete as per Rajasthan PWD specifications (width W=dia of pipe in cm + 40 cm ). 100mm Dai SW pipe</t>
        </is>
      </c>
      <c r="C41" s="214" t="n">
        <v>40</v>
      </c>
      <c r="D41" s="110" t="inlineStr">
        <is>
          <t>Rm.</t>
        </is>
      </c>
      <c r="E41" s="118" t="n">
        <v>115</v>
      </c>
      <c r="F41" s="110" t="inlineStr">
        <is>
          <t>Per Rm.</t>
        </is>
      </c>
      <c r="G41" s="67">
        <f>IF(C41,ROUNDUP(C41*E41,0),"")</f>
        <v/>
      </c>
      <c r="H41" s="199" t="n"/>
    </row>
    <row r="42" ht="120" customHeight="1" s="9">
      <c r="A42" s="83" t="n">
        <v>21</v>
      </c>
      <c r="B42" s="147"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is>
      </c>
      <c r="C42" s="87">
        <f>sanitary_MEASUR!K81</f>
        <v/>
      </c>
      <c r="D42" s="110" t="inlineStr">
        <is>
          <t>No.</t>
        </is>
      </c>
      <c r="E42" s="118" t="n">
        <v>500</v>
      </c>
      <c r="F42" s="110" t="inlineStr">
        <is>
          <t>Each</t>
        </is>
      </c>
      <c r="G42" s="67">
        <f>IF(C42,ROUNDUP(C42*E42,0),"")</f>
        <v/>
      </c>
      <c r="H42" s="199" t="n"/>
    </row>
    <row r="43" ht="30" customHeight="1" s="9">
      <c r="A43" s="111" t="n">
        <v>22</v>
      </c>
      <c r="B43" s="147" t="inlineStr">
        <is>
          <t>P &amp; F 15 mm Dai. Connection pipe of approved quality / make: PVC pipe 450 mm</t>
        </is>
      </c>
      <c r="C43" s="181" t="n">
        <v>5</v>
      </c>
      <c r="D43" s="39" t="inlineStr">
        <is>
          <t>Nos.</t>
        </is>
      </c>
      <c r="E43" s="92" t="n">
        <v>35</v>
      </c>
      <c r="F43" s="44" t="inlineStr">
        <is>
          <t>Each</t>
        </is>
      </c>
      <c r="G43" s="67">
        <f>IF(C43,ROUNDUP(C43*E43,0),"")</f>
        <v/>
      </c>
      <c r="K43" s="103" t="n"/>
      <c r="L43" s="21" t="n"/>
    </row>
    <row r="44" ht="75" customFormat="1" customHeight="1" s="110">
      <c r="A44" s="85" t="n">
        <v>23</v>
      </c>
      <c r="B44" s="183" t="inlineStr">
        <is>
          <t>P &amp; F  1 st quality WVC Urinal (IS: 2556 mark), with 25mm dia G.I. waste pipe, couplings, concealed iron brackets or screws etc. : Flat Back (small) size 456 x 355 X 265 mm.</t>
        </is>
      </c>
      <c r="C44" s="215" t="n">
        <v>4</v>
      </c>
      <c r="D44" s="110" t="inlineStr">
        <is>
          <t>Nos.</t>
        </is>
      </c>
      <c r="E44" s="118" t="n">
        <v>450</v>
      </c>
      <c r="F44" s="110" t="inlineStr">
        <is>
          <t>Each</t>
        </is>
      </c>
      <c r="G44" s="67">
        <f>IF(C44,ROUNDUP(C44*E44,0),"")</f>
        <v/>
      </c>
    </row>
    <row r="45" ht="45" customHeight="1" s="9">
      <c r="A45" s="1" t="n">
        <v>25</v>
      </c>
      <c r="B45" s="19" t="inlineStr">
        <is>
          <t>P &amp; F Towel rail or ring of approved quality/ make:  CP brass towel rail with brackets 450 x 20 mm.</t>
        </is>
      </c>
      <c r="C45" s="87" t="n">
        <v>5</v>
      </c>
      <c r="D45" s="39" t="inlineStr">
        <is>
          <t>Nos.</t>
        </is>
      </c>
      <c r="E45" s="92" t="n">
        <v>150</v>
      </c>
      <c r="F45" s="44" t="inlineStr">
        <is>
          <t>Each</t>
        </is>
      </c>
      <c r="G45" s="118">
        <f>IF(C45,E45*C45,"")</f>
        <v/>
      </c>
    </row>
    <row r="46" ht="60" customHeight="1" s="9">
      <c r="A46" s="40" t="n">
        <v>26</v>
      </c>
      <c r="B46" s="2" t="inlineStr">
        <is>
          <t>P &amp; F European type white glazed vitreous china 1st quality W.C. pan (I.S.:2556 mark) P or S trap including cutting and making good the wall and floor.</t>
        </is>
      </c>
      <c r="C46" s="87" t="n">
        <v>3</v>
      </c>
      <c r="D46" s="39" t="inlineStr">
        <is>
          <t>Nos.</t>
        </is>
      </c>
      <c r="E46" s="92" t="n">
        <v>2800</v>
      </c>
      <c r="F46" s="44" t="inlineStr">
        <is>
          <t>Each</t>
        </is>
      </c>
      <c r="G46" s="118">
        <f>IF(C46,E46*C46,"")</f>
        <v/>
      </c>
    </row>
    <row r="47" ht="45" customHeight="1" s="9">
      <c r="A47" s="40" t="n">
        <v>27</v>
      </c>
      <c r="B47" s="19" t="inlineStr">
        <is>
          <t>P &amp; F water closet seat covers with brass hinges complete :Solid PVC (ISI marked) grade-1 black for EWC</t>
        </is>
      </c>
      <c r="C47" s="87" t="n">
        <v>3</v>
      </c>
      <c r="D47" s="39" t="inlineStr">
        <is>
          <t>Nos.</t>
        </is>
      </c>
      <c r="E47" s="92" t="n">
        <v>240</v>
      </c>
      <c r="F47" s="44" t="inlineStr">
        <is>
          <t>Each</t>
        </is>
      </c>
      <c r="G47" s="118">
        <f>IF(C47,E47*C47,"")</f>
        <v/>
      </c>
    </row>
    <row r="48" ht="75" customHeight="1" s="9">
      <c r="A48" s="40" t="n">
        <v>28</v>
      </c>
      <c r="B48" s="2" t="inlineStr">
        <is>
          <t>P &amp; F automatic flushing cistern of Ist quality (IS : 774 mark) of approved make with fitting, syphon with copper tube, C.I. Brackets complete including cutting and making good the wall : White vitreous china 5 ltr.</t>
        </is>
      </c>
      <c r="C48" s="87" t="n">
        <v>3</v>
      </c>
      <c r="D48" s="39" t="inlineStr">
        <is>
          <t>Nos.</t>
        </is>
      </c>
      <c r="E48" s="92" t="n">
        <v>635</v>
      </c>
      <c r="F48" s="44" t="inlineStr">
        <is>
          <t>Each</t>
        </is>
      </c>
      <c r="G48" s="118">
        <f>IF(C48,E48*C48,"")</f>
        <v/>
      </c>
    </row>
    <row r="49" ht="210" customHeight="1" s="9">
      <c r="A49" s="40" t="n">
        <v>29</v>
      </c>
      <c r="B49" s="19" t="inlineStr">
        <is>
          <t>Construction of Septic tank in all types of soil with 40 mm thick masonry in CM 1:6, 15 cm thick cement concrete bed 1:5:10, M-15 grade C.C. flooring, &amp; over stone slab covering 80mm thick slab, jointing of slab covering 80mm thick slab in C.M. 1:3 Ralthal, Kharanja, 50 mm thick stone partition walls, 20 mm thick plaster in C.M. 1:6 finished with neat floating cement, 4 Nos. C.I. foot rests of approved design, two No. 450 mm dia 25 Kg. each C.I. cover with frame, earthwork etc. complete as per approved drawing including disposal of surplus earth within 50 mtr. lead. Size 400 x 140 x 150 cm (for 50 users)</t>
        </is>
      </c>
      <c r="C49" s="87" t="n">
        <v>1</v>
      </c>
      <c r="D49" s="39" t="inlineStr">
        <is>
          <t>Nos.</t>
        </is>
      </c>
      <c r="E49" s="92" t="n">
        <v>15200</v>
      </c>
      <c r="F49" s="44" t="inlineStr">
        <is>
          <t>Each</t>
        </is>
      </c>
      <c r="G49" s="118">
        <f>IF(C49,E49*C49,"")</f>
        <v/>
      </c>
    </row>
    <row r="50" ht="135" customHeight="1" s="9">
      <c r="A50" s="40" t="n">
        <v>30</v>
      </c>
      <c r="B50" s="2" t="inlineStr">
        <is>
          <t>Construction of Soakage well in all types of soil 300 mm thick dry stone masonry top and bottom 300 mm course in Cm. 1:6 80mm thick stone slab, jointing of slab in CM 1:3, Ralthal, Kharanja, 40mm thick, M-15 grade C.C. flooring, earthwork complete as per approved drawings including disposal of earth within a lead of 50 m. Size 300 cm. Dia outside &amp; 300 Cm. Depth.</t>
        </is>
      </c>
      <c r="C50" s="87" t="n">
        <v>1</v>
      </c>
      <c r="D50" s="39" t="inlineStr">
        <is>
          <t>Nos.</t>
        </is>
      </c>
      <c r="E50" s="92" t="n">
        <v>5000</v>
      </c>
      <c r="F50" s="44" t="inlineStr">
        <is>
          <t>Each</t>
        </is>
      </c>
      <c r="G50" s="118">
        <f>IF(C50,E50*C50,"")</f>
        <v/>
      </c>
    </row>
    <row r="51">
      <c r="A51" s="1" t="n"/>
      <c r="D51" s="166" t="inlineStr">
        <is>
          <t xml:space="preserve">Total </t>
        </is>
      </c>
      <c r="E51" s="134" t="n"/>
      <c r="F51" s="165" t="inlineStr">
        <is>
          <t>Rs.</t>
        </is>
      </c>
      <c r="G51" s="166">
        <f>SUM(G5:G50)</f>
        <v/>
      </c>
    </row>
    <row r="52">
      <c r="A52" s="1" t="n"/>
      <c r="D52" s="92" t="n"/>
      <c r="F52" s="25" t="n"/>
      <c r="G52" s="92" t="n"/>
    </row>
    <row r="53">
      <c r="A53" s="1" t="n"/>
      <c r="C53" s="92" t="n"/>
      <c r="F53" s="92" t="n"/>
    </row>
    <row r="54" ht="15.75" customFormat="1" customHeight="1" s="204">
      <c r="A54" s="78" t="n"/>
      <c r="B54" s="157" t="inlineStr">
        <is>
          <t>ASSISTANT ENGINEER,</t>
        </is>
      </c>
      <c r="C54" s="110" t="n"/>
      <c r="D54" s="108" t="inlineStr">
        <is>
          <t>EXECUTIVE  ENGINEER,</t>
        </is>
      </c>
      <c r="E54" s="110" t="n"/>
      <c r="F54" s="53" t="n"/>
      <c r="H54" s="110" t="n"/>
    </row>
    <row r="55" ht="15.75" customFormat="1" customHeight="1" s="204">
      <c r="A55" s="78" t="n"/>
      <c r="B55" s="157" t="inlineStr">
        <is>
          <t>P.W.D. Sub Div.- NATHDWARA</t>
        </is>
      </c>
      <c r="C55" s="110" t="n"/>
      <c r="D55" s="78" t="inlineStr">
        <is>
          <t>P.W.D. Div.- RAJSAMAND</t>
        </is>
      </c>
      <c r="E55" s="110" t="n"/>
      <c r="F55" s="53" t="n"/>
      <c r="H55" s="110" t="n"/>
    </row>
    <row r="56" s="9">
      <c r="A56" s="40" t="n"/>
      <c r="B56" s="147" t="n"/>
      <c r="C56" s="23" t="n"/>
      <c r="D56" s="44" t="n"/>
      <c r="E56" s="92" t="n"/>
      <c r="F56" s="44" t="n"/>
      <c r="G56" s="92" t="n"/>
      <c r="H56" s="167" t="n"/>
    </row>
    <row r="57" s="9">
      <c r="A57" s="40" t="n"/>
      <c r="B57" s="147" t="n"/>
      <c r="C57" s="23" t="n"/>
      <c r="D57" s="44" t="n"/>
      <c r="E57" s="92" t="n"/>
      <c r="F57" s="44" t="n"/>
      <c r="G57" s="92" t="n"/>
      <c r="H57" s="167" t="n"/>
    </row>
    <row r="58" s="9">
      <c r="A58" s="40" t="n"/>
      <c r="B58" s="147" t="n"/>
      <c r="C58" s="23" t="n"/>
      <c r="D58" s="44" t="n"/>
      <c r="E58" s="92" t="n"/>
      <c r="F58" s="44" t="n"/>
      <c r="G58" s="92" t="n"/>
      <c r="H58" s="167" t="n"/>
    </row>
    <row r="59" s="9">
      <c r="A59" s="40" t="n"/>
      <c r="B59" s="147" t="n"/>
      <c r="C59" s="23" t="n"/>
      <c r="D59" s="44" t="n"/>
      <c r="E59" s="92" t="n"/>
      <c r="F59" s="44" t="n"/>
      <c r="G59" s="92" t="n"/>
      <c r="H59" s="167" t="n"/>
    </row>
    <row r="60" s="9">
      <c r="A60" s="40" t="n"/>
      <c r="B60" s="147" t="n"/>
      <c r="C60" s="23" t="n"/>
      <c r="D60" s="44" t="n"/>
      <c r="E60" s="92" t="n"/>
      <c r="F60" s="44" t="n"/>
      <c r="G60" s="92" t="n"/>
      <c r="H60" s="167" t="n"/>
    </row>
    <row r="61" s="9">
      <c r="A61" s="40" t="n"/>
      <c r="B61" s="147" t="n"/>
      <c r="C61" s="23" t="n"/>
      <c r="D61" s="44" t="n"/>
      <c r="E61" s="92" t="n"/>
      <c r="F61" s="44" t="n"/>
      <c r="G61" s="92" t="n"/>
      <c r="H61" s="167" t="n"/>
    </row>
    <row r="62" s="9">
      <c r="A62" s="40" t="n"/>
      <c r="B62" s="147" t="n"/>
      <c r="C62" s="23" t="n"/>
      <c r="D62" s="44" t="n"/>
      <c r="E62" s="92" t="n"/>
      <c r="F62" s="44" t="n"/>
      <c r="G62" s="92" t="n"/>
      <c r="H62" s="167" t="n"/>
    </row>
    <row r="63" s="9">
      <c r="A63" s="40" t="n"/>
      <c r="B63" s="147" t="n"/>
      <c r="C63" s="23" t="n"/>
      <c r="D63" s="44" t="n"/>
      <c r="E63" s="92" t="n"/>
      <c r="F63" s="44" t="n"/>
      <c r="G63" s="92" t="n"/>
      <c r="H63" s="167" t="n"/>
    </row>
    <row r="64" s="9">
      <c r="A64" s="40" t="n"/>
      <c r="B64" s="147" t="n"/>
      <c r="C64" s="23" t="n"/>
      <c r="D64" s="44" t="n"/>
      <c r="E64" s="92" t="n"/>
      <c r="F64" s="44" t="n"/>
      <c r="G64" s="92" t="n"/>
      <c r="H64" s="167" t="n"/>
    </row>
    <row r="65" s="9">
      <c r="A65" s="40" t="n"/>
      <c r="B65" s="147" t="n"/>
      <c r="C65" s="23" t="n"/>
      <c r="D65" s="44" t="n"/>
      <c r="E65" s="92" t="n"/>
      <c r="F65" s="44" t="n"/>
      <c r="G65" s="92" t="n"/>
      <c r="H65" s="167" t="n"/>
    </row>
    <row r="66" s="9">
      <c r="A66" s="40" t="n"/>
      <c r="B66" s="147" t="n"/>
      <c r="C66" s="23" t="n"/>
      <c r="D66" s="44" t="n"/>
      <c r="E66" s="92" t="n"/>
      <c r="F66" s="44" t="n"/>
      <c r="G66" s="92" t="n"/>
      <c r="H66" s="167" t="n"/>
    </row>
    <row r="67" s="9">
      <c r="A67" s="40" t="n"/>
      <c r="B67" s="147" t="n"/>
      <c r="C67" s="23" t="n"/>
      <c r="D67" s="44" t="n"/>
      <c r="E67" s="92" t="n"/>
      <c r="F67" s="44" t="n"/>
      <c r="G67" s="92" t="n"/>
      <c r="H67" s="167" t="n"/>
    </row>
    <row r="68" s="9">
      <c r="A68" s="40" t="n"/>
      <c r="B68" s="147" t="n"/>
      <c r="C68" s="23" t="n"/>
      <c r="D68" s="44" t="n"/>
      <c r="E68" s="92" t="n"/>
      <c r="F68" s="44" t="n"/>
      <c r="G68" s="92" t="n"/>
      <c r="H68" s="167" t="n"/>
    </row>
    <row r="69" s="9">
      <c r="A69" s="40" t="n"/>
      <c r="B69" s="147" t="n"/>
      <c r="C69" s="23" t="n"/>
      <c r="D69" s="44" t="n"/>
      <c r="E69" s="92" t="n"/>
      <c r="F69" s="44" t="n"/>
      <c r="G69" s="92" t="n"/>
      <c r="H69" s="167" t="n"/>
    </row>
    <row r="70" s="9">
      <c r="A70" s="40" t="n"/>
      <c r="B70" s="147" t="n"/>
      <c r="C70" s="23" t="n"/>
      <c r="D70" s="44" t="n"/>
      <c r="E70" s="92" t="n"/>
      <c r="F70" s="44" t="n"/>
      <c r="G70" s="92" t="n"/>
      <c r="H70" s="167" t="n"/>
    </row>
    <row r="71" s="9">
      <c r="A71" s="40" t="n"/>
      <c r="B71" s="147" t="n"/>
      <c r="C71" s="23" t="n"/>
      <c r="D71" s="44" t="n"/>
      <c r="E71" s="92" t="n"/>
      <c r="F71" s="44" t="n"/>
      <c r="G71" s="92" t="n"/>
      <c r="H71" s="167" t="n"/>
    </row>
    <row r="72" s="9">
      <c r="A72" s="40" t="n"/>
      <c r="B72" s="147" t="n"/>
      <c r="C72" s="23" t="n"/>
      <c r="D72" s="44" t="n"/>
      <c r="E72" s="92" t="n"/>
      <c r="F72" s="44" t="n"/>
      <c r="G72" s="92" t="n"/>
      <c r="H72" s="167" t="n"/>
    </row>
    <row r="73" s="9">
      <c r="A73" s="40" t="n"/>
      <c r="B73" s="147" t="n"/>
      <c r="C73" s="23" t="n"/>
      <c r="D73" s="44" t="n"/>
      <c r="E73" s="92" t="n"/>
      <c r="F73" s="44" t="n"/>
      <c r="G73" s="92" t="n"/>
      <c r="H73" s="167" t="n"/>
    </row>
    <row r="74" s="9">
      <c r="A74" s="40" t="n"/>
      <c r="B74" s="147" t="n"/>
      <c r="C74" s="23" t="n"/>
      <c r="D74" s="44" t="n"/>
      <c r="E74" s="92" t="n"/>
      <c r="F74" s="44" t="n"/>
      <c r="G74" s="92" t="n"/>
      <c r="H74" s="167" t="n"/>
    </row>
    <row r="75" s="9">
      <c r="A75" s="40" t="n"/>
      <c r="B75" s="147" t="n"/>
      <c r="C75" s="23" t="n"/>
      <c r="D75" s="44" t="n"/>
      <c r="E75" s="92" t="n"/>
      <c r="F75" s="44" t="n"/>
      <c r="G75" s="92" t="n"/>
      <c r="H75" s="167" t="n"/>
    </row>
    <row r="76" s="9">
      <c r="A76" s="40" t="n"/>
      <c r="B76" s="147" t="n"/>
      <c r="C76" s="23" t="n"/>
      <c r="D76" s="44" t="n"/>
      <c r="E76" s="92" t="n"/>
      <c r="F76" s="44" t="n"/>
      <c r="G76" s="92" t="n"/>
      <c r="H76" s="167" t="n"/>
    </row>
    <row r="77" s="9">
      <c r="A77" s="40" t="n"/>
      <c r="B77" s="147" t="n"/>
      <c r="C77" s="23" t="n"/>
      <c r="D77" s="44" t="n"/>
      <c r="E77" s="92" t="n"/>
      <c r="F77" s="44" t="n"/>
      <c r="G77" s="92" t="n"/>
      <c r="H77" s="167" t="n"/>
    </row>
    <row r="78" s="9">
      <c r="A78" s="40" t="n"/>
      <c r="B78" s="147" t="n"/>
      <c r="C78" s="23" t="n"/>
      <c r="D78" s="44" t="n"/>
      <c r="E78" s="92" t="n"/>
      <c r="F78" s="44" t="n"/>
      <c r="G78" s="92" t="n"/>
      <c r="H78" s="167" t="n"/>
    </row>
    <row r="79" s="9">
      <c r="A79" s="40" t="n"/>
      <c r="B79" s="147" t="n"/>
      <c r="C79" s="23" t="n"/>
      <c r="D79" s="44" t="n"/>
      <c r="E79" s="92" t="n"/>
      <c r="F79" s="44" t="n"/>
      <c r="G79" s="92" t="n"/>
      <c r="H79" s="167" t="n"/>
    </row>
    <row r="80" s="9">
      <c r="A80" s="40" t="n"/>
      <c r="B80" s="147" t="n"/>
      <c r="C80" s="23" t="n"/>
      <c r="D80" s="44" t="n"/>
      <c r="E80" s="92" t="n"/>
      <c r="F80" s="44" t="n"/>
      <c r="G80" s="92" t="n"/>
      <c r="H80" s="167" t="n"/>
    </row>
    <row r="81" s="9">
      <c r="A81" s="40" t="n"/>
      <c r="B81" s="147" t="n"/>
      <c r="C81" s="23" t="n"/>
      <c r="D81" s="44" t="n"/>
      <c r="E81" s="92" t="n"/>
      <c r="F81" s="44" t="n"/>
      <c r="G81" s="92" t="n"/>
      <c r="H81" s="167" t="n"/>
    </row>
    <row r="82" s="9">
      <c r="A82" s="40" t="n"/>
      <c r="B82" s="147" t="n"/>
      <c r="C82" s="23" t="n"/>
      <c r="D82" s="44" t="n"/>
      <c r="E82" s="92" t="n"/>
      <c r="F82" s="44" t="n"/>
      <c r="G82" s="92" t="n"/>
      <c r="H82" s="167" t="n"/>
    </row>
    <row r="83" s="9">
      <c r="A83" s="40" t="n"/>
      <c r="B83" s="147" t="n"/>
      <c r="C83" s="23" t="n"/>
      <c r="D83" s="44" t="n"/>
      <c r="E83" s="92" t="n"/>
      <c r="F83" s="44" t="n"/>
      <c r="G83" s="92" t="n"/>
      <c r="H83" s="167" t="n"/>
    </row>
    <row r="84" s="9">
      <c r="A84" s="40" t="n"/>
      <c r="B84" s="147" t="n"/>
      <c r="C84" s="23" t="n"/>
      <c r="D84" s="44" t="n"/>
      <c r="E84" s="92" t="n"/>
      <c r="F84" s="44" t="n"/>
      <c r="G84" s="92" t="n"/>
      <c r="H84" s="167" t="n"/>
    </row>
    <row r="85" s="9">
      <c r="A85" s="40" t="n"/>
      <c r="B85" s="147" t="n"/>
      <c r="C85" s="23" t="n"/>
      <c r="D85" s="44" t="n"/>
      <c r="E85" s="92" t="n"/>
      <c r="F85" s="44" t="n"/>
      <c r="G85" s="92" t="n"/>
      <c r="H85" s="167" t="n"/>
    </row>
    <row r="86" s="9">
      <c r="A86" s="40" t="n"/>
      <c r="B86" s="147" t="n"/>
      <c r="C86" s="23" t="n"/>
      <c r="D86" s="44" t="n"/>
      <c r="E86" s="92" t="n"/>
      <c r="F86" s="44" t="n"/>
      <c r="G86" s="92" t="n"/>
      <c r="H86" s="167" t="n"/>
    </row>
    <row r="87" s="9">
      <c r="A87" s="40" t="n"/>
      <c r="B87" s="147" t="n"/>
      <c r="C87" s="23" t="n"/>
      <c r="D87" s="44" t="n"/>
      <c r="E87" s="92" t="n"/>
      <c r="F87" s="44" t="n"/>
      <c r="G87" s="92" t="n"/>
      <c r="H87" s="167" t="n"/>
    </row>
  </sheetData>
  <mergeCells count="3">
    <mergeCell ref="A3:G3"/>
    <mergeCell ref="A2:G2"/>
    <mergeCell ref="A1:G1"/>
  </mergeCells>
  <printOptions horizontalCentered="1"/>
  <pageMargins left="0.49" right="0.47" top="0.57" bottom="0.71" header="0.27" footer="0.48"/>
  <pageSetup orientation="portrait" paperSize="9" scale="99" firstPageNumber="11" useFirstPageNumber="1" horizontalDpi="180" verticalDpi="180"/>
  <headerFooter alignWithMargins="0">
    <oddHeader/>
    <oddFooter>&amp;C&amp;F - &amp;P</oddFooter>
    <evenHeader/>
    <evenFooter/>
    <firstHeader/>
    <firstFooter/>
  </headerFooter>
  <rowBreaks count="1" manualBreakCount="1">
    <brk id="20" min="0" max="6" man="1"/>
  </rowBreaks>
</worksheet>
</file>

<file path=xl/worksheets/sheet6.xml><?xml version="1.0" encoding="utf-8"?>
<worksheet xmlns="http://schemas.openxmlformats.org/spreadsheetml/2006/main">
  <sheetPr>
    <outlinePr summaryBelow="1" summaryRight="1"/>
    <pageSetUpPr fitToPage="1"/>
  </sheetPr>
  <dimension ref="A1:M87"/>
  <sheetViews>
    <sheetView topLeftCell="A186" zoomScaleNormal="100" workbookViewId="0">
      <selection activeCell="C192" sqref="C192"/>
    </sheetView>
    <sheetView topLeftCell="A186" workbookViewId="1">
      <selection activeCell="A190" sqref="A190"/>
    </sheetView>
    <sheetView topLeftCell="A19" workbookViewId="2">
      <selection activeCell="A32" sqref="A32:IV34"/>
    </sheetView>
  </sheetViews>
  <sheetFormatPr baseColWidth="8" defaultRowHeight="15"/>
  <cols>
    <col width="4.21875" customWidth="1" style="40" min="1" max="1"/>
    <col width="42.109375" customWidth="1" style="147" min="2" max="2"/>
    <col width="4" customWidth="1" style="23" min="3" max="3"/>
    <col width="1.77734375" customWidth="1" style="9" min="4" max="4"/>
    <col width="6.44140625" customWidth="1" style="92" min="5" max="5"/>
    <col width="2.77734375" customWidth="1" style="9" min="6" max="6"/>
    <col width="5.21875" customWidth="1" style="25" min="7" max="7"/>
    <col width="2.88671875" customWidth="1" style="9" min="8" max="8"/>
    <col width="4.5546875" customWidth="1" style="9" min="9" max="9"/>
    <col width="2" customWidth="1" style="9" min="10" max="10"/>
    <col width="8" customWidth="1" style="92" min="11" max="11"/>
    <col width="13.21875" customWidth="1" style="9" min="12" max="12"/>
    <col width="8.88671875" customWidth="1" style="9" min="13" max="16384"/>
  </cols>
  <sheetData>
    <row r="1" ht="18" customFormat="1" customHeight="1" s="110">
      <c r="A1" s="60">
        <f>'gen-abstract'!A2</f>
        <v/>
      </c>
      <c r="B1" s="14" t="n"/>
      <c r="C1" s="15" t="n"/>
      <c r="D1" s="14" t="n"/>
      <c r="E1" s="15" t="n"/>
      <c r="F1" s="14" t="n"/>
      <c r="G1" s="16" t="n"/>
      <c r="H1" s="14" t="n"/>
      <c r="I1" s="14" t="n"/>
      <c r="J1" s="14" t="n"/>
      <c r="K1" s="14" t="n"/>
      <c r="L1" s="14" t="n"/>
    </row>
    <row r="2" customFormat="1" s="110">
      <c r="A2" s="101" t="inlineStr">
        <is>
          <t>PART 'B'  SANITARY &amp; WATER SUPPLY  WORK</t>
        </is>
      </c>
      <c r="B2" s="14" t="n"/>
      <c r="C2" s="47" t="n"/>
      <c r="D2" s="43" t="n"/>
      <c r="E2" s="51" t="n"/>
      <c r="F2" s="43" t="n"/>
      <c r="G2" s="15" t="n"/>
      <c r="H2" s="14" t="n"/>
      <c r="I2" s="14" t="n"/>
      <c r="J2" s="14" t="n"/>
      <c r="K2" s="14" t="n"/>
      <c r="L2" s="14" t="n"/>
    </row>
    <row r="3" ht="18" customFormat="1" customHeight="1" s="110">
      <c r="A3" s="61" t="inlineStr">
        <is>
          <t>DETAILS OF MEASUREMENTS</t>
        </is>
      </c>
      <c r="B3" s="106" t="n"/>
      <c r="C3" s="106" t="n"/>
      <c r="D3" s="14" t="n"/>
      <c r="E3" s="15" t="n"/>
      <c r="F3" s="14" t="n"/>
      <c r="G3" s="16" t="n"/>
      <c r="H3" s="14" t="n"/>
      <c r="I3" s="15" t="n"/>
      <c r="J3" s="14" t="n"/>
      <c r="K3" s="14" t="n"/>
      <c r="L3" s="14" t="n"/>
    </row>
    <row r="4" customFormat="1" s="110">
      <c r="A4" s="36" t="inlineStr">
        <is>
          <t>S.N.</t>
        </is>
      </c>
      <c r="B4" s="171" t="inlineStr">
        <is>
          <t>Particulars</t>
        </is>
      </c>
      <c r="C4" s="33" t="inlineStr">
        <is>
          <t>Nos.</t>
        </is>
      </c>
      <c r="D4" s="29" t="n"/>
      <c r="E4" s="30" t="inlineStr">
        <is>
          <t>Length</t>
        </is>
      </c>
      <c r="F4" s="29" t="n"/>
      <c r="G4" s="34" t="inlineStr">
        <is>
          <t xml:space="preserve">Breadth </t>
        </is>
      </c>
      <c r="H4" s="30" t="n"/>
      <c r="I4" s="30" t="inlineStr">
        <is>
          <t>Height</t>
        </is>
      </c>
      <c r="J4" s="30" t="n"/>
      <c r="K4" s="30" t="inlineStr">
        <is>
          <t>Qty.</t>
        </is>
      </c>
      <c r="L4" s="30" t="inlineStr">
        <is>
          <t>Units</t>
        </is>
      </c>
    </row>
    <row r="5" ht="60" customHeight="1" s="9">
      <c r="A5" s="1" t="n">
        <v>1</v>
      </c>
      <c r="B5" s="155" t="inlineStr">
        <is>
          <t>P &amp; F Indian Type white glazed vitreous china Ist quality WC Orissa Pan (IS : 2556 Mark) with 100 mm vitreous china P or S trap including cutting and making good the wall and floor. Size 580x440 mm</t>
        </is>
      </c>
    </row>
    <row r="6">
      <c r="A6" s="1" t="n"/>
      <c r="B6" s="147" t="n"/>
      <c r="C6" s="23" t="n">
        <v>6</v>
      </c>
      <c r="D6" s="21" t="inlineStr">
        <is>
          <t>x</t>
        </is>
      </c>
      <c r="E6" s="103" t="n">
        <v>1</v>
      </c>
      <c r="G6" s="25" t="n"/>
      <c r="H6" s="7" t="n"/>
      <c r="I6" s="7" t="n"/>
      <c r="J6" s="118">
        <f>IF(K6,"=","")</f>
        <v/>
      </c>
      <c r="K6" s="96">
        <f>C6*E6</f>
        <v/>
      </c>
      <c r="L6" s="95" t="inlineStr">
        <is>
          <t>Nos.</t>
        </is>
      </c>
    </row>
    <row r="7" ht="45" customHeight="1" s="9">
      <c r="A7" s="1">
        <f>A5+1</f>
        <v/>
      </c>
      <c r="B7" s="155" t="inlineStr">
        <is>
          <t>P &amp; F Flush cock/Flush valve (IS : 9758 Mark) for WC of approved quality make : C.P. Brass concealed 25 mm</t>
        </is>
      </c>
      <c r="C7" s="23" t="n"/>
      <c r="D7" s="21" t="n"/>
      <c r="E7" s="103" t="n"/>
      <c r="G7" s="25" t="n"/>
      <c r="J7" s="118">
        <f>IF(K7,"=","")</f>
        <v/>
      </c>
      <c r="K7" s="103" t="n"/>
      <c r="L7" s="21" t="n"/>
    </row>
    <row r="8">
      <c r="A8" s="1" t="n"/>
      <c r="B8" s="147" t="n"/>
      <c r="C8" s="23" t="n">
        <v>6</v>
      </c>
      <c r="D8" s="21" t="inlineStr">
        <is>
          <t>x</t>
        </is>
      </c>
      <c r="E8" s="103" t="n">
        <v>1</v>
      </c>
      <c r="G8" s="25" t="n"/>
      <c r="H8" s="7" t="n"/>
      <c r="I8" s="7" t="n"/>
      <c r="J8" s="118">
        <f>IF(K8,"=","")</f>
        <v/>
      </c>
      <c r="K8" s="96">
        <f>C8*E8</f>
        <v/>
      </c>
      <c r="L8" s="95" t="inlineStr">
        <is>
          <t>Nos.</t>
        </is>
      </c>
    </row>
    <row r="9">
      <c r="A9" s="1" t="n"/>
      <c r="B9" s="147" t="n"/>
      <c r="C9" s="23" t="n"/>
      <c r="D9" s="21" t="n"/>
      <c r="E9" s="103" t="n"/>
      <c r="G9" s="25" t="n"/>
      <c r="H9" t="inlineStr">
        <is>
          <t>Total</t>
        </is>
      </c>
      <c r="J9" s="118">
        <f>IF(K9,"=","")</f>
        <v/>
      </c>
      <c r="K9" s="103">
        <f>SUM(K8:K8)</f>
        <v/>
      </c>
      <c r="L9" s="21" t="inlineStr">
        <is>
          <t>Nos.</t>
        </is>
      </c>
    </row>
    <row r="10">
      <c r="A10" s="1">
        <f>IF(A7,A7+1,A5+1)</f>
        <v/>
      </c>
      <c r="B10" s="147" t="n"/>
      <c r="C10" s="23" t="n"/>
      <c r="D10" s="21" t="n"/>
      <c r="E10" s="103" t="n"/>
      <c r="G10" s="25" t="n"/>
      <c r="J10" s="118">
        <f>IF(K10,"=","")</f>
        <v/>
      </c>
      <c r="K10" s="103" t="n"/>
      <c r="L10" s="21" t="n"/>
    </row>
    <row r="11">
      <c r="A11" s="1" t="n"/>
      <c r="B11" s="155" t="n"/>
      <c r="C11" s="23" t="n">
        <v>5</v>
      </c>
      <c r="D11" s="21" t="inlineStr">
        <is>
          <t>x</t>
        </is>
      </c>
      <c r="E11" s="103" t="n">
        <v>1</v>
      </c>
      <c r="G11" s="25" t="n"/>
      <c r="H11" s="7" t="n"/>
      <c r="I11" s="7" t="n"/>
      <c r="J11" s="118">
        <f>IF(K11,"=","")</f>
        <v/>
      </c>
      <c r="K11" s="96">
        <f>C11*E11</f>
        <v/>
      </c>
      <c r="L11" s="95" t="inlineStr">
        <is>
          <t>Nos.</t>
        </is>
      </c>
    </row>
    <row r="12">
      <c r="A12" s="1" t="n"/>
      <c r="B12" s="147" t="n"/>
      <c r="C12" s="23" t="n"/>
      <c r="D12" s="21" t="n"/>
      <c r="E12" s="103" t="n"/>
      <c r="G12" s="25" t="n"/>
      <c r="H12" t="inlineStr">
        <is>
          <t>Total</t>
        </is>
      </c>
      <c r="J12" s="118">
        <f>IF(K12,"=","")</f>
        <v/>
      </c>
      <c r="K12" s="103">
        <f>SUM(K11:K11)</f>
        <v/>
      </c>
      <c r="L12" s="21" t="inlineStr">
        <is>
          <t>Nos.</t>
        </is>
      </c>
    </row>
    <row r="13" ht="75" customHeight="1" s="9">
      <c r="A13" s="1">
        <f>IF(A10,A10+1,A7+1)</f>
        <v/>
      </c>
      <c r="B13" s="147" t="inlineStr">
        <is>
          <t xml:space="preserve">P&amp;F beveled edge mirror of special glass of approved make (Atul or equivalent) complete with 6 mm thick Asbestos Cement  sheet ground fixed to wooden screws &amp; washers sizes 600 x 450 mm x 4 mm thick. </t>
        </is>
      </c>
      <c r="C13" s="102">
        <f>K12</f>
        <v/>
      </c>
      <c r="D13" s="21" t="inlineStr">
        <is>
          <t>x</t>
        </is>
      </c>
      <c r="E13" s="103" t="n">
        <v>1</v>
      </c>
      <c r="G13" s="25" t="n"/>
      <c r="J13" s="118">
        <f>IF(K13,"=","")</f>
        <v/>
      </c>
      <c r="K13" s="103">
        <f>C13*E13</f>
        <v/>
      </c>
      <c r="L13" s="21" t="inlineStr">
        <is>
          <t>Nos.</t>
        </is>
      </c>
    </row>
    <row r="14">
      <c r="A14" s="1" t="n"/>
      <c r="B14" s="155" t="n"/>
      <c r="C14" s="102" t="n"/>
      <c r="D14" s="21" t="n"/>
      <c r="E14" s="103" t="n"/>
      <c r="G14" s="25" t="n"/>
      <c r="J14" s="118" t="n"/>
      <c r="K14" s="103" t="n"/>
      <c r="L14" s="21" t="n"/>
    </row>
    <row r="15">
      <c r="A15" s="1" t="n">
        <v>5</v>
      </c>
      <c r="B15" s="155" t="inlineStr">
        <is>
          <t>P &amp; F grating of approved/quality make : Cast iron.</t>
        </is>
      </c>
      <c r="C15" s="23" t="n"/>
      <c r="D15" s="21" t="n"/>
      <c r="E15" s="103" t="n"/>
      <c r="G15" s="25" t="n"/>
      <c r="J15" s="118">
        <f>IF(K15,"=","")</f>
        <v/>
      </c>
      <c r="K15" s="103" t="n"/>
      <c r="L15" s="21" t="n"/>
    </row>
    <row r="16">
      <c r="A16" s="1" t="n"/>
      <c r="B16" s="155" t="inlineStr">
        <is>
          <t xml:space="preserve">G.F. </t>
        </is>
      </c>
      <c r="C16" s="23" t="n">
        <v>11</v>
      </c>
      <c r="D16" s="21" t="inlineStr">
        <is>
          <t>x</t>
        </is>
      </c>
      <c r="E16" s="103" t="n">
        <v>1</v>
      </c>
      <c r="G16" s="25" t="n"/>
      <c r="J16" s="118">
        <f>IF(K16,"=","")</f>
        <v/>
      </c>
      <c r="K16" s="103">
        <f>C16*E16</f>
        <v/>
      </c>
      <c r="L16" s="21" t="inlineStr">
        <is>
          <t>Nos.</t>
        </is>
      </c>
    </row>
    <row r="17">
      <c r="A17" s="1" t="n"/>
      <c r="B17" s="147" t="n"/>
      <c r="C17" s="23" t="n"/>
      <c r="D17" s="21" t="n"/>
      <c r="E17" s="103" t="n"/>
      <c r="G17" s="25" t="n"/>
      <c r="H17" s="134" t="inlineStr">
        <is>
          <t>Total</t>
        </is>
      </c>
      <c r="I17" s="134" t="n"/>
      <c r="J17" s="158">
        <f>IF(K17,"=","")</f>
        <v/>
      </c>
      <c r="K17" s="159">
        <f>SUM(K16:K16)</f>
        <v/>
      </c>
      <c r="L17" s="160" t="inlineStr">
        <is>
          <t>Nos.</t>
        </is>
      </c>
    </row>
    <row r="18" ht="45" customHeight="1" s="9">
      <c r="A18" s="1" t="n">
        <v>6</v>
      </c>
      <c r="B18" s="155" t="inlineStr">
        <is>
          <t xml:space="preserve">P &amp; F GI Pipes (Internal work) with G.I. fittings (IS : 1239 Mark) &amp; MS clamps, including cutting and making good the walls and floors : </t>
        </is>
      </c>
      <c r="C18" s="23" t="n"/>
      <c r="D18" s="21" t="n"/>
      <c r="E18" s="103" t="n"/>
      <c r="G18" s="25" t="n"/>
      <c r="J18" s="118">
        <f>IF(K18,"=","")</f>
        <v/>
      </c>
      <c r="K18" s="103" t="n"/>
      <c r="L18" s="21" t="n"/>
    </row>
    <row r="19">
      <c r="A19" s="84" t="inlineStr">
        <is>
          <t>A.</t>
        </is>
      </c>
      <c r="B19" s="147" t="inlineStr">
        <is>
          <t>15 mm dia nominal bore `B’ Class.</t>
        </is>
      </c>
      <c r="C19" s="23" t="n"/>
      <c r="D19" s="21" t="n"/>
      <c r="E19" s="92" t="n"/>
      <c r="G19" s="25" t="n"/>
      <c r="J19" s="118">
        <f>IF(K19,"=","")</f>
        <v/>
      </c>
      <c r="K19" s="92" t="n"/>
      <c r="L19" s="23" t="n"/>
    </row>
    <row r="20">
      <c r="A20" s="84" t="n"/>
      <c r="B20" s="147" t="inlineStr">
        <is>
          <t>W.C. Internal plumbing</t>
        </is>
      </c>
      <c r="C20" s="23" t="n">
        <v>5</v>
      </c>
      <c r="D20" s="21" t="inlineStr">
        <is>
          <t>x</t>
        </is>
      </c>
      <c r="E20" s="92" t="n">
        <v>4.5</v>
      </c>
      <c r="G20" s="25" t="n"/>
      <c r="J20" s="118">
        <f>IF(K20,"=","")</f>
        <v/>
      </c>
      <c r="K20" s="92">
        <f>C20*E20</f>
        <v/>
      </c>
      <c r="L20" s="23" t="inlineStr">
        <is>
          <t>RM</t>
        </is>
      </c>
    </row>
    <row r="21">
      <c r="A21" s="84" t="n"/>
      <c r="B21" s="147" t="inlineStr">
        <is>
          <t>W.B. Internal plumbing</t>
        </is>
      </c>
      <c r="C21" s="23" t="n">
        <v>5</v>
      </c>
      <c r="D21" s="21" t="inlineStr">
        <is>
          <t>x</t>
        </is>
      </c>
      <c r="E21" s="92" t="n">
        <v>4.5</v>
      </c>
      <c r="G21" s="25" t="n"/>
      <c r="J21" s="118">
        <f>IF(K21,"=","")</f>
        <v/>
      </c>
      <c r="K21" s="92">
        <f>C21*E21</f>
        <v/>
      </c>
      <c r="L21" s="23" t="inlineStr">
        <is>
          <t>RM</t>
        </is>
      </c>
    </row>
    <row r="22">
      <c r="A22" s="84" t="n"/>
      <c r="B22" s="147" t="n"/>
      <c r="C22" s="23" t="n"/>
      <c r="D22" s="21" t="n"/>
      <c r="E22" s="92" t="n"/>
      <c r="G22" s="25" t="n"/>
      <c r="H22" s="134" t="inlineStr">
        <is>
          <t xml:space="preserve">Total </t>
        </is>
      </c>
      <c r="I22" s="134" t="n"/>
      <c r="J22" s="158">
        <f>IF(K22,"=","")</f>
        <v/>
      </c>
      <c r="K22" s="166">
        <f>SUM(K19:K21)</f>
        <v/>
      </c>
      <c r="L22" s="161" t="inlineStr">
        <is>
          <t>RM</t>
        </is>
      </c>
    </row>
    <row r="23">
      <c r="A23" s="84" t="inlineStr">
        <is>
          <t>B.</t>
        </is>
      </c>
      <c r="B23" s="147" t="inlineStr">
        <is>
          <t xml:space="preserve">25 mm dia nominal bore `B’ Class </t>
        </is>
      </c>
      <c r="C23" s="23" t="n"/>
      <c r="D23" s="21" t="n"/>
      <c r="E23" s="103" t="n"/>
      <c r="G23" s="25" t="n"/>
      <c r="J23" s="118">
        <f>IF(K23,"=","")</f>
        <v/>
      </c>
      <c r="K23" s="103" t="n"/>
      <c r="L23" s="21" t="n"/>
    </row>
    <row r="24">
      <c r="A24" s="84" t="n"/>
      <c r="B24" s="155" t="inlineStr">
        <is>
          <t>Uptake pipes</t>
        </is>
      </c>
      <c r="C24" s="23" t="n">
        <v>4</v>
      </c>
      <c r="D24" s="21" t="inlineStr">
        <is>
          <t>x</t>
        </is>
      </c>
      <c r="E24" s="92" t="n">
        <v>16.8</v>
      </c>
      <c r="G24" s="25" t="n"/>
      <c r="J24" s="118">
        <f>IF(K24,"=","")</f>
        <v/>
      </c>
      <c r="K24" s="92">
        <f>C24*E24</f>
        <v/>
      </c>
      <c r="L24" s="23" t="inlineStr">
        <is>
          <t>RM</t>
        </is>
      </c>
    </row>
    <row r="25">
      <c r="A25" s="84" t="n"/>
      <c r="B25" s="155" t="inlineStr">
        <is>
          <t xml:space="preserve">Down take </t>
        </is>
      </c>
      <c r="C25" s="23" t="n">
        <v>4</v>
      </c>
      <c r="D25" s="21" t="inlineStr">
        <is>
          <t>x</t>
        </is>
      </c>
      <c r="E25" s="92" t="n">
        <v>14.6</v>
      </c>
      <c r="J25" s="118">
        <f>IF(K25,"=","")</f>
        <v/>
      </c>
      <c r="K25" s="92">
        <f>C25*E25</f>
        <v/>
      </c>
      <c r="L25" s="23" t="inlineStr">
        <is>
          <t>RM</t>
        </is>
      </c>
    </row>
    <row r="26">
      <c r="A26" s="84" t="n"/>
      <c r="B26" s="155" t="inlineStr">
        <is>
          <t>Down take for W.C.</t>
        </is>
      </c>
      <c r="C26" s="23" t="n">
        <v>4</v>
      </c>
      <c r="D26" s="21" t="inlineStr">
        <is>
          <t>x</t>
        </is>
      </c>
      <c r="E26" s="92" t="n">
        <v>8.699999999999999</v>
      </c>
      <c r="J26" s="118">
        <f>IF(K26,"=","")</f>
        <v/>
      </c>
      <c r="K26" s="92">
        <f>C26*E26</f>
        <v/>
      </c>
      <c r="L26" s="23" t="inlineStr">
        <is>
          <t>RM</t>
        </is>
      </c>
    </row>
    <row r="27">
      <c r="A27" s="84" t="n"/>
      <c r="B27" s="147" t="n"/>
      <c r="C27" s="23" t="n"/>
      <c r="D27" s="21" t="n"/>
      <c r="E27" s="92" t="n"/>
      <c r="G27" s="25" t="n"/>
      <c r="H27" s="134" t="inlineStr">
        <is>
          <t xml:space="preserve">Total </t>
        </is>
      </c>
      <c r="I27" s="134" t="n"/>
      <c r="J27" s="158">
        <f>IF(K27,"=","")</f>
        <v/>
      </c>
      <c r="K27" s="166">
        <f>SUM(K23:K26)</f>
        <v/>
      </c>
      <c r="L27" s="161" t="inlineStr">
        <is>
          <t>RM</t>
        </is>
      </c>
    </row>
    <row r="28" ht="45" customHeight="1" s="9">
      <c r="A28" s="1">
        <f>A18+1</f>
        <v/>
      </c>
      <c r="B28" s="155" t="inlineStr">
        <is>
          <t xml:space="preserve">P &amp; F GI Pipes (External work) with G.I. fittings (IS : 1239 Mark) , including  trenching and refilling earth etc. : </t>
        </is>
      </c>
      <c r="C28" s="23" t="n"/>
      <c r="D28" s="21" t="n"/>
      <c r="E28" s="103" t="n"/>
      <c r="G28" s="25" t="n"/>
      <c r="J28" s="118">
        <f>IF(K28,"=","")</f>
        <v/>
      </c>
      <c r="K28" s="103" t="n"/>
      <c r="L28" s="21" t="n"/>
    </row>
    <row r="29">
      <c r="A29" s="40" t="inlineStr">
        <is>
          <t>A.</t>
        </is>
      </c>
      <c r="B29" s="155" t="inlineStr">
        <is>
          <t>25 mm dia nominal bore `B’ Class.</t>
        </is>
      </c>
      <c r="C29" s="23" t="n"/>
      <c r="D29" s="21" t="n"/>
      <c r="E29" s="103" t="n"/>
      <c r="G29" s="25" t="n"/>
      <c r="J29" s="118">
        <f>IF(K29,"=","")</f>
        <v/>
      </c>
      <c r="K29" s="103" t="n"/>
      <c r="L29" s="21" t="n"/>
    </row>
    <row r="30">
      <c r="A30" s="84" t="n"/>
      <c r="B30" s="147" t="inlineStr">
        <is>
          <t>From OHT/ Sump</t>
        </is>
      </c>
      <c r="C30" s="23" t="n">
        <v>1</v>
      </c>
      <c r="D30" s="21" t="inlineStr">
        <is>
          <t>x</t>
        </is>
      </c>
      <c r="E30" s="92" t="n">
        <v>10</v>
      </c>
      <c r="G30" s="25" t="n"/>
      <c r="J30" s="118">
        <f>IF(K30,"=","")</f>
        <v/>
      </c>
      <c r="K30" s="92">
        <f>C30*E30</f>
        <v/>
      </c>
      <c r="L30" s="23" t="inlineStr">
        <is>
          <t>RM</t>
        </is>
      </c>
    </row>
    <row r="31">
      <c r="A31" s="84" t="n"/>
      <c r="B31" s="147" t="inlineStr">
        <is>
          <t>Ring main</t>
        </is>
      </c>
      <c r="C31" s="23" t="n">
        <v>2</v>
      </c>
      <c r="D31" s="21" t="inlineStr">
        <is>
          <t>x</t>
        </is>
      </c>
      <c r="E31" s="92" t="n">
        <v>10</v>
      </c>
      <c r="G31" s="25" t="n"/>
      <c r="J31" s="118">
        <f>IF(K31,"=","")</f>
        <v/>
      </c>
      <c r="K31" s="92">
        <f>C31*E31</f>
        <v/>
      </c>
      <c r="L31" s="23" t="inlineStr">
        <is>
          <t>RM</t>
        </is>
      </c>
    </row>
    <row r="32">
      <c r="A32" s="84" t="n"/>
      <c r="B32" s="147" t="n"/>
      <c r="C32" s="23" t="n"/>
      <c r="D32" s="21" t="n"/>
      <c r="E32" s="92" t="n"/>
      <c r="G32" s="25" t="n"/>
      <c r="H32" s="134" t="inlineStr">
        <is>
          <t xml:space="preserve">Total </t>
        </is>
      </c>
      <c r="I32" s="134" t="n"/>
      <c r="J32" s="158">
        <f>IF(K32,"=","")</f>
        <v/>
      </c>
      <c r="K32" s="166">
        <f>SUM(K30:K31)</f>
        <v/>
      </c>
      <c r="L32" s="161" t="inlineStr">
        <is>
          <t>RM</t>
        </is>
      </c>
    </row>
    <row r="33" ht="30" customHeight="1" s="9">
      <c r="A33" s="40">
        <f>A28+1</f>
        <v/>
      </c>
      <c r="B33" s="155" t="inlineStr">
        <is>
          <t>Making connection of G.I. distribution branch with G.I. main including all fittings . (a) upto 25 mm  dia.</t>
        </is>
      </c>
      <c r="C33" s="23" t="n"/>
      <c r="D33" s="21" t="n"/>
      <c r="E33" s="103" t="n"/>
      <c r="G33" s="25" t="n"/>
      <c r="J33" s="118">
        <f>IF(K33,"=","")</f>
        <v/>
      </c>
      <c r="K33" s="103" t="n"/>
      <c r="L33" s="21" t="n"/>
    </row>
    <row r="34">
      <c r="A34" s="1" t="n"/>
      <c r="B34" s="147" t="inlineStr">
        <is>
          <t>Toilets</t>
        </is>
      </c>
      <c r="C34" s="23" t="n">
        <v>6</v>
      </c>
      <c r="D34" s="21" t="inlineStr">
        <is>
          <t>x</t>
        </is>
      </c>
      <c r="E34" s="103" t="n">
        <v>3</v>
      </c>
      <c r="G34" s="25" t="n"/>
      <c r="J34" s="118">
        <f>IF(K34,"=","")</f>
        <v/>
      </c>
      <c r="K34" s="103">
        <f>C34*E34</f>
        <v/>
      </c>
      <c r="L34" s="21" t="inlineStr">
        <is>
          <t>Nos.</t>
        </is>
      </c>
    </row>
    <row r="35">
      <c r="A35" s="1" t="n"/>
      <c r="B35" s="147" t="n"/>
      <c r="C35" s="23" t="n"/>
      <c r="D35" s="21" t="n"/>
      <c r="E35" s="103" t="n"/>
      <c r="G35" s="25" t="n"/>
      <c r="H35" t="inlineStr">
        <is>
          <t>Total</t>
        </is>
      </c>
      <c r="J35" s="118">
        <f>IF(K35,"=","")</f>
        <v/>
      </c>
      <c r="K35" s="103">
        <f>SUM(K34:K34)</f>
        <v/>
      </c>
      <c r="L35" s="21" t="inlineStr">
        <is>
          <t>Nos.</t>
        </is>
      </c>
    </row>
    <row r="36" ht="30" customHeight="1" s="9">
      <c r="A36" s="1">
        <f>A33+1</f>
        <v/>
      </c>
      <c r="B36" s="155" t="inlineStr">
        <is>
          <t xml:space="preserve">P &amp; F Bib Cock (IS : 8931 Mark) superior quality of approved make : Brass 400 gram 15 mm </t>
        </is>
      </c>
      <c r="C36" s="23" t="n"/>
      <c r="D36" s="21" t="n"/>
      <c r="E36" s="103" t="n"/>
      <c r="G36" s="25" t="n"/>
      <c r="J36" s="118">
        <f>IF(K36,"=","")</f>
        <v/>
      </c>
      <c r="K36" s="103" t="n"/>
      <c r="L36" s="21" t="n"/>
    </row>
    <row r="37">
      <c r="A37" s="1" t="n"/>
      <c r="B37" s="147" t="inlineStr">
        <is>
          <t>W.C.</t>
        </is>
      </c>
      <c r="C37" s="23" t="n">
        <v>12</v>
      </c>
      <c r="D37" s="21" t="inlineStr">
        <is>
          <t>x</t>
        </is>
      </c>
      <c r="E37" s="103" t="n">
        <v>1</v>
      </c>
      <c r="G37" s="25" t="n"/>
      <c r="J37" s="118">
        <f>IF(K37,"=","")</f>
        <v/>
      </c>
      <c r="K37" s="103">
        <f>C37*E37</f>
        <v/>
      </c>
      <c r="L37" s="21" t="inlineStr">
        <is>
          <t>Nos.</t>
        </is>
      </c>
    </row>
    <row r="38">
      <c r="A38" s="1" t="n"/>
      <c r="B38" s="147" t="inlineStr">
        <is>
          <t>Court Yard</t>
        </is>
      </c>
      <c r="C38" s="23" t="n">
        <v>6</v>
      </c>
      <c r="D38" s="21" t="inlineStr">
        <is>
          <t>x</t>
        </is>
      </c>
      <c r="E38" s="103" t="n">
        <v>1</v>
      </c>
      <c r="G38" s="25" t="n"/>
      <c r="J38" s="118">
        <f>IF(K38,"=","")</f>
        <v/>
      </c>
      <c r="K38" s="103">
        <f>C38*E38</f>
        <v/>
      </c>
      <c r="L38" s="21" t="inlineStr">
        <is>
          <t>Nos.</t>
        </is>
      </c>
    </row>
    <row r="39">
      <c r="A39" s="1" t="n"/>
      <c r="B39" s="147" t="n"/>
      <c r="C39" s="23" t="n"/>
      <c r="D39" s="21" t="n"/>
      <c r="E39" s="103" t="n"/>
      <c r="G39" s="25" t="n"/>
      <c r="H39" s="134" t="inlineStr">
        <is>
          <t>Total</t>
        </is>
      </c>
      <c r="I39" s="134" t="n"/>
      <c r="J39" s="158">
        <f>IF(K39,"=","")</f>
        <v/>
      </c>
      <c r="K39" s="159">
        <f>SUM(K37:K38)</f>
        <v/>
      </c>
      <c r="L39" s="160" t="inlineStr">
        <is>
          <t>Nos.</t>
        </is>
      </c>
    </row>
    <row r="40" ht="30" customHeight="1" s="9">
      <c r="A40" s="1">
        <f>IF(A36,A36+1,#REF!+1)</f>
        <v/>
      </c>
      <c r="B40" s="155" t="inlineStr">
        <is>
          <t xml:space="preserve">P &amp; F Stop Cock (IS : 8931 Mark) superior quality of approved make : Brass 400 gram 15 mm </t>
        </is>
      </c>
      <c r="C40" s="23" t="n"/>
      <c r="D40" s="21" t="n"/>
      <c r="E40" s="103" t="n"/>
      <c r="G40" s="25" t="n"/>
      <c r="J40" s="118">
        <f>IF(K40,"=","")</f>
        <v/>
      </c>
      <c r="K40" s="103" t="n"/>
      <c r="L40" s="21" t="n"/>
    </row>
    <row r="41">
      <c r="A41" s="1" t="n"/>
      <c r="B41" s="155" t="inlineStr">
        <is>
          <t>W.B.</t>
        </is>
      </c>
      <c r="C41" s="23" t="n">
        <v>5</v>
      </c>
      <c r="D41" s="21" t="inlineStr">
        <is>
          <t>x</t>
        </is>
      </c>
      <c r="E41" s="103" t="n">
        <v>1</v>
      </c>
      <c r="G41" s="25" t="n"/>
      <c r="J41" s="118">
        <f>IF(K41,"=","")</f>
        <v/>
      </c>
      <c r="K41" s="103">
        <f>C41*E41</f>
        <v/>
      </c>
      <c r="L41" s="21" t="inlineStr">
        <is>
          <t>Nos.</t>
        </is>
      </c>
    </row>
    <row r="42">
      <c r="A42" s="1" t="n"/>
      <c r="B42" s="147" t="n"/>
      <c r="C42" s="23" t="n"/>
      <c r="D42" s="21" t="n"/>
      <c r="E42" s="103" t="n"/>
      <c r="G42" s="25" t="n"/>
      <c r="H42" t="inlineStr">
        <is>
          <t>Total</t>
        </is>
      </c>
      <c r="J42" s="118">
        <f>IF(K42,"=","")</f>
        <v/>
      </c>
      <c r="K42" s="103">
        <f>SUM(K41:K41)</f>
        <v/>
      </c>
      <c r="L42" s="21" t="inlineStr">
        <is>
          <t>Nos.</t>
        </is>
      </c>
    </row>
    <row r="43" ht="30" customHeight="1" s="9">
      <c r="A43" s="1" t="n">
        <v>11</v>
      </c>
      <c r="B43" s="155" t="inlineStr">
        <is>
          <t xml:space="preserve">P/F full way valve (IS:778 Mark) or wheel valve of approved make: gun metal  </t>
        </is>
      </c>
      <c r="C43" s="23" t="n"/>
      <c r="D43" s="21" t="n"/>
      <c r="E43" s="103" t="n"/>
      <c r="G43" s="25" t="n"/>
      <c r="J43" s="118">
        <f>IF(K43,"=","")</f>
        <v/>
      </c>
      <c r="K43" s="103" t="n"/>
      <c r="L43" s="21" t="n"/>
    </row>
    <row r="44" s="9">
      <c r="A44" s="1" t="n"/>
      <c r="B44" s="155" t="inlineStr">
        <is>
          <t>(A)  15 mm</t>
        </is>
      </c>
      <c r="C44" s="87" t="n"/>
      <c r="D44" s="39" t="n"/>
      <c r="E44" s="92" t="n"/>
      <c r="F44" s="44" t="n"/>
      <c r="G44" s="118" t="n"/>
      <c r="J44" s="118">
        <f>IF(K44,"=","")</f>
        <v/>
      </c>
    </row>
    <row r="45">
      <c r="A45" s="1" t="n"/>
      <c r="B45" s="147" t="inlineStr">
        <is>
          <t>G.F. units</t>
        </is>
      </c>
      <c r="C45" s="23" t="n">
        <v>6</v>
      </c>
      <c r="D45" s="21" t="inlineStr">
        <is>
          <t>x</t>
        </is>
      </c>
      <c r="E45" s="103" t="n">
        <v>1</v>
      </c>
      <c r="G45" s="25" t="n"/>
      <c r="H45" s="7" t="n"/>
      <c r="I45" s="7" t="n"/>
      <c r="J45" s="118">
        <f>IF(K45,"=","")</f>
        <v/>
      </c>
      <c r="K45" s="96">
        <f>C45*E45</f>
        <v/>
      </c>
      <c r="L45" s="95" t="inlineStr">
        <is>
          <t>Nos.</t>
        </is>
      </c>
    </row>
    <row r="46">
      <c r="A46" s="1" t="n"/>
      <c r="B46" s="147" t="n"/>
      <c r="C46" s="23" t="n"/>
      <c r="D46" s="21" t="n"/>
      <c r="E46" s="103" t="n"/>
      <c r="G46" s="25" t="n"/>
      <c r="H46" t="inlineStr">
        <is>
          <t>Total</t>
        </is>
      </c>
      <c r="J46" s="118">
        <f>IF(K46,"=","")</f>
        <v/>
      </c>
      <c r="K46" s="103">
        <f>SUM(K45)</f>
        <v/>
      </c>
      <c r="L46" s="21" t="inlineStr">
        <is>
          <t>Nos.</t>
        </is>
      </c>
    </row>
    <row r="47" s="9">
      <c r="A47" s="1" t="n"/>
      <c r="B47" s="155" t="inlineStr">
        <is>
          <t>(B) 25 mm</t>
        </is>
      </c>
      <c r="C47" s="87" t="n"/>
      <c r="D47" s="39" t="n"/>
      <c r="E47" s="92" t="n"/>
      <c r="F47" s="44" t="n"/>
      <c r="G47" s="118" t="n"/>
      <c r="J47" s="118">
        <f>IF(K47,"=","")</f>
        <v/>
      </c>
    </row>
    <row r="48">
      <c r="A48" s="1" t="n"/>
      <c r="B48" s="155" t="inlineStr">
        <is>
          <t>Tanks</t>
        </is>
      </c>
      <c r="C48" s="23" t="n">
        <v>6</v>
      </c>
      <c r="D48" s="21" t="inlineStr">
        <is>
          <t>x</t>
        </is>
      </c>
      <c r="E48" s="103" t="n">
        <v>1</v>
      </c>
      <c r="G48" s="25" t="n"/>
      <c r="H48" s="7" t="n"/>
      <c r="I48" s="7" t="n"/>
      <c r="J48" s="118">
        <f>IF(K48,"=","")</f>
        <v/>
      </c>
      <c r="K48" s="96">
        <f>C48*E48</f>
        <v/>
      </c>
      <c r="L48" s="95" t="inlineStr">
        <is>
          <t>Nos.</t>
        </is>
      </c>
    </row>
    <row r="49">
      <c r="A49" s="1" t="n"/>
      <c r="B49" s="147" t="n"/>
      <c r="C49" s="23" t="n"/>
      <c r="D49" s="21" t="n"/>
      <c r="E49" s="103" t="n"/>
      <c r="G49" s="25" t="n"/>
      <c r="H49" t="inlineStr">
        <is>
          <t>Total</t>
        </is>
      </c>
      <c r="J49" s="118">
        <f>IF(K49,"=","")</f>
        <v/>
      </c>
      <c r="K49" s="103">
        <f>SUM(K48:K48)</f>
        <v/>
      </c>
      <c r="L49" s="21" t="inlineStr">
        <is>
          <t>Nos.</t>
        </is>
      </c>
    </row>
    <row r="50" ht="75" customHeight="1" s="9">
      <c r="A50" s="1">
        <f>IF(A43,A43+1,#REF!+1)</f>
        <v/>
      </c>
      <c r="B50" s="155" t="inlineStr">
        <is>
          <t>P &amp; F PVC Storage Tank confirming to IS standards of approved make with cover, 25 mm dia 1 M long C.I. over flow pipe &amp; 25 cm. long wash out pipe with plug and socket, including making connection, etc. complete of approved design:</t>
        </is>
      </c>
      <c r="J50" s="118">
        <f>IF(K50,"=","")</f>
        <v/>
      </c>
    </row>
    <row r="51">
      <c r="A51" s="1" t="n"/>
      <c r="B51" s="155" t="inlineStr">
        <is>
          <t>(A) 1000 (litres capacity).</t>
        </is>
      </c>
      <c r="C51" s="23" t="n">
        <v>6</v>
      </c>
      <c r="D51" s="21" t="inlineStr">
        <is>
          <t>x</t>
        </is>
      </c>
      <c r="E51" s="103" t="n">
        <v>1</v>
      </c>
      <c r="G51" s="25" t="n"/>
      <c r="J51" s="118">
        <f>IF(K51,"=","")</f>
        <v/>
      </c>
      <c r="K51" s="103">
        <f>C51*E51</f>
        <v/>
      </c>
      <c r="L51" s="21" t="inlineStr">
        <is>
          <t>Nos.</t>
        </is>
      </c>
    </row>
    <row r="52" ht="30" customHeight="1" s="9">
      <c r="A52" s="1">
        <f>IF(A50,A50+1,A43+1)</f>
        <v/>
      </c>
      <c r="B52" s="155" t="inlineStr">
        <is>
          <t>P &amp; F Ball Cock (IS : 1703 Mark) with Rod &amp; PVC Ball complete :</t>
        </is>
      </c>
      <c r="J52" s="118">
        <f>IF(K52,"=","")</f>
        <v/>
      </c>
    </row>
    <row r="53">
      <c r="A53" s="1" t="n"/>
      <c r="B53" s="155" t="inlineStr">
        <is>
          <t>(A)  Brass wt. 400 gram 15 mm.</t>
        </is>
      </c>
      <c r="C53" s="23" t="n">
        <v>6</v>
      </c>
      <c r="D53" s="21" t="inlineStr">
        <is>
          <t>x</t>
        </is>
      </c>
      <c r="E53" s="103" t="n">
        <v>1</v>
      </c>
      <c r="G53" s="25" t="n"/>
      <c r="J53" s="118">
        <f>IF(K53,"=","")</f>
        <v/>
      </c>
      <c r="K53" s="103">
        <f>C53*E53</f>
        <v/>
      </c>
      <c r="L53" s="21" t="inlineStr">
        <is>
          <t>Nos.</t>
        </is>
      </c>
    </row>
    <row r="54">
      <c r="A54" s="1">
        <f>IF(A52,A52+1,A50+1)</f>
        <v/>
      </c>
      <c r="B54" s="147" t="n"/>
      <c r="C54" s="23" t="n"/>
      <c r="D54" s="21" t="n"/>
      <c r="E54" s="103" t="n"/>
      <c r="G54" s="25" t="n"/>
      <c r="J54" s="118">
        <f>IF(K54,"=","")</f>
        <v/>
      </c>
      <c r="K54" s="103" t="n"/>
      <c r="L54" s="21" t="n"/>
    </row>
    <row r="55" s="9">
      <c r="A55" s="40" t="n"/>
      <c r="B55" s="155" t="inlineStr">
        <is>
          <t xml:space="preserve">(A) 110 mm dia. </t>
        </is>
      </c>
      <c r="C55" s="214" t="n"/>
      <c r="D55" s="39" t="n"/>
      <c r="E55" s="92" t="n"/>
      <c r="F55" s="44" t="n"/>
      <c r="G55" s="118" t="n"/>
    </row>
    <row r="56">
      <c r="A56" s="84" t="n"/>
      <c r="B56" s="172" t="inlineStr">
        <is>
          <t xml:space="preserve">Horizontal Internal </t>
        </is>
      </c>
      <c r="C56" s="23" t="n"/>
      <c r="D56" s="21" t="n"/>
      <c r="E56" s="92" t="n"/>
      <c r="G56" s="25" t="n"/>
      <c r="J56" s="118">
        <f>IF(K56,"=","")</f>
        <v/>
      </c>
      <c r="K56" s="92" t="n"/>
      <c r="L56" s="23" t="n"/>
    </row>
    <row r="57">
      <c r="A57" s="84" t="n"/>
      <c r="B57" s="147" t="inlineStr">
        <is>
          <t>W.C.</t>
        </is>
      </c>
      <c r="C57" s="23" t="n">
        <v>12</v>
      </c>
      <c r="D57" s="21" t="inlineStr">
        <is>
          <t>x</t>
        </is>
      </c>
      <c r="E57" s="92" t="n">
        <v>2.2</v>
      </c>
      <c r="G57" s="25" t="n"/>
      <c r="J57" s="118">
        <f>IF(K57,"=","")</f>
        <v/>
      </c>
      <c r="K57" s="92">
        <f>C57*E57</f>
        <v/>
      </c>
      <c r="L57" s="23" t="inlineStr">
        <is>
          <t>RM</t>
        </is>
      </c>
    </row>
    <row r="58">
      <c r="A58" s="84" t="n"/>
      <c r="B58" s="147" t="inlineStr">
        <is>
          <t>W.B.</t>
        </is>
      </c>
      <c r="C58" s="23" t="n">
        <v>5</v>
      </c>
      <c r="D58" s="21" t="inlineStr">
        <is>
          <t>x</t>
        </is>
      </c>
      <c r="E58" s="92" t="n">
        <v>2.2</v>
      </c>
      <c r="G58" s="25" t="n"/>
      <c r="J58" s="118">
        <f>IF(K58,"=","")</f>
        <v/>
      </c>
      <c r="K58" s="92">
        <f>C58*E58</f>
        <v/>
      </c>
      <c r="L58" s="23" t="inlineStr">
        <is>
          <t>RM</t>
        </is>
      </c>
    </row>
    <row r="59">
      <c r="A59" s="84" t="n"/>
      <c r="B59" s="147" t="n"/>
      <c r="C59" s="23" t="n"/>
      <c r="D59" s="21" t="n"/>
      <c r="E59" s="92" t="n"/>
      <c r="G59" s="25" t="n"/>
      <c r="H59" t="inlineStr">
        <is>
          <t xml:space="preserve">Total </t>
        </is>
      </c>
      <c r="J59" s="118">
        <f>IF(K59,"=","")</f>
        <v/>
      </c>
      <c r="K59" s="92">
        <f>SUM(K57:K58)</f>
        <v/>
      </c>
      <c r="L59" s="23" t="inlineStr">
        <is>
          <t>RM</t>
        </is>
      </c>
    </row>
    <row r="60" ht="75" customHeight="1" s="9">
      <c r="A60" s="40" t="n">
        <v>15</v>
      </c>
      <c r="B60" s="147" t="inlineStr">
        <is>
          <t>Providing and fixing Unplasticized Poly Vinyl Chloride (UPVC) SWR pipe fittings type B for soil and rain and waste discharge system (IS:13592 : 1992 marked) of approved quality/ make including jointing the pipes complete.</t>
        </is>
      </c>
      <c r="C60" s="23" t="n"/>
      <c r="D60" s="21" t="n"/>
      <c r="E60" s="103" t="n"/>
      <c r="G60" s="25" t="n"/>
      <c r="J60" s="118">
        <f>IF(K60,"=","")</f>
        <v/>
      </c>
      <c r="K60" s="103" t="n"/>
      <c r="L60" s="21" t="n"/>
    </row>
    <row r="61" s="9">
      <c r="A61" s="40" t="inlineStr">
        <is>
          <t>A.</t>
        </is>
      </c>
      <c r="B61" s="155" t="inlineStr">
        <is>
          <t>110  mm dia. Offset</t>
        </is>
      </c>
      <c r="C61" s="87" t="n">
        <v>1</v>
      </c>
      <c r="D61" s="21" t="inlineStr">
        <is>
          <t>x</t>
        </is>
      </c>
      <c r="E61" s="103" t="n">
        <v>1</v>
      </c>
      <c r="G61" s="25" t="n"/>
      <c r="J61" s="118">
        <f>IF(K61,"=","")</f>
        <v/>
      </c>
      <c r="K61" s="103">
        <f>C61*E61</f>
        <v/>
      </c>
      <c r="L61" s="21" t="inlineStr">
        <is>
          <t>Nos.</t>
        </is>
      </c>
    </row>
    <row r="62" s="9">
      <c r="A62" s="40" t="inlineStr">
        <is>
          <t>B.</t>
        </is>
      </c>
      <c r="B62" s="155" t="inlineStr">
        <is>
          <t>110 mm dia. Coupler</t>
        </is>
      </c>
      <c r="C62" s="87" t="n">
        <v>5</v>
      </c>
      <c r="D62" s="21" t="inlineStr">
        <is>
          <t>x</t>
        </is>
      </c>
      <c r="E62" s="103" t="n">
        <v>1</v>
      </c>
      <c r="G62" s="25" t="n"/>
      <c r="J62" s="118">
        <f>IF(K62,"=","")</f>
        <v/>
      </c>
      <c r="K62" s="103">
        <f>C62*E62</f>
        <v/>
      </c>
      <c r="L62" s="21" t="inlineStr">
        <is>
          <t>Nos.</t>
        </is>
      </c>
    </row>
    <row r="63" s="9">
      <c r="A63" s="40" t="inlineStr">
        <is>
          <t>C.</t>
        </is>
      </c>
      <c r="B63" s="155" t="inlineStr">
        <is>
          <t>110 mm dia. Single 'Y' with Door</t>
        </is>
      </c>
      <c r="C63" s="87" t="n">
        <v>1</v>
      </c>
      <c r="D63" s="21" t="inlineStr">
        <is>
          <t>x</t>
        </is>
      </c>
      <c r="E63" s="103" t="n">
        <v>1</v>
      </c>
      <c r="G63" s="25" t="n"/>
      <c r="J63" s="118">
        <f>IF(K63,"=","")</f>
        <v/>
      </c>
      <c r="K63" s="103">
        <f>C63*E63</f>
        <v/>
      </c>
      <c r="L63" s="21" t="inlineStr">
        <is>
          <t>Nos.</t>
        </is>
      </c>
    </row>
    <row r="64" s="9">
      <c r="A64" s="40" t="inlineStr">
        <is>
          <t>D.</t>
        </is>
      </c>
      <c r="B64" s="147" t="inlineStr">
        <is>
          <t>100 mm dia. vent  Cowl</t>
        </is>
      </c>
      <c r="C64" s="87" t="n">
        <v>3</v>
      </c>
      <c r="D64" s="21" t="inlineStr">
        <is>
          <t>x</t>
        </is>
      </c>
      <c r="E64" s="103" t="n">
        <v>1</v>
      </c>
      <c r="G64" s="25" t="n"/>
      <c r="J64" s="118">
        <f>IF(K64,"=","")</f>
        <v/>
      </c>
      <c r="K64" s="103">
        <f>C64*E64</f>
        <v/>
      </c>
      <c r="L64" s="21" t="inlineStr">
        <is>
          <t>Nos.</t>
        </is>
      </c>
    </row>
    <row r="65" s="9">
      <c r="A65" s="40" t="inlineStr">
        <is>
          <t>E.</t>
        </is>
      </c>
      <c r="B65" s="155" t="inlineStr">
        <is>
          <t>110 mm dia. Single 'Y'</t>
        </is>
      </c>
      <c r="C65" s="87" t="n">
        <v>1</v>
      </c>
      <c r="D65" s="21" t="inlineStr">
        <is>
          <t>x</t>
        </is>
      </c>
      <c r="E65" s="103" t="n">
        <v>1</v>
      </c>
      <c r="G65" s="25" t="n"/>
      <c r="J65" s="118">
        <f>IF(K65,"=","")</f>
        <v/>
      </c>
      <c r="K65" s="103">
        <f>C65*E65</f>
        <v/>
      </c>
      <c r="L65" s="21" t="inlineStr">
        <is>
          <t>Nos.</t>
        </is>
      </c>
    </row>
    <row r="66">
      <c r="A66" s="40" t="inlineStr">
        <is>
          <t>F.</t>
        </is>
      </c>
      <c r="B66" s="155" t="inlineStr">
        <is>
          <t>110 mm dia.  door  Bend</t>
        </is>
      </c>
      <c r="C66" s="87" t="n">
        <v>1</v>
      </c>
      <c r="D66" s="21" t="inlineStr">
        <is>
          <t>x</t>
        </is>
      </c>
      <c r="E66" s="103" t="n">
        <v>1</v>
      </c>
      <c r="G66" s="25" t="n"/>
      <c r="J66" s="118">
        <f>IF(K66,"=","")</f>
        <v/>
      </c>
      <c r="K66" s="103">
        <f>C66*E66</f>
        <v/>
      </c>
      <c r="L66" s="21" t="inlineStr">
        <is>
          <t>Nos.</t>
        </is>
      </c>
    </row>
    <row r="67">
      <c r="A67" s="40" t="inlineStr">
        <is>
          <t>G.</t>
        </is>
      </c>
      <c r="B67" s="155" t="inlineStr">
        <is>
          <t>110 mm dia.   Bend 87.5 degree.</t>
        </is>
      </c>
      <c r="C67" s="87" t="n">
        <v>1</v>
      </c>
      <c r="D67" s="21" t="inlineStr">
        <is>
          <t>x</t>
        </is>
      </c>
      <c r="E67" s="103" t="n">
        <v>1</v>
      </c>
      <c r="G67" s="25" t="n"/>
      <c r="J67" s="118">
        <f>IF(K67,"=","")</f>
        <v/>
      </c>
      <c r="K67" s="103">
        <f>C67*E67</f>
        <v/>
      </c>
      <c r="L67" s="21" t="inlineStr">
        <is>
          <t>Nos.</t>
        </is>
      </c>
    </row>
    <row r="68" ht="75" customHeight="1" s="9">
      <c r="A68" s="40">
        <f>A60+1</f>
        <v/>
      </c>
      <c r="B68" s="155" t="inlineStr">
        <is>
          <t xml:space="preserve">Providing and fixing Spun Cast Iron  (SCI ) Floor Trap (Nahni) of (IS : 3789mark) approved quality /make with socket down or hinged grating including cutting and making good the floor :- size 100x100 mm. </t>
        </is>
      </c>
      <c r="C68" s="23" t="n">
        <v>6</v>
      </c>
      <c r="D68" s="21" t="inlineStr">
        <is>
          <t>x</t>
        </is>
      </c>
      <c r="E68" s="103" t="n">
        <v>1</v>
      </c>
      <c r="G68" s="25" t="n"/>
      <c r="J68" s="118">
        <f>IF(K68,"=","")</f>
        <v/>
      </c>
      <c r="K68" s="103">
        <f>C68*E68</f>
        <v/>
      </c>
      <c r="L68" s="21" t="inlineStr">
        <is>
          <t>Nos.</t>
        </is>
      </c>
    </row>
    <row r="69" ht="150" customHeight="1" s="9">
      <c r="A69" s="1" t="n">
        <v>17</v>
      </c>
      <c r="B69" s="155" t="inlineStr">
        <is>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is>
      </c>
      <c r="C69" s="23" t="n"/>
      <c r="E69" s="103" t="n"/>
      <c r="G69" s="25" t="n"/>
      <c r="J69" s="118">
        <f>IF(K69,"=","")</f>
        <v/>
      </c>
      <c r="K69" s="103" t="n"/>
      <c r="L69" s="21" t="n"/>
    </row>
    <row r="70" s="9">
      <c r="A70" s="1" t="n"/>
      <c r="B70" s="147" t="inlineStr">
        <is>
          <t>(A) Depth upto 0.5 M</t>
        </is>
      </c>
      <c r="C70" s="23" t="n">
        <v>6</v>
      </c>
      <c r="D70" s="21" t="inlineStr">
        <is>
          <t>x'.</t>
        </is>
      </c>
      <c r="E70" s="103" t="n">
        <v>1</v>
      </c>
      <c r="G70" s="25" t="n"/>
      <c r="J70" s="118">
        <f>IF(K70,"=","")</f>
        <v/>
      </c>
      <c r="K70" s="103">
        <f>C70*E70</f>
        <v/>
      </c>
      <c r="L70" s="21" t="inlineStr">
        <is>
          <t>Nos.</t>
        </is>
      </c>
    </row>
    <row r="71" s="9">
      <c r="A71" s="1" t="n"/>
      <c r="B71" s="155" t="inlineStr">
        <is>
          <t>(B) Depth 0.5 M to 1.0 M</t>
        </is>
      </c>
      <c r="C71" s="23" t="n">
        <v>6</v>
      </c>
      <c r="D71" s="21" t="inlineStr">
        <is>
          <t>x</t>
        </is>
      </c>
      <c r="E71" s="103" t="n">
        <v>1</v>
      </c>
      <c r="G71" s="25" t="n"/>
      <c r="J71" s="118">
        <f>IF(K71,"=","")</f>
        <v/>
      </c>
      <c r="K71" s="103">
        <f>C71*E71</f>
        <v/>
      </c>
      <c r="L71" s="21" t="inlineStr">
        <is>
          <t>Nos.</t>
        </is>
      </c>
    </row>
    <row r="72" ht="30" customFormat="1" customHeight="1" s="110">
      <c r="A72" s="1">
        <f>IF(A69,A69+1,#REF!+1)</f>
        <v/>
      </c>
      <c r="B72" s="169" t="inlineStr">
        <is>
          <t>S &amp; F C.I. cover with frame, C.I. gratings for chambers &amp; man holes.</t>
        </is>
      </c>
      <c r="C72" s="23" t="n">
        <v>12</v>
      </c>
      <c r="D72" s="21" t="inlineStr">
        <is>
          <t>x</t>
        </is>
      </c>
      <c r="E72" s="103" t="n">
        <v>25</v>
      </c>
      <c r="G72" s="25" t="n"/>
      <c r="J72" s="118">
        <f>IF(K72,"=","")</f>
        <v/>
      </c>
      <c r="K72" s="103">
        <f>C72*E72</f>
        <v/>
      </c>
      <c r="L72" s="23" t="inlineStr">
        <is>
          <t>Kg.</t>
        </is>
      </c>
    </row>
    <row r="73" s="9">
      <c r="A73" s="40" t="n"/>
      <c r="B73" s="155" t="n"/>
      <c r="C73" s="23" t="n"/>
      <c r="D73" s="21" t="n"/>
      <c r="E73" s="103" t="n"/>
      <c r="G73" s="25" t="n"/>
      <c r="J73" s="118">
        <f>IF(K73,"=","")</f>
        <v/>
      </c>
      <c r="K73" s="103" t="n"/>
      <c r="L73" s="21" t="n"/>
    </row>
    <row r="74" ht="90" customHeight="1" s="9">
      <c r="A74" s="40">
        <f>A72+1</f>
        <v/>
      </c>
      <c r="B74" s="179" t="inlineStr">
        <is>
          <t>Providing laying and jointing glazed SW pipes Grade `A’ (IS : 651 marked) of approved make with spun yarn &amp; stiff mixture of cement mortar 1:1 excavation and refilling of earth in all types of soil upto 1.2m depth, SW fittings, including testing of joints etc. complete 100 mm dia.</t>
        </is>
      </c>
      <c r="C74" s="214" t="n"/>
      <c r="D74" s="39" t="n"/>
      <c r="E74" s="92" t="n"/>
      <c r="F74" s="44" t="n"/>
      <c r="G74" s="118" t="n"/>
      <c r="J74" s="118">
        <f>IF(K74,"=","")</f>
        <v/>
      </c>
      <c r="K74" s="92" t="n"/>
      <c r="L74" s="23" t="n"/>
    </row>
    <row r="75">
      <c r="A75" s="84" t="n"/>
      <c r="B75" s="172" t="inlineStr">
        <is>
          <t>Horizontal External</t>
        </is>
      </c>
      <c r="C75" s="23" t="n"/>
      <c r="D75" s="21" t="n"/>
      <c r="E75" s="92" t="n"/>
      <c r="G75" s="25" t="n"/>
      <c r="J75" s="118">
        <f>IF(K75,"=","")</f>
        <v/>
      </c>
      <c r="K75" s="92" t="n"/>
      <c r="L75" s="23" t="n"/>
    </row>
    <row r="76">
      <c r="A76" s="84" t="n"/>
      <c r="B76" s="147" t="inlineStr">
        <is>
          <t>Left Line</t>
        </is>
      </c>
      <c r="C76" s="23" t="n">
        <v>2</v>
      </c>
      <c r="D76" s="21" t="inlineStr">
        <is>
          <t>x</t>
        </is>
      </c>
      <c r="E76" s="92" t="n">
        <v>85</v>
      </c>
      <c r="G76" s="25" t="n"/>
      <c r="J76" s="118">
        <f>IF(K76,"=","")</f>
        <v/>
      </c>
      <c r="K76" s="92">
        <f>C76*E76</f>
        <v/>
      </c>
      <c r="L76" s="23" t="inlineStr">
        <is>
          <t>RM</t>
        </is>
      </c>
    </row>
    <row r="77">
      <c r="A77" s="84" t="n"/>
      <c r="B77" s="147" t="inlineStr">
        <is>
          <t>Back Line</t>
        </is>
      </c>
      <c r="C77" s="23" t="n">
        <v>1</v>
      </c>
      <c r="D77" s="21" t="inlineStr">
        <is>
          <t>x</t>
        </is>
      </c>
      <c r="E77" s="92" t="n">
        <v>55</v>
      </c>
      <c r="G77" s="25" t="n"/>
      <c r="J77" s="118">
        <f>IF(K77,"=","")</f>
        <v/>
      </c>
      <c r="K77" s="92">
        <f>C77*E77</f>
        <v/>
      </c>
      <c r="L77" s="23" t="inlineStr">
        <is>
          <t>RM</t>
        </is>
      </c>
    </row>
    <row r="78">
      <c r="A78" s="84" t="n"/>
      <c r="B78" s="147" t="inlineStr">
        <is>
          <t>To ST</t>
        </is>
      </c>
      <c r="C78" s="23" t="n">
        <v>1</v>
      </c>
      <c r="D78" s="21" t="inlineStr">
        <is>
          <t>x</t>
        </is>
      </c>
      <c r="E78" s="92" t="n">
        <v>18</v>
      </c>
      <c r="G78" s="25" t="n"/>
      <c r="J78" s="118">
        <f>IF(K78,"=","")</f>
        <v/>
      </c>
      <c r="K78" s="92">
        <f>C78*E78</f>
        <v/>
      </c>
      <c r="L78" s="23" t="inlineStr">
        <is>
          <t>RM</t>
        </is>
      </c>
    </row>
    <row r="79">
      <c r="A79" s="84" t="n"/>
      <c r="B79" s="147" t="n"/>
      <c r="C79" s="23" t="n"/>
      <c r="D79" s="21" t="n"/>
      <c r="E79" s="92" t="n"/>
      <c r="G79" s="25" t="n"/>
      <c r="H79" s="134" t="inlineStr">
        <is>
          <t xml:space="preserve">Total </t>
        </is>
      </c>
      <c r="I79" s="134" t="n"/>
      <c r="J79" s="158">
        <f>IF(K79,"=","")</f>
        <v/>
      </c>
      <c r="K79" s="166">
        <f>SUM(K76:K78)</f>
        <v/>
      </c>
      <c r="L79" s="161" t="inlineStr">
        <is>
          <t>RM</t>
        </is>
      </c>
    </row>
    <row r="80" ht="75" customFormat="1" customHeight="1" s="110">
      <c r="A80" s="85">
        <f>A74+1</f>
        <v/>
      </c>
      <c r="B80" s="183" t="inlineStr">
        <is>
          <t>Providing &amp; laying CC 1 : 5 : 10 (stone aggregate 40 nominal size) all around SW pipe incl. 15cm thick bed concrete as per Rajasthan PWD specifications (width W=dia of pipe in cm + 40 cm ). 100mm dia SW pipe</t>
        </is>
      </c>
      <c r="G80" s="118" t="n"/>
      <c r="J80" s="118">
        <f>IF(K80,"=","")</f>
        <v/>
      </c>
      <c r="K80" s="118">
        <f>K79</f>
        <v/>
      </c>
      <c r="L80" s="110" t="inlineStr">
        <is>
          <t>RM</t>
        </is>
      </c>
    </row>
    <row r="81" ht="120" customHeight="1" s="9">
      <c r="A81" s="83">
        <f>A80+1</f>
        <v/>
      </c>
      <c r="B81" s="180" t="inlineStr">
        <is>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is>
      </c>
      <c r="C81" s="23" t="n">
        <v>5</v>
      </c>
      <c r="D81" s="21" t="inlineStr">
        <is>
          <t>x</t>
        </is>
      </c>
      <c r="E81" s="103" t="n">
        <v>1</v>
      </c>
      <c r="G81" s="25" t="n"/>
      <c r="J81" s="118">
        <f>IF(K81,"=","")</f>
        <v/>
      </c>
      <c r="K81" s="103">
        <f>C81*E81</f>
        <v/>
      </c>
      <c r="L81" s="21" t="inlineStr">
        <is>
          <t>Nos.</t>
        </is>
      </c>
    </row>
    <row r="82" s="9">
      <c r="A82" s="111" t="n"/>
      <c r="B82" s="147" t="n"/>
      <c r="C82" s="23" t="n"/>
      <c r="D82" s="21" t="n"/>
      <c r="E82" s="103" t="n"/>
      <c r="G82" s="25" t="n"/>
      <c r="J82" s="118">
        <f>IF(K82,"=","")</f>
        <v/>
      </c>
      <c r="K82" s="103" t="n"/>
      <c r="L82" s="21" t="n"/>
    </row>
    <row r="83" ht="30" customHeight="1" s="9">
      <c r="A83" s="111" t="n">
        <v>22</v>
      </c>
      <c r="B83" s="147" t="inlineStr">
        <is>
          <t>P &amp; F 15 mm dia. Connection pipe of approved quality / make: PVC pipe 450 mm</t>
        </is>
      </c>
      <c r="C83" s="23" t="n">
        <v>11</v>
      </c>
      <c r="D83" s="21" t="inlineStr">
        <is>
          <t>x</t>
        </is>
      </c>
      <c r="E83" s="103" t="n">
        <v>1</v>
      </c>
      <c r="G83" s="25" t="n"/>
      <c r="J83" s="118">
        <f>IF(K83,"=","")</f>
        <v/>
      </c>
      <c r="K83" s="103">
        <f>C83*E83</f>
        <v/>
      </c>
      <c r="L83" s="21" t="inlineStr">
        <is>
          <t>Nos.</t>
        </is>
      </c>
    </row>
    <row r="84">
      <c r="A84" s="1" t="n"/>
    </row>
    <row r="85" ht="15.75" customFormat="1" customHeight="1" s="204">
      <c r="A85" s="78" t="n"/>
      <c r="B85" s="157" t="inlineStr">
        <is>
          <t>ASSISTANT ENGINEER,</t>
        </is>
      </c>
      <c r="C85" s="110" t="n"/>
      <c r="E85" s="110" t="n"/>
      <c r="F85" s="53" t="n"/>
      <c r="H85" s="110" t="n"/>
      <c r="K85" s="163" t="inlineStr">
        <is>
          <t>EXECUTIVE  ENGINEER,</t>
        </is>
      </c>
    </row>
    <row r="86" ht="15.75" customFormat="1" customHeight="1" s="204">
      <c r="A86" s="78" t="n"/>
      <c r="B86" s="157" t="inlineStr">
        <is>
          <t>P.W.D. Sub Div.- NATHDWARA</t>
        </is>
      </c>
      <c r="C86" s="110" t="n"/>
      <c r="E86" s="110" t="n"/>
      <c r="F86" s="53" t="n"/>
      <c r="H86" s="110" t="n"/>
      <c r="K86" s="163" t="inlineStr">
        <is>
          <t>P.W.D. Div.- RAJSAMAND</t>
        </is>
      </c>
    </row>
    <row r="87" ht="15.75" customHeight="1" s="9">
      <c r="A87" s="1" t="n"/>
      <c r="G87" s="78" t="n"/>
    </row>
  </sheetData>
  <printOptions horizontalCentered="1"/>
  <pageMargins left="0.4724409448818898" right="0.3149606299212598" top="0.3937007874015748" bottom="0.1968503937007874" header="0.07874015748031496" footer="0.1968503937007874"/>
  <pageSetup orientation="portrait" paperSize="9" scale="82" fitToHeight="3" firstPageNumber="29" useFirstPageNumber="1" horizontalDpi="180" verticalDpi="180"/>
  <headerFooter alignWithMargins="0">
    <oddHeader/>
    <oddFooter>&amp;CMes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RAJKUMAR</dc:creator>
  <dcterms:created xmlns:dcterms="http://purl.org/dc/terms/" xmlns:xsi="http://www.w3.org/2001/XMLSchema-instance" xsi:type="dcterms:W3CDTF">1999-05-10T10:55:35Z</dcterms:created>
  <dcterms:modified xmlns:dcterms="http://purl.org/dc/terms/" xmlns:xsi="http://www.w3.org/2001/XMLSchema-instance" xsi:type="dcterms:W3CDTF">2025-11-16T20:42:28Z</dcterms:modified>
  <cp:lastModifiedBy>Rajkumar</cp:lastModifiedBy>
  <cp:lastPrinted>2004-05-10T10:55:29Z</cp:lastPrinted>
</cp:coreProperties>
</file>