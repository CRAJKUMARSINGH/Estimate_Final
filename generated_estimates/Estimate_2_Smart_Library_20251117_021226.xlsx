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hidden" minimized="0" showHorizontalScroll="1" showVerticalScroll="1" showSheetTabs="1" xWindow="-15" yWindow="1680" windowWidth="9570" windowHeight="3105" tabRatio="880" firstSheet="2" activeTab="2" autoFilterDateGrouping="1"/>
    <workbookView visibility="hidden" minimized="0" showHorizontalScroll="1" showVerticalScroll="1" showSheetTabs="1" xWindow="0" yWindow="210" windowWidth="9720" windowHeight="6345" tabRatio="922" firstSheet="0" activeTab="0" autoFilterDateGrouping="1"/>
  </bookViews>
  <sheets>
    <sheet xmlns:r="http://schemas.openxmlformats.org/officeDocument/2006/relationships" name="gen-abstract" sheetId="1" state="visible" r:id="rId1"/>
    <sheet xmlns:r="http://schemas.openxmlformats.org/officeDocument/2006/relationships" name="GF1_ABS" sheetId="2" state="visible" r:id="rId2"/>
    <sheet xmlns:r="http://schemas.openxmlformats.org/officeDocument/2006/relationships" name="GF1_MES" sheetId="3" state="visible" r:id="rId3"/>
    <sheet xmlns:r="http://schemas.openxmlformats.org/officeDocument/2006/relationships" name="FF_ABS" sheetId="4" state="visible" r:id="rId4"/>
    <sheet xmlns:r="http://schemas.openxmlformats.org/officeDocument/2006/relationships" name="FF_MES" sheetId="5" state="visible" r:id="rId5"/>
  </sheets>
  <externalReferences>
    <externalReference xmlns:r="http://schemas.openxmlformats.org/officeDocument/2006/relationships" r:id="rId6"/>
  </externalReferences>
  <definedNames>
    <definedName name="_xlnm.Print_Titles" localSheetId="1">'GF1_ABS'!$5:$5</definedName>
    <definedName name="_xlnm.Print_Titles" localSheetId="2">'GF1_MES'!$5:$5</definedName>
    <definedName name="_xlnm.Print_Titles" localSheetId="3">'FF_ABS'!$5:$5</definedName>
    <definedName name="_xlnm.Print_Titles" localSheetId="4">'FF_MES'!$5:$5</definedName>
  </definedNames>
  <calcPr calcId="152511" fullCalcOnLoad="1"/>
</workbook>
</file>

<file path=xl/styles.xml><?xml version="1.0" encoding="utf-8"?>
<styleSheet xmlns="http://schemas.openxmlformats.org/spreadsheetml/2006/main">
  <numFmts count="0"/>
  <fonts count="12">
    <font>
      <name val="Arial"/>
      <sz val="12"/>
    </font>
    <font>
      <name val="Arial"/>
      <family val="2"/>
      <b val="1"/>
      <sz val="12"/>
    </font>
    <font>
      <name val="Arial"/>
      <family val="2"/>
      <sz val="12"/>
    </font>
    <font>
      <name val="Arial"/>
      <family val="2"/>
      <sz val="12"/>
    </font>
    <font>
      <name val="Arial"/>
      <family val="2"/>
      <sz val="14"/>
    </font>
    <font>
      <name val="Arial"/>
      <family val="2"/>
      <b val="1"/>
      <sz val="12"/>
    </font>
    <font>
      <name val="Arial"/>
      <family val="2"/>
      <sz val="11"/>
    </font>
    <font>
      <name val="Arial"/>
      <family val="2"/>
      <b val="1"/>
      <sz val="11"/>
    </font>
    <font>
      <name val="Arial"/>
      <family val="2"/>
      <b val="1"/>
      <i val="1"/>
      <sz val="11"/>
      <u val="single"/>
    </font>
    <font>
      <name val="Arial"/>
      <family val="2"/>
      <b val="1"/>
      <sz val="11"/>
      <u val="single"/>
    </font>
    <font>
      <name val="Arial"/>
      <family val="2"/>
      <i val="1"/>
      <sz val="11"/>
      <u val="single"/>
    </font>
    <font>
      <name val="Times New Roman"/>
      <family val="1"/>
      <sz val="12"/>
    </font>
  </fonts>
  <fills count="2">
    <fill>
      <patternFill/>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3" fillId="0" borderId="0"/>
  </cellStyleXfs>
  <cellXfs count="276">
    <xf numFmtId="0" fontId="0" fillId="0" borderId="0" pivotButton="0" quotePrefix="0" xfId="0"/>
    <xf numFmtId="0" fontId="0" fillId="0" borderId="0" applyAlignment="1" pivotButton="0" quotePrefix="0" xfId="0">
      <alignment horizontal="centerContinuous"/>
    </xf>
    <xf numFmtId="2" fontId="0" fillId="0" borderId="0" pivotButton="0" quotePrefix="0" xfId="0"/>
    <xf numFmtId="0" fontId="0" fillId="0" borderId="0" applyAlignment="1" pivotButton="0" quotePrefix="1" xfId="0">
      <alignment horizontal="left"/>
    </xf>
    <xf numFmtId="0" fontId="0" fillId="0" borderId="0" pivotButton="0" quotePrefix="0" xfId="0"/>
    <xf numFmtId="0" fontId="3" fillId="0" borderId="0" pivotButton="0" quotePrefix="0" xfId="0"/>
    <xf numFmtId="0" fontId="3" fillId="0" borderId="0" applyAlignment="1" pivotButton="0" quotePrefix="0" xfId="0">
      <alignment horizontal="centerContinuous"/>
    </xf>
    <xf numFmtId="2" fontId="3" fillId="0" borderId="0" applyAlignment="1" pivotButton="0" quotePrefix="0" xfId="0">
      <alignment horizontal="centerContinuous"/>
    </xf>
    <xf numFmtId="0" fontId="1" fillId="0" borderId="0" applyAlignment="1" pivotButton="0" quotePrefix="0" xfId="0">
      <alignment horizontal="centerContinuous"/>
    </xf>
    <xf numFmtId="0" fontId="3" fillId="0" borderId="0" applyAlignment="1" pivotButton="0" quotePrefix="1" xfId="0">
      <alignment horizontal="left" vertical="top" wrapText="1"/>
    </xf>
    <xf numFmtId="0" fontId="3" fillId="0" borderId="0" applyAlignment="1" pivotButton="0" quotePrefix="1" xfId="0">
      <alignment horizontal="centerContinuous" vertical="top"/>
    </xf>
    <xf numFmtId="2" fontId="0" fillId="0" borderId="0" applyAlignment="1" pivotButton="0" quotePrefix="0" xfId="0">
      <alignment horizontal="left"/>
    </xf>
    <xf numFmtId="2" fontId="0" fillId="0" borderId="0" applyAlignment="1" pivotButton="0" quotePrefix="0" xfId="0">
      <alignment horizontal="centerContinuous"/>
    </xf>
    <xf numFmtId="0" fontId="4" fillId="0" borderId="0" applyAlignment="1" pivotButton="0" quotePrefix="0" xfId="0">
      <alignment horizontal="centerContinuous" vertical="top" wrapText="1"/>
    </xf>
    <xf numFmtId="2" fontId="5" fillId="0" borderId="0" applyAlignment="1" pivotButton="0" quotePrefix="0" xfId="0">
      <alignment horizontal="left"/>
    </xf>
    <xf numFmtId="0" fontId="3" fillId="0" borderId="0" applyAlignment="1" pivotButton="0" quotePrefix="0" xfId="0">
      <alignment horizontal="left" vertical="top" wrapText="1"/>
    </xf>
    <xf numFmtId="0" fontId="5" fillId="0" borderId="0" applyAlignment="1" pivotButton="0" quotePrefix="0" xfId="0">
      <alignment vertical="top"/>
    </xf>
    <xf numFmtId="0" fontId="0" fillId="0" borderId="0" applyAlignment="1" pivotButton="0" quotePrefix="1" xfId="0">
      <alignment horizontal="center"/>
    </xf>
    <xf numFmtId="0" fontId="5" fillId="0" borderId="0" applyAlignment="1" pivotButton="0" quotePrefix="1" xfId="0">
      <alignment horizontal="left" vertical="top"/>
    </xf>
    <xf numFmtId="0" fontId="0" fillId="0" borderId="0" applyAlignment="1" pivotButton="0" quotePrefix="0" xfId="0">
      <alignment horizontal="right"/>
    </xf>
    <xf numFmtId="2" fontId="5" fillId="0" borderId="0" applyAlignment="1" pivotButton="0" quotePrefix="0" xfId="0">
      <alignment horizontal="right"/>
    </xf>
    <xf numFmtId="0" fontId="3" fillId="0" borderId="0" pivotButton="0" quotePrefix="0" xfId="0"/>
    <xf numFmtId="2" fontId="3" fillId="0" borderId="0" applyAlignment="1" pivotButton="0" quotePrefix="0" xfId="0">
      <alignment horizontal="right" vertical="top" wrapText="1"/>
    </xf>
    <xf numFmtId="2" fontId="0" fillId="0" borderId="2" pivotButton="0" quotePrefix="0" xfId="0"/>
    <xf numFmtId="0" fontId="5" fillId="0" borderId="0" pivotButton="0" quotePrefix="0" xfId="0"/>
    <xf numFmtId="0" fontId="3" fillId="0" borderId="0" applyAlignment="1" pivotButton="0" quotePrefix="1" xfId="0">
      <alignment horizontal="left" vertical="top" wrapText="1"/>
    </xf>
    <xf numFmtId="2" fontId="1" fillId="0" borderId="0" applyAlignment="1" pivotButton="0" quotePrefix="0" xfId="0">
      <alignment horizontal="center"/>
    </xf>
    <xf numFmtId="1" fontId="3" fillId="0" borderId="0" applyAlignment="1" pivotButton="0" quotePrefix="0" xfId="0">
      <alignment horizontal="right" vertical="top"/>
    </xf>
    <xf numFmtId="2" fontId="3" fillId="0" borderId="0" applyAlignment="1" pivotButton="0" quotePrefix="0" xfId="0">
      <alignment horizontal="right" vertical="top"/>
    </xf>
    <xf numFmtId="1" fontId="3" fillId="0" borderId="0" applyAlignment="1" pivotButton="0" quotePrefix="0" xfId="0">
      <alignment horizontal="right" vertical="top"/>
    </xf>
    <xf numFmtId="0" fontId="0" fillId="0" borderId="2" applyAlignment="1" pivotButton="0" quotePrefix="0" xfId="0">
      <alignment vertical="top"/>
    </xf>
    <xf numFmtId="2" fontId="0" fillId="0" borderId="2" applyAlignment="1" pivotButton="0" quotePrefix="0" xfId="0">
      <alignment vertical="top"/>
    </xf>
    <xf numFmtId="0" fontId="2" fillId="0" borderId="0" applyAlignment="1" pivotButton="0" quotePrefix="0" xfId="0">
      <alignment horizontal="left" vertical="top" wrapText="1"/>
    </xf>
    <xf numFmtId="0" fontId="2" fillId="0" borderId="0" applyAlignment="1" pivotButton="0" quotePrefix="1" xfId="0">
      <alignment horizontal="left" vertical="top"/>
    </xf>
    <xf numFmtId="0" fontId="6" fillId="0" borderId="0" applyAlignment="1" pivotButton="0" quotePrefix="0" xfId="0">
      <alignment horizontal="center" vertical="top"/>
    </xf>
    <xf numFmtId="0" fontId="6" fillId="0" borderId="0" applyAlignment="1" pivotButton="0" quotePrefix="0" xfId="0">
      <alignment horizontal="justify" vertical="top" wrapText="1"/>
    </xf>
    <xf numFmtId="0" fontId="6" fillId="0" borderId="0" applyAlignment="1" pivotButton="0" quotePrefix="0" xfId="0">
      <alignment vertical="top"/>
    </xf>
    <xf numFmtId="49" fontId="6" fillId="0" borderId="0" applyAlignment="1" pivotButton="0" quotePrefix="0" xfId="0">
      <alignment horizontal="center" vertical="top"/>
    </xf>
    <xf numFmtId="2" fontId="6" fillId="0" borderId="0" applyAlignment="1" pivotButton="0" quotePrefix="0" xfId="0">
      <alignment vertical="top"/>
    </xf>
    <xf numFmtId="0" fontId="2" fillId="0" borderId="2" applyAlignment="1" pivotButton="0" quotePrefix="0" xfId="0">
      <alignment horizontal="center" vertical="top"/>
    </xf>
    <xf numFmtId="0" fontId="2" fillId="0" borderId="3" applyAlignment="1" pivotButton="0" quotePrefix="0" xfId="0">
      <alignment horizontal="center" vertical="top"/>
    </xf>
    <xf numFmtId="0" fontId="2" fillId="0" borderId="3" applyAlignment="1" pivotButton="0" quotePrefix="0" xfId="0">
      <alignment horizontal="justify" vertical="top" wrapText="1"/>
    </xf>
    <xf numFmtId="49" fontId="2" fillId="0" borderId="3" applyAlignment="1" pivotButton="0" quotePrefix="0" xfId="0">
      <alignment horizontal="center" vertical="top"/>
    </xf>
    <xf numFmtId="0" fontId="2" fillId="0" borderId="0" pivotButton="0" quotePrefix="0" xfId="0"/>
    <xf numFmtId="0" fontId="2" fillId="0" borderId="0" applyAlignment="1" pivotButton="0" quotePrefix="0" xfId="0">
      <alignment horizontal="left" vertical="top"/>
    </xf>
    <xf numFmtId="0" fontId="2" fillId="0" borderId="0" applyAlignment="1" pivotButton="0" quotePrefix="0" xfId="0">
      <alignment horizontal="justify" vertical="top" wrapText="1"/>
    </xf>
    <xf numFmtId="0" fontId="2" fillId="0" borderId="3" applyAlignment="1" pivotButton="0" quotePrefix="1" xfId="0">
      <alignment horizontal="justify" vertical="top" wrapText="1"/>
    </xf>
    <xf numFmtId="0" fontId="2" fillId="0" borderId="3" applyAlignment="1" pivotButton="0" quotePrefix="0" xfId="0">
      <alignment horizontal="justify" vertical="top" wrapText="1"/>
    </xf>
    <xf numFmtId="0" fontId="2" fillId="0" borderId="0" pivotButton="0" quotePrefix="0" xfId="0"/>
    <xf numFmtId="0" fontId="5" fillId="0" borderId="0" pivotButton="0" quotePrefix="0" xfId="0"/>
    <xf numFmtId="2" fontId="2" fillId="0" borderId="0" pivotButton="0" quotePrefix="0" xfId="0"/>
    <xf numFmtId="0" fontId="5" fillId="0" borderId="0" applyAlignment="1" pivotButton="0" quotePrefix="0" xfId="0">
      <alignment vertical="top"/>
    </xf>
    <xf numFmtId="0" fontId="5" fillId="0" borderId="0" applyAlignment="1" pivotButton="0" quotePrefix="0" xfId="0">
      <alignment horizontal="justify" vertical="top"/>
    </xf>
    <xf numFmtId="0" fontId="2" fillId="0" borderId="0" applyAlignment="1" pivotButton="0" quotePrefix="0" xfId="0">
      <alignment vertical="top"/>
    </xf>
    <xf numFmtId="2" fontId="2" fillId="0" borderId="2" applyAlignment="1" pivotButton="0" quotePrefix="0" xfId="0">
      <alignment horizontal="center" vertical="top"/>
    </xf>
    <xf numFmtId="1" fontId="2" fillId="0" borderId="2" applyAlignment="1" pivotButton="0" quotePrefix="0" xfId="0">
      <alignment horizontal="center" vertical="top"/>
    </xf>
    <xf numFmtId="2" fontId="2" fillId="0" borderId="3" applyAlignment="1" pivotButton="0" quotePrefix="0" xfId="0">
      <alignment horizontal="center" vertical="top"/>
    </xf>
    <xf numFmtId="1" fontId="2" fillId="0" borderId="3" applyAlignment="1" pivotButton="0" quotePrefix="0" xfId="0">
      <alignment horizontal="center" vertical="top"/>
    </xf>
    <xf numFmtId="0" fontId="2" fillId="0" borderId="3" applyAlignment="1" pivotButton="0" quotePrefix="1" xfId="0">
      <alignment horizontal="center" vertical="top"/>
    </xf>
    <xf numFmtId="0" fontId="2" fillId="0" borderId="0" applyAlignment="1" pivotButton="0" quotePrefix="0" xfId="0">
      <alignment horizontal="center" vertical="top"/>
    </xf>
    <xf numFmtId="2" fontId="2" fillId="0" borderId="1" applyAlignment="1" pivotButton="0" quotePrefix="0" xfId="0">
      <alignment horizontal="center" vertical="top"/>
    </xf>
    <xf numFmtId="2" fontId="2" fillId="0" borderId="0" applyAlignment="1" pivotButton="0" quotePrefix="0" xfId="0">
      <alignment horizontal="center" vertical="top"/>
    </xf>
    <xf numFmtId="0" fontId="5" fillId="0" borderId="0" applyAlignment="1" pivotButton="0" quotePrefix="0" xfId="0">
      <alignment horizontal="center" vertical="top"/>
    </xf>
    <xf numFmtId="0" fontId="6" fillId="0" borderId="0" applyAlignment="1" pivotButton="0" quotePrefix="0" xfId="0">
      <alignment vertical="top"/>
    </xf>
    <xf numFmtId="0" fontId="6" fillId="0" borderId="2" applyAlignment="1" pivotButton="0" quotePrefix="0" xfId="0">
      <alignment horizontal="center" vertical="top"/>
    </xf>
    <xf numFmtId="0" fontId="6" fillId="0" borderId="2" applyAlignment="1" pivotButton="0" quotePrefix="0" xfId="0">
      <alignment horizontal="center" vertical="top" wrapText="1"/>
    </xf>
    <xf numFmtId="2" fontId="6" fillId="0" borderId="2" applyAlignment="1" pivotButton="0" quotePrefix="0" xfId="0">
      <alignment horizontal="center" vertical="top"/>
    </xf>
    <xf numFmtId="0" fontId="6" fillId="0" borderId="0" applyAlignment="1" pivotButton="0" quotePrefix="0" xfId="0">
      <alignment horizontal="center" vertical="top"/>
    </xf>
    <xf numFmtId="0" fontId="6" fillId="0" borderId="0" applyAlignment="1" pivotButton="0" quotePrefix="0" xfId="0">
      <alignment horizontal="left" vertical="top"/>
    </xf>
    <xf numFmtId="0" fontId="8" fillId="0" borderId="0" applyAlignment="1" pivotButton="0" quotePrefix="0" xfId="0">
      <alignment horizontal="justify" vertical="top" wrapText="1"/>
    </xf>
    <xf numFmtId="2" fontId="6" fillId="0" borderId="0" applyAlignment="1" pivotButton="0" quotePrefix="0" xfId="0">
      <alignment vertical="top"/>
    </xf>
    <xf numFmtId="2" fontId="6" fillId="0" borderId="0" applyAlignment="1" pivotButton="0" quotePrefix="0" xfId="0">
      <alignment horizontal="right" vertical="top"/>
    </xf>
    <xf numFmtId="0" fontId="9" fillId="0" borderId="0" applyAlignment="1" pivotButton="0" quotePrefix="0" xfId="0">
      <alignment horizontal="justify" vertical="top" wrapText="1"/>
    </xf>
    <xf numFmtId="0" fontId="6" fillId="0" borderId="0" applyAlignment="1" pivotButton="0" quotePrefix="1" xfId="0">
      <alignment horizontal="left" vertical="top"/>
    </xf>
    <xf numFmtId="0" fontId="6" fillId="0" borderId="0" applyAlignment="1" pivotButton="0" quotePrefix="0" xfId="0">
      <alignment horizontal="justify" vertical="top" wrapText="1"/>
    </xf>
    <xf numFmtId="0" fontId="6" fillId="0" borderId="0" applyAlignment="1" pivotButton="0" quotePrefix="1" xfId="0">
      <alignment vertical="top"/>
    </xf>
    <xf numFmtId="2" fontId="6" fillId="0" borderId="2" applyAlignment="1" pivotButton="0" quotePrefix="0" xfId="0">
      <alignment vertical="top"/>
    </xf>
    <xf numFmtId="0" fontId="6" fillId="0" borderId="2" applyAlignment="1" pivotButton="0" quotePrefix="1" xfId="0">
      <alignment vertical="top"/>
    </xf>
    <xf numFmtId="0" fontId="6" fillId="0" borderId="2" applyAlignment="1" pivotButton="0" quotePrefix="0" xfId="0">
      <alignment horizontal="left" vertical="top"/>
    </xf>
    <xf numFmtId="0" fontId="6" fillId="0" borderId="0" applyAlignment="1" pivotButton="0" quotePrefix="1" xfId="0">
      <alignment vertical="top"/>
    </xf>
    <xf numFmtId="0" fontId="6" fillId="0" borderId="0" applyAlignment="1" pivotButton="0" quotePrefix="0" xfId="0">
      <alignment horizontal="left" vertical="top"/>
    </xf>
    <xf numFmtId="0" fontId="7" fillId="0" borderId="0" applyAlignment="1" pivotButton="0" quotePrefix="0" xfId="0">
      <alignment horizontal="justify" vertical="top" wrapText="1"/>
    </xf>
    <xf numFmtId="2" fontId="6" fillId="0" borderId="0" applyAlignment="1" pivotButton="0" quotePrefix="1" xfId="0">
      <alignment horizontal="centerContinuous" vertical="top"/>
    </xf>
    <xf numFmtId="2" fontId="6" fillId="0" borderId="0" applyAlignment="1" pivotButton="0" quotePrefix="0" xfId="0">
      <alignment horizontal="centerContinuous" vertical="top"/>
    </xf>
    <xf numFmtId="0" fontId="6" fillId="0" borderId="0" applyAlignment="1" pivotButton="0" quotePrefix="0" xfId="0">
      <alignment horizontal="centerContinuous" vertical="top"/>
    </xf>
    <xf numFmtId="0" fontId="7" fillId="0" borderId="0" applyAlignment="1" pivotButton="0" quotePrefix="1" xfId="0">
      <alignment vertical="top"/>
    </xf>
    <xf numFmtId="2" fontId="7" fillId="0" borderId="0" applyAlignment="1" pivotButton="0" quotePrefix="0" xfId="0">
      <alignment vertical="top"/>
    </xf>
    <xf numFmtId="0" fontId="7" fillId="0" borderId="0" applyAlignment="1" pivotButton="0" quotePrefix="0" xfId="0">
      <alignment horizontal="left" vertical="top"/>
    </xf>
    <xf numFmtId="0" fontId="6" fillId="0" borderId="0" applyAlignment="1" pivotButton="0" quotePrefix="0" xfId="0">
      <alignment horizontal="right" vertical="top"/>
    </xf>
    <xf numFmtId="2" fontId="6" fillId="0" borderId="0" applyAlignment="1" pivotButton="0" quotePrefix="0" xfId="0">
      <alignment horizontal="right" vertical="top"/>
    </xf>
    <xf numFmtId="0" fontId="6" fillId="0" borderId="0" applyAlignment="1" pivotButton="0" quotePrefix="1" xfId="0">
      <alignment horizontal="right" vertical="top"/>
    </xf>
    <xf numFmtId="0" fontId="6" fillId="0" borderId="0" applyAlignment="1" pivotButton="0" quotePrefix="1" xfId="0">
      <alignment horizontal="left" vertical="top"/>
    </xf>
    <xf numFmtId="0" fontId="7" fillId="0" borderId="2" applyAlignment="1" pivotButton="0" quotePrefix="1" xfId="0">
      <alignment horizontal="left" vertical="top"/>
    </xf>
    <xf numFmtId="0" fontId="2" fillId="0" borderId="0" applyAlignment="1" pivotButton="0" quotePrefix="0" xfId="0">
      <alignment wrapText="1"/>
    </xf>
    <xf numFmtId="2" fontId="2" fillId="0" borderId="0" applyAlignment="1" pivotButton="0" quotePrefix="0" xfId="0">
      <alignment wrapText="1"/>
    </xf>
    <xf numFmtId="0" fontId="6" fillId="0" borderId="1" applyAlignment="1" pivotButton="0" quotePrefix="0" xfId="0">
      <alignment vertical="top"/>
    </xf>
    <xf numFmtId="0" fontId="6" fillId="0" borderId="2" applyAlignment="1" pivotButton="0" quotePrefix="1" xfId="0">
      <alignment horizontal="left" vertical="top"/>
    </xf>
    <xf numFmtId="2" fontId="2" fillId="0" borderId="0" applyAlignment="1" pivotButton="0" quotePrefix="0" xfId="0">
      <alignment vertical="top" wrapText="1"/>
    </xf>
    <xf numFmtId="0" fontId="7" fillId="0" borderId="2" applyAlignment="1" pivotButton="0" quotePrefix="0" xfId="0">
      <alignment horizontal="left" vertical="top"/>
    </xf>
    <xf numFmtId="1" fontId="6" fillId="0" borderId="0" applyAlignment="1" pivotButton="0" quotePrefix="0" xfId="0">
      <alignment horizontal="right" vertical="top"/>
    </xf>
    <xf numFmtId="1" fontId="6" fillId="0" borderId="0" applyAlignment="1" pivotButton="0" quotePrefix="0" xfId="0">
      <alignment vertical="top"/>
    </xf>
    <xf numFmtId="2" fontId="6" fillId="0" borderId="2" applyAlignment="1" pivotButton="0" quotePrefix="0" xfId="0">
      <alignment horizontal="right" vertical="top"/>
    </xf>
    <xf numFmtId="0" fontId="6" fillId="0" borderId="0" applyAlignment="1" pivotButton="0" quotePrefix="1" xfId="0">
      <alignment horizontal="center" vertical="top"/>
    </xf>
    <xf numFmtId="0" fontId="7" fillId="0" borderId="0" applyAlignment="1" pivotButton="0" quotePrefix="0" xfId="0">
      <alignment vertical="top"/>
    </xf>
    <xf numFmtId="2" fontId="6" fillId="0" borderId="0" applyAlignment="1" pivotButton="0" quotePrefix="1" xfId="0">
      <alignment horizontal="center" vertical="top"/>
    </xf>
    <xf numFmtId="2" fontId="7" fillId="0" borderId="0" applyAlignment="1" pivotButton="0" quotePrefix="0" xfId="0">
      <alignment vertical="top"/>
    </xf>
    <xf numFmtId="0" fontId="6" fillId="0" borderId="0" applyAlignment="1" pivotButton="0" quotePrefix="0" xfId="0">
      <alignment horizontal="justify" vertical="top" wrapText="1"/>
    </xf>
    <xf numFmtId="2" fontId="7" fillId="0" borderId="3" applyAlignment="1" pivotButton="0" quotePrefix="0" xfId="0">
      <alignment vertical="top"/>
    </xf>
    <xf numFmtId="0" fontId="2" fillId="0" borderId="0" applyAlignment="1" pivotButton="0" quotePrefix="0" xfId="0">
      <alignment horizontal="left"/>
    </xf>
    <xf numFmtId="0" fontId="6" fillId="0" borderId="0" applyAlignment="1" pivotButton="0" quotePrefix="0" xfId="0">
      <alignment horizontal="center" vertical="top"/>
    </xf>
    <xf numFmtId="2" fontId="6" fillId="0" borderId="0" applyAlignment="1" pivotButton="0" quotePrefix="0" xfId="0">
      <alignment horizontal="center" vertical="top"/>
    </xf>
    <xf numFmtId="0" fontId="2" fillId="0" borderId="0" applyAlignment="1" pivotButton="0" quotePrefix="0" xfId="0">
      <alignment horizontal="left" vertical="top" wrapText="1"/>
    </xf>
    <xf numFmtId="0" fontId="2" fillId="0" borderId="2" applyAlignment="1" pivotButton="0" quotePrefix="0" xfId="0">
      <alignment horizontal="justify" vertical="top" wrapText="1"/>
    </xf>
    <xf numFmtId="0" fontId="2" fillId="0" borderId="0" applyAlignment="1" pivotButton="0" quotePrefix="0" xfId="0">
      <alignment horizontal="center" vertical="top"/>
    </xf>
    <xf numFmtId="0" fontId="7" fillId="0" borderId="0" applyAlignment="1" pivotButton="0" quotePrefix="0" xfId="0">
      <alignment vertical="top"/>
    </xf>
    <xf numFmtId="2" fontId="7" fillId="0" borderId="0" applyAlignment="1" pivotButton="0" quotePrefix="0" xfId="0">
      <alignment horizontal="right" vertical="top"/>
    </xf>
    <xf numFmtId="0" fontId="7" fillId="0" borderId="0" applyAlignment="1" pivotButton="0" quotePrefix="1" xfId="0">
      <alignment horizontal="left" vertical="top"/>
    </xf>
    <xf numFmtId="0" fontId="6" fillId="0" borderId="0" applyAlignment="1" pivotButton="0" quotePrefix="1" xfId="0">
      <alignment horizontal="justify" vertical="top" wrapText="1"/>
    </xf>
    <xf numFmtId="0" fontId="6" fillId="0" borderId="0" applyAlignment="1" pivotButton="0" quotePrefix="1" xfId="0">
      <alignment horizontal="center" vertical="top"/>
    </xf>
    <xf numFmtId="0" fontId="9" fillId="0" borderId="0" applyAlignment="1" pivotButton="0" quotePrefix="0" xfId="0">
      <alignment horizontal="justify" vertical="top" wrapText="1"/>
    </xf>
    <xf numFmtId="2" fontId="6" fillId="0" borderId="0" applyAlignment="1" pivotButton="0" quotePrefix="1" xfId="0">
      <alignment horizontal="centerContinuous" vertical="top"/>
    </xf>
    <xf numFmtId="0" fontId="10" fillId="0" borderId="0" applyAlignment="1" pivotButton="0" quotePrefix="0" xfId="0">
      <alignment horizontal="justify" vertical="top" wrapText="1"/>
    </xf>
    <xf numFmtId="0" fontId="6" fillId="0" borderId="0" applyAlignment="1" pivotButton="0" quotePrefix="1" xfId="0">
      <alignment horizontal="left" vertical="top" wrapText="1"/>
    </xf>
    <xf numFmtId="2" fontId="6" fillId="0" borderId="0" applyAlignment="1" pivotButton="0" quotePrefix="0" xfId="0">
      <alignment horizontal="centerContinuous" vertical="top"/>
    </xf>
    <xf numFmtId="0" fontId="8" fillId="0" borderId="0" applyAlignment="1" pivotButton="0" quotePrefix="1" xfId="0">
      <alignment horizontal="justify" vertical="top" wrapText="1"/>
    </xf>
    <xf numFmtId="0" fontId="6" fillId="0" borderId="0" applyAlignment="1" pivotButton="0" quotePrefix="0" xfId="0">
      <alignment vertical="top" wrapText="1"/>
    </xf>
    <xf numFmtId="0" fontId="6" fillId="0" borderId="0" applyAlignment="1" pivotButton="0" quotePrefix="0" xfId="0">
      <alignment horizontal="centerContinuous" vertical="top"/>
    </xf>
    <xf numFmtId="1" fontId="6" fillId="0" borderId="0" applyAlignment="1" pivotButton="0" quotePrefix="0" xfId="0">
      <alignment horizontal="center" vertical="top"/>
    </xf>
    <xf numFmtId="2" fontId="6" fillId="0" borderId="0" applyAlignment="1" pivotButton="0" quotePrefix="0" xfId="0">
      <alignment horizontal="center" vertical="top"/>
    </xf>
    <xf numFmtId="0" fontId="7" fillId="0" borderId="0" applyAlignment="1" pivotButton="0" quotePrefix="0" xfId="0">
      <alignment horizontal="left" vertical="top"/>
    </xf>
    <xf numFmtId="2" fontId="5" fillId="0" borderId="3" applyAlignment="1" pivotButton="0" quotePrefix="0" xfId="0">
      <alignment horizontal="center" vertical="top"/>
    </xf>
    <xf numFmtId="0" fontId="11" fillId="0" borderId="0" pivotButton="0" quotePrefix="0" xfId="0"/>
    <xf numFmtId="0" fontId="2" fillId="0" borderId="0" applyAlignment="1" pivotButton="0" quotePrefix="0" xfId="0">
      <alignment horizontal="justify" vertical="justify" wrapText="1"/>
    </xf>
    <xf numFmtId="0" fontId="0" fillId="0" borderId="2" applyAlignment="1" pivotButton="0" quotePrefix="0" xfId="0">
      <alignment horizontal="right"/>
    </xf>
    <xf numFmtId="0" fontId="5" fillId="0" borderId="0" applyAlignment="1" pivotButton="0" quotePrefix="0" xfId="0">
      <alignment horizontal="center" vertical="top"/>
    </xf>
    <xf numFmtId="0" fontId="2" fillId="0" borderId="0" applyAlignment="1" pivotButton="0" quotePrefix="0" xfId="0">
      <alignment horizontal="left" vertical="top" wrapText="1"/>
    </xf>
    <xf numFmtId="0" fontId="3" fillId="0" borderId="0" applyAlignment="1" pivotButton="0" quotePrefix="1" xfId="0">
      <alignment horizontal="left" vertical="top" wrapText="1"/>
    </xf>
    <xf numFmtId="0" fontId="2" fillId="0" borderId="0" applyAlignment="1" pivotButton="0" quotePrefix="0" xfId="0">
      <alignment horizontal="center"/>
    </xf>
    <xf numFmtId="0" fontId="5" fillId="0" borderId="0" applyAlignment="1" pivotButton="0" quotePrefix="0" xfId="0">
      <alignment horizontal="center"/>
    </xf>
    <xf numFmtId="0" fontId="2" fillId="0" borderId="0" applyAlignment="1" pivotButton="0" quotePrefix="0" xfId="0">
      <alignment horizontal="center" vertical="top" wrapText="1"/>
    </xf>
    <xf numFmtId="0" fontId="7" fillId="0" borderId="0" applyAlignment="1" pivotButton="0" quotePrefix="0" xfId="0">
      <alignment horizontal="right" vertical="top"/>
    </xf>
    <xf numFmtId="0" fontId="7" fillId="0" borderId="0" applyAlignment="1" pivotButton="0" quotePrefix="0" xfId="0">
      <alignment horizontal="center" vertical="top"/>
    </xf>
    <xf numFmtId="0" fontId="6" fillId="0" borderId="0" applyAlignment="1" pivotButton="0" quotePrefix="0" xfId="0">
      <alignment horizontal="center" vertical="top"/>
    </xf>
    <xf numFmtId="2" fontId="6" fillId="0" borderId="0" applyAlignment="1" pivotButton="0" quotePrefix="0" xfId="0">
      <alignment horizontal="center" vertical="top"/>
    </xf>
    <xf numFmtId="0" fontId="6" fillId="0" borderId="0" applyAlignment="1" pivotButton="0" quotePrefix="0" xfId="0">
      <alignment horizontal="center" vertical="top" wrapText="1"/>
    </xf>
    <xf numFmtId="0" fontId="2" fillId="0" borderId="0" pivotButton="0" quotePrefix="0" xfId="1"/>
    <xf numFmtId="0" fontId="2" fillId="0" borderId="0" applyAlignment="1" pivotButton="0" quotePrefix="0" xfId="1">
      <alignment horizontal="center" vertical="top"/>
    </xf>
    <xf numFmtId="2" fontId="2" fillId="0" borderId="0" applyAlignment="1" pivotButton="0" quotePrefix="0" xfId="1">
      <alignment horizontal="center" vertical="top"/>
    </xf>
    <xf numFmtId="0" fontId="2" fillId="0" borderId="0" applyAlignment="1" pivotButton="0" quotePrefix="0" xfId="1">
      <alignment horizontal="justify" vertical="top" wrapText="1"/>
    </xf>
    <xf numFmtId="0" fontId="2" fillId="0" borderId="0" applyAlignment="1" pivotButton="0" quotePrefix="0" xfId="1">
      <alignment horizontal="left" vertical="top"/>
    </xf>
    <xf numFmtId="0" fontId="1" fillId="0" borderId="0" applyAlignment="1" pivotButton="0" quotePrefix="0" xfId="1">
      <alignment horizontal="center" vertical="top"/>
    </xf>
    <xf numFmtId="0" fontId="1" fillId="0" borderId="0" applyAlignment="1" pivotButton="0" quotePrefix="0" xfId="1">
      <alignment horizontal="justify" vertical="top"/>
    </xf>
    <xf numFmtId="0" fontId="1" fillId="0" borderId="0" applyAlignment="1" pivotButton="0" quotePrefix="0" xfId="1">
      <alignment vertical="top"/>
    </xf>
    <xf numFmtId="2" fontId="2" fillId="0" borderId="1" applyAlignment="1" pivotButton="0" quotePrefix="0" xfId="1">
      <alignment horizontal="center" vertical="top"/>
    </xf>
    <xf numFmtId="2" fontId="2" fillId="0" borderId="3" applyAlignment="1" pivotButton="0" quotePrefix="0" xfId="1">
      <alignment horizontal="center" vertical="top"/>
    </xf>
    <xf numFmtId="0" fontId="2" fillId="0" borderId="3" applyAlignment="1" pivotButton="0" quotePrefix="0" xfId="1">
      <alignment horizontal="center" vertical="top"/>
    </xf>
    <xf numFmtId="0" fontId="2" fillId="0" borderId="3" applyAlignment="1" pivotButton="0" quotePrefix="0" xfId="1">
      <alignment horizontal="justify" vertical="top" wrapText="1"/>
    </xf>
    <xf numFmtId="0" fontId="2" fillId="0" borderId="3" applyAlignment="1" pivotButton="0" quotePrefix="1" xfId="1">
      <alignment horizontal="center" vertical="top"/>
    </xf>
    <xf numFmtId="0" fontId="2" fillId="0" borderId="3" applyAlignment="1" pivotButton="0" quotePrefix="1" xfId="1">
      <alignment horizontal="justify" vertical="top" wrapText="1"/>
    </xf>
    <xf numFmtId="0" fontId="2" fillId="0" borderId="3" applyAlignment="1" pivotButton="0" quotePrefix="0" xfId="1">
      <alignment horizontal="justify" vertical="top" wrapText="1"/>
    </xf>
    <xf numFmtId="49" fontId="2" fillId="0" borderId="3" applyAlignment="1" pivotButton="0" quotePrefix="0" xfId="1">
      <alignment horizontal="center" vertical="top"/>
    </xf>
    <xf numFmtId="0" fontId="2" fillId="0" borderId="0" pivotButton="0" quotePrefix="0" xfId="1"/>
    <xf numFmtId="2" fontId="2" fillId="0" borderId="0" pivotButton="0" quotePrefix="0" xfId="1"/>
    <xf numFmtId="0" fontId="1" fillId="0" borderId="0" pivotButton="0" quotePrefix="0" xfId="1"/>
    <xf numFmtId="0" fontId="2" fillId="0" borderId="0" applyAlignment="1" pivotButton="0" quotePrefix="0" xfId="1">
      <alignment vertical="top"/>
    </xf>
    <xf numFmtId="1" fontId="2" fillId="0" borderId="3" applyAlignment="1" pivotButton="0" quotePrefix="0" xfId="1">
      <alignment horizontal="center" vertical="top"/>
    </xf>
    <xf numFmtId="0" fontId="11" fillId="0" borderId="0" pivotButton="0" quotePrefix="0" xfId="1"/>
    <xf numFmtId="2" fontId="1" fillId="0" borderId="3" applyAlignment="1" pivotButton="0" quotePrefix="0" xfId="1">
      <alignment horizontal="center" vertical="top"/>
    </xf>
    <xf numFmtId="0" fontId="2" fillId="0" borderId="0" applyAlignment="1" pivotButton="0" quotePrefix="0" xfId="1">
      <alignment horizontal="justify" vertical="justify" wrapText="1"/>
    </xf>
    <xf numFmtId="1" fontId="2" fillId="0" borderId="2" applyAlignment="1" pivotButton="0" quotePrefix="0" xfId="1">
      <alignment horizontal="center" vertical="top"/>
    </xf>
    <xf numFmtId="0" fontId="2" fillId="0" borderId="2" applyAlignment="1" pivotButton="0" quotePrefix="0" xfId="1">
      <alignment horizontal="center" vertical="top"/>
    </xf>
    <xf numFmtId="2" fontId="2" fillId="0" borderId="2" applyAlignment="1" pivotButton="0" quotePrefix="0" xfId="1">
      <alignment horizontal="center" vertical="top"/>
    </xf>
    <xf numFmtId="0" fontId="2" fillId="0" borderId="2" applyAlignment="1" pivotButton="0" quotePrefix="0" xfId="1">
      <alignment horizontal="justify" vertical="top" wrapText="1"/>
    </xf>
    <xf numFmtId="0" fontId="1" fillId="0" borderId="0" applyAlignment="1" pivotButton="0" quotePrefix="0" xfId="1">
      <alignment horizontal="center"/>
    </xf>
    <xf numFmtId="0" fontId="2" fillId="0" borderId="0" applyAlignment="1" pivotButton="0" quotePrefix="0" xfId="1">
      <alignment horizontal="center"/>
    </xf>
    <xf numFmtId="0" fontId="2" fillId="0" borderId="0" applyAlignment="1" pivotButton="0" quotePrefix="0" xfId="1">
      <alignment horizontal="center" vertical="top" wrapText="1"/>
    </xf>
    <xf numFmtId="0" fontId="6" fillId="0" borderId="0" applyAlignment="1" pivotButton="0" quotePrefix="0" xfId="1">
      <alignment vertical="top"/>
    </xf>
    <xf numFmtId="2" fontId="6" fillId="0" borderId="0" applyAlignment="1" pivotButton="0" quotePrefix="0" xfId="1">
      <alignment vertical="top"/>
    </xf>
    <xf numFmtId="2" fontId="6" fillId="0" borderId="0" applyAlignment="1" pivotButton="0" quotePrefix="0" xfId="1">
      <alignment horizontal="right" vertical="top"/>
    </xf>
    <xf numFmtId="0" fontId="6" fillId="0" borderId="0" applyAlignment="1" pivotButton="0" quotePrefix="0" xfId="1">
      <alignment horizontal="center" vertical="top"/>
    </xf>
    <xf numFmtId="0" fontId="6" fillId="0" borderId="0" applyAlignment="1" pivotButton="0" quotePrefix="0" xfId="1">
      <alignment horizontal="justify" vertical="top" wrapText="1"/>
    </xf>
    <xf numFmtId="0" fontId="6" fillId="0" borderId="0" applyAlignment="1" pivotButton="0" quotePrefix="0" xfId="1">
      <alignment horizontal="left" vertical="top"/>
    </xf>
    <xf numFmtId="0" fontId="7" fillId="0" borderId="0" applyAlignment="1" pivotButton="0" quotePrefix="0" xfId="1">
      <alignment horizontal="right" vertical="top"/>
    </xf>
    <xf numFmtId="0" fontId="6" fillId="0" borderId="0" applyAlignment="1" pivotButton="0" quotePrefix="0" xfId="1">
      <alignment vertical="top"/>
    </xf>
    <xf numFmtId="0" fontId="7" fillId="0" borderId="0" applyAlignment="1" pivotButton="0" quotePrefix="0" xfId="1">
      <alignment horizontal="center" vertical="top"/>
    </xf>
    <xf numFmtId="0" fontId="6" fillId="0" borderId="0" applyAlignment="1" pivotButton="0" quotePrefix="1" xfId="1">
      <alignment horizontal="center" vertical="top"/>
    </xf>
    <xf numFmtId="0" fontId="6" fillId="0" borderId="0" applyAlignment="1" pivotButton="0" quotePrefix="1" xfId="1">
      <alignment vertical="top"/>
    </xf>
    <xf numFmtId="2" fontId="6" fillId="0" borderId="0" applyAlignment="1" pivotButton="0" quotePrefix="0" xfId="1">
      <alignment horizontal="right" vertical="top"/>
    </xf>
    <xf numFmtId="0" fontId="6" fillId="0" borderId="0" applyAlignment="1" pivotButton="0" quotePrefix="1" xfId="1">
      <alignment horizontal="left" vertical="top"/>
    </xf>
    <xf numFmtId="2" fontId="6" fillId="0" borderId="0" applyAlignment="1" pivotButton="0" quotePrefix="0" xfId="1">
      <alignment vertical="top"/>
    </xf>
    <xf numFmtId="0" fontId="6" fillId="0" borderId="0" applyAlignment="1" pivotButton="0" quotePrefix="1" xfId="1">
      <alignment horizontal="left" vertical="top"/>
    </xf>
    <xf numFmtId="2" fontId="7" fillId="0" borderId="0" applyAlignment="1" pivotButton="0" quotePrefix="0" xfId="1">
      <alignment vertical="top"/>
    </xf>
    <xf numFmtId="2" fontId="6" fillId="0" borderId="0" applyAlignment="1" pivotButton="0" quotePrefix="0" xfId="1">
      <alignment horizontal="center" vertical="top"/>
    </xf>
    <xf numFmtId="0" fontId="6" fillId="0" borderId="0" applyAlignment="1" pivotButton="0" quotePrefix="1" xfId="1">
      <alignment horizontal="justify" vertical="top" wrapText="1"/>
    </xf>
    <xf numFmtId="0" fontId="6" fillId="0" borderId="2" applyAlignment="1" pivotButton="0" quotePrefix="1" xfId="1">
      <alignment horizontal="left" vertical="top"/>
    </xf>
    <xf numFmtId="2" fontId="7" fillId="0" borderId="2" applyAlignment="1" pivotButton="0" quotePrefix="0" xfId="1">
      <alignment vertical="top"/>
    </xf>
    <xf numFmtId="0" fontId="6" fillId="0" borderId="2" applyAlignment="1" pivotButton="0" quotePrefix="1" xfId="1">
      <alignment vertical="top"/>
    </xf>
    <xf numFmtId="2" fontId="6" fillId="0" borderId="2" applyAlignment="1" pivotButton="0" quotePrefix="0" xfId="1">
      <alignment horizontal="right" vertical="top"/>
    </xf>
    <xf numFmtId="2" fontId="6" fillId="0" borderId="0" applyAlignment="1" pivotButton="0" quotePrefix="1" xfId="1">
      <alignment horizontal="center" vertical="top"/>
    </xf>
    <xf numFmtId="2" fontId="6" fillId="0" borderId="0" applyAlignment="1" pivotButton="0" quotePrefix="0" xfId="1">
      <alignment horizontal="centerContinuous" vertical="top"/>
    </xf>
    <xf numFmtId="0" fontId="6" fillId="0" borderId="0" applyAlignment="1" pivotButton="0" quotePrefix="0" xfId="1">
      <alignment horizontal="centerContinuous" vertical="top"/>
    </xf>
    <xf numFmtId="0" fontId="6" fillId="0" borderId="0" applyAlignment="1" pivotButton="0" quotePrefix="0" xfId="1">
      <alignment horizontal="left" vertical="top"/>
    </xf>
    <xf numFmtId="0" fontId="6" fillId="0" borderId="1" applyAlignment="1" pivotButton="0" quotePrefix="0" xfId="1">
      <alignment vertical="top"/>
    </xf>
    <xf numFmtId="2" fontId="6" fillId="0" borderId="1" applyAlignment="1" pivotButton="0" quotePrefix="0" xfId="1">
      <alignment vertical="top"/>
    </xf>
    <xf numFmtId="0" fontId="6" fillId="0" borderId="1" applyAlignment="1" pivotButton="0" quotePrefix="1" xfId="1">
      <alignment horizontal="left" vertical="top"/>
    </xf>
    <xf numFmtId="2" fontId="6" fillId="0" borderId="1" applyAlignment="1" pivotButton="0" quotePrefix="0" xfId="1">
      <alignment horizontal="right" vertical="top"/>
    </xf>
    <xf numFmtId="0" fontId="6" fillId="0" borderId="0" applyAlignment="1" pivotButton="0" quotePrefix="1" xfId="1">
      <alignment horizontal="centerContinuous" vertical="top"/>
    </xf>
    <xf numFmtId="1" fontId="6" fillId="0" borderId="0" applyAlignment="1" pivotButton="0" quotePrefix="0" xfId="1">
      <alignment horizontal="center" vertical="top"/>
    </xf>
    <xf numFmtId="0" fontId="6" fillId="0" borderId="2" applyAlignment="1" pivotButton="0" quotePrefix="0" xfId="1">
      <alignment horizontal="left" vertical="top"/>
    </xf>
    <xf numFmtId="2" fontId="6" fillId="0" borderId="2" applyAlignment="1" pivotButton="0" quotePrefix="0" xfId="1">
      <alignment vertical="top"/>
    </xf>
    <xf numFmtId="0" fontId="6" fillId="0" borderId="2" applyAlignment="1" pivotButton="0" quotePrefix="0" xfId="1">
      <alignment vertical="top"/>
    </xf>
    <xf numFmtId="0" fontId="6" fillId="0" borderId="0" applyAlignment="1" pivotButton="0" quotePrefix="0" xfId="1">
      <alignment horizontal="justify" vertical="top" wrapText="1"/>
    </xf>
    <xf numFmtId="0" fontId="7" fillId="0" borderId="2" applyAlignment="1" pivotButton="0" quotePrefix="1" xfId="1">
      <alignment horizontal="left" vertical="top"/>
    </xf>
    <xf numFmtId="0" fontId="7" fillId="0" borderId="2" applyAlignment="1" pivotButton="0" quotePrefix="0" xfId="1">
      <alignment vertical="top"/>
    </xf>
    <xf numFmtId="2" fontId="7" fillId="0" borderId="2" applyAlignment="1" pivotButton="0" quotePrefix="0" xfId="1">
      <alignment horizontal="right" vertical="top"/>
    </xf>
    <xf numFmtId="0" fontId="6" fillId="0" borderId="0" applyAlignment="1" pivotButton="0" quotePrefix="1" xfId="1">
      <alignment horizontal="right" vertical="top"/>
    </xf>
    <xf numFmtId="0" fontId="6" fillId="0" borderId="0" applyAlignment="1" pivotButton="0" quotePrefix="0" xfId="1">
      <alignment horizontal="right" vertical="top"/>
    </xf>
    <xf numFmtId="2" fontId="2" fillId="0" borderId="0" applyAlignment="1" pivotButton="0" quotePrefix="0" xfId="1">
      <alignment vertical="top" wrapText="1"/>
    </xf>
    <xf numFmtId="0" fontId="2" fillId="0" borderId="0" applyAlignment="1" pivotButton="0" quotePrefix="0" xfId="1">
      <alignment wrapText="1"/>
    </xf>
    <xf numFmtId="0" fontId="6" fillId="0" borderId="0" applyAlignment="1" pivotButton="0" quotePrefix="1" xfId="1">
      <alignment horizontal="left" vertical="top" wrapText="1"/>
    </xf>
    <xf numFmtId="2" fontId="7" fillId="0" borderId="0" applyAlignment="1" pivotButton="0" quotePrefix="0" xfId="1">
      <alignment vertical="top"/>
    </xf>
    <xf numFmtId="0" fontId="7" fillId="0" borderId="0" applyAlignment="1" pivotButton="0" quotePrefix="0" xfId="1">
      <alignment vertical="top"/>
    </xf>
    <xf numFmtId="2" fontId="7" fillId="0" borderId="0" applyAlignment="1" pivotButton="0" quotePrefix="0" xfId="1">
      <alignment horizontal="center" vertical="top"/>
    </xf>
    <xf numFmtId="0" fontId="6" fillId="0" borderId="0" applyAlignment="1" pivotButton="0" quotePrefix="0" xfId="1">
      <alignment horizontal="centerContinuous" vertical="top"/>
    </xf>
    <xf numFmtId="0" fontId="6" fillId="0" borderId="0" applyAlignment="1" pivotButton="0" quotePrefix="1" xfId="1">
      <alignment vertical="top"/>
    </xf>
    <xf numFmtId="1" fontId="6" fillId="0" borderId="0" applyAlignment="1" pivotButton="0" quotePrefix="0" xfId="1">
      <alignment horizontal="right" vertical="top"/>
    </xf>
    <xf numFmtId="0" fontId="6" fillId="0" borderId="0" applyAlignment="1" pivotButton="0" quotePrefix="0" xfId="1">
      <alignment vertical="top" wrapText="1"/>
    </xf>
    <xf numFmtId="2" fontId="6" fillId="0" borderId="0" applyAlignment="1" pivotButton="0" quotePrefix="0" xfId="1">
      <alignment horizontal="center" vertical="top"/>
    </xf>
    <xf numFmtId="0" fontId="7" fillId="0" borderId="2" applyAlignment="1" pivotButton="0" quotePrefix="0" xfId="1">
      <alignment horizontal="left" vertical="top"/>
    </xf>
    <xf numFmtId="0" fontId="10" fillId="0" borderId="0" applyAlignment="1" pivotButton="0" quotePrefix="0" xfId="1">
      <alignment horizontal="justify" vertical="top" wrapText="1"/>
    </xf>
    <xf numFmtId="0" fontId="7" fillId="0" borderId="0" applyAlignment="1" pivotButton="0" quotePrefix="1" xfId="1">
      <alignment vertical="top"/>
    </xf>
    <xf numFmtId="2" fontId="7" fillId="0" borderId="0" applyAlignment="1" pivotButton="0" quotePrefix="1" xfId="1">
      <alignment horizontal="left" vertical="top"/>
    </xf>
    <xf numFmtId="2" fontId="6" fillId="0" borderId="0" applyAlignment="1" pivotButton="0" quotePrefix="1" xfId="1">
      <alignment horizontal="centerContinuous" vertical="top"/>
    </xf>
    <xf numFmtId="2" fontId="6" fillId="0" borderId="0" applyAlignment="1" pivotButton="0" quotePrefix="1" xfId="1">
      <alignment horizontal="center" vertical="top"/>
    </xf>
    <xf numFmtId="2" fontId="6" fillId="0" borderId="2" applyAlignment="1" pivotButton="0" quotePrefix="1" xfId="1">
      <alignment horizontal="center" vertical="top"/>
    </xf>
    <xf numFmtId="0" fontId="8" fillId="0" borderId="0" applyAlignment="1" pivotButton="0" quotePrefix="1" xfId="1">
      <alignment horizontal="justify" vertical="top" wrapText="1"/>
    </xf>
    <xf numFmtId="0" fontId="9" fillId="0" borderId="0" applyAlignment="1" pivotButton="0" quotePrefix="0" xfId="1">
      <alignment horizontal="justify" vertical="top" wrapText="1"/>
    </xf>
    <xf numFmtId="1" fontId="6" fillId="0" borderId="0" applyAlignment="1" pivotButton="0" quotePrefix="0" xfId="1">
      <alignment vertical="top"/>
    </xf>
    <xf numFmtId="1" fontId="6" fillId="0" borderId="2" applyAlignment="1" pivotButton="0" quotePrefix="0" xfId="1">
      <alignment vertical="top"/>
    </xf>
    <xf numFmtId="1" fontId="6" fillId="0" borderId="0" applyAlignment="1" pivotButton="0" quotePrefix="0" xfId="1">
      <alignment horizontal="right" vertical="top"/>
    </xf>
    <xf numFmtId="2" fontId="6" fillId="0" borderId="0" applyAlignment="1" pivotButton="0" quotePrefix="0" xfId="1">
      <alignment horizontal="center" vertical="top"/>
    </xf>
    <xf numFmtId="0" fontId="2" fillId="0" borderId="0" applyAlignment="1" pivotButton="0" quotePrefix="0" xfId="1">
      <alignment horizontal="center" vertical="top"/>
    </xf>
    <xf numFmtId="0" fontId="7" fillId="0" borderId="0" applyAlignment="1" pivotButton="0" quotePrefix="0" xfId="1">
      <alignment horizontal="left" vertical="top"/>
    </xf>
    <xf numFmtId="0" fontId="7" fillId="0" borderId="0" applyAlignment="1" pivotButton="0" quotePrefix="0" xfId="1">
      <alignment vertical="top"/>
    </xf>
    <xf numFmtId="2" fontId="7" fillId="0" borderId="0" applyAlignment="1" pivotButton="0" quotePrefix="0" xfId="1">
      <alignment horizontal="right" vertical="top"/>
    </xf>
    <xf numFmtId="0" fontId="6" fillId="0" borderId="0" applyAlignment="1" pivotButton="0" quotePrefix="0" xfId="1">
      <alignment horizontal="right" vertical="top"/>
    </xf>
    <xf numFmtId="0" fontId="7" fillId="0" borderId="0" applyAlignment="1" pivotButton="0" quotePrefix="1" xfId="1">
      <alignment horizontal="left" vertical="top"/>
    </xf>
    <xf numFmtId="2" fontId="2" fillId="0" borderId="0" applyAlignment="1" pivotButton="0" quotePrefix="0" xfId="1">
      <alignment wrapText="1"/>
    </xf>
    <xf numFmtId="0" fontId="7" fillId="0" borderId="0" applyAlignment="1" pivotButton="0" quotePrefix="0" xfId="1">
      <alignment horizontal="left" vertical="top"/>
    </xf>
    <xf numFmtId="0" fontId="6" fillId="0" borderId="0" applyAlignment="1" pivotButton="0" quotePrefix="0" xfId="1">
      <alignment horizontal="center" vertical="top"/>
    </xf>
    <xf numFmtId="2" fontId="6" fillId="0" borderId="2" applyAlignment="1" pivotButton="0" quotePrefix="0" xfId="1">
      <alignment horizontal="center" vertical="top"/>
    </xf>
    <xf numFmtId="0" fontId="6" fillId="0" borderId="2" applyAlignment="1" pivotButton="0" quotePrefix="0" xfId="1">
      <alignment horizontal="center" vertical="top"/>
    </xf>
    <xf numFmtId="0" fontId="6" fillId="0" borderId="0" applyAlignment="1" pivotButton="0" quotePrefix="0" xfId="1">
      <alignment horizontal="center" vertical="top"/>
    </xf>
    <xf numFmtId="0" fontId="6" fillId="0" borderId="0" applyAlignment="1" pivotButton="0" quotePrefix="0" xfId="1">
      <alignment horizontal="center" vertical="top" wrapText="1"/>
    </xf>
    <xf numFmtId="0" fontId="2" fillId="0" borderId="0" pivotButton="0" quotePrefix="0" xfId="0"/>
    <xf numFmtId="0" fontId="2" fillId="0" borderId="0" applyAlignment="1" pivotButton="0" quotePrefix="1" xfId="0">
      <alignment horizontal="left" vertical="top" wrapText="1"/>
    </xf>
    <xf numFmtId="1" fontId="2" fillId="0" borderId="0" applyAlignment="1" pivotButton="0" quotePrefix="0" xfId="0">
      <alignment horizontal="right" vertical="top"/>
    </xf>
    <xf numFmtId="2" fontId="2" fillId="0" borderId="0" applyAlignment="1" pivotButton="0" quotePrefix="0" xfId="0">
      <alignment horizontal="right" vertical="top"/>
    </xf>
    <xf numFmtId="0" fontId="2" fillId="0" borderId="0" applyAlignment="1" pivotButton="0" quotePrefix="1" xfId="0">
      <alignment horizontal="left" vertical="top" wrapText="1"/>
    </xf>
    <xf numFmtId="0" fontId="2" fillId="0" borderId="0" applyAlignment="1" pivotButton="0" quotePrefix="0" xfId="1">
      <alignment horizontal="justify" vertical="top" wrapText="1"/>
    </xf>
    <xf numFmtId="0" fontId="2" fillId="0" borderId="3" applyAlignment="1" pivotButton="0" quotePrefix="0" xfId="1">
      <alignment horizontal="left" vertical="top"/>
    </xf>
    <xf numFmtId="2" fontId="7" fillId="0" borderId="4" applyAlignment="1" pivotButton="0" quotePrefix="0" xfId="1">
      <alignment vertical="top"/>
    </xf>
    <xf numFmtId="0" fontId="6" fillId="0" borderId="5" applyAlignment="1" pivotButton="0" quotePrefix="0" xfId="1">
      <alignment horizontal="center" vertical="top"/>
    </xf>
    <xf numFmtId="0" fontId="6" fillId="0" borderId="5" applyAlignment="1" pivotButton="0" quotePrefix="0" xfId="1">
      <alignment horizontal="center" vertical="top" wrapText="1"/>
    </xf>
    <xf numFmtId="0" fontId="8" fillId="0" borderId="0" applyAlignment="1" pivotButton="0" quotePrefix="0" xfId="1">
      <alignment horizontal="justify" vertical="top" wrapText="1"/>
    </xf>
    <xf numFmtId="0" fontId="7" fillId="0" borderId="0" applyAlignment="1" pivotButton="0" quotePrefix="0" xfId="1">
      <alignment horizontal="justify" vertical="top" wrapText="1"/>
    </xf>
    <xf numFmtId="0" fontId="2" fillId="0" borderId="0" applyAlignment="1" pivotButton="0" quotePrefix="0" xfId="0">
      <alignment horizontal="justify" vertical="top" wrapText="1"/>
    </xf>
    <xf numFmtId="0" fontId="7" fillId="0" borderId="0" applyAlignment="1" pivotButton="0" quotePrefix="1" xfId="0">
      <alignment vertical="top"/>
    </xf>
    <xf numFmtId="2" fontId="7" fillId="0" borderId="0" applyAlignment="1" pivotButton="0" quotePrefix="1" xfId="0">
      <alignment horizontal="left" vertical="top"/>
    </xf>
    <xf numFmtId="2" fontId="7" fillId="0" borderId="0" applyAlignment="1" pivotButton="0" quotePrefix="0" xfId="0">
      <alignment horizontal="center" vertical="top"/>
    </xf>
    <xf numFmtId="0" fontId="6" fillId="0" borderId="0" applyAlignment="1" pivotButton="0" quotePrefix="1" xfId="0">
      <alignment horizontal="centerContinuous" vertical="top"/>
    </xf>
    <xf numFmtId="0" fontId="7" fillId="0" borderId="0" applyAlignment="1" pivotButton="0" quotePrefix="0" xfId="0">
      <alignment horizontal="center" vertical="top"/>
    </xf>
    <xf numFmtId="0" fontId="0" fillId="0" borderId="0" applyAlignment="1" pivotButton="0" quotePrefix="0" xfId="0">
      <alignment horizontal="center"/>
    </xf>
    <xf numFmtId="2" fontId="0" fillId="0" borderId="0" pivotButton="0" quotePrefix="0" xfId="0"/>
    <xf numFmtId="0" fontId="0" fillId="0" borderId="2" pivotButton="0" quotePrefix="0" xfId="0"/>
    <xf numFmtId="0" fontId="6" fillId="0" borderId="2" applyAlignment="1" pivotButton="0" quotePrefix="0" xfId="0">
      <alignment vertical="top"/>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XESTIMATE%20BLOCK%20LIBRARY.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gen-abstract"/>
      <sheetName val="Sheet2"/>
    </sheetNames>
    <sheetDataSet>
      <sheetData sheetId="0">
        <row r="2">
          <cell r="A2" t="str">
            <v>NAME OF WORK :- Construction of Block Level Library Building at Vakhatpura, PS- Arthuna</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outlinePr summaryBelow="1" summaryRight="1"/>
    <pageSetUpPr fitToPage="1"/>
  </sheetPr>
  <dimension ref="A2:H33"/>
  <sheetViews>
    <sheetView topLeftCell="A13" zoomScale="75" workbookViewId="0">
      <selection activeCell="E29" sqref="E29"/>
    </sheetView>
    <sheetView tabSelected="1" workbookViewId="1">
      <selection activeCell="A2" sqref="A2"/>
    </sheetView>
  </sheetViews>
  <sheetFormatPr baseColWidth="8" defaultRowHeight="15"/>
  <cols>
    <col width="4.44140625" customWidth="1" style="4" min="1" max="1"/>
    <col width="18.109375" customWidth="1" style="4" min="5" max="5"/>
    <col width="11.44140625" customWidth="1" style="4" min="6" max="6"/>
    <col width="12.5546875" customWidth="1" style="273" min="7" max="7"/>
  </cols>
  <sheetData>
    <row r="2" ht="36" customFormat="1" customHeight="1" s="21">
      <c r="A2" s="13" t="inlineStr">
        <is>
          <t>NAME OF WORK :- Construction of Block Level Library Building at Vakhatpura, PS- Arthuna</t>
        </is>
      </c>
      <c r="B2" s="6" t="n"/>
      <c r="C2" s="6" t="n"/>
      <c r="D2" s="6" t="n"/>
      <c r="E2" s="7" t="n"/>
      <c r="F2" s="6" t="n"/>
      <c r="G2" s="7" t="n"/>
    </row>
    <row r="3" customFormat="1" s="21">
      <c r="A3" s="10" t="n"/>
      <c r="B3" s="6" t="n"/>
      <c r="C3" s="6" t="n"/>
      <c r="D3" s="6" t="n"/>
      <c r="E3" s="7" t="n"/>
      <c r="F3" s="6" t="n"/>
      <c r="G3" s="7" t="n"/>
    </row>
    <row r="4" ht="15.75" customHeight="1" s="4">
      <c r="A4" s="8" t="inlineStr">
        <is>
          <t>GENERAL ABSTRACT OF COST</t>
        </is>
      </c>
      <c r="B4" s="1" t="n"/>
      <c r="C4" s="1" t="n"/>
      <c r="D4" s="1" t="n"/>
      <c r="E4" s="1" t="n"/>
      <c r="F4" s="1" t="n"/>
      <c r="G4" s="12" t="n"/>
    </row>
    <row r="5">
      <c r="A5" s="1" t="n"/>
      <c r="B5" s="1" t="n"/>
      <c r="C5" s="1" t="n"/>
      <c r="D5" s="1" t="n"/>
      <c r="E5" s="1" t="n"/>
      <c r="F5" s="1" t="n"/>
      <c r="G5" s="12" t="n"/>
    </row>
    <row r="6" customFormat="1" s="21">
      <c r="B6" s="135" t="inlineStr">
        <is>
          <t xml:space="preserve">PART 'A'  CIVIL WORK GROUND FLOOR </t>
        </is>
      </c>
      <c r="F6" s="29" t="inlineStr">
        <is>
          <t>Rs.</t>
        </is>
      </c>
      <c r="G6" s="28">
        <f>ROUND(GF1_ABS!G37,0)</f>
        <v/>
      </c>
    </row>
    <row r="7" customFormat="1" s="21">
      <c r="B7" s="135" t="n"/>
      <c r="C7" s="136" t="n"/>
      <c r="D7" s="136" t="n"/>
      <c r="E7" s="136" t="n"/>
      <c r="F7" s="29" t="n"/>
      <c r="G7" s="28" t="n"/>
    </row>
    <row r="8" customFormat="1" s="254">
      <c r="B8" s="135" t="inlineStr">
        <is>
          <t xml:space="preserve">PART 'B'  CIVIL WORK FIRST FLOOR </t>
        </is>
      </c>
      <c r="F8" s="256" t="inlineStr">
        <is>
          <t>Rs.</t>
        </is>
      </c>
      <c r="G8" s="257">
        <f>ROUND(FF_ABS!G30,0)</f>
        <v/>
      </c>
    </row>
    <row r="9" customFormat="1" s="254">
      <c r="B9" s="135" t="n"/>
      <c r="C9" s="258" t="n"/>
      <c r="D9" s="258" t="n"/>
      <c r="E9" s="258" t="n"/>
      <c r="F9" s="256" t="n"/>
      <c r="G9" s="257" t="n"/>
    </row>
    <row r="10">
      <c r="F10" s="30" t="inlineStr">
        <is>
          <t>TOTAL Rs.</t>
        </is>
      </c>
      <c r="G10" s="31">
        <f>SUM(G6:G8)</f>
        <v/>
      </c>
    </row>
    <row r="12" customFormat="1" s="21">
      <c r="B12" s="33" t="inlineStr">
        <is>
          <t>PART 'C'  ELECTRIC  WORK @ 15% OF Civil Work</t>
        </is>
      </c>
      <c r="C12" s="15" t="n"/>
      <c r="D12" s="15" t="n"/>
      <c r="E12" s="136" t="n"/>
      <c r="F12" s="29" t="inlineStr">
        <is>
          <t>Rs.</t>
        </is>
      </c>
      <c r="G12" s="22">
        <f>ROUND((G10)*0.15,0)</f>
        <v/>
      </c>
    </row>
    <row r="13" customFormat="1" s="21">
      <c r="B13" s="33" t="n"/>
      <c r="C13" s="15" t="n"/>
      <c r="D13" s="15" t="n"/>
      <c r="E13" s="136" t="n"/>
      <c r="F13" s="29" t="n"/>
      <c r="G13" s="22" t="n"/>
    </row>
    <row r="14">
      <c r="B14" s="3" t="inlineStr">
        <is>
          <t xml:space="preserve">Add for Contingencies  @ 3% </t>
        </is>
      </c>
      <c r="F14" s="272" t="inlineStr">
        <is>
          <t>Rs.</t>
        </is>
      </c>
      <c r="G14" s="273">
        <f>ROUND(G10*0.03,0)</f>
        <v/>
      </c>
    </row>
    <row r="15">
      <c r="B15" s="3" t="n"/>
      <c r="F15" s="272" t="n"/>
      <c r="G15" s="273" t="n"/>
    </row>
    <row r="16">
      <c r="B16" s="3" t="inlineStr">
        <is>
          <t xml:space="preserve">Add for Quality Assurance  @ 1 % </t>
        </is>
      </c>
      <c r="F16" s="272" t="inlineStr">
        <is>
          <t>Rs.</t>
        </is>
      </c>
      <c r="G16" s="273">
        <f>ROUND(G10*0.01,0)</f>
        <v/>
      </c>
    </row>
    <row r="17">
      <c r="B17" s="3" t="n"/>
      <c r="F17" s="272" t="n"/>
      <c r="G17" s="273" t="n"/>
    </row>
    <row r="18">
      <c r="B18" s="3" t="inlineStr">
        <is>
          <t xml:space="preserve">Add for W.C. Establishment  @ 2% </t>
        </is>
      </c>
      <c r="F18" s="272" t="inlineStr">
        <is>
          <t>Rs.</t>
        </is>
      </c>
      <c r="G18" s="273">
        <f>ROUND(G10*0.02,0)</f>
        <v/>
      </c>
    </row>
    <row r="19">
      <c r="B19" s="3" t="n"/>
      <c r="F19" s="272" t="n"/>
      <c r="G19" s="273" t="n"/>
    </row>
    <row r="20">
      <c r="B20" s="108" t="inlineStr">
        <is>
          <t xml:space="preserve">Add Lump Sum for Electric Fixtures </t>
        </is>
      </c>
      <c r="G20" t="n">
        <v>75000</v>
      </c>
    </row>
    <row r="21">
      <c r="B21" s="108" t="n"/>
    </row>
    <row r="22">
      <c r="B22" s="108" t="inlineStr">
        <is>
          <t>Add Lump Sum  for Furniture</t>
        </is>
      </c>
      <c r="G22" t="n">
        <v>175000</v>
      </c>
    </row>
    <row r="23">
      <c r="C23" s="19" t="n"/>
      <c r="D23" s="12" t="n"/>
      <c r="E23" s="133" t="inlineStr">
        <is>
          <t>GRAND TOTAL Rs.</t>
        </is>
      </c>
      <c r="F23" s="274" t="n"/>
      <c r="G23" s="23">
        <f>SUM(G10:G22)</f>
        <v/>
      </c>
    </row>
    <row r="25" ht="15.75" customHeight="1" s="4">
      <c r="F25" s="19" t="inlineStr">
        <is>
          <t>SAY Rs.</t>
        </is>
      </c>
      <c r="G25" s="26">
        <f>ROUND(G23/100000,2)</f>
        <v/>
      </c>
    </row>
    <row r="26" ht="15.75" customHeight="1" s="4">
      <c r="D26" s="3" t="n"/>
      <c r="E26" s="11" t="n"/>
      <c r="F26" s="17" t="n"/>
      <c r="G26" s="20" t="inlineStr">
        <is>
          <t>Lacs.</t>
        </is>
      </c>
    </row>
    <row r="27" ht="15.75" customHeight="1" s="4">
      <c r="G27" s="14" t="n"/>
    </row>
    <row r="28" ht="15.75" customHeight="1" s="4">
      <c r="G28" s="14" t="n"/>
    </row>
    <row r="29" ht="15.75" customFormat="1" customHeight="1" s="49">
      <c r="A29" s="51" t="n"/>
      <c r="D29" s="3" t="n"/>
      <c r="E29" s="134" t="inlineStr">
        <is>
          <t>CHARTERED   ENGINEER,</t>
        </is>
      </c>
      <c r="H29" s="21" t="n"/>
    </row>
    <row r="30" ht="15.75" customFormat="1" customHeight="1" s="49">
      <c r="A30" s="51" t="n"/>
      <c r="E30" s="134" t="inlineStr">
        <is>
          <t>RKS TECHNO-LEGAL CONSULTANTS, UDAIPUR</t>
        </is>
      </c>
      <c r="H30" s="21" t="n"/>
    </row>
    <row r="32" ht="15.75" customHeight="1" s="4">
      <c r="E32" s="18" t="n"/>
    </row>
    <row r="33" ht="15.75" customHeight="1" s="4">
      <c r="E33" s="51" t="n"/>
    </row>
  </sheetData>
  <mergeCells count="5">
    <mergeCell ref="B8:E8"/>
    <mergeCell ref="B6:E6"/>
    <mergeCell ref="E23:F23"/>
    <mergeCell ref="E30:G30"/>
    <mergeCell ref="E29:G29"/>
  </mergeCells>
  <printOptions horizontalCentered="1"/>
  <pageMargins left="0.75" right="0.75" top="1" bottom="1" header="0.5" footer="0.5"/>
  <pageSetup orientation="portrait" paperSize="9" scale="98" fitToHeight="42" horizontalDpi="180" verticalDpi="180"/>
  <headerFooter alignWithMargins="0">
    <oddHeader/>
    <oddFooter>&amp;C&amp;A&amp;RPage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I41"/>
  <sheetViews>
    <sheetView topLeftCell="A17" zoomScale="75" zoomScaleNormal="100" workbookViewId="0">
      <selection activeCell="C21" sqref="C21"/>
    </sheetView>
    <sheetView topLeftCell="A2" workbookViewId="1">
      <selection activeCell="G7" sqref="G7"/>
    </sheetView>
  </sheetViews>
  <sheetFormatPr baseColWidth="8" defaultRowHeight="15"/>
  <cols>
    <col width="8.77734375" customWidth="1" style="44" min="1" max="1"/>
    <col width="35" customWidth="1" style="266" min="2" max="2"/>
    <col width="7.6640625" bestFit="1" customWidth="1" style="61" min="3" max="3"/>
    <col width="6.109375" customWidth="1" style="113" min="4" max="4"/>
    <col width="8.5546875" customWidth="1" style="61" min="5" max="5"/>
    <col width="6.33203125" bestFit="1" customWidth="1" style="113" min="6" max="6"/>
    <col width="10.44140625" bestFit="1" customWidth="1" style="113" min="7" max="7"/>
    <col width="9.77734375" bestFit="1" customWidth="1" style="254" min="8" max="8"/>
    <col width="8.88671875" customWidth="1" style="254" min="9" max="16384"/>
  </cols>
  <sheetData>
    <row r="1" ht="15" customHeight="1" s="4">
      <c r="A1" s="139">
        <f>'gen-abstract'!A2</f>
        <v/>
      </c>
    </row>
    <row r="2"/>
    <row r="3">
      <c r="A3" s="137" t="inlineStr">
        <is>
          <t xml:space="preserve">PART 'A'  CIVIL WORK BASEMENT, GROUND FLOOR </t>
        </is>
      </c>
    </row>
    <row r="4" ht="15.75" customHeight="1" s="4">
      <c r="A4" s="138" t="inlineStr">
        <is>
          <t>ABSTRACT OF COST</t>
        </is>
      </c>
    </row>
    <row r="5">
      <c r="A5" s="39" t="inlineStr">
        <is>
          <t>S.No.</t>
        </is>
      </c>
      <c r="B5" s="112" t="inlineStr">
        <is>
          <t>Particulars.</t>
        </is>
      </c>
      <c r="C5" s="54" t="inlineStr">
        <is>
          <t xml:space="preserve">Quantity </t>
        </is>
      </c>
      <c r="D5" s="39" t="n"/>
      <c r="E5" s="54" t="inlineStr">
        <is>
          <t>Rate</t>
        </is>
      </c>
      <c r="F5" s="39" t="inlineStr">
        <is>
          <t>Unit</t>
        </is>
      </c>
      <c r="G5" s="55" t="inlineStr">
        <is>
          <t>Amount</t>
        </is>
      </c>
    </row>
    <row r="6" ht="165" customFormat="1" customHeight="1" s="254">
      <c r="A6" s="40" t="n">
        <v>1</v>
      </c>
      <c r="B6" s="47" t="inlineStr">
        <is>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is>
      </c>
      <c r="C6" s="56">
        <f>GF1_MES!K27</f>
        <v/>
      </c>
      <c r="D6" s="42" t="inlineStr">
        <is>
          <t>Cum</t>
        </is>
      </c>
      <c r="E6" s="40" t="n">
        <v>204.7</v>
      </c>
      <c r="F6" s="42" t="inlineStr">
        <is>
          <t>P Cum</t>
        </is>
      </c>
      <c r="G6" s="56">
        <f>C6*E6</f>
        <v/>
      </c>
    </row>
    <row r="7" ht="111" customHeight="1" s="4">
      <c r="A7" s="40">
        <f>LOOKUP(2,1/(A$1:A6&lt;&gt;""),A$1:A6)+1</f>
        <v/>
      </c>
      <c r="B7" s="47" t="inlineStr">
        <is>
          <t>Filling available excavated earth (excluding rock) in trenches, plinth side of foundation etc. in layers not exceeding 20 cm. in depth , consolidating  each deposited layer by ramming and watering including lead upto 50Mtr. and lift upto 1.5Mtr.</t>
        </is>
      </c>
      <c r="C7" s="56">
        <f>GF1_MES!K33</f>
        <v/>
      </c>
      <c r="D7" s="42" t="inlineStr">
        <is>
          <t>Cum</t>
        </is>
      </c>
      <c r="E7" s="40" t="n">
        <v>73.59999999999999</v>
      </c>
      <c r="F7" s="42" t="inlineStr">
        <is>
          <t>P Cum</t>
        </is>
      </c>
      <c r="G7" s="56">
        <f>C7*E7</f>
        <v/>
      </c>
    </row>
    <row r="8" ht="105" customHeight="1" s="4">
      <c r="A8" s="40">
        <f>LOOKUP(2,1/(A$1:A7&lt;&gt;""),A$1:A7)+1</f>
        <v/>
      </c>
      <c r="B8" s="47" t="inlineStr">
        <is>
          <t>Providing and laying in position cement concrete including curing compaction etc. of specified grade excluding the cost of centering and shuttering =All up to plinth leve 1:4:8 (1Cement :4 Coarse  Sand :8 Graded stone aggregate 40 mm nominal size</t>
        </is>
      </c>
      <c r="C8" s="56">
        <f>GF1_MES!K38</f>
        <v/>
      </c>
      <c r="D8" s="42" t="inlineStr">
        <is>
          <t>Cum</t>
        </is>
      </c>
      <c r="E8" s="40" t="n">
        <v>3797.3</v>
      </c>
      <c r="F8" s="42" t="inlineStr">
        <is>
          <t>P Cum</t>
        </is>
      </c>
      <c r="G8" s="56">
        <f>C8*E8</f>
        <v/>
      </c>
    </row>
    <row r="9" ht="135" customHeight="1" s="4">
      <c r="A9" s="40">
        <f>LOOKUP(2,1/(A$1:A8&lt;&gt;""),A$1:A8)+1</f>
        <v/>
      </c>
      <c r="B9" s="47"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9" s="56">
        <f>GF1_MES!K43</f>
        <v/>
      </c>
      <c r="D9" s="42" t="inlineStr">
        <is>
          <t>Cum</t>
        </is>
      </c>
      <c r="E9" s="40">
        <f>4934+69</f>
        <v/>
      </c>
      <c r="F9" s="42" t="inlineStr">
        <is>
          <t>P Cum</t>
        </is>
      </c>
      <c r="G9" s="56">
        <f>C9*E9</f>
        <v/>
      </c>
    </row>
    <row r="10" ht="90" customHeight="1" s="4">
      <c r="A10" s="40">
        <f>LOOKUP(2,1/(A$1:A9&lt;&gt;""),A$1:A9)+1</f>
        <v/>
      </c>
      <c r="B10" s="47" t="inlineStr">
        <is>
          <t>Centering and shuttering with plywood or steel sheets including strutting, propping, bracing both ways and removal of formwork for foundations in basements rafts, footings, strap beams, bases of columns , etc. up to plinth level.</t>
        </is>
      </c>
      <c r="C10" s="56">
        <f>GF1_MES!K47</f>
        <v/>
      </c>
      <c r="D10" s="42" t="inlineStr">
        <is>
          <t>Sqm</t>
        </is>
      </c>
      <c r="E10" s="40" t="n">
        <v>180.55</v>
      </c>
      <c r="F10" s="42" t="inlineStr">
        <is>
          <t>P Sqm</t>
        </is>
      </c>
      <c r="G10" s="56">
        <f>C10*E10</f>
        <v/>
      </c>
    </row>
    <row r="11" ht="135" customHeight="1" s="4">
      <c r="A11" s="40">
        <f>LOOKUP(2,1/(A$1:A10&lt;&gt;""),A$1:A10)+1</f>
        <v/>
      </c>
      <c r="B11" s="47"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11" s="130">
        <f>GF1_MES!K56</f>
        <v/>
      </c>
      <c r="D11" s="40" t="inlineStr">
        <is>
          <t>Cum</t>
        </is>
      </c>
      <c r="E11" s="40" t="n">
        <v>5962.75</v>
      </c>
      <c r="F11" s="40" t="inlineStr">
        <is>
          <t>P Cum</t>
        </is>
      </c>
      <c r="G11" s="40">
        <f>C11*E11</f>
        <v/>
      </c>
    </row>
    <row r="12" ht="176.25" customFormat="1" customHeight="1" s="131">
      <c r="A12" s="40">
        <f>LOOKUP(2,1/(A$1:A11&lt;&gt;""),A$1:A11)+1</f>
        <v/>
      </c>
      <c r="B12" s="132" t="inlineStr">
        <is>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M20 grade Nominal Mix /   Design Mix  </t>
        </is>
      </c>
      <c r="C12" s="130">
        <f>GF1_MES!K59</f>
        <v/>
      </c>
      <c r="D12" s="40" t="inlineStr">
        <is>
          <t>Cum</t>
        </is>
      </c>
      <c r="E12" s="40" t="n">
        <v>6450.35</v>
      </c>
      <c r="F12" s="40" t="inlineStr">
        <is>
          <t>P Cum</t>
        </is>
      </c>
      <c r="G12" s="40">
        <f>C12*E12</f>
        <v/>
      </c>
    </row>
    <row r="13" ht="90" customHeight="1" s="4">
      <c r="A13" s="40">
        <f>LOOKUP(2,1/(A$1:A12&lt;&gt;""),A$1:A12)+1</f>
        <v/>
      </c>
      <c r="B13" s="47" t="inlineStr">
        <is>
          <t>Centering &amp; shuttering with ply wood or steel
sheets including shuttering , propping, barcing both waves with widen members and removal of form work up to floor three level for:</t>
        </is>
      </c>
      <c r="C13" s="40" t="n"/>
      <c r="D13" s="40" t="n"/>
      <c r="E13" s="40" t="n"/>
      <c r="F13" s="40" t="n"/>
      <c r="G13" s="40" t="n"/>
    </row>
    <row r="14" ht="75" customHeight="1" s="4">
      <c r="A14" s="40" t="n"/>
      <c r="B14" s="47" t="inlineStr">
        <is>
          <t>(A)    Suspended    floors,    roofs,    landings,
staircases, balconies, girders, cantilevers, bands , coping, bed plates, anchor blocks, sills, chhajjas lintel, beam etc.</t>
        </is>
      </c>
      <c r="C14" s="56">
        <f>GF1_MES!K73</f>
        <v/>
      </c>
      <c r="D14" s="40" t="inlineStr">
        <is>
          <t>Sqm</t>
        </is>
      </c>
      <c r="E14" s="40" t="n">
        <v>391</v>
      </c>
      <c r="F14" s="40" t="inlineStr">
        <is>
          <t>P Sqm</t>
        </is>
      </c>
      <c r="G14" s="56">
        <f>C14*E14</f>
        <v/>
      </c>
    </row>
    <row r="15">
      <c r="A15" s="40" t="n"/>
      <c r="B15" s="47" t="inlineStr">
        <is>
          <t>(B) Columns, pillars, posts and struts etc.</t>
        </is>
      </c>
      <c r="C15" s="56">
        <f>GF1_MES!K77</f>
        <v/>
      </c>
      <c r="D15" s="40" t="inlineStr">
        <is>
          <t>Sqm</t>
        </is>
      </c>
      <c r="E15" s="40" t="n">
        <v>431.25</v>
      </c>
      <c r="F15" s="40" t="inlineStr">
        <is>
          <t>P Sqm</t>
        </is>
      </c>
      <c r="G15" s="56">
        <f>C15*E15</f>
        <v/>
      </c>
    </row>
    <row r="16" ht="103.5" customHeight="1" s="4">
      <c r="A16" s="40">
        <f>LOOKUP(2,1/(A$1:A15&lt;&gt;""),A$1:A15)+1</f>
        <v/>
      </c>
      <c r="B16" s="47" t="inlineStr">
        <is>
          <t>Providing and fabricating reinforcement for R.C.C. work including straightening, cutting, bending, placing in position and binding (including cost of binding wire) all complete up to floor three level. Tremo Mechanically treated bars</t>
        </is>
      </c>
      <c r="C16" s="57">
        <f>GF1_MES!K82</f>
        <v/>
      </c>
      <c r="D16" s="42" t="inlineStr">
        <is>
          <t>Kg</t>
        </is>
      </c>
      <c r="E16" s="40" t="n">
        <v>88.55</v>
      </c>
      <c r="F16" s="42" t="inlineStr">
        <is>
          <t>P Kg</t>
        </is>
      </c>
      <c r="G16" s="56">
        <f>C16*E16</f>
        <v/>
      </c>
    </row>
    <row r="17" ht="75" customHeight="1" s="4">
      <c r="A17" s="40">
        <f>LOOKUP(2,1/(A$1:A16&lt;&gt;""),A$1:A16)+1</f>
        <v/>
      </c>
      <c r="B17" s="47" t="inlineStr">
        <is>
          <t>Brick work with F.P.S. bricks of class designation 75 in superstructure above plinth level upto floor V level in all shapes and sizes in :  : Cement mortar 1 : 6 (1 cement : 6 coarse sand)</t>
        </is>
      </c>
      <c r="C17" s="56">
        <f>GF1_MES!K92</f>
        <v/>
      </c>
      <c r="D17" s="42" t="inlineStr">
        <is>
          <t>Cum</t>
        </is>
      </c>
      <c r="E17" s="40" t="n">
        <v>5738.5</v>
      </c>
      <c r="F17" s="42" t="inlineStr">
        <is>
          <t>P Cum</t>
        </is>
      </c>
      <c r="G17" s="56">
        <f>C17*E17</f>
        <v/>
      </c>
    </row>
    <row r="18" ht="60" customHeight="1" s="4">
      <c r="A18" s="40">
        <f>LOOKUP(2,1/(A$1:A17&lt;&gt;""),A$1:A17)+1</f>
        <v/>
      </c>
      <c r="B18" s="47" t="inlineStr">
        <is>
          <t>Half brick masonry in Superstructure , above plinth level upto floor V  level  using bricks of designation 75  in Cement mortar 1 : 4 (1 cement : 4 coarse sand)</t>
        </is>
      </c>
      <c r="C18" s="56">
        <f>GF1_MES!K95</f>
        <v/>
      </c>
      <c r="D18" s="40" t="inlineStr">
        <is>
          <t>Sqm</t>
        </is>
      </c>
      <c r="E18" s="40" t="n">
        <v>604.9</v>
      </c>
      <c r="F18" s="40" t="inlineStr">
        <is>
          <t>P Sqm</t>
        </is>
      </c>
      <c r="G18" s="40">
        <f>C18*E18</f>
        <v/>
      </c>
    </row>
    <row r="19" ht="81.75" customHeight="1" s="4">
      <c r="A19" s="40">
        <f>LOOKUP(2,1/(A$1:A18&lt;&gt;""),A$1:A18)+1</f>
        <v/>
      </c>
      <c r="B19" s="47" t="inlineStr">
        <is>
          <t>Random Rubble stone masonry for foundation and plinth in Cement Sand mortar above 30 CM thick wall in: Cement Mortar 1:6 ( 1-Cement : 6-Sand).</t>
        </is>
      </c>
      <c r="C19" s="56">
        <f>GF1_MES!K97</f>
        <v/>
      </c>
      <c r="D19" s="42" t="inlineStr">
        <is>
          <t>Cum</t>
        </is>
      </c>
      <c r="E19" s="40" t="n">
        <v>3263.7</v>
      </c>
      <c r="F19" s="42" t="inlineStr">
        <is>
          <t>P Cum</t>
        </is>
      </c>
      <c r="G19" s="56">
        <f>C19*E19</f>
        <v/>
      </c>
    </row>
    <row r="20" ht="45" customFormat="1" customHeight="1" s="53">
      <c r="A20" s="40">
        <f>LOOKUP(2,1/(A$1:A19&lt;&gt;""),A$1:A19)+1</f>
        <v/>
      </c>
      <c r="B20" s="46" t="inlineStr">
        <is>
          <t>Plaster on new surface on walls in cement sand mortar 1:6 including raking of joints etc. complete fine finished : 20 mm thick.</t>
        </is>
      </c>
      <c r="C20" s="56">
        <f>GF1_MES!K117</f>
        <v/>
      </c>
      <c r="D20" s="40" t="inlineStr">
        <is>
          <t>Sqm</t>
        </is>
      </c>
      <c r="E20" s="56" t="n">
        <v>218.5</v>
      </c>
      <c r="F20" s="58" t="inlineStr">
        <is>
          <t>P Sqm</t>
        </is>
      </c>
      <c r="G20" s="56">
        <f>IF(C20,ROUNDUP(C20*E20,0),"")</f>
        <v/>
      </c>
    </row>
    <row r="21" ht="30" customHeight="1" s="4">
      <c r="A21" s="40">
        <f>LOOKUP(2,1/(A$1:A20&lt;&gt;""),A$1:A20)+1</f>
        <v/>
      </c>
      <c r="B21" s="47" t="inlineStr">
        <is>
          <t>6 mm cement plaster to ceiling of mix 1 : 3 ( 1 cement : 3 fine - sand )</t>
        </is>
      </c>
      <c r="C21" s="56">
        <f>GF1_MES!K122</f>
        <v/>
      </c>
      <c r="D21" s="40" t="inlineStr">
        <is>
          <t>Sqm</t>
        </is>
      </c>
      <c r="E21" s="56" t="n">
        <v>159.85</v>
      </c>
      <c r="F21" s="40" t="inlineStr">
        <is>
          <t>P Sqm</t>
        </is>
      </c>
      <c r="G21" s="40">
        <f>IF(C21,ROUNDUP(C21*E21,0),"")</f>
        <v/>
      </c>
    </row>
    <row r="22" ht="30" customHeight="1" s="4">
      <c r="A22" s="40">
        <f>LOOKUP(2,1/(A$1:A21&lt;&gt;""),A$1:A21)+1</f>
        <v/>
      </c>
      <c r="B22" s="47" t="inlineStr">
        <is>
          <t>Making grooves as per design in plaster 10mm to 20mm wide.</t>
        </is>
      </c>
      <c r="C22" s="56">
        <f>GF1_MES!K126</f>
        <v/>
      </c>
      <c r="D22" s="40" t="inlineStr">
        <is>
          <t>RM</t>
        </is>
      </c>
      <c r="E22" s="56" t="n">
        <v>7</v>
      </c>
      <c r="F22" s="40" t="inlineStr">
        <is>
          <t>P RM</t>
        </is>
      </c>
      <c r="G22" s="40">
        <f>IF(C22,ROUNDUP(C22*E22,0),"")</f>
        <v/>
      </c>
    </row>
    <row r="23" ht="45" customHeight="1" s="4">
      <c r="A23" s="40">
        <f>LOOKUP(2,1/(A$1:A22&lt;&gt;""),A$1:A22)+1</f>
        <v/>
      </c>
      <c r="B23" s="47" t="inlineStr">
        <is>
          <t>Applying plaster of Paris or lime putty sandala over cement plaster surface for making even surface.</t>
        </is>
      </c>
      <c r="C23" s="56">
        <f>GF1_MES!K129</f>
        <v/>
      </c>
      <c r="D23" s="40" t="inlineStr">
        <is>
          <t>Sqm</t>
        </is>
      </c>
      <c r="E23" s="56" t="n">
        <v>96.59999999999999</v>
      </c>
      <c r="F23" s="40" t="inlineStr">
        <is>
          <t>P Sqm</t>
        </is>
      </c>
      <c r="G23" s="40">
        <f>IF(C23,ROUNDUP(C23*E23,0),"")</f>
        <v/>
      </c>
    </row>
    <row r="24" ht="220.5" customHeight="1" s="4">
      <c r="A24" s="40">
        <f>LOOKUP(2,1/(A$1:A23&lt;&gt;""),A$1:A23)+1</f>
        <v/>
      </c>
      <c r="B24" s="47"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24" s="56">
        <f>GF1_MES!K133</f>
        <v/>
      </c>
      <c r="D24" s="42" t="inlineStr">
        <is>
          <t>Kg</t>
        </is>
      </c>
      <c r="E24" s="40" t="n">
        <v>95.45</v>
      </c>
      <c r="F24" s="42" t="inlineStr">
        <is>
          <t>P Kg</t>
        </is>
      </c>
      <c r="G24" s="56">
        <f>C24*E24</f>
        <v/>
      </c>
    </row>
    <row r="25" ht="315" customFormat="1" customHeight="1" s="49">
      <c r="A25" s="40">
        <f>LOOKUP(2,1/(A$1:A24&lt;&gt;""),A$1:A24)+1</f>
        <v/>
      </c>
      <c r="B25" s="47"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25" s="56">
        <f>GF1_MES!K136</f>
        <v/>
      </c>
      <c r="D25" s="42" t="inlineStr">
        <is>
          <t>Sqm</t>
        </is>
      </c>
      <c r="E25" s="40" t="n">
        <v>3553.5</v>
      </c>
      <c r="F25" s="58" t="inlineStr">
        <is>
          <t>P Sqm</t>
        </is>
      </c>
      <c r="G25" s="56">
        <f>C25*E25</f>
        <v/>
      </c>
    </row>
    <row r="26" ht="75" customFormat="1" customHeight="1" s="49">
      <c r="A26" s="40">
        <f>LOOKUP(2,1/(A$1:A25&lt;&gt;""),A$1:A25)+1</f>
        <v/>
      </c>
      <c r="B26" s="47" t="inlineStr">
        <is>
          <t>Supplying and fixing fixed wire gauge of 14 mesh x 24 gauge to the metal frame of rolled section by metal beading 20x3mm with suitable screw at not exceeding 150 mm distance.</t>
        </is>
      </c>
      <c r="C26" s="56">
        <f>GF1_MES!K143</f>
        <v/>
      </c>
      <c r="D26" s="42" t="inlineStr">
        <is>
          <t>Sqm</t>
        </is>
      </c>
      <c r="E26" s="40" t="n">
        <v>709.55</v>
      </c>
      <c r="F26" s="40" t="inlineStr">
        <is>
          <t>P Sqm</t>
        </is>
      </c>
      <c r="G26" s="56">
        <f>C26*E26</f>
        <v/>
      </c>
    </row>
    <row r="27" ht="90" customHeight="1" s="4">
      <c r="A27" s="40">
        <f>LOOKUP(2,1/(A$1:A26&lt;&gt;""),A$1:A26)+1</f>
        <v/>
      </c>
      <c r="B27" s="47" t="inlineStr">
        <is>
          <t>Supply  and  fixing  in  cement  mortar  welded hand railing made out of M.S. round or square bars, flats etc. for staircase or verandah as per design complete in all respect (wooden or PVC hand railing to be paid extra) with priming coat of red oxide.</t>
        </is>
      </c>
      <c r="C27" s="56">
        <f>GF1_MES!K158</f>
        <v/>
      </c>
      <c r="D27" s="40" t="inlineStr">
        <is>
          <t>Kg</t>
        </is>
      </c>
      <c r="E27" s="56" t="n">
        <v>93.15000000000001</v>
      </c>
      <c r="F27" s="40" t="inlineStr">
        <is>
          <t>P Kg</t>
        </is>
      </c>
      <c r="G27" s="56">
        <f>C27*E27</f>
        <v/>
      </c>
    </row>
    <row r="28" ht="409.5" customHeight="1" s="4">
      <c r="A28" s="40">
        <f>LOOKUP(2,1/(A$1:A27&lt;&gt;""),A$1:A27)+1</f>
        <v/>
      </c>
      <c r="B28" s="47" t="inlineStr">
        <is>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t>
        </is>
      </c>
      <c r="C28" s="56">
        <f>GF1_MES!K161</f>
        <v/>
      </c>
      <c r="D28" s="40" t="inlineStr">
        <is>
          <t>Sqm</t>
        </is>
      </c>
      <c r="E28" s="56" t="n">
        <v>3849.05</v>
      </c>
      <c r="F28" s="40" t="inlineStr">
        <is>
          <t>P Sqm</t>
        </is>
      </c>
      <c r="G28" s="56">
        <f>C28*E28</f>
        <v/>
      </c>
    </row>
    <row r="29" ht="30" customFormat="1" customHeight="1" s="254">
      <c r="A29" s="40">
        <f>LOOKUP(2,1/(A$1:A28&lt;&gt;""),A$1:A28)+1</f>
        <v/>
      </c>
      <c r="B29" s="47" t="inlineStr">
        <is>
          <t>Providing and fixing Square bars or other flat welded to window, ventilators etc.</t>
        </is>
      </c>
      <c r="C29" s="56">
        <f>GF1_MES!K140</f>
        <v/>
      </c>
      <c r="D29" s="42" t="inlineStr">
        <is>
          <t>Kg</t>
        </is>
      </c>
      <c r="E29" s="40" t="n">
        <v>74.75</v>
      </c>
      <c r="F29" s="40" t="inlineStr">
        <is>
          <t>P Kg</t>
        </is>
      </c>
      <c r="G29" s="56">
        <f>C29*E29</f>
        <v/>
      </c>
      <c r="I29" s="50" t="n"/>
    </row>
    <row r="30" ht="105" customHeight="1" s="4">
      <c r="A30" s="40">
        <f>LOOKUP(2,1/(A$1:A29&lt;&gt;""),A$1:A29)+1</f>
        <v/>
      </c>
      <c r="B30" s="47"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30" s="56">
        <f>GF1_MES!K146</f>
        <v/>
      </c>
      <c r="D30" s="42" t="inlineStr">
        <is>
          <t>Sqm</t>
        </is>
      </c>
      <c r="E30" s="40" t="n">
        <v>1176.45</v>
      </c>
      <c r="F30" s="40" t="inlineStr">
        <is>
          <t>P Sqm</t>
        </is>
      </c>
      <c r="G30" s="56">
        <f>C30*E30</f>
        <v/>
      </c>
    </row>
    <row r="31" ht="30" customHeight="1" s="4">
      <c r="A31" s="40">
        <f>LOOKUP(2,1/(A$1:A30&lt;&gt;""),A$1:A30)+1</f>
        <v/>
      </c>
      <c r="B31" s="47" t="inlineStr">
        <is>
          <t>Random rubble dry stone Kharanja under floor.</t>
        </is>
      </c>
      <c r="C31" s="56">
        <f>GF1_MES!K150</f>
        <v/>
      </c>
      <c r="D31" s="42" t="inlineStr">
        <is>
          <t>Cum</t>
        </is>
      </c>
      <c r="E31" s="40" t="n">
        <v>1071.8</v>
      </c>
      <c r="F31" s="42" t="inlineStr">
        <is>
          <t>P Cum</t>
        </is>
      </c>
      <c r="G31" s="56">
        <f>C31*E31</f>
        <v/>
      </c>
    </row>
    <row r="32" ht="150" customHeight="1" s="4">
      <c r="A32" s="40">
        <f>LOOKUP(2,1/(A$1:A31&lt;&gt;""),A$1:A31)+1</f>
        <v/>
      </c>
      <c r="B32" s="47" t="inlineStr">
        <is>
          <t>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is>
      </c>
      <c r="C32" s="56">
        <f>GF1_MES!K165</f>
        <v/>
      </c>
      <c r="D32" s="40" t="inlineStr">
        <is>
          <t>Sqm</t>
        </is>
      </c>
      <c r="E32" s="40" t="n">
        <v>775.1</v>
      </c>
      <c r="F32" s="40" t="inlineStr">
        <is>
          <t>P Sqm</t>
        </is>
      </c>
      <c r="G32" s="56">
        <f>C32*E32</f>
        <v/>
      </c>
    </row>
    <row r="33" ht="45" customHeight="1" s="4">
      <c r="A33" s="40">
        <f>LOOKUP(2,1/(A$1:A31&lt;&gt;""),A$1:A31)+1</f>
        <v/>
      </c>
      <c r="B33" s="47" t="inlineStr">
        <is>
          <t>White washing with lime to give an even shade including all scaffolding: New work (two or more coats).</t>
        </is>
      </c>
      <c r="C33" s="56">
        <f>GF1_MES!K168</f>
        <v/>
      </c>
      <c r="D33" s="40" t="inlineStr">
        <is>
          <t>Sqm</t>
        </is>
      </c>
      <c r="E33" s="56" t="n">
        <v>12.65</v>
      </c>
      <c r="F33" s="58" t="inlineStr">
        <is>
          <t>P Sqm</t>
        </is>
      </c>
      <c r="G33" s="56">
        <f>C33*E33</f>
        <v/>
      </c>
    </row>
    <row r="34" ht="60" customHeight="1" s="4">
      <c r="A34" s="40">
        <f>LOOKUP(2,1/(A$1:A33&lt;&gt;""),A$1:A33)+1</f>
        <v/>
      </c>
      <c r="B34" s="46" t="inlineStr">
        <is>
          <t>Colour  washing of all shades to give an even shade including all scaffolding: New work (two or more coats) with a base coat of white washing with lime.</t>
        </is>
      </c>
      <c r="C34" s="56">
        <f>GF1_MES!K172</f>
        <v/>
      </c>
      <c r="D34" s="40" t="inlineStr">
        <is>
          <t>Sqm</t>
        </is>
      </c>
      <c r="E34" s="56" t="n">
        <v>16.1</v>
      </c>
      <c r="F34" s="58" t="inlineStr">
        <is>
          <t>P Sqm</t>
        </is>
      </c>
      <c r="G34" s="56">
        <f>C34*E34</f>
        <v/>
      </c>
    </row>
    <row r="35" ht="60" customHeight="1" s="4">
      <c r="A35" s="40">
        <f>LOOKUP(2,1/(A$1:A34&lt;&gt;""),A$1:A34)+1</f>
        <v/>
      </c>
      <c r="B35" s="47" t="inlineStr">
        <is>
          <t>Applying priming coat with ready mix pink or Grey primer of approved brand and manufacture on wood work hard and soft wood.</t>
        </is>
      </c>
      <c r="C35" s="56">
        <f>GF1_MES!K177</f>
        <v/>
      </c>
      <c r="D35" s="40" t="inlineStr">
        <is>
          <t>Sqm</t>
        </is>
      </c>
      <c r="E35" s="56" t="n">
        <v>33.35</v>
      </c>
      <c r="F35" s="58" t="inlineStr">
        <is>
          <t>P Sqm</t>
        </is>
      </c>
      <c r="G35" s="56">
        <f>C35*E35</f>
        <v/>
      </c>
    </row>
    <row r="36" ht="45" customHeight="1" s="4">
      <c r="A36" s="40">
        <f>LOOKUP(2,1/(A$1:A35&lt;&gt;""),A$1:A35)+1</f>
        <v/>
      </c>
      <c r="B36" s="46" t="inlineStr">
        <is>
          <t>Painting with enamel paint of approved brand and manufacture to give an even shade two or more coats on new work.</t>
        </is>
      </c>
      <c r="C36" s="56">
        <f>GF1_MES!K180</f>
        <v/>
      </c>
      <c r="D36" s="40" t="inlineStr">
        <is>
          <t>Sqm</t>
        </is>
      </c>
      <c r="E36" s="56" t="n">
        <v>79.34999999999999</v>
      </c>
      <c r="F36" s="58" t="inlineStr">
        <is>
          <t>P Sqm</t>
        </is>
      </c>
      <c r="G36" s="56">
        <f>C36*E36</f>
        <v/>
      </c>
    </row>
    <row r="37">
      <c r="C37" s="113" t="n"/>
      <c r="E37" s="60" t="inlineStr">
        <is>
          <t xml:space="preserve">Total </t>
        </is>
      </c>
      <c r="F37" s="60" t="inlineStr">
        <is>
          <t>Rs.</t>
        </is>
      </c>
      <c r="G37" s="60">
        <f>SUM(G1:G36)</f>
        <v/>
      </c>
    </row>
    <row r="38">
      <c r="C38" s="113" t="n"/>
      <c r="F38" s="61" t="n"/>
      <c r="G38" s="61" t="n"/>
    </row>
    <row r="39">
      <c r="C39" s="113" t="n"/>
      <c r="F39" s="61" t="n"/>
      <c r="G39" s="61" t="n"/>
    </row>
    <row r="40" ht="15.75" customHeight="1" s="4">
      <c r="A40" s="51" t="n"/>
      <c r="B40" s="52" t="n"/>
      <c r="C40" s="113" t="n"/>
      <c r="D40" s="134" t="inlineStr">
        <is>
          <t>CHARTERED   ENGINEER,</t>
        </is>
      </c>
      <c r="E40" s="113" t="n"/>
      <c r="F40" s="134" t="n"/>
      <c r="G40" s="134" t="n"/>
    </row>
    <row r="41" ht="15.75" customHeight="1" s="4">
      <c r="A41" s="51" t="n"/>
      <c r="B41" s="52" t="n"/>
      <c r="C41" s="113" t="n"/>
      <c r="D41" s="134" t="inlineStr">
        <is>
          <t>RKS TECHNO-LEGAL CONSULTANTS, UDAIPUR</t>
        </is>
      </c>
      <c r="E41" s="113" t="n"/>
      <c r="F41" s="134" t="n"/>
      <c r="G41" s="134" t="n"/>
    </row>
  </sheetData>
  <mergeCells count="3">
    <mergeCell ref="A3:G3"/>
    <mergeCell ref="A4:G4"/>
    <mergeCell ref="A1:G2"/>
  </mergeCells>
  <dataValidations count="4">
    <dataValidation sqref="C6 C8:C10 C16:C17 C19:C20 C25:C26 C29:C31"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 sqref="C7 C24 E7 E24" showDropDown="0" showInputMessage="1" showErrorMessage="1" allowBlank="1" errorTitle="Invalid Entry" error="Only Numeric Values are allowed. " type="decimal">
      <formula1>0</formula1>
      <formula2>999999999999999</formula2>
    </dataValidation>
    <dataValidation sqref="E6 E8:E10 E16:E17 E19 E25:E26 E29:E3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A6:A36"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87" fitToHeight="22" horizontalDpi="180" verticalDpi="180"/>
  <headerFooter alignWithMargins="0">
    <oddHeader/>
    <oddFooter>&amp;C&amp;A&amp;R&amp;P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00"/>
  <sheetViews>
    <sheetView tabSelected="1" topLeftCell="A145" zoomScaleNormal="75" zoomScaleSheetLayoutView="75" workbookViewId="0">
      <selection activeCell="E146" sqref="E146"/>
    </sheetView>
    <sheetView topLeftCell="A165" workbookViewId="1">
      <selection activeCell="A173" sqref="A173"/>
    </sheetView>
  </sheetViews>
  <sheetFormatPr baseColWidth="8" defaultRowHeight="14.25"/>
  <cols>
    <col width="3.88671875" bestFit="1" customWidth="1" style="80" min="1" max="1"/>
    <col width="33" customWidth="1" style="106" min="2" max="2"/>
    <col width="4.77734375" bestFit="1" customWidth="1" style="142" min="3" max="3"/>
    <col width="1.5546875" customWidth="1" style="63" min="4" max="4"/>
    <col width="6.44140625" bestFit="1" customWidth="1" style="70" min="5" max="5"/>
    <col width="1.88671875" customWidth="1" style="63" min="6" max="6"/>
    <col width="5.88671875" customWidth="1" style="89" min="7" max="7"/>
    <col width="4" customWidth="1" style="63" min="8" max="8"/>
    <col width="3.77734375" customWidth="1" style="70" min="9" max="9"/>
    <col width="3.21875" bestFit="1" customWidth="1" style="63" min="10" max="10"/>
    <col width="7" customWidth="1" style="70" min="11" max="11"/>
    <col width="4.44140625" bestFit="1" customWidth="1" style="63" min="12" max="12"/>
    <col width="8.88671875" customWidth="1" style="63" min="13" max="16384"/>
  </cols>
  <sheetData>
    <row r="1" customFormat="1" s="63">
      <c r="A1" s="144">
        <f>'gen-abstract'!A2</f>
        <v/>
      </c>
    </row>
    <row r="2" customFormat="1" s="63"/>
    <row r="3" ht="15" customFormat="1" customHeight="1" s="63">
      <c r="A3" s="271" t="inlineStr">
        <is>
          <t xml:space="preserve">PART 'A'  CIVIL WORK FIRST  FLOOR </t>
        </is>
      </c>
    </row>
    <row r="4" customFormat="1" s="63">
      <c r="A4" s="142" t="inlineStr">
        <is>
          <t>DETAILS OF MEASUREMENTS</t>
        </is>
      </c>
    </row>
    <row r="5" customFormat="1" s="142">
      <c r="A5" s="64" t="inlineStr">
        <is>
          <t>S.N.</t>
        </is>
      </c>
      <c r="B5" s="65" t="inlineStr">
        <is>
          <t>Particulars</t>
        </is>
      </c>
      <c r="C5" s="64" t="inlineStr">
        <is>
          <t>Nos.</t>
        </is>
      </c>
      <c r="D5" s="64" t="n"/>
      <c r="E5" s="66" t="inlineStr">
        <is>
          <t>Length</t>
        </is>
      </c>
      <c r="F5" s="64" t="n"/>
      <c r="G5" s="66" t="inlineStr">
        <is>
          <t xml:space="preserve">Breadth </t>
        </is>
      </c>
      <c r="H5" s="66" t="n"/>
      <c r="I5" s="66" t="inlineStr">
        <is>
          <t>Height</t>
        </is>
      </c>
      <c r="J5" s="66" t="n"/>
      <c r="K5" s="66" t="inlineStr">
        <is>
          <t>Qty.</t>
        </is>
      </c>
      <c r="L5" s="66" t="inlineStr">
        <is>
          <t>Units</t>
        </is>
      </c>
    </row>
    <row r="6" customFormat="1" s="63">
      <c r="A6" s="142" t="n"/>
      <c r="B6" s="69" t="inlineStr">
        <is>
          <t>Center to center distances</t>
        </is>
      </c>
      <c r="C6" s="143" t="n"/>
      <c r="E6" s="70" t="n"/>
      <c r="G6" s="89" t="n"/>
    </row>
    <row r="7" ht="15" customFormat="1" customHeight="1" s="63">
      <c r="A7" s="142" t="n"/>
      <c r="B7" s="119" t="inlineStr">
        <is>
          <t xml:space="preserve">Ground Floor </t>
        </is>
      </c>
      <c r="C7" s="143" t="n"/>
      <c r="E7" s="70" t="n"/>
      <c r="G7" s="89" t="n"/>
    </row>
    <row r="8" ht="30" customFormat="1" customHeight="1" s="63">
      <c r="A8" s="142" t="n"/>
      <c r="B8" s="119" t="inlineStr">
        <is>
          <t xml:space="preserve"> Main walls 230 mm th. in x and Y Direction</t>
        </is>
      </c>
      <c r="C8" s="143" t="n"/>
      <c r="E8" s="70" t="n"/>
      <c r="G8" s="89" t="n"/>
    </row>
    <row r="9" ht="15" customFormat="1" customHeight="1" s="63">
      <c r="A9" s="118" t="n"/>
      <c r="B9" s="106" t="n"/>
      <c r="C9" s="142" t="n">
        <v>2</v>
      </c>
      <c r="D9" s="63" t="inlineStr">
        <is>
          <t>x</t>
        </is>
      </c>
      <c r="E9" s="107" t="n">
        <v>6</v>
      </c>
      <c r="G9" s="89" t="n"/>
      <c r="I9" s="70" t="n"/>
      <c r="J9" s="79" t="inlineStr">
        <is>
          <t>=</t>
        </is>
      </c>
      <c r="K9" s="70">
        <f>IF(C9,C9*E9,"")</f>
        <v/>
      </c>
      <c r="L9" s="80" t="inlineStr">
        <is>
          <t>RM</t>
        </is>
      </c>
      <c r="M9" s="70" t="n"/>
    </row>
    <row r="10" ht="15" customFormat="1" customHeight="1" s="63">
      <c r="A10" s="142" t="n"/>
      <c r="B10" s="106" t="n"/>
      <c r="C10" s="142" t="n">
        <v>2</v>
      </c>
      <c r="D10" s="63" t="inlineStr">
        <is>
          <t>x</t>
        </is>
      </c>
      <c r="E10" s="107" t="n">
        <v>5.1</v>
      </c>
      <c r="G10" s="89" t="n"/>
      <c r="I10" s="70" t="n"/>
      <c r="J10" s="63" t="inlineStr">
        <is>
          <t>=</t>
        </is>
      </c>
      <c r="K10" s="70">
        <f>IF(C9,C9*E9,"")</f>
        <v/>
      </c>
      <c r="L10" s="80" t="inlineStr">
        <is>
          <t>RM</t>
        </is>
      </c>
      <c r="M10" s="70" t="n"/>
    </row>
    <row r="11" customFormat="1" s="63">
      <c r="A11" s="142" t="n"/>
      <c r="B11" s="106" t="n"/>
      <c r="C11" s="142" t="n">
        <v>2</v>
      </c>
      <c r="D11" s="63" t="inlineStr">
        <is>
          <t>x</t>
        </is>
      </c>
      <c r="E11" s="107" t="n">
        <v>6</v>
      </c>
      <c r="G11" s="89" t="n"/>
      <c r="I11" s="70" t="n"/>
      <c r="J11" s="63" t="inlineStr">
        <is>
          <t>=</t>
        </is>
      </c>
      <c r="K11" s="70">
        <f>IF(C9,C9*E9,"")</f>
        <v/>
      </c>
      <c r="L11" s="80" t="inlineStr">
        <is>
          <t>RM</t>
        </is>
      </c>
      <c r="M11" s="70" t="n"/>
    </row>
    <row r="12" customFormat="1" s="63">
      <c r="A12" s="142" t="n"/>
      <c r="B12" s="106" t="n"/>
      <c r="C12" s="142" t="n">
        <v>2</v>
      </c>
      <c r="D12" s="63" t="inlineStr">
        <is>
          <t>x</t>
        </is>
      </c>
      <c r="E12" s="107" t="n">
        <v>6.9</v>
      </c>
      <c r="G12" s="89" t="n"/>
      <c r="I12" s="70" t="n"/>
      <c r="J12" s="63" t="inlineStr">
        <is>
          <t>=</t>
        </is>
      </c>
      <c r="K12" s="70">
        <f>IF(C9,C9*E9,"")</f>
        <v/>
      </c>
      <c r="L12" s="80" t="inlineStr">
        <is>
          <t>RM</t>
        </is>
      </c>
      <c r="M12" s="70" t="n"/>
    </row>
    <row r="13" ht="15" customFormat="1" customHeight="1" s="63">
      <c r="A13" s="118" t="n"/>
      <c r="C13" s="142" t="n">
        <v>2</v>
      </c>
      <c r="D13" s="63" t="inlineStr">
        <is>
          <t>x</t>
        </is>
      </c>
      <c r="E13" s="107" t="n">
        <v>15</v>
      </c>
      <c r="G13" s="89" t="n"/>
      <c r="I13" s="70" t="n"/>
      <c r="J13" s="79" t="inlineStr">
        <is>
          <t>=</t>
        </is>
      </c>
      <c r="K13" s="70">
        <f>IF(C10,C10*E10,"")</f>
        <v/>
      </c>
      <c r="L13" s="80" t="inlineStr">
        <is>
          <t>RM</t>
        </is>
      </c>
      <c r="M13" s="70" t="n"/>
    </row>
    <row r="14" customFormat="1" s="63">
      <c r="A14" s="142" t="n"/>
      <c r="B14" s="106" t="n"/>
      <c r="C14" s="142" t="n">
        <v>2</v>
      </c>
      <c r="D14" s="63" t="inlineStr">
        <is>
          <t>x</t>
        </is>
      </c>
      <c r="E14" s="107" t="n">
        <v>4.33</v>
      </c>
      <c r="G14" s="89" t="n"/>
      <c r="I14" s="70" t="n"/>
      <c r="J14" s="63" t="inlineStr">
        <is>
          <t>=</t>
        </is>
      </c>
      <c r="K14" s="70">
        <f>IF(C9,C9*E9,"")</f>
        <v/>
      </c>
      <c r="L14" s="80" t="inlineStr">
        <is>
          <t>RM</t>
        </is>
      </c>
      <c r="M14" s="70" t="n"/>
    </row>
    <row r="15" customFormat="1" s="63">
      <c r="A15" s="142" t="n"/>
      <c r="B15" s="106" t="n"/>
      <c r="C15" s="142" t="n">
        <v>2</v>
      </c>
      <c r="D15" s="63" t="inlineStr">
        <is>
          <t>x</t>
        </is>
      </c>
      <c r="E15" s="107" t="n">
        <v>5.1</v>
      </c>
      <c r="G15" s="89" t="n"/>
      <c r="I15" s="70" t="n"/>
      <c r="J15" s="63" t="inlineStr">
        <is>
          <t>=</t>
        </is>
      </c>
      <c r="K15" s="70">
        <f>IF(C9,C9*E9,"")</f>
        <v/>
      </c>
      <c r="L15" s="80" t="inlineStr">
        <is>
          <t>RM</t>
        </is>
      </c>
      <c r="M15" s="70" t="n"/>
    </row>
    <row r="16" ht="30" customFormat="1" customHeight="1" s="63">
      <c r="A16" s="142" t="n"/>
      <c r="B16" s="106" t="n"/>
      <c r="C16" s="142" t="n">
        <v>2</v>
      </c>
      <c r="D16" s="63" t="inlineStr">
        <is>
          <t>x</t>
        </is>
      </c>
      <c r="E16" s="107" t="n">
        <v>5.86</v>
      </c>
      <c r="G16" s="89" t="n"/>
      <c r="I16" s="70" t="n"/>
      <c r="J16" s="63" t="inlineStr">
        <is>
          <t>=</t>
        </is>
      </c>
      <c r="K16" s="70">
        <f>IF(C9,C9*E9,"")</f>
        <v/>
      </c>
      <c r="L16" s="80" t="inlineStr">
        <is>
          <t>RM</t>
        </is>
      </c>
      <c r="M16" s="70" t="n"/>
    </row>
    <row r="17" ht="15" customFormat="1" customHeight="1" s="63">
      <c r="A17" s="118" t="n"/>
      <c r="B17" s="106" t="n"/>
      <c r="C17" s="142" t="n"/>
      <c r="E17" s="70" t="n"/>
      <c r="G17" s="89" t="n"/>
      <c r="I17" s="76" t="inlineStr">
        <is>
          <t>TOTAL</t>
        </is>
      </c>
      <c r="J17" s="77" t="inlineStr">
        <is>
          <t>=</t>
        </is>
      </c>
      <c r="K17" s="76">
        <f>SUM(K9:K10)</f>
        <v/>
      </c>
      <c r="L17" s="78" t="inlineStr">
        <is>
          <t>RM</t>
        </is>
      </c>
    </row>
    <row r="18" ht="15" customFormat="1" customHeight="1" s="63">
      <c r="A18" s="118" t="n"/>
      <c r="B18" s="106" t="n"/>
      <c r="C18" s="142" t="n"/>
      <c r="E18" s="70" t="n"/>
      <c r="G18" s="89" t="n"/>
      <c r="I18" s="70" t="n"/>
      <c r="J18" s="79" t="n"/>
      <c r="K18" s="70" t="n"/>
      <c r="L18" s="80" t="n"/>
    </row>
    <row r="19" ht="15" customFormat="1" customHeight="1" s="63">
      <c r="A19" s="142" t="n"/>
      <c r="B19" s="119" t="inlineStr">
        <is>
          <t>PARAPET WALL 230 MM</t>
        </is>
      </c>
      <c r="C19" s="143" t="n"/>
      <c r="E19" s="70" t="n"/>
      <c r="G19" s="89" t="n"/>
    </row>
    <row r="20" ht="15" customFormat="1" customHeight="1" s="63">
      <c r="A20" s="118" t="n"/>
      <c r="B20" s="106" t="inlineStr">
        <is>
          <t>Back Side</t>
        </is>
      </c>
      <c r="C20" s="142" t="n">
        <v>1</v>
      </c>
      <c r="D20" s="63" t="inlineStr">
        <is>
          <t>x</t>
        </is>
      </c>
      <c r="E20" s="70">
        <f>K11</f>
        <v/>
      </c>
      <c r="G20" s="89" t="n"/>
      <c r="I20" s="70" t="n"/>
      <c r="J20" s="79" t="inlineStr">
        <is>
          <t>=</t>
        </is>
      </c>
      <c r="K20" s="70">
        <f>IF(C14,C14*E14,"")</f>
        <v/>
      </c>
      <c r="L20" s="80" t="inlineStr">
        <is>
          <t>RM</t>
        </is>
      </c>
    </row>
    <row r="21" customFormat="1" s="63">
      <c r="A21" s="142" t="n"/>
      <c r="B21" s="106" t="n"/>
      <c r="C21" s="142" t="n">
        <v>2</v>
      </c>
      <c r="D21" s="63" t="inlineStr">
        <is>
          <t>x</t>
        </is>
      </c>
      <c r="E21" s="107" t="n">
        <v>3.68</v>
      </c>
      <c r="G21" s="89" t="n"/>
      <c r="I21" s="70" t="n"/>
      <c r="J21" s="63" t="inlineStr">
        <is>
          <t>=</t>
        </is>
      </c>
      <c r="K21" s="70">
        <f>IF(C9,C9*E9,"")</f>
        <v/>
      </c>
      <c r="L21" s="80" t="inlineStr">
        <is>
          <t>RM</t>
        </is>
      </c>
      <c r="M21" s="70" t="n"/>
    </row>
    <row r="22" ht="15" customFormat="1" customHeight="1" s="63">
      <c r="A22" s="142" t="n"/>
      <c r="B22" s="106" t="n"/>
      <c r="C22" s="142" t="n">
        <v>2</v>
      </c>
      <c r="D22" s="63" t="inlineStr">
        <is>
          <t>x</t>
        </is>
      </c>
      <c r="E22" s="107" t="n">
        <v>4.33</v>
      </c>
      <c r="G22" s="89" t="n"/>
      <c r="I22" s="70" t="n"/>
      <c r="J22" s="63" t="inlineStr">
        <is>
          <t>=</t>
        </is>
      </c>
      <c r="K22" s="70">
        <f>IF(C9,C9*E9,"")</f>
        <v/>
      </c>
      <c r="L22" s="80" t="inlineStr">
        <is>
          <t>RM</t>
        </is>
      </c>
      <c r="M22" s="70" t="n"/>
    </row>
    <row r="23" ht="114" customFormat="1" customHeight="1" s="63">
      <c r="A23" s="142" t="n"/>
      <c r="B23" s="106" t="n"/>
      <c r="C23" s="142" t="n">
        <v>2</v>
      </c>
      <c r="D23" s="63" t="inlineStr">
        <is>
          <t>x</t>
        </is>
      </c>
      <c r="E23" s="107" t="n">
        <v>4.98</v>
      </c>
      <c r="G23" s="89" t="n"/>
      <c r="I23" s="70" t="n"/>
      <c r="J23" s="63" t="inlineStr">
        <is>
          <t>=</t>
        </is>
      </c>
      <c r="K23" s="70">
        <f>IF(C9,C9*E9,"")</f>
        <v/>
      </c>
      <c r="L23" s="80" t="inlineStr">
        <is>
          <t>RM</t>
        </is>
      </c>
      <c r="M23" s="70" t="n"/>
    </row>
    <row r="24" customFormat="1" s="63">
      <c r="A24" s="118" t="n"/>
      <c r="B24" s="106" t="n"/>
      <c r="C24" s="142" t="n"/>
      <c r="E24" s="70" t="n"/>
      <c r="G24" s="89" t="n"/>
      <c r="I24" s="76" t="inlineStr">
        <is>
          <t>TOTAL</t>
        </is>
      </c>
      <c r="J24" s="77" t="inlineStr">
        <is>
          <t>=</t>
        </is>
      </c>
      <c r="K24" s="76">
        <f>SUM(K14:K14)</f>
        <v/>
      </c>
      <c r="L24" s="78" t="inlineStr">
        <is>
          <t>RM</t>
        </is>
      </c>
    </row>
    <row r="25" customFormat="1" s="63">
      <c r="A25" s="142" t="n"/>
      <c r="B25" s="119" t="inlineStr">
        <is>
          <t xml:space="preserve"> Brick Partition walls in X and Y Direction</t>
        </is>
      </c>
      <c r="C25" s="143" t="n"/>
      <c r="E25" s="70" t="n"/>
      <c r="G25" s="89" t="n"/>
    </row>
    <row r="26" customFormat="1" s="63">
      <c r="A26" s="118" t="n"/>
      <c r="B26" s="106" t="inlineStr">
        <is>
          <t>Office</t>
        </is>
      </c>
      <c r="C26" s="142" t="n">
        <v>1</v>
      </c>
      <c r="D26" s="63" t="inlineStr">
        <is>
          <t>x</t>
        </is>
      </c>
      <c r="E26" s="70" t="n">
        <v>2.7</v>
      </c>
      <c r="F26" s="53" t="n"/>
      <c r="G26" s="89" t="n"/>
      <c r="I26" s="70" t="n"/>
      <c r="J26" s="79" t="inlineStr">
        <is>
          <t>=</t>
        </is>
      </c>
      <c r="K26" s="70">
        <f>IF(C17,C17*E17,"")</f>
        <v/>
      </c>
      <c r="L26" s="80" t="inlineStr">
        <is>
          <t>RM</t>
        </is>
      </c>
    </row>
    <row r="27" ht="15" customFormat="1" customHeight="1" s="63">
      <c r="A27" s="142" t="n"/>
      <c r="B27" s="106" t="n"/>
      <c r="C27" s="142" t="n"/>
      <c r="E27" s="70" t="n"/>
      <c r="G27" s="89" t="n"/>
      <c r="I27" s="76" t="inlineStr">
        <is>
          <t>TOTAL</t>
        </is>
      </c>
      <c r="J27" s="275" t="inlineStr">
        <is>
          <t>=</t>
        </is>
      </c>
      <c r="K27" s="76">
        <f>SUM(K9:K10)</f>
        <v/>
      </c>
      <c r="L27" s="78" t="inlineStr">
        <is>
          <t>RM</t>
        </is>
      </c>
    </row>
    <row r="28" ht="85.5" customFormat="1" customHeight="1" s="63">
      <c r="A28" s="142" t="n"/>
      <c r="B28" s="106" t="n"/>
      <c r="C28" s="142" t="n"/>
      <c r="E28" s="70" t="n"/>
      <c r="G28" s="89" t="n"/>
      <c r="I28" s="76" t="inlineStr">
        <is>
          <t>TOTAL</t>
        </is>
      </c>
      <c r="J28" s="275" t="inlineStr">
        <is>
          <t>=</t>
        </is>
      </c>
      <c r="K28" s="76">
        <f>SUM(K9:K10)</f>
        <v/>
      </c>
      <c r="L28" s="78" t="inlineStr">
        <is>
          <t>RM</t>
        </is>
      </c>
    </row>
    <row r="29" customFormat="1" s="63">
      <c r="A29" s="142" t="n"/>
      <c r="B29" s="106" t="n"/>
      <c r="C29" s="142" t="n"/>
      <c r="E29" s="70" t="n"/>
      <c r="G29" s="89" t="n"/>
      <c r="I29" s="76" t="inlineStr">
        <is>
          <t>TOTAL</t>
        </is>
      </c>
      <c r="J29" s="275" t="inlineStr">
        <is>
          <t>=</t>
        </is>
      </c>
      <c r="K29" s="76">
        <f>SUM(K9:K10)</f>
        <v/>
      </c>
      <c r="L29" s="78" t="inlineStr">
        <is>
          <t>RM</t>
        </is>
      </c>
    </row>
    <row r="30" customFormat="1" s="63">
      <c r="A30" s="118" t="n"/>
      <c r="B30" s="106" t="n"/>
      <c r="C30" s="142" t="n">
        <v>1</v>
      </c>
      <c r="D30" s="63" t="inlineStr">
        <is>
          <t>x</t>
        </is>
      </c>
      <c r="E30" s="70" t="n">
        <v>1.2</v>
      </c>
      <c r="F30" s="53" t="n"/>
      <c r="G30" s="89" t="n"/>
      <c r="I30" s="70" t="n"/>
      <c r="J30" s="79" t="inlineStr">
        <is>
          <t>=</t>
        </is>
      </c>
      <c r="K30" s="70">
        <f>IF(C18,C18*E18,"")</f>
        <v/>
      </c>
      <c r="L30" s="80" t="inlineStr">
        <is>
          <t>RM</t>
        </is>
      </c>
    </row>
    <row r="31" customFormat="1" s="63">
      <c r="A31" s="142" t="n"/>
      <c r="B31" s="106" t="n"/>
      <c r="C31" s="142" t="n"/>
      <c r="E31" s="70" t="n"/>
      <c r="G31" s="89" t="n"/>
      <c r="I31" s="70" t="n"/>
      <c r="J31" s="63" t="n"/>
      <c r="K31" s="70" t="n"/>
      <c r="L31" s="80" t="n"/>
    </row>
    <row r="32" customFormat="1" s="63">
      <c r="A32" s="142" t="n"/>
      <c r="B32" s="106" t="n"/>
      <c r="C32" s="142" t="n"/>
      <c r="E32" s="70" t="n"/>
      <c r="G32" s="89" t="n"/>
      <c r="I32" s="70" t="n"/>
      <c r="J32" s="63" t="n"/>
      <c r="K32" s="70" t="n"/>
      <c r="L32" s="80" t="n"/>
    </row>
    <row r="33" ht="15" customFormat="1" customHeight="1" s="63">
      <c r="A33" s="142" t="n"/>
      <c r="B33" s="106" t="n"/>
      <c r="C33" s="142" t="n"/>
      <c r="E33" s="70" t="n"/>
      <c r="G33" s="89" t="n"/>
      <c r="I33" s="70" t="n"/>
      <c r="J33" s="63" t="n"/>
      <c r="K33" s="70" t="n"/>
      <c r="L33" s="80" t="n"/>
    </row>
    <row r="34" ht="99.75" customFormat="1" customHeight="1" s="63">
      <c r="A34" s="118" t="n"/>
      <c r="B34" s="106" t="inlineStr">
        <is>
          <t>Toilet</t>
        </is>
      </c>
      <c r="C34" s="142" t="n">
        <v>1</v>
      </c>
      <c r="D34" s="63" t="inlineStr">
        <is>
          <t>x</t>
        </is>
      </c>
      <c r="E34" s="70" t="n">
        <v>3.6</v>
      </c>
      <c r="F34" s="53" t="n"/>
      <c r="G34" s="89" t="n"/>
      <c r="I34" s="70" t="n"/>
      <c r="J34" s="79" t="inlineStr">
        <is>
          <t>=</t>
        </is>
      </c>
      <c r="K34" s="70">
        <f>IF(C19,C19*E19,"")</f>
        <v/>
      </c>
      <c r="L34" s="80" t="inlineStr">
        <is>
          <t>RM</t>
        </is>
      </c>
    </row>
    <row r="35" customFormat="1" s="63">
      <c r="A35" s="118" t="n"/>
      <c r="B35" s="106" t="n"/>
      <c r="C35" s="142" t="n">
        <v>2</v>
      </c>
      <c r="D35" s="63" t="inlineStr">
        <is>
          <t>x</t>
        </is>
      </c>
      <c r="E35" s="70" t="n">
        <v>2.1</v>
      </c>
      <c r="F35" s="53" t="n"/>
      <c r="G35" s="89" t="n"/>
      <c r="I35" s="70" t="n"/>
      <c r="J35" s="79" t="inlineStr">
        <is>
          <t>=</t>
        </is>
      </c>
      <c r="K35" s="70">
        <f>IF(C20,C20*E20,"")</f>
        <v/>
      </c>
      <c r="L35" s="80" t="inlineStr">
        <is>
          <t>RM</t>
        </is>
      </c>
    </row>
    <row r="36" customFormat="1" s="63">
      <c r="A36" s="118" t="n"/>
      <c r="B36" s="106" t="n"/>
      <c r="C36" s="142" t="n"/>
      <c r="E36" s="70" t="n"/>
      <c r="G36" s="89" t="n"/>
      <c r="I36" s="101" t="inlineStr">
        <is>
          <t>TOTAL</t>
        </is>
      </c>
      <c r="J36" s="77" t="inlineStr">
        <is>
          <t>=</t>
        </is>
      </c>
      <c r="K36" s="76">
        <f>SUM(K17:K20)</f>
        <v/>
      </c>
      <c r="L36" s="78" t="inlineStr">
        <is>
          <t>RM</t>
        </is>
      </c>
    </row>
    <row r="37" ht="15" customFormat="1" customHeight="1" s="63">
      <c r="A37" s="142" t="n"/>
      <c r="B37" s="81" t="n"/>
      <c r="C37" s="142" t="n"/>
      <c r="D37" s="120" t="n"/>
      <c r="E37" s="123" t="n"/>
      <c r="F37" s="91" t="n"/>
      <c r="G37" s="123" t="n"/>
      <c r="H37" s="126" t="n"/>
      <c r="J37" s="267" t="n"/>
      <c r="K37" s="105" t="n"/>
      <c r="L37" s="129" t="n"/>
    </row>
    <row r="38" ht="15" customFormat="1" customHeight="1" s="63">
      <c r="A38" s="113" t="n">
        <v>1</v>
      </c>
      <c r="B38" s="117"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38" s="143" t="n"/>
      <c r="D38" s="63" t="n"/>
      <c r="E38" s="70" t="n"/>
      <c r="F38" s="63" t="n"/>
      <c r="G38" s="89" t="n"/>
      <c r="H38" s="63" t="n"/>
      <c r="I38" s="63" t="n"/>
      <c r="J38" s="63" t="n"/>
      <c r="K38" s="63" t="n"/>
    </row>
    <row r="39" ht="128.25" customFormat="1" customHeight="1" s="63">
      <c r="A39" s="118" t="n"/>
      <c r="B39" s="106" t="inlineStr">
        <is>
          <t>Footings</t>
        </is>
      </c>
      <c r="C39" s="142" t="n">
        <v>8</v>
      </c>
      <c r="D39" s="88" t="inlineStr">
        <is>
          <t>x</t>
        </is>
      </c>
      <c r="E39" s="89" t="n">
        <v>2.75</v>
      </c>
      <c r="F39" s="88" t="inlineStr">
        <is>
          <t>x</t>
        </is>
      </c>
      <c r="G39" s="89" t="n">
        <v>2.85</v>
      </c>
      <c r="H39" s="88" t="inlineStr">
        <is>
          <t>x</t>
        </is>
      </c>
      <c r="I39" s="89" t="n">
        <v>1.5</v>
      </c>
      <c r="J39" s="90" t="inlineStr">
        <is>
          <t>=</t>
        </is>
      </c>
      <c r="K39" s="89">
        <f>IF(C24,C24*E24*G24*I24,"")</f>
        <v/>
      </c>
      <c r="L39" s="91" t="inlineStr">
        <is>
          <t>Cum</t>
        </is>
      </c>
    </row>
    <row r="40" customFormat="1" s="63">
      <c r="A40" s="118" t="n"/>
      <c r="B40" s="106" t="inlineStr">
        <is>
          <t>Main Walls</t>
        </is>
      </c>
      <c r="C40" s="142" t="n">
        <v>1</v>
      </c>
      <c r="D40" s="88" t="inlineStr">
        <is>
          <t>x</t>
        </is>
      </c>
      <c r="E40" s="89">
        <f>K11</f>
        <v/>
      </c>
      <c r="F40" s="88" t="inlineStr">
        <is>
          <t>x</t>
        </is>
      </c>
      <c r="G40" s="89" t="n">
        <v>0.9</v>
      </c>
      <c r="H40" s="88" t="inlineStr">
        <is>
          <t>x</t>
        </is>
      </c>
      <c r="I40" s="89" t="n">
        <v>0.9</v>
      </c>
      <c r="J40" s="90" t="inlineStr">
        <is>
          <t>=</t>
        </is>
      </c>
      <c r="K40" s="89">
        <f>IF(C25,C25*E25*G25*I25,"")</f>
        <v/>
      </c>
      <c r="L40" s="91" t="inlineStr">
        <is>
          <t>Cum</t>
        </is>
      </c>
    </row>
    <row r="41" ht="15" customFormat="1" customHeight="1" s="63">
      <c r="A41" s="118" t="n"/>
      <c r="B41" s="106" t="inlineStr">
        <is>
          <t>Partition Walls</t>
        </is>
      </c>
      <c r="C41" s="142" t="n">
        <v>1</v>
      </c>
      <c r="D41" s="88" t="inlineStr">
        <is>
          <t>x</t>
        </is>
      </c>
      <c r="E41" s="89">
        <f>K21</f>
        <v/>
      </c>
      <c r="F41" s="88" t="inlineStr">
        <is>
          <t>x</t>
        </is>
      </c>
      <c r="G41" s="89" t="n">
        <v>0.9</v>
      </c>
      <c r="H41" s="88" t="inlineStr">
        <is>
          <t>x</t>
        </is>
      </c>
      <c r="I41" s="89" t="n">
        <v>0.75</v>
      </c>
      <c r="J41" s="90" t="inlineStr">
        <is>
          <t>=</t>
        </is>
      </c>
      <c r="K41" s="89">
        <f>IF(C26,C26*E26*G26*I26,"")</f>
        <v/>
      </c>
      <c r="L41" s="91" t="inlineStr">
        <is>
          <t>Cum</t>
        </is>
      </c>
    </row>
    <row r="42" ht="15" customFormat="1" customHeight="1" s="63">
      <c r="A42" s="118" t="n"/>
      <c r="B42" s="106" t="n"/>
      <c r="C42" s="142" t="n"/>
      <c r="D42" s="63" t="n"/>
      <c r="E42" s="105" t="n"/>
      <c r="F42" s="114" t="n"/>
      <c r="G42" s="115" t="inlineStr">
        <is>
          <t xml:space="preserve">Total </t>
        </is>
      </c>
      <c r="H42" s="114" t="n"/>
      <c r="I42" s="105" t="n"/>
      <c r="J42" s="114" t="n"/>
      <c r="K42" s="105">
        <f>SUM(K24:K26)</f>
        <v/>
      </c>
      <c r="L42" s="92" t="inlineStr">
        <is>
          <t>Cum</t>
        </is>
      </c>
    </row>
    <row r="43" ht="15" customFormat="1" customHeight="1" s="63">
      <c r="A43" s="113">
        <f>LOOKUP(2,1/(A$1:A27&lt;&gt;""),A$1:A27)+1</f>
        <v/>
      </c>
      <c r="B43" s="117" t="inlineStr">
        <is>
          <t>Filling available excavated earth (excluding rock) in trenches, plinth side of foundation etc. in layers not exceeding 20 cm. in depth , consolidating  each deposited layer by ramming and watering including lead upto 50Mtr. and lift upto 1.5Mtr.</t>
        </is>
      </c>
      <c r="C43" s="143" t="n"/>
      <c r="D43" s="63" t="n"/>
      <c r="E43" s="70" t="n"/>
      <c r="F43" s="63" t="n"/>
      <c r="G43" s="89" t="n"/>
      <c r="H43" s="63" t="n"/>
      <c r="I43" s="63" t="n"/>
      <c r="J43" s="63" t="n"/>
      <c r="K43" s="63" t="n"/>
    </row>
    <row r="44" ht="102" customFormat="1" customHeight="1" s="63">
      <c r="A44" s="118" t="n"/>
      <c r="B44" s="106" t="n"/>
      <c r="C44" s="142" t="n"/>
      <c r="D44" s="88" t="n"/>
      <c r="E44" s="89" t="n"/>
      <c r="F44" s="88" t="n"/>
      <c r="G44" s="89" t="n"/>
      <c r="H44" s="88" t="n"/>
      <c r="I44" s="89" t="n"/>
      <c r="J44" s="90" t="n"/>
      <c r="K44" s="89" t="n"/>
      <c r="L44" s="91" t="n"/>
    </row>
    <row r="45" customFormat="1" s="63">
      <c r="A45" s="118" t="n"/>
      <c r="B45" s="106" t="inlineStr">
        <is>
          <t>Walls AREA</t>
        </is>
      </c>
      <c r="C45" s="142" t="n">
        <v>1</v>
      </c>
      <c r="D45" s="88" t="inlineStr">
        <is>
          <t>x</t>
        </is>
      </c>
      <c r="E45" s="89">
        <f>E9-0.6</f>
        <v/>
      </c>
      <c r="F45" s="88" t="inlineStr">
        <is>
          <t>x</t>
        </is>
      </c>
      <c r="G45" s="89">
        <f>E10-0.6</f>
        <v/>
      </c>
      <c r="H45" s="88" t="n"/>
      <c r="I45" s="89" t="n"/>
      <c r="J45" s="90" t="inlineStr">
        <is>
          <t>=</t>
        </is>
      </c>
      <c r="K45" s="89">
        <f>IF(C30,C30*E30*G30,"")</f>
        <v/>
      </c>
      <c r="L45" s="80" t="inlineStr">
        <is>
          <t>Sqm</t>
        </is>
      </c>
    </row>
    <row r="46" customFormat="1" s="63">
      <c r="A46" s="118" t="n"/>
      <c r="B46" s="106" t="n"/>
      <c r="C46" s="142" t="n"/>
      <c r="D46" s="88" t="n"/>
      <c r="E46" s="89" t="n"/>
      <c r="F46" s="88" t="n"/>
      <c r="G46" s="89" t="n"/>
      <c r="H46" s="88" t="n"/>
      <c r="I46" s="89" t="n"/>
      <c r="J46" s="90" t="n"/>
      <c r="K46" s="89" t="n"/>
      <c r="L46" s="80" t="n"/>
    </row>
    <row r="47" ht="15" customFormat="1" customHeight="1" s="63">
      <c r="A47" s="118" t="n"/>
      <c r="B47" s="106" t="inlineStr">
        <is>
          <t>Qty. in Filling</t>
        </is>
      </c>
      <c r="C47" s="142" t="n"/>
      <c r="D47" s="88" t="n"/>
      <c r="E47" s="89">
        <f>K30</f>
        <v/>
      </c>
      <c r="F47" s="88" t="inlineStr">
        <is>
          <t>x</t>
        </is>
      </c>
      <c r="G47" s="89" t="n">
        <v>0.45</v>
      </c>
      <c r="H47" s="88" t="n"/>
      <c r="I47" s="89" t="n"/>
      <c r="J47" s="90" t="inlineStr">
        <is>
          <t>=</t>
        </is>
      </c>
      <c r="K47" s="89">
        <f>E32*G32</f>
        <v/>
      </c>
      <c r="L47" s="91" t="inlineStr">
        <is>
          <t>Cum</t>
        </is>
      </c>
    </row>
    <row r="48" ht="15" customFormat="1" customHeight="1" s="63">
      <c r="A48" s="118" t="n"/>
      <c r="B48" s="106" t="n"/>
      <c r="C48" s="142" t="n"/>
      <c r="D48" s="63" t="n"/>
      <c r="E48" s="105" t="n"/>
      <c r="F48" s="114" t="n"/>
      <c r="G48" s="115" t="inlineStr">
        <is>
          <t xml:space="preserve">Total </t>
        </is>
      </c>
      <c r="H48" s="114" t="n"/>
      <c r="I48" s="105" t="n"/>
      <c r="J48" s="114" t="n"/>
      <c r="K48" s="105">
        <f>SUM(K32)</f>
        <v/>
      </c>
      <c r="L48" s="92" t="inlineStr">
        <is>
          <t>Cum</t>
        </is>
      </c>
    </row>
    <row r="49" ht="150" customFormat="1" customHeight="1" s="254">
      <c r="A49" s="113">
        <f>LOOKUP(2,1/(A$1:A33&lt;&gt;""),A$1:A33)+1</f>
        <v/>
      </c>
      <c r="B49" s="117" t="inlineStr">
        <is>
          <t>Providing and laying in position cement concrete including curing compaction etc. of specified grade excluding the cost of centering and shuttering =All up to plinth leve 1:4:8 (1Cement :4 Coarse  Sand :8 Graded stone aggregate 40 mm nominal size</t>
        </is>
      </c>
      <c r="C49" s="142" t="n"/>
      <c r="D49" s="122" t="n"/>
      <c r="E49" s="70" t="n"/>
      <c r="F49" s="63" t="n"/>
      <c r="G49" s="89" t="n"/>
      <c r="H49" s="63" t="n"/>
      <c r="I49" s="63" t="n"/>
      <c r="J49" s="63" t="n"/>
      <c r="K49" s="63" t="n"/>
    </row>
    <row r="50" customFormat="1" s="63">
      <c r="A50" s="118" t="n"/>
      <c r="B50" s="106" t="inlineStr">
        <is>
          <t>Main Walls</t>
        </is>
      </c>
      <c r="C50" s="142" t="n">
        <v>1</v>
      </c>
      <c r="D50" s="88" t="inlineStr">
        <is>
          <t>x</t>
        </is>
      </c>
      <c r="E50" s="89">
        <f>E25</f>
        <v/>
      </c>
      <c r="F50" s="88" t="inlineStr">
        <is>
          <t>x</t>
        </is>
      </c>
      <c r="G50" s="89">
        <f>G25</f>
        <v/>
      </c>
      <c r="H50" s="88" t="inlineStr">
        <is>
          <t>x</t>
        </is>
      </c>
      <c r="I50" s="89" t="n">
        <v>0.15</v>
      </c>
      <c r="J50" s="90" t="inlineStr">
        <is>
          <t>=</t>
        </is>
      </c>
      <c r="K50" s="89">
        <f>IF(C35,C35*E35*G35*I35,"")</f>
        <v/>
      </c>
      <c r="L50" s="91" t="inlineStr">
        <is>
          <t>Cum</t>
        </is>
      </c>
    </row>
    <row r="51" customFormat="1" s="63">
      <c r="A51" s="118" t="n"/>
      <c r="B51" s="106" t="inlineStr">
        <is>
          <t>Partition Walls</t>
        </is>
      </c>
      <c r="C51" s="142" t="n">
        <v>1</v>
      </c>
      <c r="D51" s="88" t="inlineStr">
        <is>
          <t>x</t>
        </is>
      </c>
      <c r="E51" s="89">
        <f>E26</f>
        <v/>
      </c>
      <c r="F51" s="88" t="inlineStr">
        <is>
          <t>x</t>
        </is>
      </c>
      <c r="G51" s="89">
        <f>G26</f>
        <v/>
      </c>
      <c r="H51" s="88" t="inlineStr">
        <is>
          <t>x</t>
        </is>
      </c>
      <c r="I51" s="89" t="n">
        <v>0.15</v>
      </c>
      <c r="J51" s="90" t="inlineStr">
        <is>
          <t>=</t>
        </is>
      </c>
      <c r="K51" s="89">
        <f>IF(C36,C36*E36*G36*I36,"")</f>
        <v/>
      </c>
      <c r="L51" s="91" t="inlineStr">
        <is>
          <t>Cum</t>
        </is>
      </c>
    </row>
    <row r="52" customFormat="1" s="63">
      <c r="A52" s="142" t="n"/>
      <c r="B52" s="93" t="inlineStr">
        <is>
          <t>FOOTING F1</t>
        </is>
      </c>
      <c r="C52" s="142">
        <f>C24</f>
        <v/>
      </c>
      <c r="D52" s="63" t="inlineStr">
        <is>
          <t>x</t>
        </is>
      </c>
      <c r="E52" s="94">
        <f>E24</f>
        <v/>
      </c>
      <c r="F52" s="70" t="inlineStr">
        <is>
          <t>x</t>
        </is>
      </c>
      <c r="G52" s="94">
        <f>G24</f>
        <v/>
      </c>
      <c r="H52" s="88" t="inlineStr">
        <is>
          <t>x</t>
        </is>
      </c>
      <c r="I52" s="89" t="n">
        <v>0.3</v>
      </c>
      <c r="J52" s="90" t="inlineStr">
        <is>
          <t>=</t>
        </is>
      </c>
      <c r="K52" s="89">
        <f>IF(C37,C37*E37*G37*I37,"")</f>
        <v/>
      </c>
      <c r="L52" s="91" t="inlineStr">
        <is>
          <t>Cum</t>
        </is>
      </c>
    </row>
    <row r="53" customFormat="1" s="63">
      <c r="A53" s="118" t="n"/>
      <c r="B53" s="106" t="n"/>
      <c r="C53" s="142" t="n"/>
      <c r="D53" s="63" t="n"/>
      <c r="E53" s="105" t="n"/>
      <c r="F53" s="114" t="n"/>
      <c r="G53" s="115" t="inlineStr">
        <is>
          <t>Total Qty.</t>
        </is>
      </c>
      <c r="H53" s="114" t="n"/>
      <c r="I53" s="105" t="n"/>
      <c r="J53" s="114" t="n"/>
      <c r="K53" s="105">
        <f>SUM(K35:K37)</f>
        <v/>
      </c>
      <c r="L53" s="92" t="inlineStr">
        <is>
          <t>Cum</t>
        </is>
      </c>
    </row>
    <row r="54" customFormat="1" s="63">
      <c r="A54" s="113">
        <f>LOOKUP(2,1/(A$1:A38&lt;&gt;""),A$1:A38)+1</f>
        <v/>
      </c>
      <c r="B54" s="117"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54" s="142" t="n"/>
      <c r="D54" s="122" t="n"/>
      <c r="E54" s="70" t="n"/>
      <c r="F54" s="63" t="n"/>
      <c r="G54" s="89" t="n"/>
      <c r="H54" s="63" t="n"/>
      <c r="I54" s="63" t="n"/>
      <c r="J54" s="63" t="n"/>
      <c r="K54" s="63" t="n"/>
    </row>
    <row r="55" customFormat="1" s="63">
      <c r="A55" s="118" t="n"/>
      <c r="B55" s="106" t="inlineStr">
        <is>
          <t>Plinth Beams</t>
        </is>
      </c>
      <c r="C55" s="142" t="n">
        <v>1</v>
      </c>
      <c r="D55" s="88" t="inlineStr">
        <is>
          <t>x</t>
        </is>
      </c>
      <c r="E55" s="89" t="n">
        <v>42</v>
      </c>
      <c r="F55" s="88" t="inlineStr">
        <is>
          <t>x</t>
        </is>
      </c>
      <c r="G55" s="89" t="n">
        <v>0.23</v>
      </c>
      <c r="H55" s="88" t="inlineStr">
        <is>
          <t>x</t>
        </is>
      </c>
      <c r="I55" s="89" t="n">
        <v>0.23</v>
      </c>
      <c r="J55" s="90" t="inlineStr">
        <is>
          <t>=</t>
        </is>
      </c>
      <c r="K55" s="89">
        <f>IF(C40,C40*E40*G40*I40,"")</f>
        <v/>
      </c>
      <c r="L55" s="91" t="inlineStr">
        <is>
          <t>Cum</t>
        </is>
      </c>
    </row>
    <row r="56" ht="15" customFormat="1" customHeight="1" s="63">
      <c r="A56" s="142" t="n"/>
      <c r="B56" s="93" t="inlineStr">
        <is>
          <t>FOOTING F1</t>
        </is>
      </c>
      <c r="C56" s="142" t="n">
        <v>4</v>
      </c>
      <c r="D56" s="63" t="inlineStr">
        <is>
          <t>x</t>
        </is>
      </c>
      <c r="E56" s="97" t="n">
        <v>2</v>
      </c>
      <c r="F56" s="70" t="inlineStr">
        <is>
          <t>x</t>
        </is>
      </c>
      <c r="G56" s="97" t="n">
        <v>2</v>
      </c>
      <c r="H56" s="88" t="inlineStr">
        <is>
          <t>x</t>
        </is>
      </c>
      <c r="I56" s="89" t="n">
        <v>0.5</v>
      </c>
      <c r="J56" s="90" t="inlineStr">
        <is>
          <t>=</t>
        </is>
      </c>
      <c r="K56" s="89">
        <f>IF(C41,C41*E41*G41*I41,"")</f>
        <v/>
      </c>
      <c r="L56" s="91" t="inlineStr">
        <is>
          <t>Cum</t>
        </is>
      </c>
    </row>
    <row r="57" ht="15" customFormat="1" customHeight="1" s="63">
      <c r="A57" s="142" t="n"/>
      <c r="B57" s="93" t="inlineStr">
        <is>
          <t>FOOTING F2</t>
        </is>
      </c>
      <c r="C57" s="142" t="n">
        <v>4</v>
      </c>
      <c r="D57" s="63" t="inlineStr">
        <is>
          <t>x</t>
        </is>
      </c>
      <c r="E57" s="97">
        <f>E37-0.3</f>
        <v/>
      </c>
      <c r="F57" s="70" t="inlineStr">
        <is>
          <t>x</t>
        </is>
      </c>
      <c r="G57" s="97">
        <f>G37-0.3</f>
        <v/>
      </c>
      <c r="H57" s="88" t="inlineStr">
        <is>
          <t>x</t>
        </is>
      </c>
      <c r="I57" s="89" t="n">
        <v>0.83</v>
      </c>
      <c r="J57" s="90" t="inlineStr">
        <is>
          <t>=</t>
        </is>
      </c>
      <c r="K57" s="89">
        <f>IF(C42,C42*E42*G42*I42,"")</f>
        <v/>
      </c>
      <c r="L57" s="91" t="inlineStr">
        <is>
          <t>Cum</t>
        </is>
      </c>
    </row>
    <row r="58" customFormat="1" s="63">
      <c r="A58" s="118" t="n"/>
      <c r="B58" s="106" t="n"/>
      <c r="C58" s="142" t="n"/>
      <c r="D58" s="63" t="n"/>
      <c r="E58" s="105" t="n"/>
      <c r="F58" s="114" t="n"/>
      <c r="G58" s="115" t="inlineStr">
        <is>
          <t>Total Qty.</t>
        </is>
      </c>
      <c r="H58" s="114" t="n"/>
      <c r="I58" s="105" t="n"/>
      <c r="J58" s="114" t="n"/>
      <c r="K58" s="105">
        <f>SUM(K40:K42)</f>
        <v/>
      </c>
      <c r="L58" s="92" t="inlineStr">
        <is>
          <t>Cum</t>
        </is>
      </c>
    </row>
    <row r="59" ht="15" customFormat="1" customHeight="1" s="63">
      <c r="A59" s="113">
        <f>LOOKUP(2,1/(A$1:A43&lt;&gt;""),A$1:A43)+1</f>
        <v/>
      </c>
      <c r="B59" s="106" t="inlineStr">
        <is>
          <t>Centering &amp; shuttering with plywood or steel sheets including strutting propping, bracing both ways with wooden members and removal of form work for superstructure upto 4.5 Mtr. height above plinth level (A) For Columns, Pillars, Posts and Struts etc.</t>
        </is>
      </c>
      <c r="C59" s="143" t="n"/>
      <c r="D59" s="91" t="n"/>
      <c r="E59" s="70" t="n"/>
      <c r="F59" s="91" t="n"/>
      <c r="G59" s="89" t="n"/>
      <c r="H59" s="63" t="n"/>
      <c r="I59" s="63" t="n"/>
      <c r="J59" s="63" t="n"/>
      <c r="K59" s="63" t="n"/>
    </row>
    <row r="60" ht="90" customFormat="1" customHeight="1" s="254">
      <c r="A60" s="142" t="n"/>
      <c r="B60" s="121" t="inlineStr">
        <is>
          <t>Footing</t>
        </is>
      </c>
      <c r="C60" s="142" t="n">
        <v>8</v>
      </c>
      <c r="D60" s="63" t="inlineStr">
        <is>
          <t>x</t>
        </is>
      </c>
      <c r="E60" s="70">
        <f>2*(E42+G42)</f>
        <v/>
      </c>
      <c r="F60" s="63" t="inlineStr">
        <is>
          <t>x</t>
        </is>
      </c>
      <c r="G60" s="70">
        <f>I42</f>
        <v/>
      </c>
      <c r="H60" s="63" t="n"/>
      <c r="I60" s="63" t="n"/>
      <c r="J60" s="79" t="inlineStr">
        <is>
          <t>=</t>
        </is>
      </c>
      <c r="K60" s="70">
        <f>IF(C45,C45*E45*G45,"")</f>
        <v/>
      </c>
      <c r="L60" s="80" t="inlineStr">
        <is>
          <t>Sqm</t>
        </is>
      </c>
    </row>
    <row r="61" ht="75" customFormat="1" customHeight="1" s="254">
      <c r="A61" s="118" t="n"/>
      <c r="B61" s="106" t="inlineStr">
        <is>
          <t>Plinth Beams</t>
        </is>
      </c>
      <c r="C61" s="142" t="n">
        <v>2</v>
      </c>
      <c r="D61" s="88" t="inlineStr">
        <is>
          <t>x</t>
        </is>
      </c>
      <c r="E61" s="89" t="n">
        <v>42</v>
      </c>
      <c r="F61" s="88" t="inlineStr">
        <is>
          <t>x</t>
        </is>
      </c>
      <c r="G61" s="89" t="n">
        <v>0.23</v>
      </c>
      <c r="H61" s="63" t="n"/>
      <c r="I61" s="63" t="n"/>
      <c r="J61" s="79" t="inlineStr">
        <is>
          <t>=</t>
        </is>
      </c>
      <c r="K61" s="70">
        <f>IF(C46,C46*E46*G46,"")</f>
        <v/>
      </c>
      <c r="L61" s="80" t="inlineStr">
        <is>
          <t>Sqm</t>
        </is>
      </c>
    </row>
    <row r="62" customFormat="1" s="63">
      <c r="A62" s="118" t="n"/>
      <c r="B62" s="106" t="n"/>
      <c r="C62" s="142" t="n"/>
      <c r="D62" s="63" t="n"/>
      <c r="E62" s="105" t="n"/>
      <c r="F62" s="114" t="n"/>
      <c r="G62" s="115" t="inlineStr">
        <is>
          <t xml:space="preserve">Total </t>
        </is>
      </c>
      <c r="H62" s="114" t="n"/>
      <c r="I62" s="105" t="n"/>
      <c r="J62" s="114" t="n"/>
      <c r="K62" s="105">
        <f>SUM(K45:K46)</f>
        <v/>
      </c>
      <c r="L62" s="98" t="inlineStr">
        <is>
          <t>Sqm</t>
        </is>
      </c>
    </row>
    <row r="63" customFormat="1" s="63">
      <c r="A63" s="118" t="n"/>
      <c r="B63" s="106" t="n"/>
      <c r="C63" s="142" t="n"/>
      <c r="D63" s="63" t="n"/>
      <c r="E63" s="105" t="n"/>
      <c r="F63" s="114" t="n"/>
      <c r="G63" s="115" t="n"/>
      <c r="H63" s="114" t="n"/>
      <c r="I63" s="105" t="n"/>
      <c r="J63" s="114" t="n"/>
      <c r="K63" s="105" t="n"/>
      <c r="L63" s="129" t="n"/>
    </row>
    <row r="64" customFormat="1" s="63">
      <c r="A64" s="113">
        <f>LOOKUP(2,1/(A$1:A48&lt;&gt;""),A$1:A48)+1</f>
        <v/>
      </c>
      <c r="B64" s="266"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64" s="143" t="n"/>
      <c r="D64" s="91" t="n"/>
      <c r="E64" s="70" t="n"/>
      <c r="F64" s="91" t="n"/>
      <c r="G64" s="89" t="n"/>
      <c r="H64" s="63" t="n"/>
      <c r="I64" s="63" t="n"/>
      <c r="J64" s="63" t="n"/>
      <c r="K64" s="63" t="n"/>
      <c r="L64" s="63" t="n"/>
    </row>
    <row r="65" customFormat="1" s="63">
      <c r="A65" s="118" t="n"/>
      <c r="B65" s="106" t="inlineStr">
        <is>
          <t>LINTEL Beams Hor</t>
        </is>
      </c>
      <c r="C65" s="142" t="n">
        <v>1</v>
      </c>
      <c r="D65" s="88" t="inlineStr">
        <is>
          <t>x</t>
        </is>
      </c>
      <c r="E65" s="89" t="n">
        <v>42</v>
      </c>
      <c r="F65" s="88" t="inlineStr">
        <is>
          <t>x</t>
        </is>
      </c>
      <c r="G65" s="89" t="n">
        <v>0.23</v>
      </c>
      <c r="H65" s="88" t="inlineStr">
        <is>
          <t>x</t>
        </is>
      </c>
      <c r="I65" s="89" t="n">
        <v>0.15</v>
      </c>
      <c r="J65" s="90" t="inlineStr">
        <is>
          <t>=</t>
        </is>
      </c>
      <c r="K65" s="89">
        <f>IF(C50,C50*E50*G50*I50,"")</f>
        <v/>
      </c>
      <c r="L65" s="91" t="inlineStr">
        <is>
          <t>Cum</t>
        </is>
      </c>
    </row>
    <row r="66" customFormat="1" s="63">
      <c r="A66" s="118" t="n"/>
      <c r="B66" s="106" t="inlineStr">
        <is>
          <t xml:space="preserve">Beams </t>
        </is>
      </c>
      <c r="C66" s="142" t="n">
        <v>1</v>
      </c>
      <c r="D66" s="88" t="inlineStr">
        <is>
          <t>x</t>
        </is>
      </c>
      <c r="E66" s="89" t="n">
        <v>42</v>
      </c>
      <c r="F66" s="88" t="inlineStr">
        <is>
          <t>x</t>
        </is>
      </c>
      <c r="G66" s="89" t="n">
        <v>0.23</v>
      </c>
      <c r="H66" s="88" t="inlineStr">
        <is>
          <t>x</t>
        </is>
      </c>
      <c r="I66" s="89" t="n">
        <v>0.45</v>
      </c>
      <c r="J66" s="90" t="inlineStr">
        <is>
          <t>=</t>
        </is>
      </c>
      <c r="K66" s="89">
        <f>IF(C51,C51*E51*G51*I51,"")</f>
        <v/>
      </c>
      <c r="L66" s="91" t="inlineStr">
        <is>
          <t>Cum</t>
        </is>
      </c>
    </row>
    <row r="67" customFormat="1" s="63">
      <c r="A67" s="118" t="n"/>
      <c r="B67" s="106" t="inlineStr">
        <is>
          <t xml:space="preserve"> x-Beams H</t>
        </is>
      </c>
      <c r="C67" s="142" t="n">
        <v>2</v>
      </c>
      <c r="D67" s="88" t="inlineStr">
        <is>
          <t>x</t>
        </is>
      </c>
      <c r="E67" s="89" t="n">
        <v>6</v>
      </c>
      <c r="F67" s="88" t="inlineStr">
        <is>
          <t>x</t>
        </is>
      </c>
      <c r="G67" s="89" t="n">
        <v>0.23</v>
      </c>
      <c r="H67" s="88" t="inlineStr">
        <is>
          <t>x</t>
        </is>
      </c>
      <c r="I67" s="89" t="n">
        <v>0.45</v>
      </c>
      <c r="J67" s="90" t="inlineStr">
        <is>
          <t>=</t>
        </is>
      </c>
      <c r="K67" s="89">
        <f>IF(C52,C52*E52*G52*I52,"")</f>
        <v/>
      </c>
      <c r="L67" s="91" t="inlineStr">
        <is>
          <t>Cum</t>
        </is>
      </c>
    </row>
    <row r="68" customFormat="1" s="63">
      <c r="A68" s="118" t="n"/>
      <c r="B68" s="106" t="inlineStr">
        <is>
          <t>Slab</t>
        </is>
      </c>
      <c r="C68" s="142" t="n">
        <v>3</v>
      </c>
      <c r="D68" s="88" t="inlineStr">
        <is>
          <t>x</t>
        </is>
      </c>
      <c r="E68" s="89" t="n">
        <v>5.54</v>
      </c>
      <c r="F68" s="88" t="inlineStr">
        <is>
          <t>x</t>
        </is>
      </c>
      <c r="G68" s="89" t="n">
        <v>4.77</v>
      </c>
      <c r="H68" s="88" t="inlineStr">
        <is>
          <t>x</t>
        </is>
      </c>
      <c r="I68" s="89" t="n">
        <v>0.15</v>
      </c>
      <c r="J68" s="90" t="inlineStr">
        <is>
          <t>=</t>
        </is>
      </c>
      <c r="K68" s="89">
        <f>IF(C53,C53*E53*G53*I53,"")</f>
        <v/>
      </c>
      <c r="L68" s="91" t="inlineStr">
        <is>
          <t>Cum</t>
        </is>
      </c>
    </row>
    <row r="69" customFormat="1" s="63">
      <c r="A69" s="118" t="n"/>
      <c r="B69" s="106" t="inlineStr">
        <is>
          <t>Staircase</t>
        </is>
      </c>
      <c r="C69" s="142" t="n">
        <v>2</v>
      </c>
      <c r="D69" s="88" t="inlineStr">
        <is>
          <t>x</t>
        </is>
      </c>
      <c r="E69" s="89" t="n">
        <v>2.75</v>
      </c>
      <c r="F69" s="88" t="inlineStr">
        <is>
          <t>x</t>
        </is>
      </c>
      <c r="G69" s="89" t="n">
        <v>1.43</v>
      </c>
      <c r="H69" s="88" t="inlineStr">
        <is>
          <t>x</t>
        </is>
      </c>
      <c r="I69" s="89" t="n">
        <v>0.25</v>
      </c>
      <c r="J69" s="90" t="inlineStr">
        <is>
          <t>=</t>
        </is>
      </c>
      <c r="K69" s="89">
        <f>IF(C54,C54*E54*G54*I54,"")</f>
        <v/>
      </c>
      <c r="L69" s="91" t="inlineStr">
        <is>
          <t>Cum</t>
        </is>
      </c>
    </row>
    <row r="70" customFormat="1" s="63">
      <c r="A70" s="118" t="n"/>
      <c r="B70" s="106" t="n"/>
      <c r="C70" s="142" t="n">
        <v>1</v>
      </c>
      <c r="D70" s="88" t="inlineStr">
        <is>
          <t>x</t>
        </is>
      </c>
      <c r="E70" s="89" t="n">
        <v>1.2</v>
      </c>
      <c r="F70" s="88" t="inlineStr">
        <is>
          <t>x</t>
        </is>
      </c>
      <c r="G70" s="89" t="n">
        <v>1.43</v>
      </c>
      <c r="H70" s="88" t="inlineStr">
        <is>
          <t>x</t>
        </is>
      </c>
      <c r="I70" s="89" t="n">
        <v>0.25</v>
      </c>
      <c r="J70" s="90" t="inlineStr">
        <is>
          <t>=</t>
        </is>
      </c>
      <c r="K70" s="89">
        <f>IF(C55,C55*E55*G55*I55,"")</f>
        <v/>
      </c>
      <c r="L70" s="91" t="inlineStr">
        <is>
          <t>Cum</t>
        </is>
      </c>
    </row>
    <row r="71" customFormat="1" s="63">
      <c r="A71" s="118" t="n"/>
      <c r="B71" s="106" t="n"/>
      <c r="C71" s="142" t="n"/>
      <c r="D71" s="63" t="n"/>
      <c r="E71" s="105" t="n"/>
      <c r="F71" s="114" t="n"/>
      <c r="G71" s="115" t="inlineStr">
        <is>
          <t xml:space="preserve">Total </t>
        </is>
      </c>
      <c r="H71" s="114" t="n"/>
      <c r="I71" s="105" t="n"/>
      <c r="J71" s="114" t="n"/>
      <c r="K71" s="105">
        <f>SUM(K50:K55)</f>
        <v/>
      </c>
      <c r="L71" s="92" t="inlineStr">
        <is>
          <t>Cum</t>
        </is>
      </c>
    </row>
    <row r="72" customFormat="1" s="63">
      <c r="A72" s="118" t="n"/>
      <c r="B72" s="106" t="n"/>
      <c r="C72" s="142" t="n"/>
      <c r="D72" s="63" t="n"/>
      <c r="E72" s="105" t="n"/>
      <c r="F72" s="114" t="n"/>
      <c r="G72" s="115" t="n"/>
      <c r="H72" s="114" t="n"/>
      <c r="I72" s="105" t="n"/>
      <c r="J72" s="114" t="n"/>
      <c r="K72" s="105" t="n"/>
      <c r="L72" s="116" t="n"/>
    </row>
    <row r="73" ht="15" customFormat="1" customHeight="1" s="63">
      <c r="A73" s="118" t="n"/>
      <c r="B73" s="106" t="inlineStr">
        <is>
          <t>Columns</t>
        </is>
      </c>
      <c r="C73" s="142" t="n">
        <v>8</v>
      </c>
      <c r="D73" s="88" t="inlineStr">
        <is>
          <t>x</t>
        </is>
      </c>
      <c r="E73" s="89" t="n">
        <v>0.3</v>
      </c>
      <c r="F73" s="88" t="inlineStr">
        <is>
          <t>x</t>
        </is>
      </c>
      <c r="G73" s="89" t="n">
        <v>0.45</v>
      </c>
      <c r="H73" s="88" t="inlineStr">
        <is>
          <t>x</t>
        </is>
      </c>
      <c r="I73" s="89" t="n">
        <v>3.6</v>
      </c>
      <c r="J73" s="90" t="inlineStr">
        <is>
          <t>=</t>
        </is>
      </c>
      <c r="K73" s="89">
        <f>IF(C58,C58*E58*G58*I58,"")</f>
        <v/>
      </c>
      <c r="L73" s="91" t="inlineStr">
        <is>
          <t>Cum</t>
        </is>
      </c>
    </row>
    <row r="74" ht="15" customFormat="1" customHeight="1" s="63">
      <c r="A74" s="118" t="n"/>
      <c r="B74" s="106" t="n"/>
      <c r="C74" s="142" t="n"/>
      <c r="D74" s="63" t="n"/>
      <c r="E74" s="105" t="n"/>
      <c r="F74" s="114" t="n"/>
      <c r="G74" s="115" t="inlineStr">
        <is>
          <t xml:space="preserve">Total </t>
        </is>
      </c>
      <c r="H74" s="114" t="n"/>
      <c r="I74" s="105" t="n"/>
      <c r="J74" s="114" t="n"/>
      <c r="K74" s="105">
        <f>SUM(K58:K58)</f>
        <v/>
      </c>
      <c r="L74" s="92" t="inlineStr">
        <is>
          <t>Cum</t>
        </is>
      </c>
    </row>
    <row r="75" ht="15" customFormat="1" customHeight="1" s="254">
      <c r="A75" s="113">
        <f>LOOKUP(2,1/(A$1:A47&lt;&gt;""),A$1:A47)+1</f>
        <v/>
      </c>
      <c r="B75" s="266" t="inlineStr">
        <is>
          <t>Centering &amp; shuttering with ply wood or steel
sheets including shuttering , propping, barcing both waves with widen members and removal of form work up to floor three level for:</t>
        </is>
      </c>
      <c r="C75" s="143" t="n"/>
      <c r="D75" s="91" t="n"/>
      <c r="E75" s="70" t="n"/>
      <c r="F75" s="91" t="n"/>
      <c r="G75" s="89" t="n"/>
      <c r="H75" s="63" t="n"/>
      <c r="I75" s="63" t="n"/>
      <c r="J75" s="63" t="n"/>
      <c r="K75" s="63" t="n"/>
      <c r="L75" s="63" t="n"/>
    </row>
    <row r="76" customFormat="1" s="63">
      <c r="A76" s="113" t="n"/>
      <c r="B76" s="266" t="inlineStr">
        <is>
          <t>(A)    Suspended    floors,    roofs,    landings, staircases, balconies, girders, cantilevers, bands , coping, bed plates, anchor blocks, sills, chhajjas lintel, beam etc.</t>
        </is>
      </c>
      <c r="C76" s="143" t="n"/>
      <c r="D76" s="91" t="n"/>
      <c r="E76" s="70" t="n"/>
      <c r="F76" s="91" t="n"/>
      <c r="G76" s="89" t="n"/>
      <c r="H76" s="63" t="n"/>
      <c r="I76" s="63" t="n"/>
      <c r="J76" s="63" t="n"/>
      <c r="K76" s="63" t="n"/>
      <c r="L76" s="63" t="n"/>
    </row>
    <row r="77" ht="15" customFormat="1" customHeight="1" s="63">
      <c r="A77" s="142" t="n"/>
      <c r="B77" s="121" t="inlineStr">
        <is>
          <t>LINTEL Beams Hor</t>
        </is>
      </c>
      <c r="C77" s="143" t="n">
        <v>1</v>
      </c>
      <c r="D77" s="63" t="inlineStr">
        <is>
          <t>x</t>
        </is>
      </c>
      <c r="E77" s="70">
        <f>K11</f>
        <v/>
      </c>
      <c r="F77" s="63" t="inlineStr">
        <is>
          <t>x</t>
        </is>
      </c>
      <c r="G77" s="70" t="n">
        <v>0.23</v>
      </c>
      <c r="H77" s="63" t="n"/>
      <c r="I77" s="63" t="n"/>
      <c r="J77" s="79" t="inlineStr">
        <is>
          <t>=</t>
        </is>
      </c>
      <c r="K77" s="70">
        <f>IF(C62,C62*E62*G62,"")</f>
        <v/>
      </c>
      <c r="L77" s="80" t="inlineStr">
        <is>
          <t>Sqm</t>
        </is>
      </c>
    </row>
    <row r="78" ht="114" customFormat="1" customHeight="1" s="63">
      <c r="A78" s="142" t="n"/>
      <c r="B78" s="121" t="inlineStr">
        <is>
          <t>Beams Ver</t>
        </is>
      </c>
      <c r="C78" s="142">
        <f>2</f>
        <v/>
      </c>
      <c r="D78" s="63" t="inlineStr">
        <is>
          <t>x</t>
        </is>
      </c>
      <c r="E78" s="70">
        <f>E62</f>
        <v/>
      </c>
      <c r="F78" s="63" t="inlineStr">
        <is>
          <t>x</t>
        </is>
      </c>
      <c r="G78" s="70" t="n">
        <v>0.23</v>
      </c>
      <c r="H78" s="63" t="n"/>
      <c r="I78" s="63" t="n"/>
      <c r="J78" s="79" t="inlineStr">
        <is>
          <t>=</t>
        </is>
      </c>
      <c r="K78" s="70">
        <f>IF(C63,C63*E63*G63,"")</f>
        <v/>
      </c>
      <c r="L78" s="80" t="inlineStr">
        <is>
          <t>Sqm</t>
        </is>
      </c>
    </row>
    <row r="79" customFormat="1" s="63">
      <c r="A79" s="142" t="n"/>
      <c r="B79" s="121" t="inlineStr">
        <is>
          <t>Over Wall -Beams H</t>
        </is>
      </c>
      <c r="C79" s="143" t="n">
        <v>1</v>
      </c>
      <c r="D79" s="63" t="inlineStr">
        <is>
          <t>x</t>
        </is>
      </c>
      <c r="E79" s="70" t="n">
        <v>42</v>
      </c>
      <c r="F79" s="63" t="inlineStr">
        <is>
          <t>x</t>
        </is>
      </c>
      <c r="G79" s="70" t="n">
        <v>0.23</v>
      </c>
      <c r="H79" s="63" t="n"/>
      <c r="I79" s="63" t="n"/>
      <c r="J79" s="79" t="inlineStr">
        <is>
          <t>=</t>
        </is>
      </c>
      <c r="K79" s="70">
        <f>IF(C64,C64*E64*G64,"")</f>
        <v/>
      </c>
      <c r="L79" s="80" t="inlineStr">
        <is>
          <t>Sqm</t>
        </is>
      </c>
    </row>
    <row r="80" customFormat="1" s="63">
      <c r="A80" s="142" t="n"/>
      <c r="B80" s="121" t="inlineStr">
        <is>
          <t xml:space="preserve"> Ver</t>
        </is>
      </c>
      <c r="C80" s="142" t="n">
        <v>2</v>
      </c>
      <c r="D80" s="63" t="inlineStr">
        <is>
          <t>x</t>
        </is>
      </c>
      <c r="E80" s="70" t="n">
        <v>42</v>
      </c>
      <c r="F80" s="63" t="inlineStr">
        <is>
          <t>x</t>
        </is>
      </c>
      <c r="G80" s="70" t="n">
        <v>0.45</v>
      </c>
      <c r="H80" s="63" t="n"/>
      <c r="I80" s="63" t="n"/>
      <c r="J80" s="79" t="inlineStr">
        <is>
          <t>=</t>
        </is>
      </c>
      <c r="K80" s="70">
        <f>IF(C65,C65*E65*G65,"")</f>
        <v/>
      </c>
      <c r="L80" s="80" t="inlineStr">
        <is>
          <t>Sqm</t>
        </is>
      </c>
    </row>
    <row r="81" customFormat="1" s="63">
      <c r="A81" s="142" t="n"/>
      <c r="B81" s="121" t="inlineStr">
        <is>
          <t xml:space="preserve"> x-Beams H</t>
        </is>
      </c>
      <c r="C81" s="143" t="n">
        <v>2</v>
      </c>
      <c r="D81" s="63" t="inlineStr">
        <is>
          <t>x</t>
        </is>
      </c>
      <c r="E81" s="70" t="n">
        <v>6</v>
      </c>
      <c r="F81" s="63" t="inlineStr">
        <is>
          <t>x</t>
        </is>
      </c>
      <c r="G81" s="70" t="n">
        <v>0.23</v>
      </c>
      <c r="H81" s="63" t="n"/>
      <c r="I81" s="63" t="n"/>
      <c r="J81" s="79" t="inlineStr">
        <is>
          <t>=</t>
        </is>
      </c>
      <c r="K81" s="70">
        <f>IF(C66,C66*E66*G66,"")</f>
        <v/>
      </c>
      <c r="L81" s="80" t="inlineStr">
        <is>
          <t>Sqm</t>
        </is>
      </c>
    </row>
    <row r="82" customFormat="1" s="63">
      <c r="A82" s="142" t="n"/>
      <c r="B82" s="121" t="inlineStr">
        <is>
          <t xml:space="preserve"> Ver</t>
        </is>
      </c>
      <c r="C82" s="142" t="n">
        <v>4</v>
      </c>
      <c r="D82" s="63" t="inlineStr">
        <is>
          <t>x</t>
        </is>
      </c>
      <c r="E82" s="70">
        <f>E66</f>
        <v/>
      </c>
      <c r="F82" s="63" t="inlineStr">
        <is>
          <t>x</t>
        </is>
      </c>
      <c r="G82" s="70" t="n">
        <v>0.45</v>
      </c>
      <c r="H82" s="63" t="n"/>
      <c r="I82" s="63" t="n"/>
      <c r="J82" s="79" t="inlineStr">
        <is>
          <t>=</t>
        </is>
      </c>
      <c r="K82" s="70">
        <f>IF(C67,C67*E67*G67,"")</f>
        <v/>
      </c>
      <c r="L82" s="80" t="inlineStr">
        <is>
          <t>Sqm</t>
        </is>
      </c>
    </row>
    <row r="83" customFormat="1" s="63">
      <c r="A83" s="142" t="n"/>
      <c r="B83" s="121" t="inlineStr">
        <is>
          <t>Slab</t>
        </is>
      </c>
      <c r="C83" s="142" t="n">
        <v>3</v>
      </c>
      <c r="D83" s="63" t="inlineStr">
        <is>
          <t>x</t>
        </is>
      </c>
      <c r="E83" s="70">
        <f>6-0.46</f>
        <v/>
      </c>
      <c r="F83" s="63" t="inlineStr">
        <is>
          <t>x</t>
        </is>
      </c>
      <c r="G83" s="70">
        <f>15/3-0.23</f>
        <v/>
      </c>
      <c r="H83" s="63" t="n"/>
      <c r="I83" s="63" t="n"/>
      <c r="J83" s="79" t="inlineStr">
        <is>
          <t>=</t>
        </is>
      </c>
      <c r="K83" s="70">
        <f>IF(C68,C68*E68*G68,"")</f>
        <v/>
      </c>
      <c r="L83" s="80" t="inlineStr">
        <is>
          <t>Sqm</t>
        </is>
      </c>
    </row>
    <row r="84" ht="42.75" customFormat="1" customHeight="1" s="63">
      <c r="A84" s="142" t="n"/>
      <c r="B84" s="121" t="inlineStr">
        <is>
          <t>Staircase</t>
        </is>
      </c>
      <c r="C84" s="143" t="n">
        <v>2</v>
      </c>
      <c r="D84" s="63" t="inlineStr">
        <is>
          <t>x</t>
        </is>
      </c>
      <c r="E84" s="70" t="n">
        <v>2.75</v>
      </c>
      <c r="F84" s="63" t="inlineStr">
        <is>
          <t>x</t>
        </is>
      </c>
      <c r="G84" s="70" t="n">
        <v>1.2</v>
      </c>
      <c r="H84" s="63" t="n"/>
      <c r="I84" s="63" t="n"/>
      <c r="J84" s="79" t="inlineStr">
        <is>
          <t>=</t>
        </is>
      </c>
      <c r="K84" s="70">
        <f>IF(C69,C69*E69*G69,"")</f>
        <v/>
      </c>
      <c r="L84" s="80" t="inlineStr">
        <is>
          <t>Sqm</t>
        </is>
      </c>
    </row>
    <row r="85" ht="15" customFormat="1" customHeight="1" s="63">
      <c r="A85" s="142" t="n"/>
      <c r="B85" s="121" t="n"/>
      <c r="C85" s="142" t="n">
        <v>1</v>
      </c>
      <c r="D85" s="63" t="inlineStr">
        <is>
          <t>x</t>
        </is>
      </c>
      <c r="E85" s="70" t="n">
        <v>1.2</v>
      </c>
      <c r="F85" s="63" t="inlineStr">
        <is>
          <t>x</t>
        </is>
      </c>
      <c r="G85" s="70" t="n">
        <v>1.2</v>
      </c>
      <c r="H85" s="63" t="n"/>
      <c r="I85" s="63" t="n"/>
      <c r="J85" s="79" t="inlineStr">
        <is>
          <t>=</t>
        </is>
      </c>
      <c r="K85" s="70">
        <f>IF(C70,C70*E70*G70,"")</f>
        <v/>
      </c>
      <c r="L85" s="80" t="inlineStr">
        <is>
          <t>Sqm</t>
        </is>
      </c>
    </row>
    <row r="86" customFormat="1" s="63">
      <c r="A86" s="142" t="n"/>
      <c r="B86" s="121" t="inlineStr">
        <is>
          <t>Verticcle</t>
        </is>
      </c>
      <c r="C86" s="143" t="n">
        <v>4</v>
      </c>
      <c r="D86" s="63" t="inlineStr">
        <is>
          <t>x</t>
        </is>
      </c>
      <c r="E86" s="70" t="n">
        <v>2.75</v>
      </c>
      <c r="F86" s="63" t="inlineStr">
        <is>
          <t>x</t>
        </is>
      </c>
      <c r="G86" s="70" t="n">
        <v>0.25</v>
      </c>
      <c r="H86" s="63" t="n"/>
      <c r="I86" s="63" t="n"/>
      <c r="J86" s="79" t="inlineStr">
        <is>
          <t>=</t>
        </is>
      </c>
      <c r="K86" s="70">
        <f>IF(C71,C71*E71*G71,"")</f>
        <v/>
      </c>
      <c r="L86" s="80" t="inlineStr">
        <is>
          <t>Sqm</t>
        </is>
      </c>
    </row>
    <row r="87" ht="15" customFormat="1" customHeight="1" s="63">
      <c r="A87" s="142" t="n"/>
      <c r="B87" s="121" t="n"/>
      <c r="C87" s="142" t="n">
        <v>1</v>
      </c>
      <c r="D87" s="63" t="inlineStr">
        <is>
          <t>x</t>
        </is>
      </c>
      <c r="E87" s="70" t="n">
        <v>4.8</v>
      </c>
      <c r="F87" s="63" t="inlineStr">
        <is>
          <t>x</t>
        </is>
      </c>
      <c r="G87" s="70" t="n">
        <v>0.25</v>
      </c>
      <c r="H87" s="63" t="n"/>
      <c r="I87" s="63" t="n"/>
      <c r="J87" s="79" t="inlineStr">
        <is>
          <t>=</t>
        </is>
      </c>
      <c r="K87" s="70">
        <f>IF(C72,C72*E72*G72,"")</f>
        <v/>
      </c>
      <c r="L87" s="80" t="inlineStr">
        <is>
          <t>Sqm</t>
        </is>
      </c>
    </row>
    <row r="88" customFormat="1" s="63">
      <c r="A88" s="118" t="n"/>
      <c r="B88" s="106" t="n"/>
      <c r="C88" s="142" t="n"/>
      <c r="D88" s="63" t="n"/>
      <c r="E88" s="105" t="n"/>
      <c r="F88" s="114" t="n"/>
      <c r="G88" s="115" t="inlineStr">
        <is>
          <t xml:space="preserve">Total </t>
        </is>
      </c>
      <c r="H88" s="114" t="n"/>
      <c r="I88" s="105" t="n"/>
      <c r="J88" s="114" t="n"/>
      <c r="K88" s="105">
        <f>SUM(K62:K72)</f>
        <v/>
      </c>
      <c r="L88" s="98" t="inlineStr">
        <is>
          <t>Sqm</t>
        </is>
      </c>
    </row>
    <row r="89" customFormat="1" s="63">
      <c r="A89" s="118" t="n"/>
      <c r="B89" s="106" t="n"/>
      <c r="C89" s="142" t="n"/>
      <c r="D89" s="63" t="n"/>
      <c r="E89" s="105" t="n"/>
      <c r="F89" s="114" t="n"/>
      <c r="G89" s="115" t="n"/>
      <c r="H89" s="114" t="n"/>
      <c r="I89" s="105" t="n"/>
      <c r="J89" s="114" t="n"/>
      <c r="K89" s="105" t="n"/>
      <c r="L89" s="129" t="n"/>
    </row>
    <row r="90" customFormat="1" s="63">
      <c r="A90" s="113" t="n"/>
      <c r="B90" s="266" t="inlineStr">
        <is>
          <t>(B) Columns, pillars, posts and struts etc.</t>
        </is>
      </c>
      <c r="C90" s="143" t="n"/>
      <c r="D90" s="91" t="n"/>
      <c r="E90" s="70" t="n"/>
      <c r="F90" s="91" t="n"/>
      <c r="G90" s="89" t="n"/>
      <c r="H90" s="63" t="n"/>
      <c r="I90" s="63" t="n"/>
      <c r="J90" s="63" t="n"/>
      <c r="K90" s="63" t="n"/>
      <c r="L90" s="63" t="n"/>
    </row>
    <row r="91" customFormat="1" s="63">
      <c r="A91" s="142" t="n"/>
      <c r="B91" s="121" t="inlineStr">
        <is>
          <t>Columns C1</t>
        </is>
      </c>
      <c r="C91" s="142">
        <f>C45</f>
        <v/>
      </c>
      <c r="D91" s="63" t="inlineStr">
        <is>
          <t>x</t>
        </is>
      </c>
      <c r="E91" s="70">
        <f>2*(0.3*0.45)</f>
        <v/>
      </c>
      <c r="F91" s="63" t="inlineStr">
        <is>
          <t>x</t>
        </is>
      </c>
      <c r="G91" s="70" t="n">
        <v>4.5</v>
      </c>
      <c r="H91" s="63" t="n"/>
      <c r="I91" s="63" t="n"/>
      <c r="J91" s="79" t="inlineStr">
        <is>
          <t>=</t>
        </is>
      </c>
      <c r="K91" s="70">
        <f>IF(C76,C76*E76*G76,"")</f>
        <v/>
      </c>
      <c r="L91" s="80" t="inlineStr">
        <is>
          <t>Sqm</t>
        </is>
      </c>
    </row>
    <row r="92" ht="15" customFormat="1" customHeight="1" s="63">
      <c r="A92" s="118" t="n"/>
      <c r="B92" s="106" t="n"/>
      <c r="C92" s="142" t="n"/>
      <c r="D92" s="63" t="n"/>
      <c r="E92" s="105" t="n"/>
      <c r="F92" s="114" t="n"/>
      <c r="G92" s="115" t="inlineStr">
        <is>
          <t xml:space="preserve">Total </t>
        </is>
      </c>
      <c r="H92" s="114" t="n"/>
      <c r="I92" s="105" t="n"/>
      <c r="J92" s="114" t="n"/>
      <c r="K92" s="105">
        <f>SUM(K76:K76)</f>
        <v/>
      </c>
      <c r="L92" s="98" t="inlineStr">
        <is>
          <t>Sqm</t>
        </is>
      </c>
    </row>
    <row r="93" ht="75" customFormat="1" customHeight="1" s="254">
      <c r="A93" s="113">
        <f>LOOKUP(2,1/(A$1:A47&lt;&gt;""),A$1:A47)+1</f>
        <v/>
      </c>
      <c r="B93" s="106"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93" s="127" t="n"/>
      <c r="D93" s="63" t="n"/>
      <c r="E93" s="70" t="n"/>
      <c r="F93" s="91" t="n"/>
      <c r="G93" s="89" t="n"/>
      <c r="H93" s="63" t="n"/>
      <c r="I93" s="63" t="n"/>
      <c r="J93" s="63" t="n"/>
      <c r="K93" s="63" t="n"/>
    </row>
    <row r="94" customFormat="1" s="63">
      <c r="A94" s="142" t="n"/>
      <c r="B94" s="106" t="inlineStr">
        <is>
          <t>Footings</t>
        </is>
      </c>
      <c r="C94" s="143">
        <f>K42+K41</f>
        <v/>
      </c>
      <c r="D94" s="123" t="n"/>
      <c r="E94" s="70" t="inlineStr">
        <is>
          <t>Cum @</t>
        </is>
      </c>
      <c r="F94" s="91" t="n"/>
      <c r="G94" s="99" t="n">
        <v>80</v>
      </c>
      <c r="H94" s="91" t="inlineStr">
        <is>
          <t>Kg/Cum</t>
        </is>
      </c>
      <c r="I94" s="63" t="n"/>
      <c r="J94" s="79" t="inlineStr">
        <is>
          <t>=</t>
        </is>
      </c>
      <c r="K94" s="100">
        <f>C79*G79</f>
        <v/>
      </c>
      <c r="L94" s="63" t="inlineStr">
        <is>
          <t>Kg</t>
        </is>
      </c>
    </row>
    <row r="95" ht="15" customFormat="1" customHeight="1" s="63">
      <c r="A95" s="142" t="n"/>
      <c r="B95" s="106" t="inlineStr">
        <is>
          <t>Columns</t>
        </is>
      </c>
      <c r="C95" s="143">
        <f>K59</f>
        <v/>
      </c>
      <c r="E95" s="70" t="inlineStr">
        <is>
          <t>Cum @</t>
        </is>
      </c>
      <c r="F95" s="91" t="n"/>
      <c r="G95" s="99" t="n">
        <v>125</v>
      </c>
      <c r="H95" s="91" t="inlineStr">
        <is>
          <t>Kg/Cum</t>
        </is>
      </c>
      <c r="I95" s="63" t="n"/>
      <c r="J95" s="79" t="inlineStr">
        <is>
          <t>=</t>
        </is>
      </c>
      <c r="K95" s="100">
        <f>C80*G80</f>
        <v/>
      </c>
      <c r="L95" s="63" t="inlineStr">
        <is>
          <t>Kg</t>
        </is>
      </c>
    </row>
    <row r="96" ht="57" customFormat="1" customHeight="1" s="254">
      <c r="A96" s="142" t="n"/>
      <c r="B96" s="106" t="inlineStr">
        <is>
          <t>Beams , Slab</t>
        </is>
      </c>
      <c r="C96" s="143">
        <f>K56</f>
        <v/>
      </c>
      <c r="E96" s="70" t="inlineStr">
        <is>
          <t>Cum @</t>
        </is>
      </c>
      <c r="F96" s="91" t="n"/>
      <c r="G96" s="99" t="n">
        <v>100</v>
      </c>
      <c r="H96" s="91" t="inlineStr">
        <is>
          <t>Kg/Cum</t>
        </is>
      </c>
      <c r="I96" s="63" t="n"/>
      <c r="J96" s="79" t="inlineStr">
        <is>
          <t>=</t>
        </is>
      </c>
      <c r="K96" s="100">
        <f>C81*G81</f>
        <v/>
      </c>
      <c r="L96" s="63" t="inlineStr">
        <is>
          <t>Kg</t>
        </is>
      </c>
    </row>
    <row r="97" ht="15" customFormat="1" customHeight="1" s="63">
      <c r="A97" s="118" t="n"/>
      <c r="B97" s="106" t="n"/>
      <c r="C97" s="142" t="n"/>
      <c r="D97" s="63" t="n"/>
      <c r="E97" s="70" t="n"/>
      <c r="F97" s="63" t="n"/>
      <c r="G97" s="89" t="inlineStr">
        <is>
          <t>Total</t>
        </is>
      </c>
      <c r="H97" s="63" t="n"/>
      <c r="I97" s="70" t="n"/>
      <c r="J97" s="63" t="n"/>
      <c r="K97" s="100">
        <f>SUM(K79:K81)</f>
        <v/>
      </c>
      <c r="L97" s="63" t="inlineStr">
        <is>
          <t>Kg</t>
        </is>
      </c>
    </row>
    <row r="98" customFormat="1" s="63">
      <c r="A98" s="118" t="n"/>
      <c r="B98" s="106" t="n"/>
      <c r="C98" s="143" t="n"/>
      <c r="D98" s="63" t="n"/>
      <c r="E98" s="70" t="n"/>
      <c r="F98" s="63" t="n"/>
      <c r="G98" s="89" t="n"/>
      <c r="H98" s="63" t="n"/>
      <c r="I98" s="70" t="n"/>
      <c r="J98" s="63" t="n"/>
      <c r="K98" s="100" t="n"/>
    </row>
    <row r="99" customFormat="1" s="63">
      <c r="A99" s="142" t="n">
        <v>7</v>
      </c>
      <c r="B99" s="117" t="inlineStr">
        <is>
          <t>Brick work in superstructure upto 4.5 metre height  above plinth level Cement Mortar 1:6 with bricks are class designation 75.</t>
        </is>
      </c>
      <c r="C99" s="143" t="n"/>
      <c r="D99" s="63" t="n"/>
      <c r="E99" s="70" t="n"/>
      <c r="F99" s="63" t="n"/>
      <c r="G99" s="89" t="n"/>
      <c r="H99" s="63" t="n"/>
      <c r="I99" s="63" t="n"/>
      <c r="J99" s="63" t="n"/>
      <c r="K99" s="63" t="n"/>
    </row>
    <row r="100" ht="42.75" customFormat="1" customHeight="1" s="63">
      <c r="A100" s="118" t="n"/>
      <c r="B100" s="119" t="inlineStr">
        <is>
          <t>Walls in X AND Y direction</t>
        </is>
      </c>
      <c r="C100" s="142" t="n">
        <v>1</v>
      </c>
      <c r="D100" s="63" t="inlineStr">
        <is>
          <t>x</t>
        </is>
      </c>
      <c r="E100" s="70">
        <f>K11</f>
        <v/>
      </c>
      <c r="F100" s="63" t="inlineStr">
        <is>
          <t>x</t>
        </is>
      </c>
      <c r="G100" s="89" t="n">
        <v>0.23</v>
      </c>
      <c r="H100" s="63" t="inlineStr">
        <is>
          <t>x</t>
        </is>
      </c>
      <c r="I100" s="70" t="n">
        <v>3</v>
      </c>
      <c r="J100" s="79" t="inlineStr">
        <is>
          <t>=</t>
        </is>
      </c>
      <c r="K100" s="70">
        <f>IF(C85,C85*E85*G85*I85,"")</f>
        <v/>
      </c>
      <c r="L100" s="91" t="inlineStr">
        <is>
          <t>Cum</t>
        </is>
      </c>
    </row>
    <row r="101" ht="15" customFormat="1" customHeight="1" s="63">
      <c r="A101" s="118" t="n"/>
      <c r="B101" s="106" t="n"/>
      <c r="C101" s="142" t="n"/>
      <c r="D101" s="63" t="n"/>
      <c r="E101" s="70" t="n"/>
      <c r="F101" s="63" t="n"/>
      <c r="G101" s="89" t="inlineStr">
        <is>
          <t>Gross Qty.</t>
        </is>
      </c>
      <c r="H101" s="63" t="n"/>
      <c r="I101" s="70" t="n"/>
      <c r="J101" s="91" t="inlineStr">
        <is>
          <t>+</t>
        </is>
      </c>
      <c r="K101" s="70">
        <f>SUM(K84:K85)</f>
        <v/>
      </c>
      <c r="L101" s="91" t="inlineStr">
        <is>
          <t>Cum</t>
        </is>
      </c>
    </row>
    <row r="102" customFormat="1" s="63">
      <c r="A102" s="118" t="n"/>
      <c r="B102" s="119" t="inlineStr">
        <is>
          <t>Deductions</t>
        </is>
      </c>
      <c r="C102" s="142" t="n"/>
      <c r="D102" s="63" t="n"/>
      <c r="E102" s="70" t="n"/>
      <c r="F102" s="63" t="n"/>
      <c r="G102" s="89" t="n"/>
      <c r="H102" s="63" t="n"/>
      <c r="I102" s="70" t="n"/>
      <c r="J102" s="91" t="n"/>
      <c r="K102" s="70" t="n"/>
      <c r="L102" s="91" t="n"/>
    </row>
    <row r="103" customFormat="1" s="63">
      <c r="A103" s="118" t="n"/>
      <c r="B103" s="106" t="inlineStr">
        <is>
          <t>D1</t>
        </is>
      </c>
      <c r="C103" s="142" t="n">
        <v>4</v>
      </c>
      <c r="D103" s="63" t="inlineStr">
        <is>
          <t>x</t>
        </is>
      </c>
      <c r="E103" s="70" t="n">
        <v>1.5</v>
      </c>
      <c r="F103" s="63" t="inlineStr">
        <is>
          <t>x</t>
        </is>
      </c>
      <c r="G103" s="89" t="n">
        <v>0.23</v>
      </c>
      <c r="H103" s="63" t="inlineStr">
        <is>
          <t>x</t>
        </is>
      </c>
      <c r="I103" s="70" t="n">
        <v>2.1</v>
      </c>
      <c r="J103" s="79" t="inlineStr">
        <is>
          <t>=</t>
        </is>
      </c>
      <c r="K103" s="70">
        <f>IF(C88,C88*E88*G88*I88,"")</f>
        <v/>
      </c>
      <c r="L103" s="91" t="inlineStr">
        <is>
          <t>Cum</t>
        </is>
      </c>
    </row>
    <row r="104" customFormat="1" s="63">
      <c r="A104" s="118" t="n"/>
      <c r="B104" s="106" t="inlineStr">
        <is>
          <t>W1</t>
        </is>
      </c>
      <c r="C104" s="142" t="n">
        <v>9</v>
      </c>
      <c r="D104" s="63" t="inlineStr">
        <is>
          <t>x</t>
        </is>
      </c>
      <c r="E104" s="70" t="n">
        <v>1.8</v>
      </c>
      <c r="F104" s="63" t="inlineStr">
        <is>
          <t>x</t>
        </is>
      </c>
      <c r="G104" s="89" t="n">
        <v>0.23</v>
      </c>
      <c r="H104" s="63" t="inlineStr">
        <is>
          <t>x</t>
        </is>
      </c>
      <c r="I104" s="70" t="n">
        <v>1.2</v>
      </c>
      <c r="J104" s="79" t="inlineStr">
        <is>
          <t>=</t>
        </is>
      </c>
      <c r="K104" s="70">
        <f>IF(C89,C89*E89*G89*I89,"")</f>
        <v/>
      </c>
      <c r="L104" s="91" t="inlineStr">
        <is>
          <t>Cum</t>
        </is>
      </c>
    </row>
    <row r="105" customFormat="1" s="63">
      <c r="A105" s="118" t="n"/>
      <c r="B105" s="124" t="inlineStr">
        <is>
          <t xml:space="preserve">Lintels </t>
        </is>
      </c>
      <c r="C105" s="142" t="n">
        <v>1</v>
      </c>
      <c r="D105" s="63" t="inlineStr">
        <is>
          <t>x</t>
        </is>
      </c>
      <c r="E105" s="70">
        <f>E85</f>
        <v/>
      </c>
      <c r="F105" s="63" t="inlineStr">
        <is>
          <t>x</t>
        </is>
      </c>
      <c r="G105" s="89" t="n">
        <v>0.23</v>
      </c>
      <c r="H105" s="63" t="inlineStr">
        <is>
          <t>x</t>
        </is>
      </c>
      <c r="I105" s="70" t="n">
        <v>0.23</v>
      </c>
      <c r="J105" s="79" t="inlineStr">
        <is>
          <t>=</t>
        </is>
      </c>
      <c r="K105" s="70">
        <f>IF(C90,C90*E90*G90*I90,"")</f>
        <v/>
      </c>
      <c r="L105" s="91" t="inlineStr">
        <is>
          <t>Cum</t>
        </is>
      </c>
    </row>
    <row r="106" ht="15" customFormat="1" customHeight="1" s="63">
      <c r="A106" s="118" t="n"/>
      <c r="B106" s="106" t="n"/>
      <c r="C106" s="142" t="n"/>
      <c r="D106" s="63" t="n"/>
      <c r="E106" s="70" t="n"/>
      <c r="F106" s="63" t="n"/>
      <c r="G106" s="89" t="inlineStr">
        <is>
          <t>Total Deductions</t>
        </is>
      </c>
      <c r="H106" s="63" t="n"/>
      <c r="I106" s="70" t="n"/>
      <c r="J106" s="91" t="inlineStr">
        <is>
          <t>-</t>
        </is>
      </c>
      <c r="K106" s="70">
        <f>SUM(K89:K90)</f>
        <v/>
      </c>
      <c r="L106" s="91" t="inlineStr">
        <is>
          <t>Cum</t>
        </is>
      </c>
    </row>
    <row r="107" customFormat="1" s="63">
      <c r="A107" s="142" t="n"/>
      <c r="B107" s="117" t="inlineStr">
        <is>
          <t xml:space="preserve">Net qty. </t>
        </is>
      </c>
      <c r="C107" s="142" t="n"/>
      <c r="D107" s="120" t="n"/>
      <c r="E107" s="123">
        <f>K86</f>
        <v/>
      </c>
      <c r="F107" s="91" t="inlineStr">
        <is>
          <t>-</t>
        </is>
      </c>
      <c r="G107" s="123">
        <f>K91</f>
        <v/>
      </c>
      <c r="H107" s="126" t="n"/>
      <c r="I107" s="63" t="n"/>
      <c r="J107" s="267" t="inlineStr">
        <is>
          <t>=</t>
        </is>
      </c>
      <c r="K107" s="105">
        <f>E92-G92</f>
        <v/>
      </c>
      <c r="L107" s="91" t="inlineStr">
        <is>
          <t>Cum</t>
        </is>
      </c>
    </row>
    <row r="108" customFormat="1" s="63">
      <c r="A108" s="113">
        <f>LOOKUP(2,1/(A$1:A92&lt;&gt;""),A$1:A92)+1</f>
        <v/>
      </c>
      <c r="B108" s="266">
        <f>GF1_ABS!B18</f>
        <v/>
      </c>
      <c r="C108" s="143" t="n"/>
      <c r="D108" s="63" t="n"/>
      <c r="E108" s="70" t="n"/>
      <c r="F108" s="63" t="n"/>
      <c r="G108" s="89" t="n"/>
      <c r="H108" s="63" t="n"/>
      <c r="I108" s="63" t="n"/>
      <c r="J108" s="63" t="n"/>
      <c r="K108" s="63" t="n"/>
      <c r="L108" s="63" t="n"/>
      <c r="M108" s="63" t="n"/>
    </row>
    <row r="109" customFormat="1" s="63">
      <c r="A109" s="142" t="n"/>
      <c r="B109" s="121" t="n"/>
      <c r="C109" s="142" t="n">
        <v>1</v>
      </c>
      <c r="D109" s="63" t="inlineStr">
        <is>
          <t>x</t>
        </is>
      </c>
      <c r="E109" s="70">
        <f>K21</f>
        <v/>
      </c>
      <c r="F109" s="63" t="inlineStr">
        <is>
          <t>x</t>
        </is>
      </c>
      <c r="G109" s="70" t="n">
        <v>3</v>
      </c>
      <c r="H109" s="63" t="n"/>
      <c r="I109" s="63" t="n"/>
      <c r="J109" s="79" t="inlineStr">
        <is>
          <t>=</t>
        </is>
      </c>
      <c r="K109" s="70">
        <f>IF(C94,C94*E94*G94,"")</f>
        <v/>
      </c>
      <c r="L109" s="80" t="inlineStr">
        <is>
          <t>Sqm</t>
        </is>
      </c>
    </row>
    <row r="110" ht="15" customFormat="1" customHeight="1" s="63">
      <c r="A110" s="118" t="n"/>
      <c r="B110" s="106" t="n"/>
      <c r="C110" s="142" t="n"/>
      <c r="D110" s="63" t="n"/>
      <c r="E110" s="105" t="n"/>
      <c r="F110" s="114" t="n"/>
      <c r="G110" s="115" t="inlineStr">
        <is>
          <t xml:space="preserve">Total </t>
        </is>
      </c>
      <c r="H110" s="114" t="n"/>
      <c r="I110" s="105" t="n"/>
      <c r="J110" s="114" t="n"/>
      <c r="K110" s="105">
        <f>SUM(K94)</f>
        <v/>
      </c>
      <c r="L110" s="98" t="inlineStr">
        <is>
          <t>Sqm</t>
        </is>
      </c>
    </row>
    <row r="111" customFormat="1" s="63">
      <c r="A111" s="142" t="n">
        <v>8</v>
      </c>
      <c r="B111" s="106" t="inlineStr">
        <is>
          <t>Random Rubble stone masonry for foundation and plinth in Cement Sand mortar above 30CM thick wall in: Cement Mortar 1:6 ( 1-Cement : 6-Sand).</t>
        </is>
      </c>
      <c r="C111" s="142" t="n"/>
      <c r="D111" s="37" t="n"/>
      <c r="E111" s="142" t="n"/>
      <c r="F111" s="37" t="n"/>
      <c r="G111" s="70" t="n"/>
    </row>
    <row r="112" customFormat="1" s="63">
      <c r="A112" s="118" t="n"/>
      <c r="B112" s="119" t="inlineStr">
        <is>
          <t>Walls in X AND Y direction</t>
        </is>
      </c>
      <c r="C112" s="142" t="n">
        <v>1</v>
      </c>
      <c r="D112" s="63" t="inlineStr">
        <is>
          <t>x</t>
        </is>
      </c>
      <c r="E112" s="70">
        <f>E85</f>
        <v/>
      </c>
      <c r="F112" s="63" t="inlineStr">
        <is>
          <t>x</t>
        </is>
      </c>
      <c r="G112" s="89" t="n">
        <v>0.45</v>
      </c>
      <c r="H112" s="63" t="inlineStr">
        <is>
          <t>x</t>
        </is>
      </c>
      <c r="I112" s="70" t="n">
        <v>0.9</v>
      </c>
      <c r="J112" s="79" t="inlineStr">
        <is>
          <t>=</t>
        </is>
      </c>
      <c r="K112" s="70">
        <f>IF(C97,C97*E97*G97*I97,"")</f>
        <v/>
      </c>
      <c r="L112" s="91" t="inlineStr">
        <is>
          <t>Cum</t>
        </is>
      </c>
    </row>
    <row r="113" customFormat="1" s="63">
      <c r="A113" s="118" t="n"/>
      <c r="B113" s="106" t="n"/>
      <c r="C113" s="142" t="n"/>
      <c r="D113" s="63" t="n"/>
      <c r="E113" s="70" t="n"/>
      <c r="F113" s="63" t="n"/>
      <c r="G113" s="89" t="inlineStr">
        <is>
          <t>Total</t>
        </is>
      </c>
      <c r="H113" s="63" t="n"/>
      <c r="I113" s="70" t="n"/>
      <c r="J113" s="63" t="n"/>
      <c r="K113" s="70">
        <f>SUM(K97:K97)</f>
        <v/>
      </c>
      <c r="L113" s="91" t="inlineStr">
        <is>
          <t>Cum</t>
        </is>
      </c>
    </row>
    <row r="114" customFormat="1" s="63">
      <c r="A114" s="118" t="n"/>
      <c r="B114" s="106" t="n"/>
      <c r="C114" s="142" t="n"/>
      <c r="D114" s="63" t="n"/>
      <c r="E114" s="70" t="n"/>
      <c r="F114" s="63" t="n"/>
      <c r="G114" s="89" t="n"/>
      <c r="H114" s="63" t="n"/>
      <c r="I114" s="70" t="n"/>
      <c r="J114" s="63" t="n"/>
      <c r="K114" s="70" t="n"/>
      <c r="L114" s="91" t="n"/>
    </row>
    <row r="115" ht="15" customFormat="1" customHeight="1" s="63">
      <c r="A115" s="118" t="n">
        <v>9</v>
      </c>
      <c r="B115" s="117" t="inlineStr">
        <is>
          <t>Plaster on new surface on walls in cement sand mortar 1:6 including raking of joints etc. complete fine finished : 20 mm thick.</t>
        </is>
      </c>
      <c r="C115" s="143" t="n"/>
      <c r="D115" s="63" t="n"/>
      <c r="E115" s="70" t="n"/>
      <c r="F115" s="91" t="n"/>
      <c r="G115" s="89" t="n"/>
      <c r="H115" s="63" t="n"/>
      <c r="I115" s="63" t="n"/>
      <c r="J115" s="63" t="n"/>
      <c r="K115" s="63" t="n"/>
    </row>
    <row r="116" customFormat="1" s="63">
      <c r="A116" s="118" t="n"/>
      <c r="B116" s="119" t="inlineStr">
        <is>
          <t>GROUND FLOOR  INSIDE PLASTER</t>
        </is>
      </c>
      <c r="C116" s="143" t="n"/>
      <c r="D116" s="63" t="n"/>
      <c r="E116" s="70" t="n"/>
      <c r="F116" s="91" t="n"/>
      <c r="G116" s="89" t="n"/>
      <c r="H116" s="63" t="n"/>
      <c r="I116" s="63" t="n"/>
      <c r="J116" s="63" t="n"/>
      <c r="K116" s="63" t="n"/>
    </row>
    <row r="117" ht="15" customFormat="1" customHeight="1" s="63">
      <c r="A117" s="118" t="n"/>
      <c r="B117" s="125" t="inlineStr">
        <is>
          <t>Main Walls</t>
        </is>
      </c>
      <c r="C117" s="142" t="n">
        <v>2</v>
      </c>
      <c r="D117" s="63" t="inlineStr">
        <is>
          <t>x</t>
        </is>
      </c>
      <c r="E117" s="70">
        <f>E9</f>
        <v/>
      </c>
      <c r="F117" s="63" t="inlineStr">
        <is>
          <t>x</t>
        </is>
      </c>
      <c r="G117" s="70" t="n">
        <v>3.6</v>
      </c>
      <c r="H117" s="63" t="n"/>
      <c r="I117" s="70" t="n"/>
      <c r="J117" s="79" t="inlineStr">
        <is>
          <t>=</t>
        </is>
      </c>
      <c r="K117" s="70">
        <f>IF(C102,C102*E102*G102,"")</f>
        <v/>
      </c>
      <c r="L117" s="80" t="inlineStr">
        <is>
          <t>Sqm</t>
        </is>
      </c>
    </row>
    <row r="118" ht="15" customFormat="1" customHeight="1" s="63">
      <c r="A118" s="118" t="n"/>
      <c r="B118" s="125" t="inlineStr">
        <is>
          <t>Main Walls</t>
        </is>
      </c>
      <c r="C118" s="142" t="n">
        <v>2</v>
      </c>
      <c r="D118" s="63" t="inlineStr">
        <is>
          <t>x</t>
        </is>
      </c>
      <c r="E118" s="70">
        <f>E10</f>
        <v/>
      </c>
      <c r="F118" s="63" t="inlineStr">
        <is>
          <t>x</t>
        </is>
      </c>
      <c r="G118" s="70" t="n">
        <v>3.6</v>
      </c>
      <c r="H118" s="63" t="n"/>
      <c r="I118" s="70" t="n"/>
      <c r="J118" s="79" t="inlineStr">
        <is>
          <t>=</t>
        </is>
      </c>
      <c r="K118" s="70">
        <f>IF(C103,C103*E103*G103,"")</f>
        <v/>
      </c>
      <c r="L118" s="80" t="inlineStr">
        <is>
          <t>Sqm</t>
        </is>
      </c>
    </row>
    <row r="119" ht="30" customFormat="1" customHeight="1" s="254">
      <c r="A119" s="118" t="n"/>
      <c r="B119" s="125" t="inlineStr">
        <is>
          <t>Partition wall</t>
        </is>
      </c>
      <c r="C119" s="142" t="n">
        <v>2</v>
      </c>
      <c r="D119" s="63" t="inlineStr">
        <is>
          <t>x</t>
        </is>
      </c>
      <c r="E119" s="70">
        <f>K95</f>
        <v/>
      </c>
      <c r="F119" s="63" t="inlineStr">
        <is>
          <t>x</t>
        </is>
      </c>
      <c r="G119" s="70" t="n">
        <v>1</v>
      </c>
      <c r="H119" s="63" t="n"/>
      <c r="I119" s="70" t="n"/>
      <c r="J119" s="79" t="inlineStr">
        <is>
          <t>=</t>
        </is>
      </c>
      <c r="K119" s="70">
        <f>IF(C104,C104*E104*G104,"")</f>
        <v/>
      </c>
      <c r="L119" s="80" t="inlineStr">
        <is>
          <t>Sqm</t>
        </is>
      </c>
    </row>
    <row r="120" customFormat="1" s="63">
      <c r="A120" s="118" t="n"/>
      <c r="B120" s="106" t="n"/>
      <c r="C120" s="142" t="n"/>
      <c r="D120" s="63" t="n"/>
      <c r="E120" s="70" t="n"/>
      <c r="F120" s="63" t="n"/>
      <c r="G120" s="89" t="inlineStr">
        <is>
          <t>Gross Qty.</t>
        </is>
      </c>
      <c r="H120" s="63" t="n"/>
      <c r="I120" s="70" t="n"/>
      <c r="J120" s="91" t="inlineStr">
        <is>
          <t>+</t>
        </is>
      </c>
      <c r="K120" s="70">
        <f>SUM(K102:K104)</f>
        <v/>
      </c>
      <c r="L120" s="78" t="inlineStr">
        <is>
          <t>Sqm</t>
        </is>
      </c>
    </row>
    <row r="121" ht="15" customFormat="1" customHeight="1" s="63">
      <c r="A121" s="118" t="n"/>
      <c r="B121" s="119" t="inlineStr">
        <is>
          <t>Deductions</t>
        </is>
      </c>
      <c r="C121" s="142" t="n"/>
      <c r="D121" s="63" t="n"/>
      <c r="E121" s="70" t="n"/>
      <c r="F121" s="63" t="n"/>
      <c r="G121" s="89" t="n"/>
      <c r="H121" s="63" t="n"/>
      <c r="I121" s="70" t="n"/>
      <c r="J121" s="91" t="n"/>
      <c r="K121" s="70" t="n"/>
      <c r="L121" s="80" t="n"/>
    </row>
    <row r="122" ht="15" customFormat="1" customHeight="1" s="63">
      <c r="A122" s="118" t="n"/>
      <c r="B122" s="125" t="inlineStr">
        <is>
          <t>D1</t>
        </is>
      </c>
      <c r="C122" s="142" t="n">
        <v>3</v>
      </c>
      <c r="D122" s="63" t="inlineStr">
        <is>
          <t>x</t>
        </is>
      </c>
      <c r="E122" s="70" t="n">
        <v>1.2</v>
      </c>
      <c r="F122" s="63" t="inlineStr">
        <is>
          <t>x</t>
        </is>
      </c>
      <c r="G122" s="70" t="n">
        <v>2.1</v>
      </c>
      <c r="H122" s="63" t="n"/>
      <c r="I122" s="70" t="n"/>
      <c r="J122" s="79" t="inlineStr">
        <is>
          <t>=</t>
        </is>
      </c>
      <c r="K122" s="70">
        <f>IF(C107,C107*E107*G107,"")</f>
        <v/>
      </c>
      <c r="L122" s="80" t="inlineStr">
        <is>
          <t>Sqm</t>
        </is>
      </c>
    </row>
    <row r="123" ht="30" customFormat="1" customHeight="1" s="254">
      <c r="A123" s="118" t="n"/>
      <c r="B123" s="125" t="inlineStr">
        <is>
          <t>W1</t>
        </is>
      </c>
      <c r="C123" s="142" t="n">
        <v>9</v>
      </c>
      <c r="D123" s="63" t="inlineStr">
        <is>
          <t>x</t>
        </is>
      </c>
      <c r="E123" s="70" t="n">
        <v>1.5</v>
      </c>
      <c r="F123" s="63" t="inlineStr">
        <is>
          <t>x</t>
        </is>
      </c>
      <c r="G123" s="70" t="n">
        <v>1.2</v>
      </c>
      <c r="H123" s="63" t="n"/>
      <c r="I123" s="70" t="n"/>
      <c r="J123" s="79" t="inlineStr">
        <is>
          <t>=</t>
        </is>
      </c>
      <c r="K123" s="70">
        <f>IF(C108,C108*E108*G108,"")</f>
        <v/>
      </c>
      <c r="L123" s="80" t="inlineStr">
        <is>
          <t>Sqm</t>
        </is>
      </c>
    </row>
    <row r="124" customFormat="1" s="63">
      <c r="A124" s="118" t="n"/>
      <c r="B124" s="106" t="n"/>
      <c r="C124" s="142" t="n"/>
      <c r="D124" s="63" t="n"/>
      <c r="E124" s="70" t="n"/>
      <c r="F124" s="63" t="n"/>
      <c r="G124" s="89" t="inlineStr">
        <is>
          <t>Total Deductions</t>
        </is>
      </c>
      <c r="H124" s="63" t="n"/>
      <c r="I124" s="70" t="n"/>
      <c r="J124" s="91" t="inlineStr">
        <is>
          <t>-</t>
        </is>
      </c>
      <c r="K124" s="70">
        <f>SUM(K107:K108)</f>
        <v/>
      </c>
      <c r="L124" s="78" t="inlineStr">
        <is>
          <t>Sqm</t>
        </is>
      </c>
    </row>
    <row r="125" customFormat="1" s="63">
      <c r="A125" s="142" t="n"/>
      <c r="B125" s="117" t="inlineStr">
        <is>
          <t>Net qty. of Internal Plaster in GF</t>
        </is>
      </c>
      <c r="C125" s="142" t="n"/>
      <c r="D125" s="120">
        <f>K105</f>
        <v/>
      </c>
      <c r="E125" s="123" t="n"/>
      <c r="F125" s="91" t="inlineStr">
        <is>
          <t>-</t>
        </is>
      </c>
      <c r="G125" s="123">
        <f>K109</f>
        <v/>
      </c>
      <c r="H125" s="126" t="n"/>
      <c r="I125" s="63" t="n"/>
      <c r="J125" s="267" t="inlineStr">
        <is>
          <t>=</t>
        </is>
      </c>
      <c r="K125" s="105">
        <f>D110-G110</f>
        <v/>
      </c>
      <c r="L125" s="80" t="inlineStr">
        <is>
          <t>Sqm</t>
        </is>
      </c>
    </row>
    <row r="126" ht="15" customFormat="1" customHeight="1" s="63">
      <c r="A126" s="118" t="n"/>
      <c r="B126" s="124" t="inlineStr">
        <is>
          <t>External plaster</t>
        </is>
      </c>
      <c r="C126" s="143" t="n"/>
      <c r="D126" s="63" t="n"/>
      <c r="E126" s="70" t="n"/>
      <c r="F126" s="91" t="n"/>
      <c r="G126" s="89" t="n"/>
      <c r="H126" s="63" t="n"/>
      <c r="I126" s="63" t="n"/>
      <c r="J126" s="63" t="n"/>
      <c r="K126" s="63" t="n"/>
    </row>
    <row r="127" ht="45" customFormat="1" customHeight="1" s="254">
      <c r="A127" s="118" t="n"/>
      <c r="B127" s="106" t="n"/>
      <c r="C127" s="142" t="n">
        <v>2</v>
      </c>
      <c r="D127" s="63" t="inlineStr">
        <is>
          <t>x</t>
        </is>
      </c>
      <c r="E127" s="70">
        <f>E102</f>
        <v/>
      </c>
      <c r="F127" s="63" t="inlineStr">
        <is>
          <t>x</t>
        </is>
      </c>
      <c r="G127" s="70" t="n">
        <v>4.35</v>
      </c>
      <c r="H127" s="63" t="n"/>
      <c r="I127" s="70" t="n"/>
      <c r="J127" s="79" t="inlineStr">
        <is>
          <t>=</t>
        </is>
      </c>
      <c r="K127" s="70">
        <f>IF(C112,C112*E112*G112,"")</f>
        <v/>
      </c>
      <c r="L127" s="80" t="inlineStr">
        <is>
          <t>Sqm</t>
        </is>
      </c>
    </row>
    <row r="128" ht="15" customFormat="1" customHeight="1" s="63">
      <c r="A128" s="118" t="n"/>
      <c r="B128" s="106" t="n"/>
      <c r="C128" s="142" t="n">
        <v>2</v>
      </c>
      <c r="D128" s="63" t="inlineStr">
        <is>
          <t>x</t>
        </is>
      </c>
      <c r="E128" s="70">
        <f>E103</f>
        <v/>
      </c>
      <c r="F128" s="63" t="inlineStr">
        <is>
          <t>x</t>
        </is>
      </c>
      <c r="G128" s="70" t="n">
        <v>4.35</v>
      </c>
      <c r="H128" s="63" t="n"/>
      <c r="I128" s="70" t="n"/>
      <c r="J128" s="79" t="inlineStr">
        <is>
          <t>=</t>
        </is>
      </c>
      <c r="K128" s="70">
        <f>IF(C113,C113*E113*G113,"")</f>
        <v/>
      </c>
      <c r="L128" s="80" t="inlineStr">
        <is>
          <t>Sqm</t>
        </is>
      </c>
    </row>
    <row r="129" ht="15" customFormat="1" customHeight="1" s="63">
      <c r="A129" s="118" t="n"/>
      <c r="B129" s="106" t="n"/>
      <c r="C129" s="142" t="n"/>
      <c r="D129" s="63" t="n"/>
      <c r="E129" s="70" t="n"/>
      <c r="F129" s="104" t="inlineStr">
        <is>
          <t>Gross qty. of External Plaster (+)</t>
        </is>
      </c>
      <c r="G129" s="89" t="n"/>
      <c r="H129" s="63" t="n"/>
      <c r="I129" s="70" t="n"/>
      <c r="J129" s="91" t="inlineStr">
        <is>
          <t>= +</t>
        </is>
      </c>
      <c r="K129" s="70">
        <f>SUM(K112:K113)</f>
        <v/>
      </c>
      <c r="L129" s="78" t="inlineStr">
        <is>
          <t>Sqm</t>
        </is>
      </c>
    </row>
    <row r="130" ht="199.5" customFormat="1" customHeight="1" s="63">
      <c r="A130" s="142" t="n"/>
      <c r="B130" s="117" t="inlineStr">
        <is>
          <t>Net qty. of External Plaster in FF</t>
        </is>
      </c>
      <c r="C130" s="142" t="n"/>
      <c r="D130" s="120">
        <f>K114</f>
        <v/>
      </c>
      <c r="E130" s="123" t="n"/>
      <c r="F130" s="91" t="inlineStr">
        <is>
          <t>-</t>
        </is>
      </c>
      <c r="G130" s="123" t="n">
        <v>0</v>
      </c>
      <c r="H130" s="126" t="n"/>
      <c r="I130" s="63" t="n"/>
      <c r="J130" s="267" t="inlineStr">
        <is>
          <t>=</t>
        </is>
      </c>
      <c r="K130" s="105">
        <f>D115-G115</f>
        <v/>
      </c>
      <c r="L130" s="80" t="inlineStr">
        <is>
          <t>Sqm</t>
        </is>
      </c>
    </row>
    <row r="131" customFormat="1" s="63">
      <c r="A131" s="118" t="n"/>
      <c r="B131" s="106" t="n"/>
      <c r="C131" s="142" t="n"/>
      <c r="D131" s="63" t="n"/>
      <c r="E131" s="70" t="n"/>
      <c r="F131" s="104" t="n"/>
      <c r="G131" s="89" t="n"/>
      <c r="H131" s="63" t="n"/>
      <c r="I131" s="70" t="n"/>
      <c r="J131" s="91" t="n"/>
      <c r="K131" s="70" t="n"/>
      <c r="L131" s="80" t="n"/>
    </row>
    <row r="132" customFormat="1" s="63">
      <c r="A132" s="142" t="n"/>
      <c r="B132" s="117" t="inlineStr">
        <is>
          <t>Total qty. of  Plaster</t>
        </is>
      </c>
      <c r="C132" s="142" t="n"/>
      <c r="D132" s="120" t="n"/>
      <c r="E132" s="123">
        <f>K110</f>
        <v/>
      </c>
      <c r="F132" s="91" t="inlineStr">
        <is>
          <t>+</t>
        </is>
      </c>
      <c r="G132" s="123">
        <f>K115</f>
        <v/>
      </c>
      <c r="H132" s="126" t="n"/>
      <c r="I132" s="63" t="n"/>
      <c r="J132" s="267" t="inlineStr">
        <is>
          <t>=</t>
        </is>
      </c>
      <c r="K132" s="105">
        <f>E117+G117</f>
        <v/>
      </c>
      <c r="L132" s="80" t="inlineStr">
        <is>
          <t>Sqm</t>
        </is>
      </c>
    </row>
    <row r="133" customFormat="1" s="63">
      <c r="A133" s="118" t="n"/>
      <c r="B133" s="106" t="n"/>
      <c r="C133" s="143" t="n"/>
      <c r="D133" s="126" t="n"/>
      <c r="E133" s="126" t="n"/>
      <c r="F133" s="63" t="n"/>
      <c r="G133" s="105" t="n"/>
      <c r="H133" s="268" t="n"/>
      <c r="I133" s="105" t="n"/>
      <c r="J133" s="267" t="n"/>
      <c r="K133" s="105" t="n"/>
      <c r="L133" s="114" t="n"/>
    </row>
    <row r="134" ht="270.75" customFormat="1" customHeight="1" s="63">
      <c r="A134" s="113">
        <f>LOOKUP(2,1/(A$1:A118&lt;&gt;""),A$1:A118)+1</f>
        <v/>
      </c>
      <c r="B134" s="266" t="inlineStr">
        <is>
          <t>6 mm cement plaster to ceiling of mix 1 : 3 ( 1 cement : 3 fine - sand )</t>
        </is>
      </c>
      <c r="C134" s="143" t="n"/>
      <c r="D134" s="63" t="n"/>
      <c r="E134" s="70" t="n"/>
      <c r="F134" s="91" t="n"/>
      <c r="G134" s="89" t="n"/>
      <c r="H134" s="63" t="n"/>
      <c r="I134" s="63" t="n"/>
      <c r="J134" s="63" t="n"/>
      <c r="K134" s="63" t="n"/>
      <c r="L134" s="63" t="n"/>
    </row>
    <row r="135" customFormat="1" s="63">
      <c r="A135" s="142" t="n"/>
      <c r="B135" s="121" t="inlineStr">
        <is>
          <t>Ceiling</t>
        </is>
      </c>
      <c r="C135" s="142" t="n">
        <v>1</v>
      </c>
      <c r="D135" s="63" t="inlineStr">
        <is>
          <t>x</t>
        </is>
      </c>
      <c r="E135" s="70">
        <f>E112</f>
        <v/>
      </c>
      <c r="F135" s="63" t="inlineStr">
        <is>
          <t>x</t>
        </is>
      </c>
      <c r="G135" s="70">
        <f>E113</f>
        <v/>
      </c>
      <c r="H135" s="63" t="n"/>
      <c r="I135" s="63" t="n"/>
      <c r="J135" s="79" t="inlineStr">
        <is>
          <t>=</t>
        </is>
      </c>
      <c r="K135" s="70">
        <f>IF(C120,C120*E120*G120,"")</f>
        <v/>
      </c>
      <c r="L135" s="80" t="inlineStr">
        <is>
          <t>Sqm</t>
        </is>
      </c>
    </row>
    <row r="136" customFormat="1" s="63">
      <c r="A136" s="142" t="n"/>
      <c r="B136" s="121" t="inlineStr">
        <is>
          <t>Beam Sides</t>
        </is>
      </c>
      <c r="C136" s="142" t="n">
        <v>1</v>
      </c>
      <c r="D136" s="63" t="inlineStr">
        <is>
          <t>x</t>
        </is>
      </c>
      <c r="E136" s="70">
        <f>K67</f>
        <v/>
      </c>
      <c r="F136" s="63" t="inlineStr">
        <is>
          <t>x</t>
        </is>
      </c>
      <c r="G136" s="105" t="n">
        <v>1</v>
      </c>
      <c r="H136" s="63" t="n"/>
      <c r="I136" s="63" t="n"/>
      <c r="J136" s="79" t="inlineStr">
        <is>
          <t>=</t>
        </is>
      </c>
      <c r="K136" s="70">
        <f>IF(C121,C121*E121*G121,"")</f>
        <v/>
      </c>
      <c r="L136" s="80" t="inlineStr">
        <is>
          <t>Sqm</t>
        </is>
      </c>
    </row>
    <row r="137" customFormat="1" s="63">
      <c r="A137" s="118" t="n"/>
      <c r="B137" s="106" t="n"/>
      <c r="C137" s="142" t="n"/>
      <c r="D137" s="63" t="n"/>
      <c r="E137" s="105" t="n"/>
      <c r="F137" s="114" t="n"/>
      <c r="G137" s="115" t="inlineStr">
        <is>
          <t xml:space="preserve">Total </t>
        </is>
      </c>
      <c r="H137" s="114" t="n"/>
      <c r="I137" s="105" t="n"/>
      <c r="J137" s="114" t="n"/>
      <c r="K137" s="105">
        <f>SUM(K120:K121)</f>
        <v/>
      </c>
      <c r="L137" s="98" t="inlineStr">
        <is>
          <t>Sqm</t>
        </is>
      </c>
    </row>
    <row r="138" ht="28.5" customFormat="1" customHeight="1" s="63">
      <c r="A138" s="113">
        <f>LOOKUP(2,1/(A$1:A122&lt;&gt;""),A$1:A122)+1</f>
        <v/>
      </c>
      <c r="B138" s="266" t="inlineStr">
        <is>
          <t>Making grooves as per design in plaster 10mm to 20mm wide.</t>
        </is>
      </c>
      <c r="C138" s="143" t="n"/>
      <c r="D138" s="63" t="n"/>
      <c r="E138" s="70" t="n"/>
      <c r="F138" s="91" t="n"/>
      <c r="G138" s="89" t="n"/>
      <c r="H138" s="63" t="n"/>
      <c r="I138" s="63" t="n"/>
      <c r="J138" s="63" t="n"/>
      <c r="K138" s="63" t="n"/>
      <c r="L138" s="63" t="n"/>
    </row>
    <row r="139" customFormat="1" s="63">
      <c r="A139" s="142" t="n"/>
      <c r="B139" s="121" t="inlineStr">
        <is>
          <t>Verticle</t>
        </is>
      </c>
      <c r="C139" s="142" t="n">
        <v>16</v>
      </c>
      <c r="D139" s="63" t="inlineStr">
        <is>
          <t>x</t>
        </is>
      </c>
      <c r="E139" s="70" t="n">
        <v>3</v>
      </c>
      <c r="F139" s="63" t="n"/>
      <c r="G139" s="70" t="n"/>
      <c r="H139" s="63" t="n"/>
      <c r="I139" s="63" t="n"/>
      <c r="J139" s="79" t="inlineStr">
        <is>
          <t>=</t>
        </is>
      </c>
      <c r="K139" s="70">
        <f>IF(C124,C124*E124,"")</f>
        <v/>
      </c>
      <c r="L139" s="80" t="inlineStr">
        <is>
          <t>RM</t>
        </is>
      </c>
    </row>
    <row r="140" ht="15" customFormat="1" customHeight="1" s="63">
      <c r="A140" s="142" t="n"/>
      <c r="B140" s="121" t="inlineStr">
        <is>
          <t>Horizontal</t>
        </is>
      </c>
      <c r="C140" s="142" t="n">
        <v>3</v>
      </c>
      <c r="D140" s="63" t="inlineStr">
        <is>
          <t>x</t>
        </is>
      </c>
      <c r="E140" s="70">
        <f>K11</f>
        <v/>
      </c>
      <c r="F140" s="63" t="n"/>
      <c r="G140" s="70" t="n"/>
      <c r="H140" s="63" t="n"/>
      <c r="I140" s="63" t="n"/>
      <c r="J140" s="79" t="inlineStr">
        <is>
          <t>=</t>
        </is>
      </c>
      <c r="K140" s="70">
        <f>IF(C125,C125*E125,"")</f>
        <v/>
      </c>
      <c r="L140" s="80" t="inlineStr">
        <is>
          <t>RM</t>
        </is>
      </c>
    </row>
    <row r="141" customFormat="1" s="63">
      <c r="A141" s="118" t="n"/>
      <c r="B141" s="106" t="n"/>
      <c r="C141" s="142" t="n"/>
      <c r="D141" s="63" t="n"/>
      <c r="E141" s="105" t="n"/>
      <c r="F141" s="114" t="n"/>
      <c r="G141" s="115" t="inlineStr">
        <is>
          <t xml:space="preserve">Total </t>
        </is>
      </c>
      <c r="H141" s="114" t="n"/>
      <c r="I141" s="105" t="n"/>
      <c r="J141" s="114" t="n"/>
      <c r="K141" s="105">
        <f>SUM(K124:K125)</f>
        <v/>
      </c>
      <c r="L141" s="80" t="inlineStr">
        <is>
          <t>RM</t>
        </is>
      </c>
    </row>
    <row r="142" ht="71.25" customFormat="1" customHeight="1" s="63">
      <c r="A142" s="113">
        <f>LOOKUP(2,1/(A$1:A126&lt;&gt;""),A$1:A126)+1</f>
        <v/>
      </c>
      <c r="B142" s="266" t="inlineStr">
        <is>
          <t>Applying plaster of Paris or lime putty sandala over cement plaster surface for making even surface.</t>
        </is>
      </c>
      <c r="C142" s="143" t="n"/>
      <c r="D142" s="63" t="n"/>
      <c r="E142" s="70" t="n"/>
      <c r="F142" s="91" t="n"/>
      <c r="G142" s="89" t="n"/>
      <c r="H142" s="63" t="n"/>
      <c r="I142" s="63" t="n"/>
      <c r="J142" s="63" t="n"/>
      <c r="K142" s="63" t="n"/>
      <c r="L142" s="63" t="n"/>
    </row>
    <row r="143" ht="15" customFormat="1" customHeight="1" s="63">
      <c r="A143" s="142" t="n"/>
      <c r="B143" s="121" t="inlineStr">
        <is>
          <t>Internal Plaster</t>
        </is>
      </c>
      <c r="C143" s="142" t="n"/>
      <c r="D143" s="63" t="inlineStr">
        <is>
          <t>x</t>
        </is>
      </c>
      <c r="E143" s="70">
        <f>K74</f>
        <v/>
      </c>
      <c r="F143" s="63" t="inlineStr">
        <is>
          <t>x</t>
        </is>
      </c>
      <c r="G143" s="105" t="n">
        <v>1</v>
      </c>
      <c r="H143" s="63" t="n"/>
      <c r="I143" s="63" t="n"/>
      <c r="J143" s="79" t="inlineStr">
        <is>
          <t>=</t>
        </is>
      </c>
      <c r="K143" s="70">
        <f>K110</f>
        <v/>
      </c>
      <c r="L143" s="80" t="inlineStr">
        <is>
          <t>Sqm</t>
        </is>
      </c>
    </row>
    <row r="144" ht="99.75" customFormat="1" customHeight="1" s="63">
      <c r="A144" s="118" t="n"/>
      <c r="B144" s="106" t="n"/>
      <c r="C144" s="142" t="n"/>
      <c r="D144" s="63" t="n"/>
      <c r="E144" s="105" t="n"/>
      <c r="F144" s="114" t="n"/>
      <c r="G144" s="115" t="inlineStr">
        <is>
          <t xml:space="preserve">Total </t>
        </is>
      </c>
      <c r="H144" s="114" t="n"/>
      <c r="I144" s="105" t="n"/>
      <c r="J144" s="114" t="n"/>
      <c r="K144" s="105">
        <f>SUM(K127:K128)</f>
        <v/>
      </c>
      <c r="L144" s="98" t="inlineStr">
        <is>
          <t>Sqm</t>
        </is>
      </c>
    </row>
    <row r="145" customFormat="1" s="63">
      <c r="A145" s="142" t="n">
        <v>10</v>
      </c>
      <c r="B145" s="106"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45" s="143" t="n"/>
      <c r="D145" s="63" t="n"/>
      <c r="E145" s="70" t="n"/>
      <c r="F145" s="91" t="n"/>
      <c r="G145" s="89" t="n"/>
      <c r="H145" s="63" t="n"/>
      <c r="I145" s="63" t="n"/>
      <c r="J145" s="63" t="n"/>
      <c r="K145" s="63" t="n"/>
    </row>
    <row r="146" ht="15" customFormat="1" customHeight="1" s="63">
      <c r="A146" s="118" t="n"/>
      <c r="B146" s="106" t="inlineStr">
        <is>
          <t>D1</t>
        </is>
      </c>
      <c r="C146" s="142">
        <f>C88</f>
        <v/>
      </c>
      <c r="D146" s="91" t="inlineStr">
        <is>
          <t>x(</t>
        </is>
      </c>
      <c r="E146" s="70" t="n">
        <v>1.8</v>
      </c>
      <c r="F146" s="91" t="inlineStr">
        <is>
          <t>+</t>
        </is>
      </c>
      <c r="G146" s="89" t="n">
        <v>2.15</v>
      </c>
      <c r="H146" s="91" t="inlineStr">
        <is>
          <t>+</t>
        </is>
      </c>
      <c r="I146" s="70" t="n">
        <v>2.15</v>
      </c>
      <c r="J146" s="91" t="inlineStr">
        <is>
          <t>)=</t>
        </is>
      </c>
      <c r="K146" s="70">
        <f>IF(C131,C131*E131*G131*I131,"")</f>
        <v/>
      </c>
      <c r="L146" s="80" t="inlineStr">
        <is>
          <t>RM</t>
        </is>
      </c>
    </row>
    <row r="147" customFormat="1" s="63">
      <c r="A147" s="118" t="n"/>
      <c r="B147" s="106" t="n"/>
      <c r="C147" s="142" t="n"/>
      <c r="D147" s="63" t="n"/>
      <c r="E147" s="70" t="n"/>
      <c r="F147" s="63" t="n"/>
      <c r="G147" s="89" t="inlineStr">
        <is>
          <t>Total</t>
        </is>
      </c>
      <c r="H147" s="63" t="n"/>
      <c r="I147" s="70" t="n"/>
      <c r="J147" s="63" t="n"/>
      <c r="K147" s="70">
        <f>SUM(K131:K131)</f>
        <v/>
      </c>
      <c r="L147" s="78" t="inlineStr">
        <is>
          <t>RM</t>
        </is>
      </c>
    </row>
    <row r="148" ht="28.5" customFormat="1" customHeight="1" s="63">
      <c r="A148" s="118" t="n"/>
      <c r="B148" s="106" t="n"/>
      <c r="C148" s="142" t="n"/>
      <c r="D148" s="63" t="n"/>
      <c r="E148" s="70">
        <f>K132</f>
        <v/>
      </c>
      <c r="F148" s="63" t="inlineStr">
        <is>
          <t>RM</t>
        </is>
      </c>
      <c r="G148" s="89" t="n"/>
      <c r="H148" s="79" t="inlineStr">
        <is>
          <t>@ 4.15 Kg/m</t>
        </is>
      </c>
      <c r="I148" s="70" t="n"/>
      <c r="J148" s="63" t="n"/>
      <c r="K148" s="70">
        <f>E133*4.15</f>
        <v/>
      </c>
      <c r="L148" s="80" t="inlineStr">
        <is>
          <t>Kg</t>
        </is>
      </c>
    </row>
    <row r="149" ht="15" customFormat="1" customHeight="1" s="63">
      <c r="A149" s="142">
        <f>A130+1</f>
        <v/>
      </c>
      <c r="B149" s="106"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149" s="143" t="n"/>
      <c r="D149" s="63" t="n"/>
      <c r="E149" s="70" t="n"/>
      <c r="F149" s="91" t="n"/>
      <c r="G149" s="89" t="n"/>
      <c r="H149" s="63" t="n"/>
      <c r="I149" s="63" t="n"/>
      <c r="J149" s="63" t="n"/>
      <c r="K149" s="63" t="n"/>
    </row>
    <row r="150" ht="15" customFormat="1" customHeight="1" s="63">
      <c r="A150" s="118" t="n"/>
      <c r="B150" s="125" t="inlineStr">
        <is>
          <t>W1</t>
        </is>
      </c>
      <c r="C150" s="142">
        <f>C89</f>
        <v/>
      </c>
      <c r="D150" s="63" t="inlineStr">
        <is>
          <t>x</t>
        </is>
      </c>
      <c r="E150" s="143">
        <f>E89</f>
        <v/>
      </c>
      <c r="F150" s="63" t="inlineStr">
        <is>
          <t>x</t>
        </is>
      </c>
      <c r="G150" s="89" t="n">
        <v>1.2</v>
      </c>
      <c r="H150" s="63" t="n"/>
      <c r="I150" s="70" t="n"/>
      <c r="J150" s="79" t="inlineStr">
        <is>
          <t>=</t>
        </is>
      </c>
      <c r="K150" s="70">
        <f>IF(C135,C135*E135*G135,"")</f>
        <v/>
      </c>
      <c r="L150" s="80" t="inlineStr">
        <is>
          <t>Sqm</t>
        </is>
      </c>
    </row>
    <row r="151" ht="171" customFormat="1" customHeight="1" s="63">
      <c r="A151" s="118" t="n"/>
      <c r="B151" s="106" t="n"/>
      <c r="C151" s="142" t="n"/>
      <c r="D151" s="63" t="n"/>
      <c r="E151" s="70" t="n"/>
      <c r="F151" s="63" t="n"/>
      <c r="G151" s="89" t="inlineStr">
        <is>
          <t>Total</t>
        </is>
      </c>
      <c r="H151" s="63" t="n"/>
      <c r="I151" s="70" t="n"/>
      <c r="J151" s="63" t="n"/>
      <c r="K151" s="70">
        <f>SUM(K135:K135)</f>
        <v/>
      </c>
      <c r="L151" s="78" t="inlineStr">
        <is>
          <t>Sqm</t>
        </is>
      </c>
    </row>
    <row r="152" customFormat="1" s="63">
      <c r="A152" s="142" t="n"/>
      <c r="B152" s="117" t="n"/>
      <c r="C152" s="143" t="n"/>
      <c r="D152" s="63" t="n"/>
      <c r="E152" s="70" t="n"/>
      <c r="F152" s="91" t="n"/>
      <c r="G152" s="89" t="n"/>
      <c r="H152" s="63" t="n"/>
      <c r="I152" s="63" t="n"/>
      <c r="J152" s="63" t="n"/>
      <c r="K152" s="63" t="n"/>
    </row>
    <row r="153" ht="15" customFormat="1" customHeight="1" s="63">
      <c r="A153" s="142">
        <f>A134+1</f>
        <v/>
      </c>
      <c r="B153" s="106" t="inlineStr">
        <is>
          <t>Providing and fixing square bars or other flat welded to window, ventilators etc.</t>
        </is>
      </c>
      <c r="C153" s="143" t="n"/>
      <c r="D153" s="63" t="n"/>
      <c r="E153" s="70" t="n"/>
      <c r="F153" s="91" t="n"/>
      <c r="G153" s="89" t="n"/>
      <c r="H153" s="63" t="n"/>
      <c r="I153" s="63" t="n"/>
      <c r="J153" s="63" t="n"/>
      <c r="K153" s="63" t="n"/>
    </row>
    <row r="154" customFormat="1" s="63">
      <c r="A154" s="118" t="n"/>
      <c r="B154" s="125" t="inlineStr">
        <is>
          <t>W1</t>
        </is>
      </c>
      <c r="C154" s="142">
        <f>C135</f>
        <v/>
      </c>
      <c r="D154" s="63" t="inlineStr">
        <is>
          <t>x</t>
        </is>
      </c>
      <c r="E154" s="70" t="n">
        <v>1.8</v>
      </c>
      <c r="F154" s="63" t="inlineStr">
        <is>
          <t>x</t>
        </is>
      </c>
      <c r="G154" s="99" t="n">
        <v>10</v>
      </c>
      <c r="H154" s="91" t="inlineStr">
        <is>
          <t>@ 1.13 Kg/m</t>
        </is>
      </c>
      <c r="I154" s="70" t="n">
        <v>1.13</v>
      </c>
      <c r="J154" s="79" t="inlineStr">
        <is>
          <t>=</t>
        </is>
      </c>
      <c r="K154" s="70">
        <f>C139*E139*G139*I139</f>
        <v/>
      </c>
      <c r="L154" s="80" t="inlineStr">
        <is>
          <t>Kg</t>
        </is>
      </c>
    </row>
    <row r="155" ht="105" customFormat="1" customHeight="1" s="254">
      <c r="A155" s="118" t="n"/>
      <c r="B155" s="106" t="n"/>
      <c r="C155" s="142" t="n"/>
      <c r="D155" s="63" t="n"/>
      <c r="E155" s="70" t="n"/>
      <c r="F155" s="63" t="n"/>
      <c r="G155" s="89" t="inlineStr">
        <is>
          <t>Total</t>
        </is>
      </c>
      <c r="H155" s="63" t="n"/>
      <c r="I155" s="70" t="n"/>
      <c r="J155" s="63" t="n"/>
      <c r="K155" s="105">
        <f>SUM(K139:K139)</f>
        <v/>
      </c>
      <c r="L155" s="78" t="inlineStr">
        <is>
          <t>Kg</t>
        </is>
      </c>
    </row>
    <row r="156" customFormat="1" s="63">
      <c r="A156" s="142" t="n"/>
      <c r="B156" s="106" t="n"/>
      <c r="C156" s="143" t="n"/>
      <c r="D156" s="63" t="n"/>
      <c r="E156" s="70" t="n"/>
      <c r="F156" s="91" t="n"/>
      <c r="G156" s="89" t="n"/>
      <c r="H156" s="63" t="n"/>
      <c r="I156" s="63" t="n"/>
      <c r="J156" s="63" t="n"/>
      <c r="K156" s="63" t="n"/>
    </row>
    <row r="157" customFormat="1" s="63">
      <c r="A157" s="142">
        <f>A138+1</f>
        <v/>
      </c>
      <c r="B157" s="106" t="inlineStr">
        <is>
          <t>Supplying and fixing wire gauge of 14 mesh x 24 gauge to the metal frame of rolled section by metal beading 20 x 3 mm with suitable screw at not exceeding 150 mm distance.</t>
        </is>
      </c>
      <c r="C157" s="143" t="n"/>
      <c r="D157" s="63" t="n"/>
      <c r="E157" s="70" t="n"/>
      <c r="F157" s="91" t="n"/>
      <c r="G157" s="89" t="n"/>
      <c r="H157" s="63" t="n"/>
      <c r="I157" s="63" t="n"/>
      <c r="J157" s="63" t="n"/>
      <c r="K157" s="63" t="n"/>
    </row>
    <row r="158" customFormat="1" s="63">
      <c r="A158" s="118" t="n"/>
      <c r="B158" s="117" t="inlineStr">
        <is>
          <t>Qty.  10% of total windows area</t>
        </is>
      </c>
      <c r="C158" s="143">
        <f>K136</f>
        <v/>
      </c>
      <c r="D158" s="126" t="n"/>
      <c r="E158" s="126" t="n"/>
      <c r="F158" s="63" t="inlineStr">
        <is>
          <t>x</t>
        </is>
      </c>
      <c r="G158" s="269" t="n">
        <v>0.1</v>
      </c>
      <c r="I158" s="105" t="n"/>
      <c r="J158" s="114" t="n"/>
      <c r="K158" s="105">
        <f>C143*G143</f>
        <v/>
      </c>
      <c r="L158" s="80" t="inlineStr">
        <is>
          <t>Sqm</t>
        </is>
      </c>
    </row>
    <row r="159" ht="409.5" customFormat="1" customHeight="1" s="254">
      <c r="A159" s="142" t="n">
        <v>14</v>
      </c>
      <c r="B159" s="106"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59" s="143" t="n"/>
      <c r="D159" s="63" t="n"/>
      <c r="E159" s="70" t="n"/>
      <c r="F159" s="91" t="n"/>
      <c r="G159" s="89" t="n"/>
      <c r="H159" s="63" t="n"/>
      <c r="I159" s="63" t="n"/>
      <c r="J159" s="63" t="n"/>
      <c r="K159" s="63" t="n"/>
    </row>
    <row r="160" customFormat="1" s="63">
      <c r="A160" s="142" t="n"/>
      <c r="B160" s="106" t="n"/>
      <c r="C160" s="143" t="n">
        <v>1</v>
      </c>
      <c r="D160" s="63" t="inlineStr">
        <is>
          <t>x</t>
        </is>
      </c>
      <c r="E160" s="70">
        <f>E9</f>
        <v/>
      </c>
      <c r="F160" s="91" t="inlineStr">
        <is>
          <t>x</t>
        </is>
      </c>
      <c r="G160" s="89">
        <f>G120</f>
        <v/>
      </c>
      <c r="H160" s="63" t="n"/>
      <c r="I160" s="63" t="n"/>
      <c r="J160" s="63" t="inlineStr">
        <is>
          <t>=</t>
        </is>
      </c>
      <c r="K160" s="70">
        <f>C145*E145*G145</f>
        <v/>
      </c>
      <c r="L160" s="63" t="inlineStr">
        <is>
          <t>Sqm</t>
        </is>
      </c>
    </row>
    <row r="161" ht="15" customFormat="1" customHeight="1" s="63">
      <c r="A161" s="118" t="n"/>
      <c r="B161" s="106" t="n"/>
      <c r="C161" s="142" t="n"/>
      <c r="D161" s="63" t="n"/>
      <c r="E161" s="70" t="n"/>
      <c r="F161" s="63" t="n"/>
      <c r="G161" s="89" t="inlineStr">
        <is>
          <t>Total</t>
        </is>
      </c>
      <c r="H161" s="63" t="n"/>
      <c r="I161" s="70" t="n"/>
      <c r="J161" s="63" t="n"/>
      <c r="K161" s="105">
        <f>SUM(K145)</f>
        <v/>
      </c>
      <c r="L161" s="80" t="inlineStr">
        <is>
          <t>Sqm</t>
        </is>
      </c>
    </row>
    <row r="162" ht="150" customFormat="1" customHeight="1" s="254">
      <c r="A162" s="142" t="n"/>
      <c r="B162" s="106" t="n"/>
      <c r="C162" s="143" t="n"/>
      <c r="D162" s="63" t="n"/>
      <c r="E162" s="70" t="n"/>
      <c r="F162" s="91" t="n"/>
      <c r="G162" s="89" t="n"/>
      <c r="H162" s="63" t="n"/>
      <c r="I162" s="63" t="n"/>
      <c r="J162" s="63" t="n"/>
      <c r="K162" s="63" t="n"/>
    </row>
    <row r="163" customFormat="1" s="63">
      <c r="A163" s="142" t="n">
        <v>15</v>
      </c>
      <c r="B163" s="117">
        <f>GF1_ABS!B31</f>
        <v/>
      </c>
      <c r="C163" s="142" t="n"/>
      <c r="D163" s="122" t="n"/>
      <c r="E163" s="70" t="n"/>
      <c r="F163" s="63" t="n"/>
      <c r="G163" s="89" t="n"/>
      <c r="H163" s="63" t="n"/>
      <c r="I163" s="63" t="n"/>
      <c r="J163" s="63" t="n"/>
      <c r="K163" s="63" t="n"/>
    </row>
    <row r="164" customFormat="1" s="63">
      <c r="A164" s="142" t="n"/>
      <c r="B164" s="93" t="n"/>
      <c r="C164" s="142" t="n">
        <v>1</v>
      </c>
      <c r="D164" s="63" t="inlineStr">
        <is>
          <t>x</t>
        </is>
      </c>
      <c r="E164" s="97">
        <f>E9-1</f>
        <v/>
      </c>
      <c r="F164" s="70" t="inlineStr">
        <is>
          <t>x</t>
        </is>
      </c>
      <c r="G164" s="97">
        <f>E10-1</f>
        <v/>
      </c>
      <c r="H164" s="88" t="inlineStr">
        <is>
          <t>x</t>
        </is>
      </c>
      <c r="I164" s="89" t="n">
        <v>0.25</v>
      </c>
      <c r="J164" s="90" t="inlineStr">
        <is>
          <t>=</t>
        </is>
      </c>
      <c r="K164" s="89">
        <f>IF(C149,C149*E149*G149*I149,"")</f>
        <v/>
      </c>
      <c r="L164" s="91" t="inlineStr">
        <is>
          <t>Cum</t>
        </is>
      </c>
    </row>
    <row r="165" ht="15" customFormat="1" customHeight="1" s="63">
      <c r="A165" s="118" t="n"/>
      <c r="B165" s="106" t="n"/>
      <c r="C165" s="142" t="n"/>
      <c r="D165" s="63" t="n"/>
      <c r="E165" s="105" t="n"/>
      <c r="F165" s="114" t="n"/>
      <c r="G165" s="115" t="inlineStr">
        <is>
          <t>Total Qty.</t>
        </is>
      </c>
      <c r="H165" s="114" t="n"/>
      <c r="I165" s="105" t="n"/>
      <c r="J165" s="114" t="n"/>
      <c r="K165" s="105">
        <f>SUM(K149:K149)</f>
        <v/>
      </c>
      <c r="L165" s="92" t="inlineStr">
        <is>
          <t>Cum</t>
        </is>
      </c>
    </row>
    <row r="166" ht="42.75" customFormat="1" customHeight="1" s="63">
      <c r="A166" s="127" t="n">
        <v>16</v>
      </c>
      <c r="B166" s="106"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166" s="143" t="n"/>
      <c r="D166" s="63" t="n"/>
      <c r="E166" s="70" t="n"/>
      <c r="F166" s="91" t="n"/>
      <c r="G166" s="89" t="n"/>
      <c r="H166" s="63" t="n"/>
      <c r="I166" s="63" t="n"/>
      <c r="J166" s="63" t="n"/>
      <c r="K166" s="63" t="n"/>
    </row>
    <row r="167" customFormat="1" s="63">
      <c r="A167" s="118" t="n"/>
      <c r="B167" s="106" t="inlineStr">
        <is>
          <t>D1</t>
        </is>
      </c>
      <c r="C167" s="142">
        <f>C131</f>
        <v/>
      </c>
      <c r="D167" s="91" t="inlineStr">
        <is>
          <t>x</t>
        </is>
      </c>
      <c r="E167" s="70">
        <f>E88</f>
        <v/>
      </c>
      <c r="F167" s="91" t="inlineStr">
        <is>
          <t>x</t>
        </is>
      </c>
      <c r="G167" s="89" t="n">
        <v>2.1</v>
      </c>
      <c r="H167" s="63" t="n"/>
      <c r="I167" s="70" t="n"/>
      <c r="J167" s="79" t="inlineStr">
        <is>
          <t>=</t>
        </is>
      </c>
      <c r="K167" s="70">
        <f>IF(C152,C152*E152*G152,"")</f>
        <v/>
      </c>
      <c r="L167" s="80" t="inlineStr">
        <is>
          <t>Sqm</t>
        </is>
      </c>
    </row>
    <row r="168" customFormat="1" s="63">
      <c r="A168" s="118" t="n"/>
      <c r="B168" s="106" t="n"/>
      <c r="C168" s="142" t="n"/>
      <c r="D168" s="63" t="n"/>
      <c r="E168" s="70" t="n"/>
      <c r="F168" s="63" t="n"/>
      <c r="G168" s="89" t="inlineStr">
        <is>
          <t>Total</t>
        </is>
      </c>
      <c r="H168" s="63" t="n"/>
      <c r="I168" s="70" t="n"/>
      <c r="J168" s="63" t="n"/>
      <c r="K168" s="105">
        <f>SUM(K152:K152)</f>
        <v/>
      </c>
      <c r="L168" s="78" t="inlineStr">
        <is>
          <t>Sqm</t>
        </is>
      </c>
    </row>
    <row r="169" customFormat="1" s="63">
      <c r="A169" s="142" t="n"/>
      <c r="B169" s="106" t="n"/>
      <c r="C169" s="143" t="n"/>
      <c r="D169" s="63" t="n"/>
      <c r="E169" s="70" t="n"/>
      <c r="F169" s="91" t="n"/>
      <c r="G169" s="89">
        <f>IF(C154,ROUNDUP(C154*E154,0),"")</f>
        <v/>
      </c>
      <c r="H169" s="63" t="n"/>
      <c r="I169" s="63" t="n"/>
      <c r="J169" s="63" t="n"/>
      <c r="K169" s="63" t="n"/>
    </row>
    <row r="170" ht="57" customFormat="1" customHeight="1" s="63">
      <c r="A170" s="113">
        <f>LOOKUP(2,1/(A$1:A154&lt;&gt;""),A$1:A154)+1</f>
        <v/>
      </c>
      <c r="B170" s="266" t="inlineStr">
        <is>
          <t>Supply  and  fixing  in  cement  mortar  welded hand railing made out of M.S. round or square bars, flats etc. for staircase or verandah as per design complete in all respect (wooden or PVC hand railing to be paid extra) with priming coat of red oxide.</t>
        </is>
      </c>
      <c r="C170" s="143" t="n"/>
      <c r="D170" s="63" t="n"/>
      <c r="E170" s="70" t="n"/>
      <c r="F170" s="91" t="n"/>
      <c r="G170" s="89" t="n"/>
      <c r="H170" s="63" t="n"/>
      <c r="I170" s="63" t="n"/>
      <c r="J170" s="63" t="n"/>
      <c r="K170" s="63" t="n"/>
      <c r="L170" s="63" t="n"/>
    </row>
    <row r="171" customFormat="1" s="63">
      <c r="A171" s="118" t="n"/>
      <c r="B171" s="106" t="inlineStr">
        <is>
          <t>Staircase</t>
        </is>
      </c>
      <c r="C171" s="142" t="n">
        <v>4</v>
      </c>
      <c r="D171" s="91" t="inlineStr">
        <is>
          <t>x(</t>
        </is>
      </c>
      <c r="E171" s="70" t="n">
        <v>1.75</v>
      </c>
      <c r="F171" s="91" t="inlineStr">
        <is>
          <t>+</t>
        </is>
      </c>
      <c r="G171" s="89" t="n">
        <v>1.2</v>
      </c>
      <c r="H171" s="91" t="inlineStr">
        <is>
          <t>+</t>
        </is>
      </c>
      <c r="I171" s="70" t="n">
        <v>1.75</v>
      </c>
      <c r="J171" s="91" t="inlineStr">
        <is>
          <t>)=</t>
        </is>
      </c>
      <c r="K171" s="70">
        <f>IF(C156,C156*E156*G156*I156,"")</f>
        <v/>
      </c>
      <c r="L171" s="80" t="inlineStr">
        <is>
          <t>RM</t>
        </is>
      </c>
    </row>
    <row r="172" customFormat="1" s="63">
      <c r="A172" s="118" t="n"/>
      <c r="B172" s="106" t="n"/>
      <c r="C172" s="142" t="n"/>
      <c r="D172" s="63" t="n"/>
      <c r="E172" s="70" t="n"/>
      <c r="F172" s="63" t="n"/>
      <c r="G172" s="89" t="inlineStr">
        <is>
          <t>Total</t>
        </is>
      </c>
      <c r="H172" s="63" t="n"/>
      <c r="I172" s="70" t="n"/>
      <c r="J172" s="63" t="n"/>
      <c r="K172" s="70">
        <f>SUM(K156:K156)</f>
        <v/>
      </c>
      <c r="L172" s="78" t="inlineStr">
        <is>
          <t>RM</t>
        </is>
      </c>
    </row>
    <row r="173" customFormat="1" s="63">
      <c r="A173" s="118" t="n"/>
      <c r="B173" s="106" t="n"/>
      <c r="C173" s="142" t="n"/>
      <c r="D173" s="63" t="n"/>
      <c r="E173" s="70">
        <f>K157</f>
        <v/>
      </c>
      <c r="F173" s="63" t="inlineStr">
        <is>
          <t>RM</t>
        </is>
      </c>
      <c r="G173" s="89" t="n"/>
      <c r="H173" s="79" t="inlineStr">
        <is>
          <t>@ 12 Kg/m</t>
        </is>
      </c>
      <c r="I173" s="70" t="n"/>
      <c r="J173" s="63" t="n"/>
      <c r="K173" s="70">
        <f>E158*12</f>
        <v/>
      </c>
      <c r="L173" s="80" t="inlineStr">
        <is>
          <t>Kg</t>
        </is>
      </c>
    </row>
    <row r="174" ht="57" customFormat="1" customHeight="1" s="63">
      <c r="A174" s="113">
        <f>LOOKUP(2,1/(A$1:A158&lt;&gt;""),A$1:A158)+1</f>
        <v/>
      </c>
      <c r="B174" s="266" t="inlineStr">
        <is>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t>
        </is>
      </c>
      <c r="C174" s="143" t="n"/>
      <c r="D174" s="63" t="n"/>
      <c r="E174" s="70" t="n"/>
      <c r="F174" s="91" t="n"/>
      <c r="G174" s="89" t="n"/>
      <c r="H174" s="63" t="n"/>
      <c r="I174" s="63" t="n"/>
      <c r="J174" s="63" t="n"/>
      <c r="K174" s="63" t="n"/>
      <c r="L174" s="63" t="n"/>
    </row>
    <row r="175" customFormat="1" s="63">
      <c r="A175" s="142" t="n"/>
      <c r="B175" s="106" t="n"/>
      <c r="C175" s="143" t="n">
        <v>2</v>
      </c>
      <c r="D175" s="63" t="inlineStr">
        <is>
          <t>x</t>
        </is>
      </c>
      <c r="E175" s="70" t="n">
        <v>0.9</v>
      </c>
      <c r="F175" s="91" t="inlineStr">
        <is>
          <t>x</t>
        </is>
      </c>
      <c r="G175" s="89">
        <f>G135</f>
        <v/>
      </c>
      <c r="H175" s="63" t="n"/>
      <c r="I175" s="63" t="n"/>
      <c r="J175" s="63" t="inlineStr">
        <is>
          <t>=</t>
        </is>
      </c>
      <c r="K175" s="70">
        <f>C160*E160*G160</f>
        <v/>
      </c>
      <c r="L175" s="63" t="inlineStr">
        <is>
          <t>Sqm</t>
        </is>
      </c>
    </row>
    <row r="176" customFormat="1" s="63">
      <c r="A176" s="118" t="n"/>
      <c r="B176" s="106" t="n"/>
      <c r="C176" s="142" t="n"/>
      <c r="D176" s="63" t="n"/>
      <c r="E176" s="70" t="n"/>
      <c r="F176" s="63" t="n"/>
      <c r="G176" s="89" t="inlineStr">
        <is>
          <t>Total</t>
        </is>
      </c>
      <c r="H176" s="63" t="n"/>
      <c r="I176" s="70" t="n"/>
      <c r="J176" s="63" t="n"/>
      <c r="K176" s="105">
        <f>SUM(K160)</f>
        <v/>
      </c>
      <c r="L176" s="80" t="inlineStr">
        <is>
          <t>Sqm</t>
        </is>
      </c>
    </row>
    <row r="177" ht="15" customFormat="1" customHeight="1" s="63">
      <c r="A177" s="113">
        <f>LOOKUP(2,1/(A$1:A161&lt;&gt;""),A$1:A161)+1</f>
        <v/>
      </c>
      <c r="B177" s="266" t="inlineStr">
        <is>
          <t>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is>
      </c>
      <c r="C177" s="143" t="n"/>
      <c r="D177" s="63" t="n"/>
      <c r="E177" s="70" t="n"/>
      <c r="F177" s="91" t="n"/>
      <c r="G177" s="89" t="n"/>
      <c r="H177" s="63" t="n"/>
      <c r="I177" s="63" t="n"/>
      <c r="J177" s="63" t="n"/>
      <c r="K177" s="63" t="n"/>
      <c r="L177" s="63" t="n"/>
    </row>
    <row r="178" customFormat="1" s="63">
      <c r="A178" s="142" t="n"/>
      <c r="B178" s="106" t="inlineStr">
        <is>
          <t>Toilets</t>
        </is>
      </c>
      <c r="C178" s="143" t="n">
        <v>1</v>
      </c>
      <c r="D178" s="63" t="inlineStr">
        <is>
          <t>x</t>
        </is>
      </c>
      <c r="E178" s="70">
        <f>7</f>
        <v/>
      </c>
      <c r="F178" s="91" t="inlineStr">
        <is>
          <t>x</t>
        </is>
      </c>
      <c r="G178" s="89" t="n">
        <v>2.1</v>
      </c>
      <c r="H178" s="63" t="n"/>
      <c r="I178" s="63" t="n"/>
      <c r="J178" s="63" t="inlineStr">
        <is>
          <t>=</t>
        </is>
      </c>
      <c r="K178" s="70">
        <f>C163*E163*G163</f>
        <v/>
      </c>
      <c r="L178" s="63" t="inlineStr">
        <is>
          <t>Sqm</t>
        </is>
      </c>
    </row>
    <row r="179" ht="42.75" customFormat="1" customHeight="1" s="63">
      <c r="A179" s="142" t="n"/>
      <c r="B179" s="106" t="n"/>
      <c r="C179" s="143" t="n">
        <v>1</v>
      </c>
      <c r="D179" s="63" t="inlineStr">
        <is>
          <t>x</t>
        </is>
      </c>
      <c r="E179" s="70" t="n">
        <v>6</v>
      </c>
      <c r="F179" s="91" t="inlineStr">
        <is>
          <t>x</t>
        </is>
      </c>
      <c r="G179" s="89" t="n">
        <v>2.1</v>
      </c>
      <c r="H179" s="63" t="n"/>
      <c r="I179" s="63" t="n"/>
      <c r="J179" s="63" t="inlineStr">
        <is>
          <t>=</t>
        </is>
      </c>
      <c r="K179" s="70">
        <f>C164*E164*G164</f>
        <v/>
      </c>
      <c r="L179" s="63" t="inlineStr">
        <is>
          <t>Sqm</t>
        </is>
      </c>
    </row>
    <row r="180" ht="15" customFormat="1" customHeight="1" s="63">
      <c r="A180" s="118" t="n"/>
      <c r="B180" s="106" t="n"/>
      <c r="C180" s="142" t="n"/>
      <c r="D180" s="63" t="n"/>
      <c r="E180" s="70" t="n"/>
      <c r="F180" s="63" t="n"/>
      <c r="G180" s="89" t="inlineStr">
        <is>
          <t>Total</t>
        </is>
      </c>
      <c r="H180" s="63" t="n"/>
      <c r="I180" s="70" t="n"/>
      <c r="J180" s="63" t="n"/>
      <c r="K180" s="105">
        <f>SUM(K163:K164)</f>
        <v/>
      </c>
      <c r="L180" s="80" t="inlineStr">
        <is>
          <t>Sqm</t>
        </is>
      </c>
    </row>
    <row r="181" ht="15" customFormat="1" customHeight="1" s="63">
      <c r="A181" s="127" t="n">
        <v>17</v>
      </c>
      <c r="B181" s="106" t="inlineStr">
        <is>
          <t>White washing with lime to give an even shade including all scaffolding: New work (two or more coats).</t>
        </is>
      </c>
      <c r="C181" s="143" t="n"/>
      <c r="D181" s="63" t="n"/>
      <c r="E181" s="70" t="n"/>
      <c r="F181" s="91" t="n"/>
      <c r="G181" s="89" t="n"/>
      <c r="H181" s="63" t="n"/>
      <c r="I181" s="63" t="n"/>
      <c r="J181" s="63" t="n"/>
      <c r="K181" s="63" t="n"/>
    </row>
    <row r="182" customFormat="1" s="63">
      <c r="A182" s="142" t="n"/>
      <c r="B182" s="106" t="inlineStr">
        <is>
          <t>Qty. of Internal Plaster</t>
        </is>
      </c>
      <c r="C182" s="143" t="n"/>
      <c r="D182" s="63" t="n"/>
      <c r="E182" s="70" t="n"/>
      <c r="F182" s="91" t="n"/>
      <c r="G182" s="89" t="n"/>
      <c r="H182" s="63" t="n"/>
      <c r="I182" s="63" t="n"/>
      <c r="J182" s="91" t="inlineStr">
        <is>
          <t>=</t>
        </is>
      </c>
      <c r="K182" s="70">
        <f>K110</f>
        <v/>
      </c>
      <c r="L182" s="63" t="inlineStr">
        <is>
          <t>Sqm</t>
        </is>
      </c>
    </row>
    <row r="183" ht="15" customFormat="1" customHeight="1" s="63">
      <c r="A183" s="118" t="n"/>
      <c r="B183" s="106" t="n"/>
      <c r="C183" s="142" t="n"/>
      <c r="D183" s="63" t="n"/>
      <c r="E183" s="70" t="n"/>
      <c r="F183" s="63" t="n"/>
      <c r="G183" s="89" t="inlineStr">
        <is>
          <t>Total</t>
        </is>
      </c>
      <c r="H183" s="63" t="n"/>
      <c r="I183" s="70" t="n"/>
      <c r="J183" s="63" t="n"/>
      <c r="K183" s="70">
        <f>SUM(K167:K167)</f>
        <v/>
      </c>
      <c r="L183" s="78" t="inlineStr">
        <is>
          <t>Sqm</t>
        </is>
      </c>
    </row>
    <row r="184" ht="15" customHeight="1" s="4">
      <c r="A184" s="118" t="n"/>
      <c r="B184" s="106" t="n"/>
      <c r="C184" s="142" t="n"/>
      <c r="D184" s="63" t="n"/>
      <c r="E184" s="70" t="n"/>
      <c r="F184" s="63" t="n"/>
      <c r="G184" s="89" t="n"/>
      <c r="H184" s="63" t="n"/>
      <c r="I184" s="70" t="n"/>
      <c r="J184" s="63" t="n"/>
      <c r="K184" s="70" t="n"/>
      <c r="L184" s="80" t="n"/>
    </row>
    <row r="185">
      <c r="A185" s="142">
        <f>A166+1</f>
        <v/>
      </c>
      <c r="B185" s="117" t="inlineStr">
        <is>
          <t>Colour  washing of all shades to give an even shade including all scaffolding: New work (two or more coats) with a base coat of white washing with lime.</t>
        </is>
      </c>
      <c r="C185" s="143" t="n"/>
      <c r="D185" s="63" t="n"/>
      <c r="E185" s="70" t="n"/>
      <c r="F185" s="91" t="n"/>
      <c r="G185" s="89" t="n"/>
      <c r="H185" s="63" t="n"/>
      <c r="I185" s="63" t="n"/>
      <c r="J185" s="63" t="n"/>
      <c r="K185" s="63" t="n"/>
    </row>
    <row r="186">
      <c r="A186" s="142" t="n"/>
      <c r="B186" s="117" t="inlineStr">
        <is>
          <t>Qty. of External Plaster</t>
        </is>
      </c>
      <c r="C186" s="127" t="n">
        <v>1</v>
      </c>
      <c r="D186" s="91" t="inlineStr">
        <is>
          <t>x</t>
        </is>
      </c>
      <c r="E186" s="123">
        <f>K114</f>
        <v/>
      </c>
      <c r="F186" s="270" t="n"/>
      <c r="G186" s="89" t="n"/>
      <c r="H186" s="63" t="n"/>
      <c r="I186" s="63" t="n"/>
      <c r="J186" s="91" t="inlineStr">
        <is>
          <t>=</t>
        </is>
      </c>
      <c r="K186" s="70">
        <f>K114</f>
        <v/>
      </c>
      <c r="L186" s="95" t="inlineStr">
        <is>
          <t>Sqm</t>
        </is>
      </c>
    </row>
    <row r="187">
      <c r="A187" s="118" t="n"/>
      <c r="B187" s="106" t="n"/>
      <c r="C187" s="142" t="n"/>
      <c r="D187" s="63" t="n"/>
      <c r="E187" s="70" t="n"/>
      <c r="F187" s="63" t="n"/>
      <c r="G187" s="89" t="inlineStr">
        <is>
          <t>Total</t>
        </is>
      </c>
      <c r="H187" s="63" t="n"/>
      <c r="I187" s="70" t="n"/>
      <c r="J187" s="63" t="n"/>
      <c r="K187" s="70">
        <f>SUM(K171:K171)</f>
        <v/>
      </c>
      <c r="L187" s="80" t="inlineStr">
        <is>
          <t>Sqm</t>
        </is>
      </c>
    </row>
    <row r="188">
      <c r="A188" s="142" t="n"/>
      <c r="B188" s="117" t="inlineStr"/>
      <c r="C188" s="143" t="n"/>
      <c r="D188" s="63" t="n"/>
      <c r="E188" s="70" t="n"/>
      <c r="F188" s="91" t="n"/>
      <c r="G188" s="89" t="n"/>
      <c r="H188" s="63" t="n"/>
      <c r="I188" s="63" t="n"/>
      <c r="J188" s="63" t="n"/>
      <c r="K188" s="63" t="n"/>
    </row>
    <row r="189">
      <c r="A189" s="142">
        <f>A170+1</f>
        <v/>
      </c>
      <c r="B189" s="106" t="inlineStr">
        <is>
          <t>Applying priming coat with ready mix pink or Grey primer of approved brand and manufacture on wood work hard and soft wood.</t>
        </is>
      </c>
      <c r="C189" s="143" t="n"/>
      <c r="D189" s="63" t="n"/>
      <c r="E189" s="70" t="n"/>
      <c r="F189" s="91" t="n"/>
      <c r="G189" s="89" t="n"/>
      <c r="H189" s="63" t="n"/>
      <c r="I189" s="63" t="n"/>
      <c r="J189" s="63" t="n"/>
      <c r="K189" s="63" t="n"/>
    </row>
    <row r="190">
      <c r="A190" s="118" t="n"/>
      <c r="B190" s="117" t="inlineStr">
        <is>
          <t>Double Leaf door shutters</t>
        </is>
      </c>
      <c r="C190" s="104">
        <f>K153</f>
        <v/>
      </c>
      <c r="D190" s="126" t="n"/>
      <c r="E190" s="123" t="n"/>
      <c r="F190" s="63" t="inlineStr">
        <is>
          <t>Sqm</t>
        </is>
      </c>
      <c r="G190" s="89" t="n"/>
      <c r="H190" s="91" t="inlineStr">
        <is>
          <t>@</t>
        </is>
      </c>
      <c r="I190" s="104" t="n">
        <v>2.25</v>
      </c>
      <c r="J190" s="79" t="inlineStr">
        <is>
          <t>=</t>
        </is>
      </c>
      <c r="K190" s="70">
        <f>C175*I175</f>
        <v/>
      </c>
      <c r="L190" s="91" t="inlineStr">
        <is>
          <t>Sqm</t>
        </is>
      </c>
    </row>
    <row r="191">
      <c r="A191" s="118" t="n"/>
      <c r="B191" s="117" t="inlineStr">
        <is>
          <t>Windows</t>
        </is>
      </c>
      <c r="C191" s="104">
        <f>K136</f>
        <v/>
      </c>
      <c r="D191" s="126" t="n"/>
      <c r="E191" s="123" t="n"/>
      <c r="F191" s="63" t="inlineStr">
        <is>
          <t>Sqm</t>
        </is>
      </c>
      <c r="G191" s="89" t="n"/>
      <c r="H191" s="91" t="inlineStr">
        <is>
          <t>@</t>
        </is>
      </c>
      <c r="I191" s="104" t="n">
        <v>2.6</v>
      </c>
      <c r="J191" s="79" t="inlineStr">
        <is>
          <t>=</t>
        </is>
      </c>
      <c r="K191" s="70">
        <f>C176*I176</f>
        <v/>
      </c>
      <c r="L191" s="91" t="inlineStr">
        <is>
          <t>Sqm</t>
        </is>
      </c>
    </row>
    <row r="192">
      <c r="A192" s="118" t="n"/>
      <c r="B192" s="117" t="n"/>
      <c r="C192" s="118" t="n"/>
      <c r="D192" s="63" t="n"/>
      <c r="E192" s="70" t="n"/>
      <c r="F192" s="63" t="n"/>
      <c r="G192" s="63" t="n"/>
      <c r="H192" s="63" t="n"/>
      <c r="I192" s="89" t="inlineStr">
        <is>
          <t>Total</t>
        </is>
      </c>
      <c r="J192" s="79" t="inlineStr">
        <is>
          <t>=</t>
        </is>
      </c>
      <c r="K192" s="105">
        <f>SUM(K175:K176)</f>
        <v/>
      </c>
      <c r="L192" s="96" t="inlineStr">
        <is>
          <t>Sqm</t>
        </is>
      </c>
    </row>
    <row r="193">
      <c r="A193" s="142" t="n"/>
      <c r="B193" s="106" t="n"/>
      <c r="C193" s="143" t="n"/>
      <c r="D193" s="63" t="n"/>
      <c r="E193" s="70" t="n"/>
      <c r="F193" s="91" t="n"/>
      <c r="G193" s="89" t="n"/>
      <c r="H193" s="63" t="n"/>
      <c r="I193" s="63" t="n"/>
      <c r="J193" s="63" t="n"/>
      <c r="K193" s="63" t="n"/>
    </row>
    <row r="194">
      <c r="A194" s="142">
        <f>A174+1</f>
        <v/>
      </c>
      <c r="B194" s="117" t="inlineStr">
        <is>
          <t>Painting with enamel paint of approved brand and manufacture to give an even shade two or more coats on new work.</t>
        </is>
      </c>
      <c r="C194" s="143" t="n"/>
      <c r="D194" s="63" t="n"/>
      <c r="E194" s="70" t="n"/>
      <c r="F194" s="91" t="n"/>
      <c r="G194" s="89" t="n"/>
      <c r="H194" s="63" t="n"/>
      <c r="I194" s="63" t="n"/>
      <c r="J194" s="63" t="n"/>
      <c r="K194" s="63" t="n"/>
    </row>
    <row r="195">
      <c r="A195" s="142" t="n"/>
      <c r="B195" s="106" t="inlineStr">
        <is>
          <t xml:space="preserve">Qty. of priming </t>
        </is>
      </c>
      <c r="C195" s="143" t="n"/>
      <c r="D195" s="63" t="n"/>
      <c r="E195" s="70" t="n"/>
      <c r="F195" s="91" t="n"/>
      <c r="G195" s="89" t="n"/>
      <c r="H195" s="63" t="n"/>
      <c r="I195" s="63" t="n"/>
      <c r="J195" s="63" t="n"/>
      <c r="K195" s="105">
        <f>K177</f>
        <v/>
      </c>
      <c r="L195" s="91" t="inlineStr">
        <is>
          <t>Sqm</t>
        </is>
      </c>
    </row>
    <row r="196">
      <c r="A196" s="142" t="n"/>
      <c r="B196" s="106" t="n"/>
      <c r="C196" s="143" t="n"/>
      <c r="D196" s="63" t="n"/>
      <c r="E196" s="70" t="n"/>
      <c r="F196" s="91" t="n"/>
      <c r="G196" s="89" t="n"/>
      <c r="H196" s="63" t="n"/>
      <c r="I196" s="63" t="n"/>
      <c r="J196" s="63" t="n"/>
      <c r="K196" s="105" t="n"/>
      <c r="L196" s="91" t="n"/>
    </row>
    <row r="197">
      <c r="A197" s="118" t="n"/>
      <c r="B197" s="106" t="n"/>
      <c r="C197" s="142" t="n"/>
      <c r="D197" s="91" t="n"/>
      <c r="E197" s="70" t="n"/>
      <c r="F197" s="91" t="n"/>
      <c r="G197" s="89" t="n"/>
      <c r="H197" s="63" t="n"/>
      <c r="I197" s="70" t="n"/>
      <c r="J197" s="79" t="n"/>
      <c r="K197" s="70" t="n"/>
      <c r="L197" s="80" t="n"/>
    </row>
    <row r="198">
      <c r="A198" s="118" t="n"/>
      <c r="B198" s="106" t="n"/>
      <c r="C198" s="271" t="inlineStr">
        <is>
          <t>CHARTERED   ENGINEER,</t>
        </is>
      </c>
      <c r="L198" s="80" t="n"/>
    </row>
    <row r="199">
      <c r="A199" s="142" t="n"/>
      <c r="B199" s="140">
        <f>GF1_ABS!D41</f>
        <v/>
      </c>
    </row>
    <row r="200">
      <c r="A200" s="142" t="n"/>
    </row>
  </sheetData>
  <mergeCells count="8">
    <mergeCell ref="C183:K183"/>
    <mergeCell ref="B184:K184"/>
    <mergeCell ref="C80:D80"/>
    <mergeCell ref="G143:H143"/>
    <mergeCell ref="C81:D81"/>
    <mergeCell ref="A1:L2"/>
    <mergeCell ref="A3:L3"/>
    <mergeCell ref="A4:L4"/>
  </mergeCells>
  <dataValidations count="3">
    <dataValidation sqref="A23 A28 A34 A39 A44 A49 A60:A61 A75 A78 A93 A96 A119 A123 A127 A155 A159 A162" showDropDown="0" showInputMessage="1" showErrorMessage="1" allowBlank="1" errorTitle="Invalid Entry" error="Only Numeric Values are allowed." type="decimal">
      <formula1>0</formula1>
      <formula2>999999999999999</formula2>
    </dataValidation>
    <dataValidation sqref="E96"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C96"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s>
  <printOptions horizontalCentered="1"/>
  <pageMargins left="0.75" right="0.75" top="0.76" bottom="1" header="0.5" footer="0.5"/>
  <pageSetup orientation="portrait" paperSize="9" scale="90" fitToHeight="11" horizontalDpi="180" verticalDpi="180"/>
  <headerFooter alignWithMargins="0">
    <oddHeader/>
    <oddFooter>&amp;Cmeasurements&amp;R&amp;P</oddFooter>
    <evenHeader/>
    <evenFooter/>
    <firstHeader/>
    <firstFooter/>
  </headerFooter>
  <rowBreaks count="2" manualBreakCount="2">
    <brk id="129" min="0" max="17" man="1"/>
    <brk id="136" min="0" max="16383" man="1"/>
  </rowBreaks>
</worksheet>
</file>

<file path=xl/worksheets/sheet4.xml><?xml version="1.0" encoding="utf-8"?>
<worksheet xmlns="http://schemas.openxmlformats.org/spreadsheetml/2006/main">
  <sheetPr>
    <outlinePr summaryBelow="1" summaryRight="1"/>
    <pageSetUpPr fitToPage="1"/>
  </sheetPr>
  <dimension ref="A1:I33"/>
  <sheetViews>
    <sheetView topLeftCell="A17" zoomScale="75" zoomScaleNormal="100" workbookViewId="0">
      <selection activeCell="C21" sqref="C21"/>
    </sheetView>
    <sheetView workbookViewId="1">
      <selection activeCell="A1" sqref="A1"/>
    </sheetView>
  </sheetViews>
  <sheetFormatPr baseColWidth="8" defaultRowHeight="15"/>
  <cols>
    <col width="8.77734375" customWidth="1" style="149" min="1" max="1"/>
    <col width="35" customWidth="1" style="259" min="2" max="2"/>
    <col width="7.6640625" bestFit="1" customWidth="1" style="147" min="3" max="3"/>
    <col width="6.109375" customWidth="1" style="241" min="4" max="4"/>
    <col width="8.5546875" customWidth="1" style="147" min="5" max="5"/>
    <col width="6.33203125" bestFit="1" customWidth="1" style="241" min="6" max="6"/>
    <col width="10.44140625" bestFit="1" customWidth="1" style="241" min="7" max="7"/>
    <col width="9.77734375" bestFit="1" customWidth="1" style="161" min="8" max="8"/>
    <col width="8.88671875" customWidth="1" style="161" min="9" max="16384"/>
  </cols>
  <sheetData>
    <row r="1">
      <c r="A1" s="175">
        <f>'[1]gen-abstract'!A2</f>
        <v/>
      </c>
    </row>
    <row r="2"/>
    <row r="3">
      <c r="A3" s="174" t="inlineStr">
        <is>
          <t xml:space="preserve">PART 'A'  CIVIL WORK BASEMENT, GROUND FLOOR </t>
        </is>
      </c>
    </row>
    <row r="4" ht="15.75" customHeight="1" s="4">
      <c r="A4" s="173" t="inlineStr">
        <is>
          <t>ABSTRACT OF COST</t>
        </is>
      </c>
    </row>
    <row r="5">
      <c r="A5" s="170" t="inlineStr">
        <is>
          <t>S.No.</t>
        </is>
      </c>
      <c r="B5" s="172" t="inlineStr">
        <is>
          <t>Particulars.</t>
        </is>
      </c>
      <c r="C5" s="171" t="inlineStr">
        <is>
          <t xml:space="preserve">Quantity </t>
        </is>
      </c>
      <c r="D5" s="170" t="n"/>
      <c r="E5" s="171" t="inlineStr">
        <is>
          <t>Rate</t>
        </is>
      </c>
      <c r="F5" s="170" t="inlineStr">
        <is>
          <t>Unit</t>
        </is>
      </c>
      <c r="G5" s="169" t="inlineStr">
        <is>
          <t>Amount</t>
        </is>
      </c>
    </row>
    <row r="6" ht="135" customHeight="1" s="4">
      <c r="A6" s="155" t="n">
        <v>1</v>
      </c>
      <c r="B6" s="159"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6" s="167">
        <f>FF_MES!K56</f>
        <v/>
      </c>
      <c r="D6" s="155" t="inlineStr">
        <is>
          <t>Cum</t>
        </is>
      </c>
      <c r="E6" s="155" t="n">
        <v>5185</v>
      </c>
      <c r="F6" s="155" t="inlineStr">
        <is>
          <t>P Cum</t>
        </is>
      </c>
      <c r="G6" s="155">
        <f>C6*E6</f>
        <v/>
      </c>
    </row>
    <row r="7" ht="210.75" customFormat="1" customHeight="1" s="166">
      <c r="A7" s="155">
        <f>LOOKUP(2,1/(A$1:A6&lt;&gt;""),A$1:A6)+1</f>
        <v/>
      </c>
      <c r="B7" s="168" t="inlineStr">
        <is>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M25 grade Nominal Mix /   Design Mix  </t>
        </is>
      </c>
      <c r="C7" s="167">
        <f>FF_MES!K60</f>
        <v/>
      </c>
      <c r="D7" s="155" t="inlineStr">
        <is>
          <t>Cum</t>
        </is>
      </c>
      <c r="E7" s="155" t="n">
        <v>5609</v>
      </c>
      <c r="F7" s="155" t="inlineStr">
        <is>
          <t>P Cum</t>
        </is>
      </c>
      <c r="G7" s="155">
        <f>C7*E7</f>
        <v/>
      </c>
    </row>
    <row r="8" ht="90" customHeight="1" s="4">
      <c r="A8" s="155">
        <f>LOOKUP(2,1/(A$1:A7&lt;&gt;""),A$1:A7)+1</f>
        <v/>
      </c>
      <c r="B8" s="159" t="inlineStr">
        <is>
          <t>Centering &amp; shuttering with ply wood or steel
sheets including shuttering , propping, barcing both waves with widen members and removal of form work up to floor three level for:</t>
        </is>
      </c>
      <c r="C8" s="155" t="n"/>
      <c r="D8" s="155" t="n"/>
      <c r="E8" s="155" t="n"/>
      <c r="F8" s="155" t="n"/>
      <c r="G8" s="155" t="n"/>
    </row>
    <row r="9" ht="75" customHeight="1" s="4">
      <c r="A9" s="155" t="n"/>
      <c r="B9" s="159" t="inlineStr">
        <is>
          <t>(A)    Suspended    floors,    roofs,    landings,
staircases, balconies, girders, cantilevers, bands , coping, bed plates, anchor blocks, sills, chhajjas lintel, beam etc.</t>
        </is>
      </c>
      <c r="C9" s="154">
        <f>FF_MES!K74</f>
        <v/>
      </c>
      <c r="D9" s="155" t="inlineStr">
        <is>
          <t>Sqm</t>
        </is>
      </c>
      <c r="E9" s="155" t="n">
        <v>340</v>
      </c>
      <c r="F9" s="155" t="inlineStr">
        <is>
          <t>P Sqm</t>
        </is>
      </c>
      <c r="G9" s="154">
        <f>C9*E9</f>
        <v/>
      </c>
    </row>
    <row r="10">
      <c r="A10" s="155" t="n"/>
      <c r="B10" s="159" t="inlineStr">
        <is>
          <t>(B) Columns, pillars, posts and struts etc.</t>
        </is>
      </c>
      <c r="C10" s="154">
        <f>FF_MES!K78</f>
        <v/>
      </c>
      <c r="D10" s="155" t="inlineStr">
        <is>
          <t>Sqm</t>
        </is>
      </c>
      <c r="E10" s="155" t="n">
        <v>375</v>
      </c>
      <c r="F10" s="155" t="inlineStr">
        <is>
          <t>P Sqm</t>
        </is>
      </c>
      <c r="G10" s="154">
        <f>C10*E10</f>
        <v/>
      </c>
    </row>
    <row r="11" ht="90" customHeight="1" s="4">
      <c r="A11" s="155">
        <f>LOOKUP(2,1/(A$1:A10&lt;&gt;""),A$1:A10)+1</f>
        <v/>
      </c>
      <c r="B11" s="159" t="inlineStr">
        <is>
          <t>Providing and fabricating reinforcement for R.C.C. work including straightening, cutting, bending, placing in position and binding (including cost of binding wire) all complete up to floor three level. Tremo Mechanically treated bars</t>
        </is>
      </c>
      <c r="C11" s="165">
        <f>FF_MES!K82</f>
        <v/>
      </c>
      <c r="D11" s="160" t="inlineStr">
        <is>
          <t>Kg</t>
        </is>
      </c>
      <c r="E11" s="155" t="n">
        <v>77</v>
      </c>
      <c r="F11" s="160" t="inlineStr">
        <is>
          <t>P Kg</t>
        </is>
      </c>
      <c r="G11" s="154">
        <f>C11*E11</f>
        <v/>
      </c>
    </row>
    <row r="12" ht="75" customHeight="1" s="4">
      <c r="A12" s="155">
        <f>LOOKUP(2,1/(A$1:A11&lt;&gt;""),A$1:A11)+1</f>
        <v/>
      </c>
      <c r="B12" s="159" t="inlineStr">
        <is>
          <t>Brick work with F.P.S. bricks of class designation 75 in superstructure above plinth level upto floor V level in all shapes and sizes in :  : Cement mortar 1 : 6 (1 cement : 6 coarse sand)</t>
        </is>
      </c>
      <c r="C12" s="154">
        <f>FF_MES!K93</f>
        <v/>
      </c>
      <c r="D12" s="160" t="inlineStr">
        <is>
          <t>Cum</t>
        </is>
      </c>
      <c r="E12" s="155" t="n">
        <v>4990</v>
      </c>
      <c r="F12" s="160" t="inlineStr">
        <is>
          <t>P Cum</t>
        </is>
      </c>
      <c r="G12" s="154">
        <f>C12*E12</f>
        <v/>
      </c>
    </row>
    <row r="13" ht="45" customFormat="1" customHeight="1" s="164">
      <c r="A13" s="155">
        <f>LOOKUP(2,1/(A$1:A12&lt;&gt;""),A$1:A12)+1</f>
        <v/>
      </c>
      <c r="B13" s="158" t="inlineStr">
        <is>
          <t>Plaster on new surface on walls in cement sand mortar 1:6 including raking of joints etc. complete fine finished : 20 mm thick.</t>
        </is>
      </c>
      <c r="C13" s="154">
        <f>FF_MES!K112</f>
        <v/>
      </c>
      <c r="D13" s="155" t="inlineStr">
        <is>
          <t>Sqm</t>
        </is>
      </c>
      <c r="E13" s="154" t="n">
        <v>190</v>
      </c>
      <c r="F13" s="157" t="inlineStr">
        <is>
          <t>P Sqm</t>
        </is>
      </c>
      <c r="G13" s="154">
        <f>IF(C13,ROUNDUP(C13*E13,0),"")</f>
        <v/>
      </c>
    </row>
    <row r="14" ht="30" customHeight="1" s="4">
      <c r="A14" s="155">
        <f>LOOKUP(2,1/(A$1:A13&lt;&gt;""),A$1:A13)+1</f>
        <v/>
      </c>
      <c r="B14" s="159" t="inlineStr">
        <is>
          <t>6 mm cement plaster to ceiling of mix 1 : 3 ( 1 cement : 3 fine - sand )</t>
        </is>
      </c>
      <c r="C14" s="154">
        <f>FF_MES!K117</f>
        <v/>
      </c>
      <c r="D14" s="155" t="inlineStr">
        <is>
          <t>Sqm</t>
        </is>
      </c>
      <c r="E14" s="154" t="n">
        <v>139</v>
      </c>
      <c r="F14" s="155" t="inlineStr">
        <is>
          <t>P Sqm</t>
        </is>
      </c>
      <c r="G14" s="155">
        <f>IF(C14,ROUNDUP(C14*E14,0),"")</f>
        <v/>
      </c>
    </row>
    <row r="15" ht="30" customHeight="1" s="4">
      <c r="A15" s="155">
        <f>LOOKUP(2,1/(A$1:A14&lt;&gt;""),A$1:A14)+1</f>
        <v/>
      </c>
      <c r="B15" s="159" t="inlineStr">
        <is>
          <t>Making grooves as per design in plaster 10mm to 20mm wide.</t>
        </is>
      </c>
      <c r="C15" s="154">
        <f>FF_MES!K121</f>
        <v/>
      </c>
      <c r="D15" s="155" t="inlineStr">
        <is>
          <t>RM</t>
        </is>
      </c>
      <c r="E15" s="154" t="n">
        <v>7</v>
      </c>
      <c r="F15" s="155" t="inlineStr">
        <is>
          <t>P RM</t>
        </is>
      </c>
      <c r="G15" s="155">
        <f>IF(C15,ROUNDUP(C15*E15,0),"")</f>
        <v/>
      </c>
    </row>
    <row r="16" ht="45" customHeight="1" s="4">
      <c r="A16" s="155">
        <f>LOOKUP(2,1/(A$1:A15&lt;&gt;""),A$1:A15)+1</f>
        <v/>
      </c>
      <c r="B16" s="159" t="inlineStr">
        <is>
          <t>Applying plaster of Paris or lime putty sandala over cement plaster surface for making even surface.</t>
        </is>
      </c>
      <c r="C16" s="154">
        <f>FF_MES!K124</f>
        <v/>
      </c>
      <c r="D16" s="155" t="inlineStr">
        <is>
          <t>Sqm</t>
        </is>
      </c>
      <c r="E16" s="154" t="n">
        <v>84</v>
      </c>
      <c r="F16" s="155" t="inlineStr">
        <is>
          <t>P Sqm</t>
        </is>
      </c>
      <c r="G16" s="155">
        <f>IF(C16,ROUNDUP(C16*E16,0),"")</f>
        <v/>
      </c>
    </row>
    <row r="17" ht="210" customHeight="1" s="4">
      <c r="A17" s="155">
        <f>LOOKUP(2,1/(A$1:A16&lt;&gt;""),A$1:A16)+1</f>
        <v/>
      </c>
      <c r="B17" s="159"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7" s="154">
        <f>FF_MES!K128</f>
        <v/>
      </c>
      <c r="D17" s="160" t="inlineStr">
        <is>
          <t>Kg</t>
        </is>
      </c>
      <c r="E17" s="155" t="n">
        <v>83</v>
      </c>
      <c r="F17" s="160" t="inlineStr">
        <is>
          <t>P Kg</t>
        </is>
      </c>
      <c r="G17" s="154">
        <f>C17*E17</f>
        <v/>
      </c>
    </row>
    <row r="18" ht="315" customFormat="1" customHeight="1" s="163">
      <c r="A18" s="155">
        <f>LOOKUP(2,1/(A$1:A17&lt;&gt;""),A$1:A17)+1</f>
        <v/>
      </c>
      <c r="B18" s="159" t="inlineStr">
        <is>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is>
      </c>
      <c r="C18" s="154">
        <f>FF_MES!K131</f>
        <v/>
      </c>
      <c r="D18" s="160" t="inlineStr">
        <is>
          <t>Sqm</t>
        </is>
      </c>
      <c r="E18" s="155" t="n">
        <v>3090</v>
      </c>
      <c r="F18" s="157" t="inlineStr">
        <is>
          <t>P Sqm</t>
        </is>
      </c>
      <c r="G18" s="154">
        <f>C18*E18</f>
        <v/>
      </c>
    </row>
    <row r="19" ht="75" customFormat="1" customHeight="1" s="163">
      <c r="A19" s="155">
        <f>LOOKUP(2,1/(A$1:A18&lt;&gt;""),A$1:A18)+1</f>
        <v/>
      </c>
      <c r="B19" s="159" t="inlineStr">
        <is>
          <t>Supplying and fixing fixed wire gauge of 14 mesh x 24 gauge to the metal frame of rolled section by metal beading 20x3mm with suitable screw at not exceeding 150 mm distance.</t>
        </is>
      </c>
      <c r="C19" s="154">
        <f>FF_MES!K138</f>
        <v/>
      </c>
      <c r="D19" s="160" t="inlineStr">
        <is>
          <t>Sqm</t>
        </is>
      </c>
      <c r="E19" s="155" t="n">
        <v>617</v>
      </c>
      <c r="F19" s="155" t="inlineStr">
        <is>
          <t>P Sqm</t>
        </is>
      </c>
      <c r="G19" s="154">
        <f>C19*E19</f>
        <v/>
      </c>
    </row>
    <row r="20" ht="30" customFormat="1" customHeight="1" s="161">
      <c r="A20" s="155">
        <f>LOOKUP(2,1/(A$1:A19&lt;&gt;""),A$1:A19)+1</f>
        <v/>
      </c>
      <c r="B20" s="159" t="inlineStr">
        <is>
          <t>Providing and fixing Square bars or other flat welded to window, ventilators etc.</t>
        </is>
      </c>
      <c r="C20" s="154">
        <f>FF_MES!K135</f>
        <v/>
      </c>
      <c r="D20" s="160" t="inlineStr">
        <is>
          <t>Kg</t>
        </is>
      </c>
      <c r="E20" s="155" t="n">
        <v>65</v>
      </c>
      <c r="F20" s="155" t="inlineStr">
        <is>
          <t>P Kg</t>
        </is>
      </c>
      <c r="G20" s="154">
        <f>C20*E20</f>
        <v/>
      </c>
      <c r="I20" s="162" t="n"/>
    </row>
    <row r="21" ht="105" customHeight="1" s="4">
      <c r="A21" s="155">
        <f>LOOKUP(2,1/(A$1:A20&lt;&gt;""),A$1:A20)+1</f>
        <v/>
      </c>
      <c r="B21" s="159"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21" s="154">
        <f>FF_MES!K141</f>
        <v/>
      </c>
      <c r="D21" s="160" t="inlineStr">
        <is>
          <t>Sqm</t>
        </is>
      </c>
      <c r="E21" s="155" t="n">
        <v>1023</v>
      </c>
      <c r="F21" s="155" t="inlineStr">
        <is>
          <t>P Sqm</t>
        </is>
      </c>
      <c r="G21" s="154">
        <f>C21*E21</f>
        <v/>
      </c>
    </row>
    <row r="22" ht="45" customHeight="1" s="4">
      <c r="A22" s="155">
        <f>LOOKUP(2,1/(A$1:A21&lt;&gt;""),A$1:A21)+1</f>
        <v/>
      </c>
      <c r="B22" s="159" t="inlineStr">
        <is>
          <t>White washing with lime to give an even shade including all scaffolding: New work (two or more coats).</t>
        </is>
      </c>
      <c r="C22" s="154">
        <f>FF_MES!K163</f>
        <v/>
      </c>
      <c r="D22" s="155" t="inlineStr">
        <is>
          <t>Sqm</t>
        </is>
      </c>
      <c r="E22" s="154" t="n">
        <v>11</v>
      </c>
      <c r="F22" s="157" t="inlineStr">
        <is>
          <t>P Sqm</t>
        </is>
      </c>
      <c r="G22" s="154">
        <f>C22*E22</f>
        <v/>
      </c>
    </row>
    <row r="23" ht="60" customHeight="1" s="4">
      <c r="A23" s="155">
        <f>LOOKUP(2,1/(A$1:A22&lt;&gt;""),A$1:A22)+1</f>
        <v/>
      </c>
      <c r="B23" s="158" t="inlineStr">
        <is>
          <t>Colour  washing of all shades to give an even shade including all scaffolding: New work (two or more coats) with a base coat of white washing with lime.</t>
        </is>
      </c>
      <c r="C23" s="154">
        <f>FF_MES!K167</f>
        <v/>
      </c>
      <c r="D23" s="155" t="inlineStr">
        <is>
          <t>Sqm</t>
        </is>
      </c>
      <c r="E23" s="154" t="n">
        <v>14</v>
      </c>
      <c r="F23" s="157" t="inlineStr">
        <is>
          <t>P Sqm</t>
        </is>
      </c>
      <c r="G23" s="154">
        <f>C23*E23</f>
        <v/>
      </c>
    </row>
    <row r="24" ht="60" customHeight="1" s="4">
      <c r="A24" s="155">
        <f>LOOKUP(2,1/(A$1:A23&lt;&gt;""),A$1:A23)+1</f>
        <v/>
      </c>
      <c r="B24" s="159" t="inlineStr">
        <is>
          <t>Applying priming coat with ready mix pink or Grey primer of approved brand and manufacture on wood work hard and soft wood.</t>
        </is>
      </c>
      <c r="C24" s="154">
        <f>FF_MES!K172</f>
        <v/>
      </c>
      <c r="D24" s="155" t="inlineStr">
        <is>
          <t>Sqm</t>
        </is>
      </c>
      <c r="E24" s="154" t="n">
        <v>29</v>
      </c>
      <c r="F24" s="157" t="inlineStr">
        <is>
          <t>P Sqm</t>
        </is>
      </c>
      <c r="G24" s="154">
        <f>C24*E24</f>
        <v/>
      </c>
    </row>
    <row r="25" ht="45" customHeight="1" s="4">
      <c r="A25" s="155">
        <f>LOOKUP(2,1/(A$1:A24&lt;&gt;""),A$1:A24)+1</f>
        <v/>
      </c>
      <c r="B25" s="158" t="inlineStr">
        <is>
          <t>Painting with enamel paint of approved brand and manufacture to give an even shade two or more coats on new work.</t>
        </is>
      </c>
      <c r="C25" s="154">
        <f>FF_MES!K175</f>
        <v/>
      </c>
      <c r="D25" s="155" t="inlineStr">
        <is>
          <t>Sqm</t>
        </is>
      </c>
      <c r="E25" s="154" t="n">
        <v>69</v>
      </c>
      <c r="F25" s="157" t="inlineStr">
        <is>
          <t>P Sqm</t>
        </is>
      </c>
      <c r="G25" s="154">
        <f>C25*E25</f>
        <v/>
      </c>
    </row>
    <row r="26" ht="105" customHeight="1" s="4">
      <c r="A26" s="155">
        <f>LOOKUP(2,1/(A$1:A25&lt;&gt;""),A$1:A25)+1</f>
        <v/>
      </c>
      <c r="B26" s="159" t="inlineStr">
        <is>
          <t xml:space="preserve">Providing, hoisting and fixing up to floor five level precast reinforced concrete work in Nominal M20 grade mix including cost of required centering, shuttering, finishing, smooth with 6 mm thick cement plaster 1:3 (1 cement: 3 fine sand) on exposed surface complete excluding cost of reinforcement </t>
        </is>
      </c>
      <c r="C26" s="154" t="n"/>
      <c r="D26" s="155" t="n"/>
      <c r="E26" s="154" t="n"/>
      <c r="F26" s="155" t="n"/>
      <c r="G26" s="154" t="n"/>
    </row>
    <row r="27" ht="30" customHeight="1" s="4">
      <c r="A27" s="260" t="n"/>
      <c r="B27" s="159" t="inlineStr">
        <is>
          <t>String courses, copings, bed plates, anchor blocks, plain window sills etc</t>
        </is>
      </c>
      <c r="C27" s="154">
        <f>FF_MES!K178</f>
        <v/>
      </c>
      <c r="D27" s="155" t="inlineStr">
        <is>
          <t>Cum</t>
        </is>
      </c>
      <c r="E27" s="154" t="n">
        <v>7030</v>
      </c>
      <c r="F27" s="155" t="inlineStr">
        <is>
          <t>P Cum</t>
        </is>
      </c>
      <c r="G27" s="154">
        <f>C27*E27</f>
        <v/>
      </c>
    </row>
    <row r="28" ht="105" customHeight="1" s="4">
      <c r="A28" s="155">
        <f>LOOKUP(2,1/(A$1:A26&lt;&gt;""),A$1:A26)+1</f>
        <v/>
      </c>
      <c r="B28" s="159" t="inlineStr">
        <is>
          <t>Grading roof  water proofing treatment with  :
Cement concrete 1:2:4 (1-Cement:2-coarse sand  :4-graded  stone  aggregate  20mm nominal size).with water proofing compound as per manufacturers specification</t>
        </is>
      </c>
      <c r="C28" s="154">
        <f>FF_MES!K181</f>
        <v/>
      </c>
      <c r="D28" s="155" t="inlineStr">
        <is>
          <t>Cum</t>
        </is>
      </c>
      <c r="E28" s="154" t="n">
        <v>4483</v>
      </c>
      <c r="F28" s="155" t="inlineStr">
        <is>
          <t>P Cum</t>
        </is>
      </c>
      <c r="G28" s="154">
        <f>C28*E28</f>
        <v/>
      </c>
    </row>
    <row r="29" ht="60" customHeight="1" s="4">
      <c r="A29" s="155">
        <f>LOOKUP(2,1/(A$1:A28&lt;&gt;""),A$1:A28)+1</f>
        <v/>
      </c>
      <c r="B29" s="159" t="inlineStr">
        <is>
          <t>Providing  batta   (gola)   75mm   x   75mm   in .cement concrete (1:2:4) including finished with cement mortar 1:3 as per standard design.</t>
        </is>
      </c>
      <c r="C29" s="154">
        <f>FF_MES!K186</f>
        <v/>
      </c>
      <c r="D29" s="155" t="inlineStr">
        <is>
          <t>Mtr</t>
        </is>
      </c>
      <c r="E29" s="154" t="n">
        <v>111</v>
      </c>
      <c r="F29" s="155" t="inlineStr">
        <is>
          <t>P RM</t>
        </is>
      </c>
      <c r="G29" s="154">
        <f>C29*E29</f>
        <v/>
      </c>
    </row>
    <row r="30">
      <c r="C30" s="241" t="n"/>
      <c r="E30" s="153" t="inlineStr">
        <is>
          <t xml:space="preserve">Total </t>
        </is>
      </c>
      <c r="F30" s="153" t="inlineStr">
        <is>
          <t>Rs.</t>
        </is>
      </c>
      <c r="G30" s="153">
        <f>SUM(G1:G29)</f>
        <v/>
      </c>
    </row>
    <row r="31">
      <c r="C31" s="241" t="n"/>
      <c r="F31" s="147" t="n"/>
      <c r="G31" s="147" t="n"/>
    </row>
    <row r="32" ht="15.75" customHeight="1" s="4">
      <c r="A32" s="152" t="n"/>
      <c r="B32" s="151" t="n"/>
      <c r="C32" s="241" t="n"/>
      <c r="D32" s="150" t="inlineStr">
        <is>
          <t>CHARTERED   ENGINEER,</t>
        </is>
      </c>
      <c r="E32" s="241" t="n"/>
      <c r="F32" s="150" t="n"/>
      <c r="G32" s="150" t="n"/>
    </row>
    <row r="33" ht="15.75" customHeight="1" s="4">
      <c r="A33" s="152" t="n"/>
      <c r="B33" s="151" t="n"/>
      <c r="C33" s="241" t="n"/>
      <c r="D33" s="150" t="inlineStr">
        <is>
          <t>RKS TECHNO-LEGAL CONSULTANTS, UDAIPUR</t>
        </is>
      </c>
      <c r="E33" s="241" t="n"/>
      <c r="F33" s="150" t="n"/>
      <c r="G33" s="150" t="n"/>
    </row>
  </sheetData>
  <mergeCells count="3">
    <mergeCell ref="A3:G3"/>
    <mergeCell ref="A4:G4"/>
    <mergeCell ref="A1:G2"/>
  </mergeCells>
  <dataValidations count="4">
    <dataValidation sqref="A6:A26 A28:A29" showDropDown="0" showInputMessage="1" showErrorMessage="1" allowBlank="1" errorTitle="Invalid Entry" error="Only Numeric Values are allowed." type="decimal">
      <formula1>0</formula1>
      <formula2>999999999999999</formula2>
    </dataValidation>
    <dataValidation sqref="E11:E12 E18:E19 E20:E21" showDropDown="0" showInputMessage="1" showErrorMessage="1" allowBlank="1" errorTitle="Invalid Entry" error="Only Numeric Values are allowed. " promptTitle="Estimated Rate" prompt="Please enter the Estimated Rate for this item. " type="decimal">
      <formula1>0</formula1>
      <formula2>999999999999999</formula2>
    </dataValidation>
    <dataValidation sqref="C17 E17" showDropDown="0" showInputMessage="1" showErrorMessage="1" allowBlank="1" errorTitle="Invalid Entry" error="Only Numeric Values are allowed. " type="decimal">
      <formula1>0</formula1>
      <formula2>999999999999999</formula2>
    </dataValidation>
    <dataValidation sqref="C11:C13 C18:C19 C20:C21" showDropDown="0" showInputMessage="1" showErrorMessage="1" allowBlank="1" errorTitle="Invalid Entry" error="Only Numeric Values are allowed. " promptTitle="Quantity" prompt="Please enter the Quantity for this item. " type="decimal">
      <formula1>0</formula1>
      <formula2>999999999999999</formula2>
    </dataValidation>
  </dataValidations>
  <printOptions horizontalCentered="1"/>
  <pageMargins left="0.75" right="0.75" top="0.76" bottom="1" header="0.5" footer="0.5"/>
  <pageSetup orientation="portrait" paperSize="9" scale="87" fitToHeight="22" horizontalDpi="180" verticalDpi="180"/>
  <headerFooter alignWithMargins="0">
    <oddHeader/>
    <oddFooter>&amp;C&amp;A&amp;R&amp;P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191"/>
  <sheetViews>
    <sheetView topLeftCell="A145" zoomScaleNormal="75" zoomScaleSheetLayoutView="75" workbookViewId="0">
      <selection activeCell="E146" sqref="E146"/>
    </sheetView>
    <sheetView workbookViewId="1">
      <selection activeCell="A1" sqref="A1"/>
    </sheetView>
  </sheetViews>
  <sheetFormatPr baseColWidth="8" defaultRowHeight="14.25"/>
  <cols>
    <col width="3.88671875" bestFit="1" customWidth="1" style="201" min="1" max="1"/>
    <col width="33" customWidth="1" style="211" min="2" max="2"/>
    <col width="4.77734375" bestFit="1" customWidth="1" style="252" min="3" max="3"/>
    <col width="1.5546875" customWidth="1" style="183" min="4" max="4"/>
    <col width="6.44140625" bestFit="1" customWidth="1" style="189" min="5" max="5"/>
    <col width="1.88671875" customWidth="1" style="183" min="6" max="6"/>
    <col width="5.88671875" customWidth="1" style="187" min="7" max="7"/>
    <col width="4" customWidth="1" style="183" min="8" max="8"/>
    <col width="3.77734375" customWidth="1" style="189" min="9" max="9"/>
    <col width="3.21875" bestFit="1" customWidth="1" style="183" min="10" max="10"/>
    <col width="7" customWidth="1" style="189" min="11" max="11"/>
    <col width="4.44140625" bestFit="1" customWidth="1" style="183" min="12" max="12"/>
    <col width="8.88671875" customWidth="1" style="183" min="13" max="16384"/>
  </cols>
  <sheetData>
    <row r="1" customFormat="1" s="183">
      <c r="A1" s="253">
        <f>'[1]gen-abstract'!A2</f>
        <v/>
      </c>
    </row>
    <row r="2" customFormat="1" s="183"/>
    <row r="3" ht="15" customFormat="1" customHeight="1" s="183">
      <c r="A3" s="184" t="inlineStr">
        <is>
          <t xml:space="preserve">PART 'A'  CIVIL WORK FIRST  FLOOR </t>
        </is>
      </c>
    </row>
    <row r="4" customFormat="1" s="183">
      <c r="A4" s="252" t="inlineStr">
        <is>
          <t>DETAILS OF MEASUREMENTS</t>
        </is>
      </c>
    </row>
    <row r="5" customFormat="1" s="252">
      <c r="A5" s="262" t="inlineStr">
        <is>
          <t>S.N.</t>
        </is>
      </c>
      <c r="B5" s="263" t="inlineStr">
        <is>
          <t>Particulars</t>
        </is>
      </c>
      <c r="C5" s="262" t="inlineStr">
        <is>
          <t>Nos.</t>
        </is>
      </c>
      <c r="D5" s="262" t="n"/>
      <c r="E5" s="250" t="inlineStr">
        <is>
          <t>Length</t>
        </is>
      </c>
      <c r="F5" s="251" t="n"/>
      <c r="G5" s="250" t="inlineStr">
        <is>
          <t xml:space="preserve">Breadth </t>
        </is>
      </c>
      <c r="H5" s="250" t="n"/>
      <c r="I5" s="250" t="inlineStr">
        <is>
          <t>Height</t>
        </is>
      </c>
      <c r="J5" s="250" t="n"/>
      <c r="K5" s="250" t="inlineStr">
        <is>
          <t>Qty.</t>
        </is>
      </c>
      <c r="L5" s="250" t="inlineStr">
        <is>
          <t>Units</t>
        </is>
      </c>
    </row>
    <row r="6" customFormat="1" s="183">
      <c r="A6" s="252" t="n"/>
      <c r="B6" s="264" t="inlineStr">
        <is>
          <t>Center to center distances</t>
        </is>
      </c>
      <c r="C6" s="240" t="n"/>
      <c r="D6" s="183" t="n"/>
      <c r="E6" s="189" t="n"/>
      <c r="G6" s="187" t="n"/>
    </row>
    <row r="7" ht="15" customFormat="1" customHeight="1" s="183">
      <c r="A7" s="252" t="n"/>
      <c r="B7" s="236" t="inlineStr">
        <is>
          <t xml:space="preserve">Ground Floor </t>
        </is>
      </c>
      <c r="C7" s="240" t="n"/>
      <c r="D7" s="183" t="n"/>
      <c r="E7" s="189" t="n"/>
      <c r="G7" s="187" t="n"/>
    </row>
    <row r="8" ht="30" customFormat="1" customHeight="1" s="183">
      <c r="A8" s="252" t="n"/>
      <c r="B8" s="236" t="inlineStr">
        <is>
          <t xml:space="preserve"> Main walls 230 mm th. in x and Y Direction</t>
        </is>
      </c>
      <c r="C8" s="240" t="n"/>
      <c r="D8" s="183" t="n"/>
      <c r="E8" s="189" t="n"/>
      <c r="G8" s="187" t="n"/>
    </row>
    <row r="9" ht="15" customFormat="1" customHeight="1" s="183">
      <c r="A9" s="185" t="n"/>
      <c r="B9" s="211" t="n"/>
      <c r="C9" s="252" t="n">
        <v>2</v>
      </c>
      <c r="D9" s="183" t="inlineStr">
        <is>
          <t>x</t>
        </is>
      </c>
      <c r="E9" s="261" t="n">
        <v>6</v>
      </c>
      <c r="G9" s="187" t="n"/>
      <c r="I9" s="189" t="n"/>
      <c r="J9" s="224" t="inlineStr">
        <is>
          <t>=</t>
        </is>
      </c>
      <c r="K9" s="189">
        <f>IF(C9,C9*E9,"")</f>
        <v/>
      </c>
      <c r="L9" s="201" t="inlineStr">
        <is>
          <t>RM</t>
        </is>
      </c>
      <c r="M9" s="189" t="n"/>
    </row>
    <row r="10" ht="15" customFormat="1" customHeight="1" s="183">
      <c r="A10" s="185" t="n"/>
      <c r="B10" s="183" t="n"/>
      <c r="C10" s="252" t="n">
        <v>2</v>
      </c>
      <c r="D10" s="183" t="inlineStr">
        <is>
          <t>x</t>
        </is>
      </c>
      <c r="E10" s="261" t="n">
        <v>15</v>
      </c>
      <c r="G10" s="187" t="n"/>
      <c r="I10" s="189" t="n"/>
      <c r="J10" s="224" t="inlineStr">
        <is>
          <t>=</t>
        </is>
      </c>
      <c r="K10" s="189">
        <f>IF(C10,C10*E10,"")</f>
        <v/>
      </c>
      <c r="L10" s="201" t="inlineStr">
        <is>
          <t>RM</t>
        </is>
      </c>
      <c r="M10" s="189" t="n"/>
    </row>
    <row r="11" customFormat="1" s="183">
      <c r="A11" s="185" t="n"/>
      <c r="B11" s="211" t="n"/>
      <c r="C11" s="252" t="n"/>
      <c r="D11" s="183" t="n"/>
      <c r="E11" s="189" t="n"/>
      <c r="G11" s="187" t="n"/>
      <c r="I11" s="209" t="inlineStr">
        <is>
          <t>TOTAL</t>
        </is>
      </c>
      <c r="J11" s="196" t="inlineStr">
        <is>
          <t>=</t>
        </is>
      </c>
      <c r="K11" s="209">
        <f>SUM(K9:K10)</f>
        <v/>
      </c>
      <c r="L11" s="208" t="inlineStr">
        <is>
          <t>RM</t>
        </is>
      </c>
    </row>
    <row r="12" customFormat="1" s="183">
      <c r="A12" s="185" t="n"/>
      <c r="B12" s="211" t="n"/>
      <c r="C12" s="252" t="n"/>
      <c r="D12" s="183" t="n"/>
      <c r="E12" s="189" t="n"/>
      <c r="G12" s="187" t="n"/>
      <c r="I12" s="189" t="n"/>
      <c r="J12" s="224" t="n"/>
      <c r="K12" s="189" t="n"/>
      <c r="L12" s="201" t="n"/>
    </row>
    <row r="13" ht="15" customFormat="1" customHeight="1" s="183">
      <c r="A13" s="252" t="n"/>
      <c r="B13" s="236" t="inlineStr">
        <is>
          <t>PARAPET WALL 230 MM</t>
        </is>
      </c>
      <c r="C13" s="240" t="n"/>
      <c r="D13" s="183" t="n"/>
      <c r="E13" s="189" t="n"/>
      <c r="G13" s="187" t="n"/>
    </row>
    <row r="14" customFormat="1" s="183">
      <c r="A14" s="185" t="n"/>
      <c r="B14" s="211" t="inlineStr">
        <is>
          <t>Back Side</t>
        </is>
      </c>
      <c r="C14" s="252" t="n">
        <v>1</v>
      </c>
      <c r="D14" s="183" t="inlineStr">
        <is>
          <t>x</t>
        </is>
      </c>
      <c r="E14" s="189">
        <f>K11</f>
        <v/>
      </c>
      <c r="G14" s="187" t="n"/>
      <c r="I14" s="189" t="n"/>
      <c r="J14" s="224" t="inlineStr">
        <is>
          <t>=</t>
        </is>
      </c>
      <c r="K14" s="189">
        <f>IF(C14,C14*E14,"")</f>
        <v/>
      </c>
      <c r="L14" s="201" t="inlineStr">
        <is>
          <t>RM</t>
        </is>
      </c>
    </row>
    <row r="15" customFormat="1" s="183">
      <c r="A15" s="185" t="n"/>
      <c r="B15" s="211" t="n"/>
      <c r="C15" s="252" t="n"/>
      <c r="D15" s="183" t="n"/>
      <c r="E15" s="189" t="n"/>
      <c r="G15" s="187" t="n"/>
      <c r="I15" s="209" t="inlineStr">
        <is>
          <t>TOTAL</t>
        </is>
      </c>
      <c r="J15" s="196" t="inlineStr">
        <is>
          <t>=</t>
        </is>
      </c>
      <c r="K15" s="209">
        <f>SUM(K14:K14)</f>
        <v/>
      </c>
      <c r="L15" s="208" t="inlineStr">
        <is>
          <t>RM</t>
        </is>
      </c>
    </row>
    <row r="16" ht="30" customFormat="1" customHeight="1" s="183">
      <c r="A16" s="252" t="n"/>
      <c r="B16" s="236" t="inlineStr">
        <is>
          <t xml:space="preserve"> Brick Partition walls in X and Y Direction</t>
        </is>
      </c>
      <c r="C16" s="240" t="n"/>
      <c r="D16" s="183" t="n"/>
      <c r="E16" s="189" t="n"/>
      <c r="G16" s="187" t="n"/>
    </row>
    <row r="17" ht="15" customFormat="1" customHeight="1" s="183">
      <c r="A17" s="185" t="n"/>
      <c r="B17" s="211" t="inlineStr">
        <is>
          <t>Office</t>
        </is>
      </c>
      <c r="C17" s="252" t="n">
        <v>1</v>
      </c>
      <c r="D17" s="183" t="inlineStr">
        <is>
          <t>x</t>
        </is>
      </c>
      <c r="E17" s="189" t="n">
        <v>2.7</v>
      </c>
      <c r="F17" s="164" t="n"/>
      <c r="G17" s="187" t="n"/>
      <c r="I17" s="189" t="n"/>
      <c r="J17" s="224" t="inlineStr">
        <is>
          <t>=</t>
        </is>
      </c>
      <c r="K17" s="189">
        <f>IF(C17,C17*E17,"")</f>
        <v/>
      </c>
      <c r="L17" s="201" t="inlineStr">
        <is>
          <t>RM</t>
        </is>
      </c>
    </row>
    <row r="18" ht="15" customFormat="1" customHeight="1" s="183">
      <c r="A18" s="185" t="n"/>
      <c r="B18" s="211" t="n"/>
      <c r="C18" s="252" t="n">
        <v>1</v>
      </c>
      <c r="D18" s="183" t="inlineStr">
        <is>
          <t>x</t>
        </is>
      </c>
      <c r="E18" s="189" t="n">
        <v>1.2</v>
      </c>
      <c r="F18" s="164" t="n"/>
      <c r="G18" s="187" t="n"/>
      <c r="I18" s="189" t="n"/>
      <c r="J18" s="224" t="inlineStr">
        <is>
          <t>=</t>
        </is>
      </c>
      <c r="K18" s="189">
        <f>IF(C18,C18*E18,"")</f>
        <v/>
      </c>
      <c r="L18" s="201" t="inlineStr">
        <is>
          <t>RM</t>
        </is>
      </c>
    </row>
    <row r="19" ht="15" customFormat="1" customHeight="1" s="183">
      <c r="A19" s="185" t="n"/>
      <c r="B19" s="211" t="inlineStr">
        <is>
          <t>Toilet</t>
        </is>
      </c>
      <c r="C19" s="252" t="n">
        <v>1</v>
      </c>
      <c r="D19" s="183" t="inlineStr">
        <is>
          <t>x</t>
        </is>
      </c>
      <c r="E19" s="189" t="n">
        <v>3.6</v>
      </c>
      <c r="F19" s="164" t="n"/>
      <c r="G19" s="187" t="n"/>
      <c r="I19" s="189" t="n"/>
      <c r="J19" s="224" t="inlineStr">
        <is>
          <t>=</t>
        </is>
      </c>
      <c r="K19" s="189">
        <f>IF(C19,C19*E19,"")</f>
        <v/>
      </c>
      <c r="L19" s="201" t="inlineStr">
        <is>
          <t>RM</t>
        </is>
      </c>
    </row>
    <row r="20" ht="15" customFormat="1" customHeight="1" s="183">
      <c r="A20" s="185" t="n"/>
      <c r="B20" s="211" t="n"/>
      <c r="C20" s="252" t="n">
        <v>2</v>
      </c>
      <c r="D20" s="183" t="inlineStr">
        <is>
          <t>x</t>
        </is>
      </c>
      <c r="E20" s="189" t="n">
        <v>2.1</v>
      </c>
      <c r="F20" s="164" t="n"/>
      <c r="G20" s="187" t="n"/>
      <c r="I20" s="189" t="n"/>
      <c r="J20" s="224" t="inlineStr">
        <is>
          <t>=</t>
        </is>
      </c>
      <c r="K20" s="189">
        <f>IF(C20,C20*E20,"")</f>
        <v/>
      </c>
      <c r="L20" s="201" t="inlineStr">
        <is>
          <t>RM</t>
        </is>
      </c>
    </row>
    <row r="21" customFormat="1" s="183">
      <c r="A21" s="185" t="n"/>
      <c r="B21" s="211" t="n"/>
      <c r="C21" s="252" t="n"/>
      <c r="D21" s="183" t="n"/>
      <c r="E21" s="189" t="n"/>
      <c r="G21" s="187" t="n"/>
      <c r="I21" s="197" t="inlineStr">
        <is>
          <t>TOTAL</t>
        </is>
      </c>
      <c r="J21" s="196" t="inlineStr">
        <is>
          <t>=</t>
        </is>
      </c>
      <c r="K21" s="209">
        <f>SUM(K17:K20)</f>
        <v/>
      </c>
      <c r="L21" s="208" t="inlineStr">
        <is>
          <t>RM</t>
        </is>
      </c>
    </row>
    <row r="22" ht="15" customFormat="1" customHeight="1" s="183">
      <c r="A22" s="252" t="n"/>
      <c r="B22" s="265" t="n"/>
      <c r="C22" s="252" t="n"/>
      <c r="D22" s="232" t="n"/>
      <c r="E22" s="199" t="n"/>
      <c r="F22" s="190" t="n"/>
      <c r="G22" s="199" t="n"/>
      <c r="H22" s="223" t="n"/>
      <c r="J22" s="230" t="n"/>
      <c r="K22" s="220" t="n"/>
      <c r="L22" s="248" t="n"/>
    </row>
    <row r="23" hidden="1" ht="114" customFormat="1" customHeight="1" s="183">
      <c r="A23" s="241" t="n">
        <v>1</v>
      </c>
      <c r="B23" s="193" t="inlineStr">
        <is>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is>
      </c>
      <c r="C23" s="240" t="n"/>
      <c r="D23" s="183" t="n"/>
      <c r="E23" s="189" t="n"/>
      <c r="G23" s="187" t="n"/>
    </row>
    <row r="24" hidden="1" customFormat="1" s="183">
      <c r="A24" s="185" t="n"/>
      <c r="B24" s="211" t="inlineStr">
        <is>
          <t>Footings</t>
        </is>
      </c>
      <c r="C24" s="252" t="n">
        <v>8</v>
      </c>
      <c r="D24" s="245" t="inlineStr">
        <is>
          <t>x</t>
        </is>
      </c>
      <c r="E24" s="187" t="n">
        <v>2.75</v>
      </c>
      <c r="F24" s="245" t="inlineStr">
        <is>
          <t>x</t>
        </is>
      </c>
      <c r="G24" s="187" t="n">
        <v>2.85</v>
      </c>
      <c r="H24" s="245" t="inlineStr">
        <is>
          <t>x</t>
        </is>
      </c>
      <c r="I24" s="187" t="n">
        <v>1.5</v>
      </c>
      <c r="J24" s="215" t="inlineStr">
        <is>
          <t>=</t>
        </is>
      </c>
      <c r="K24" s="187">
        <f>IF(C24,C24*E24*G24*I24,"")</f>
        <v/>
      </c>
      <c r="L24" s="190" t="inlineStr">
        <is>
          <t>Cum</t>
        </is>
      </c>
    </row>
    <row r="25" hidden="1" customFormat="1" s="183">
      <c r="A25" s="185" t="n"/>
      <c r="B25" s="211" t="inlineStr">
        <is>
          <t>Main Walls</t>
        </is>
      </c>
      <c r="C25" s="252" t="n">
        <v>1</v>
      </c>
      <c r="D25" s="245" t="inlineStr">
        <is>
          <t>x</t>
        </is>
      </c>
      <c r="E25" s="187">
        <f>K11</f>
        <v/>
      </c>
      <c r="F25" s="245" t="inlineStr">
        <is>
          <t>x</t>
        </is>
      </c>
      <c r="G25" s="187" t="n">
        <v>0.9</v>
      </c>
      <c r="H25" s="245" t="inlineStr">
        <is>
          <t>x</t>
        </is>
      </c>
      <c r="I25" s="187" t="n">
        <v>0.9</v>
      </c>
      <c r="J25" s="215" t="inlineStr">
        <is>
          <t>=</t>
        </is>
      </c>
      <c r="K25" s="187">
        <f>IF(C25,C25*E25*G25*I25,"")</f>
        <v/>
      </c>
      <c r="L25" s="190" t="inlineStr">
        <is>
          <t>Cum</t>
        </is>
      </c>
    </row>
    <row r="26" hidden="1" customFormat="1" s="183">
      <c r="A26" s="185" t="n"/>
      <c r="B26" s="211" t="inlineStr">
        <is>
          <t>Partition Walls</t>
        </is>
      </c>
      <c r="C26" s="252" t="n">
        <v>1</v>
      </c>
      <c r="D26" s="245" t="inlineStr">
        <is>
          <t>x</t>
        </is>
      </c>
      <c r="E26" s="187">
        <f>K21</f>
        <v/>
      </c>
      <c r="F26" s="245" t="inlineStr">
        <is>
          <t>x</t>
        </is>
      </c>
      <c r="G26" s="187" t="n">
        <v>0.9</v>
      </c>
      <c r="H26" s="245" t="inlineStr">
        <is>
          <t>x</t>
        </is>
      </c>
      <c r="I26" s="187" t="n">
        <v>0.75</v>
      </c>
      <c r="J26" s="215" t="inlineStr">
        <is>
          <t>=</t>
        </is>
      </c>
      <c r="K26" s="187">
        <f>IF(C26,C26*E26*G26*I26,"")</f>
        <v/>
      </c>
      <c r="L26" s="190" t="inlineStr">
        <is>
          <t>Cum</t>
        </is>
      </c>
    </row>
    <row r="27" hidden="1" ht="15" customFormat="1" customHeight="1" s="183">
      <c r="A27" s="185" t="n"/>
      <c r="B27" s="211" t="n"/>
      <c r="C27" s="252" t="n"/>
      <c r="D27" s="183" t="n"/>
      <c r="E27" s="195" t="n"/>
      <c r="F27" s="213" t="n"/>
      <c r="G27" s="214" t="inlineStr">
        <is>
          <t xml:space="preserve">Total </t>
        </is>
      </c>
      <c r="H27" s="213" t="n"/>
      <c r="I27" s="195" t="n"/>
      <c r="J27" s="213" t="n"/>
      <c r="K27" s="195">
        <f>SUM(K24:K26)</f>
        <v/>
      </c>
      <c r="L27" s="212" t="inlineStr">
        <is>
          <t>Cum</t>
        </is>
      </c>
    </row>
    <row r="28" hidden="1" ht="85.5" customFormat="1" customHeight="1" s="183">
      <c r="A28" s="241">
        <f>LOOKUP(2,1/(A$1:A27&lt;&gt;""),A$1:A27)+1</f>
        <v/>
      </c>
      <c r="B28" s="193" t="inlineStr">
        <is>
          <t>Filling available excavated earth (excluding rock) in trenches, plinth side of foundation etc. in layers not exceeding 20 cm. in depth , consolidating  each deposited layer by ramming and watering including lead upto 50Mtr. and lift upto 1.5Mtr.</t>
        </is>
      </c>
      <c r="C28" s="240" t="n"/>
      <c r="D28" s="183" t="n"/>
      <c r="E28" s="189" t="n"/>
      <c r="G28" s="187" t="n"/>
    </row>
    <row r="29" hidden="1" customFormat="1" s="183">
      <c r="A29" s="185" t="n"/>
      <c r="B29" s="211" t="n"/>
      <c r="C29" s="252" t="n"/>
      <c r="D29" s="245" t="n"/>
      <c r="E29" s="187" t="n"/>
      <c r="F29" s="245" t="n"/>
      <c r="G29" s="187" t="n"/>
      <c r="H29" s="245" t="n"/>
      <c r="I29" s="187" t="n"/>
      <c r="J29" s="215" t="n"/>
      <c r="K29" s="187" t="n"/>
      <c r="L29" s="190" t="n"/>
    </row>
    <row r="30" hidden="1" customFormat="1" s="183">
      <c r="A30" s="185" t="n"/>
      <c r="B30" s="211" t="inlineStr">
        <is>
          <t>Walls AREA</t>
        </is>
      </c>
      <c r="C30" s="252" t="n">
        <v>1</v>
      </c>
      <c r="D30" s="245" t="inlineStr">
        <is>
          <t>x</t>
        </is>
      </c>
      <c r="E30" s="187">
        <f>E9-0.6</f>
        <v/>
      </c>
      <c r="F30" s="245" t="inlineStr">
        <is>
          <t>x</t>
        </is>
      </c>
      <c r="G30" s="187">
        <f>E10-0.6</f>
        <v/>
      </c>
      <c r="H30" s="245" t="n"/>
      <c r="I30" s="187" t="n"/>
      <c r="J30" s="215" t="inlineStr">
        <is>
          <t>=</t>
        </is>
      </c>
      <c r="K30" s="187">
        <f>IF(C30,C30*E30*G30,"")</f>
        <v/>
      </c>
      <c r="L30" s="201" t="inlineStr">
        <is>
          <t>Sqm</t>
        </is>
      </c>
    </row>
    <row r="31" hidden="1" customFormat="1" s="183">
      <c r="A31" s="185" t="n"/>
      <c r="B31" s="211" t="n"/>
      <c r="C31" s="252" t="n"/>
      <c r="D31" s="245" t="n"/>
      <c r="E31" s="187" t="n"/>
      <c r="F31" s="245" t="n"/>
      <c r="G31" s="187" t="n"/>
      <c r="H31" s="245" t="n"/>
      <c r="I31" s="187" t="n"/>
      <c r="J31" s="215" t="n"/>
      <c r="K31" s="187" t="n"/>
      <c r="L31" s="201" t="n"/>
    </row>
    <row r="32" hidden="1" customFormat="1" s="183">
      <c r="A32" s="185" t="n"/>
      <c r="B32" s="211" t="inlineStr">
        <is>
          <t>Qty. in Filling</t>
        </is>
      </c>
      <c r="C32" s="252" t="n"/>
      <c r="D32" s="245" t="n"/>
      <c r="E32" s="187">
        <f>K30</f>
        <v/>
      </c>
      <c r="F32" s="245" t="inlineStr">
        <is>
          <t>x</t>
        </is>
      </c>
      <c r="G32" s="187" t="n">
        <v>0.45</v>
      </c>
      <c r="H32" s="245" t="n"/>
      <c r="I32" s="187" t="n"/>
      <c r="J32" s="215" t="inlineStr">
        <is>
          <t>=</t>
        </is>
      </c>
      <c r="K32" s="187">
        <f>E32*G32</f>
        <v/>
      </c>
      <c r="L32" s="190" t="inlineStr">
        <is>
          <t>Cum</t>
        </is>
      </c>
    </row>
    <row r="33" hidden="1" ht="15" customFormat="1" customHeight="1" s="183">
      <c r="A33" s="185" t="n"/>
      <c r="B33" s="211" t="n"/>
      <c r="C33" s="252" t="n"/>
      <c r="D33" s="183" t="n"/>
      <c r="E33" s="195" t="n"/>
      <c r="F33" s="213" t="n"/>
      <c r="G33" s="214" t="inlineStr">
        <is>
          <t xml:space="preserve">Total </t>
        </is>
      </c>
      <c r="H33" s="213" t="n"/>
      <c r="I33" s="195" t="n"/>
      <c r="J33" s="213" t="n"/>
      <c r="K33" s="195">
        <f>SUM(K32)</f>
        <v/>
      </c>
      <c r="L33" s="212" t="inlineStr">
        <is>
          <t>Cum</t>
        </is>
      </c>
    </row>
    <row r="34" hidden="1" ht="99.75" customFormat="1" customHeight="1" s="183">
      <c r="A34" s="241">
        <f>LOOKUP(2,1/(A$1:A33&lt;&gt;""),A$1:A33)+1</f>
        <v/>
      </c>
      <c r="B34" s="193" t="inlineStr">
        <is>
          <t>Providing and laying in position cement concrete including curing compaction etc. of specified grade excluding the cost of centering and shuttering =All up to plinth leve 1:4:8 (1Cement :4 Coarse  Sand :8 Graded stone aggregate 40 mm nominal size</t>
        </is>
      </c>
      <c r="C34" s="252" t="n"/>
      <c r="D34" s="219" t="n"/>
      <c r="E34" s="189" t="n"/>
      <c r="G34" s="187" t="n"/>
    </row>
    <row r="35" hidden="1" customFormat="1" s="183">
      <c r="A35" s="185" t="n"/>
      <c r="B35" s="211" t="inlineStr">
        <is>
          <t>Main Walls</t>
        </is>
      </c>
      <c r="C35" s="252" t="n">
        <v>1</v>
      </c>
      <c r="D35" s="245" t="inlineStr">
        <is>
          <t>x</t>
        </is>
      </c>
      <c r="E35" s="187">
        <f>E25</f>
        <v/>
      </c>
      <c r="F35" s="245" t="inlineStr">
        <is>
          <t>x</t>
        </is>
      </c>
      <c r="G35" s="187">
        <f>G25</f>
        <v/>
      </c>
      <c r="H35" s="245" t="inlineStr">
        <is>
          <t>x</t>
        </is>
      </c>
      <c r="I35" s="187" t="n">
        <v>0.15</v>
      </c>
      <c r="J35" s="215" t="inlineStr">
        <is>
          <t>=</t>
        </is>
      </c>
      <c r="K35" s="187">
        <f>IF(C35,C35*E35*G35*I35,"")</f>
        <v/>
      </c>
      <c r="L35" s="190" t="inlineStr">
        <is>
          <t>Cum</t>
        </is>
      </c>
    </row>
    <row r="36" hidden="1" customFormat="1" s="183">
      <c r="A36" s="185" t="n"/>
      <c r="B36" s="211" t="inlineStr">
        <is>
          <t>Partition Walls</t>
        </is>
      </c>
      <c r="C36" s="252" t="n">
        <v>1</v>
      </c>
      <c r="D36" s="245" t="inlineStr">
        <is>
          <t>x</t>
        </is>
      </c>
      <c r="E36" s="187">
        <f>E26</f>
        <v/>
      </c>
      <c r="F36" s="245" t="inlineStr">
        <is>
          <t>x</t>
        </is>
      </c>
      <c r="G36" s="187">
        <f>G26</f>
        <v/>
      </c>
      <c r="H36" s="245" t="inlineStr">
        <is>
          <t>x</t>
        </is>
      </c>
      <c r="I36" s="187" t="n">
        <v>0.15</v>
      </c>
      <c r="J36" s="215" t="inlineStr">
        <is>
          <t>=</t>
        </is>
      </c>
      <c r="K36" s="187">
        <f>IF(C36,C36*E36*G36*I36,"")</f>
        <v/>
      </c>
      <c r="L36" s="190" t="inlineStr">
        <is>
          <t>Cum</t>
        </is>
      </c>
    </row>
    <row r="37" hidden="1" ht="15" customFormat="1" customHeight="1" s="183">
      <c r="A37" s="252" t="n"/>
      <c r="B37" s="218" t="inlineStr">
        <is>
          <t>FOOTING F1</t>
        </is>
      </c>
      <c r="C37" s="252">
        <f>C24</f>
        <v/>
      </c>
      <c r="D37" s="183" t="inlineStr">
        <is>
          <t>x</t>
        </is>
      </c>
      <c r="E37" s="247">
        <f>E24</f>
        <v/>
      </c>
      <c r="F37" s="189" t="inlineStr">
        <is>
          <t>x</t>
        </is>
      </c>
      <c r="G37" s="247">
        <f>G24</f>
        <v/>
      </c>
      <c r="H37" s="245" t="inlineStr">
        <is>
          <t>x</t>
        </is>
      </c>
      <c r="I37" s="187" t="n">
        <v>0.3</v>
      </c>
      <c r="J37" s="215" t="inlineStr">
        <is>
          <t>=</t>
        </is>
      </c>
      <c r="K37" s="187">
        <f>IF(C37,C37*E37*G37*I37,"")</f>
        <v/>
      </c>
      <c r="L37" s="190" t="inlineStr">
        <is>
          <t>Cum</t>
        </is>
      </c>
    </row>
    <row r="38" hidden="1" ht="15" customFormat="1" customHeight="1" s="183">
      <c r="A38" s="185" t="n"/>
      <c r="B38" s="211" t="n"/>
      <c r="C38" s="252" t="n"/>
      <c r="D38" s="183" t="n"/>
      <c r="E38" s="195" t="n"/>
      <c r="F38" s="213" t="n"/>
      <c r="G38" s="214" t="inlineStr">
        <is>
          <t>Total Qty.</t>
        </is>
      </c>
      <c r="H38" s="213" t="n"/>
      <c r="I38" s="195" t="n"/>
      <c r="J38" s="213" t="n"/>
      <c r="K38" s="195">
        <f>SUM(K35:K37)</f>
        <v/>
      </c>
      <c r="L38" s="212" t="inlineStr">
        <is>
          <t>Cum</t>
        </is>
      </c>
    </row>
    <row r="39" hidden="1" ht="128.25" customFormat="1" customHeight="1" s="183">
      <c r="A39" s="241">
        <f>LOOKUP(2,1/(A$1:A38&lt;&gt;""),A$1:A38)+1</f>
        <v/>
      </c>
      <c r="B39" s="193" t="inlineStr">
        <is>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is>
      </c>
      <c r="C39" s="252" t="n"/>
      <c r="D39" s="219" t="n"/>
      <c r="E39" s="189" t="n"/>
      <c r="G39" s="187" t="n"/>
    </row>
    <row r="40" hidden="1" customFormat="1" s="183">
      <c r="A40" s="185" t="n"/>
      <c r="B40" s="211" t="inlineStr">
        <is>
          <t>Plinth Beams</t>
        </is>
      </c>
      <c r="C40" s="252" t="n">
        <v>1</v>
      </c>
      <c r="D40" s="245" t="inlineStr">
        <is>
          <t>x</t>
        </is>
      </c>
      <c r="E40" s="187" t="n">
        <v>42</v>
      </c>
      <c r="F40" s="245" t="inlineStr">
        <is>
          <t>x</t>
        </is>
      </c>
      <c r="G40" s="187" t="n">
        <v>0.23</v>
      </c>
      <c r="H40" s="245" t="inlineStr">
        <is>
          <t>x</t>
        </is>
      </c>
      <c r="I40" s="187" t="n">
        <v>0.23</v>
      </c>
      <c r="J40" s="215" t="inlineStr">
        <is>
          <t>=</t>
        </is>
      </c>
      <c r="K40" s="187">
        <f>IF(C40,C40*E40*G40*I40,"")</f>
        <v/>
      </c>
      <c r="L40" s="190" t="inlineStr">
        <is>
          <t>Cum</t>
        </is>
      </c>
    </row>
    <row r="41" hidden="1" ht="15" customFormat="1" customHeight="1" s="183">
      <c r="A41" s="252" t="n"/>
      <c r="B41" s="218" t="inlineStr">
        <is>
          <t>FOOTING F1</t>
        </is>
      </c>
      <c r="C41" s="252" t="n">
        <v>4</v>
      </c>
      <c r="D41" s="183" t="inlineStr">
        <is>
          <t>x</t>
        </is>
      </c>
      <c r="E41" s="217" t="n">
        <v>2</v>
      </c>
      <c r="F41" s="189" t="inlineStr">
        <is>
          <t>x</t>
        </is>
      </c>
      <c r="G41" s="217" t="n">
        <v>2</v>
      </c>
      <c r="H41" s="245" t="inlineStr">
        <is>
          <t>x</t>
        </is>
      </c>
      <c r="I41" s="187" t="n">
        <v>0.5</v>
      </c>
      <c r="J41" s="215" t="inlineStr">
        <is>
          <t>=</t>
        </is>
      </c>
      <c r="K41" s="187">
        <f>IF(C41,C41*E41*G41*I41,"")</f>
        <v/>
      </c>
      <c r="L41" s="190" t="inlineStr">
        <is>
          <t>Cum</t>
        </is>
      </c>
    </row>
    <row r="42" hidden="1" ht="15" customFormat="1" customHeight="1" s="183">
      <c r="A42" s="252" t="n"/>
      <c r="B42" s="218" t="inlineStr">
        <is>
          <t>FOOTING F2</t>
        </is>
      </c>
      <c r="C42" s="252" t="n">
        <v>4</v>
      </c>
      <c r="D42" s="183" t="inlineStr">
        <is>
          <t>x</t>
        </is>
      </c>
      <c r="E42" s="217">
        <f>E37-0.3</f>
        <v/>
      </c>
      <c r="F42" s="189" t="inlineStr">
        <is>
          <t>x</t>
        </is>
      </c>
      <c r="G42" s="217">
        <f>G37-0.3</f>
        <v/>
      </c>
      <c r="H42" s="245" t="inlineStr">
        <is>
          <t>x</t>
        </is>
      </c>
      <c r="I42" s="187" t="n">
        <v>0.83</v>
      </c>
      <c r="J42" s="215" t="inlineStr">
        <is>
          <t>=</t>
        </is>
      </c>
      <c r="K42" s="187">
        <f>IF(C42,C42*E42*G42*I42,"")</f>
        <v/>
      </c>
      <c r="L42" s="190" t="inlineStr">
        <is>
          <t>Cum</t>
        </is>
      </c>
    </row>
    <row r="43" hidden="1" ht="15" customFormat="1" customHeight="1" s="183">
      <c r="A43" s="185" t="n"/>
      <c r="B43" s="211" t="n"/>
      <c r="C43" s="252" t="n"/>
      <c r="D43" s="183" t="n"/>
      <c r="E43" s="195" t="n"/>
      <c r="F43" s="213" t="n"/>
      <c r="G43" s="214" t="inlineStr">
        <is>
          <t>Total Qty.</t>
        </is>
      </c>
      <c r="H43" s="213" t="n"/>
      <c r="I43" s="195" t="n"/>
      <c r="J43" s="213" t="n"/>
      <c r="K43" s="195">
        <f>SUM(K40:K42)</f>
        <v/>
      </c>
      <c r="L43" s="212" t="inlineStr">
        <is>
          <t>Cum</t>
        </is>
      </c>
    </row>
    <row r="44" hidden="1" ht="102" customFormat="1" customHeight="1" s="183">
      <c r="A44" s="241">
        <f>LOOKUP(2,1/(A$1:A43&lt;&gt;""),A$1:A43)+1</f>
        <v/>
      </c>
      <c r="B44" s="211" t="inlineStr">
        <is>
          <t>Centering &amp; shuttering with plywood or steel sheets including strutting propping, bracing both ways with wooden members and removal of form work for superstructure upto 4.5 Mtr. height above plinth level (A) For Columns, Pillars, Posts and Struts etc.</t>
        </is>
      </c>
      <c r="C44" s="240" t="n"/>
      <c r="D44" s="190" t="n"/>
      <c r="E44" s="189" t="n"/>
      <c r="F44" s="190" t="n"/>
      <c r="G44" s="187" t="n"/>
    </row>
    <row r="45" hidden="1" customFormat="1" s="183">
      <c r="A45" s="252" t="n"/>
      <c r="B45" s="229" t="inlineStr">
        <is>
          <t>Footing</t>
        </is>
      </c>
      <c r="C45" s="252" t="n">
        <v>8</v>
      </c>
      <c r="D45" s="183" t="inlineStr">
        <is>
          <t>x</t>
        </is>
      </c>
      <c r="E45" s="189">
        <f>2*(E42+G42)</f>
        <v/>
      </c>
      <c r="F45" s="183" t="inlineStr">
        <is>
          <t>x</t>
        </is>
      </c>
      <c r="G45" s="189">
        <f>I42</f>
        <v/>
      </c>
      <c r="J45" s="224" t="inlineStr">
        <is>
          <t>=</t>
        </is>
      </c>
      <c r="K45" s="189">
        <f>IF(C45,C45*E45*G45,"")</f>
        <v/>
      </c>
      <c r="L45" s="201" t="inlineStr">
        <is>
          <t>Sqm</t>
        </is>
      </c>
    </row>
    <row r="46" hidden="1" customFormat="1" s="183">
      <c r="A46" s="185" t="n"/>
      <c r="B46" s="211" t="inlineStr">
        <is>
          <t>Plinth Beams</t>
        </is>
      </c>
      <c r="C46" s="252" t="n">
        <v>2</v>
      </c>
      <c r="D46" s="245" t="inlineStr">
        <is>
          <t>x</t>
        </is>
      </c>
      <c r="E46" s="187" t="n">
        <v>42</v>
      </c>
      <c r="F46" s="245" t="inlineStr">
        <is>
          <t>x</t>
        </is>
      </c>
      <c r="G46" s="187" t="n">
        <v>0.23</v>
      </c>
      <c r="J46" s="224" t="inlineStr">
        <is>
          <t>=</t>
        </is>
      </c>
      <c r="K46" s="189">
        <f>IF(C46,C46*E46*G46,"")</f>
        <v/>
      </c>
      <c r="L46" s="201" t="inlineStr">
        <is>
          <t>Sqm</t>
        </is>
      </c>
    </row>
    <row r="47" hidden="1" ht="15" customFormat="1" customHeight="1" s="183">
      <c r="A47" s="185" t="n"/>
      <c r="B47" s="211" t="n"/>
      <c r="C47" s="252" t="n"/>
      <c r="D47" s="183" t="n"/>
      <c r="E47" s="220" t="n"/>
      <c r="F47" s="213" t="n"/>
      <c r="G47" s="214" t="inlineStr">
        <is>
          <t xml:space="preserve">Total </t>
        </is>
      </c>
      <c r="H47" s="213" t="n"/>
      <c r="I47" s="195" t="n"/>
      <c r="J47" s="213" t="n"/>
      <c r="K47" s="195">
        <f>SUM(K45:K46)</f>
        <v/>
      </c>
      <c r="L47" s="228" t="inlineStr">
        <is>
          <t>Sqm</t>
        </is>
      </c>
    </row>
    <row r="48" ht="15" customFormat="1" customHeight="1" s="183">
      <c r="A48" s="185" t="n"/>
      <c r="B48" s="211" t="n"/>
      <c r="C48" s="252" t="n"/>
      <c r="D48" s="183" t="n"/>
      <c r="E48" s="220" t="n"/>
      <c r="F48" s="243" t="n"/>
      <c r="G48" s="244" t="n"/>
      <c r="H48" s="243" t="n"/>
      <c r="I48" s="220" t="n"/>
      <c r="J48" s="243" t="n"/>
      <c r="K48" s="220" t="n"/>
      <c r="L48" s="248" t="n"/>
    </row>
    <row r="49" ht="150" customFormat="1" customHeight="1" s="161">
      <c r="A49" s="241" t="n">
        <v>1</v>
      </c>
      <c r="B49" s="259" t="inlineStr">
        <is>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t>
        </is>
      </c>
      <c r="C49" s="240" t="n"/>
      <c r="D49" s="190" t="n"/>
      <c r="E49" s="189" t="n"/>
      <c r="F49" s="190" t="n"/>
      <c r="G49" s="187" t="n"/>
      <c r="H49" s="183" t="n"/>
      <c r="I49" s="183" t="n"/>
      <c r="J49" s="183" t="n"/>
      <c r="K49" s="183" t="n"/>
      <c r="L49" s="183" t="n"/>
    </row>
    <row r="50" customFormat="1" s="183">
      <c r="A50" s="185" t="n"/>
      <c r="B50" s="211" t="inlineStr">
        <is>
          <t>LINTEL Beams Hor</t>
        </is>
      </c>
      <c r="C50" s="252" t="n">
        <v>1</v>
      </c>
      <c r="D50" s="245" t="inlineStr">
        <is>
          <t>x</t>
        </is>
      </c>
      <c r="E50" s="187" t="n">
        <v>42</v>
      </c>
      <c r="F50" s="245" t="inlineStr">
        <is>
          <t>x</t>
        </is>
      </c>
      <c r="G50" s="187" t="n">
        <v>0.23</v>
      </c>
      <c r="H50" s="245" t="inlineStr">
        <is>
          <t>x</t>
        </is>
      </c>
      <c r="I50" s="187" t="n">
        <v>0.15</v>
      </c>
      <c r="J50" s="215" t="inlineStr">
        <is>
          <t>=</t>
        </is>
      </c>
      <c r="K50" s="187">
        <f>IF(C50,C50*E50*G50*I50,"")</f>
        <v/>
      </c>
      <c r="L50" s="190" t="inlineStr">
        <is>
          <t>Cum</t>
        </is>
      </c>
    </row>
    <row r="51" customFormat="1" s="183">
      <c r="A51" s="185" t="n"/>
      <c r="B51" s="211" t="inlineStr">
        <is>
          <t xml:space="preserve">Beams </t>
        </is>
      </c>
      <c r="C51" s="252" t="n">
        <v>1</v>
      </c>
      <c r="D51" s="245" t="inlineStr">
        <is>
          <t>x</t>
        </is>
      </c>
      <c r="E51" s="187" t="n">
        <v>42</v>
      </c>
      <c r="F51" s="245" t="inlineStr">
        <is>
          <t>x</t>
        </is>
      </c>
      <c r="G51" s="187" t="n">
        <v>0.23</v>
      </c>
      <c r="H51" s="245" t="inlineStr">
        <is>
          <t>x</t>
        </is>
      </c>
      <c r="I51" s="187" t="n">
        <v>0.45</v>
      </c>
      <c r="J51" s="215" t="inlineStr">
        <is>
          <t>=</t>
        </is>
      </c>
      <c r="K51" s="187">
        <f>IF(C51,C51*E51*G51*I51,"")</f>
        <v/>
      </c>
      <c r="L51" s="190" t="inlineStr">
        <is>
          <t>Cum</t>
        </is>
      </c>
    </row>
    <row r="52" customFormat="1" s="183">
      <c r="A52" s="185" t="n"/>
      <c r="B52" s="211" t="inlineStr">
        <is>
          <t xml:space="preserve"> x-Beams H</t>
        </is>
      </c>
      <c r="C52" s="252" t="n">
        <v>2</v>
      </c>
      <c r="D52" s="245" t="inlineStr">
        <is>
          <t>x</t>
        </is>
      </c>
      <c r="E52" s="187" t="n">
        <v>6</v>
      </c>
      <c r="F52" s="245" t="inlineStr">
        <is>
          <t>x</t>
        </is>
      </c>
      <c r="G52" s="187" t="n">
        <v>0.23</v>
      </c>
      <c r="H52" s="245" t="inlineStr">
        <is>
          <t>x</t>
        </is>
      </c>
      <c r="I52" s="187" t="n">
        <v>0.45</v>
      </c>
      <c r="J52" s="215" t="inlineStr">
        <is>
          <t>=</t>
        </is>
      </c>
      <c r="K52" s="187">
        <f>IF(C52,C52*E52*G52*I52,"")</f>
        <v/>
      </c>
      <c r="L52" s="190" t="inlineStr">
        <is>
          <t>Cum</t>
        </is>
      </c>
    </row>
    <row r="53" customFormat="1" s="183">
      <c r="A53" s="185" t="n"/>
      <c r="B53" s="211" t="inlineStr">
        <is>
          <t>Slab</t>
        </is>
      </c>
      <c r="C53" s="252" t="n">
        <v>3</v>
      </c>
      <c r="D53" s="245" t="inlineStr">
        <is>
          <t>x</t>
        </is>
      </c>
      <c r="E53" s="187" t="n">
        <v>5.54</v>
      </c>
      <c r="F53" s="245" t="inlineStr">
        <is>
          <t>x</t>
        </is>
      </c>
      <c r="G53" s="187" t="n">
        <v>4.77</v>
      </c>
      <c r="H53" s="245" t="inlineStr">
        <is>
          <t>x</t>
        </is>
      </c>
      <c r="I53" s="187" t="n">
        <v>0.15</v>
      </c>
      <c r="J53" s="215" t="inlineStr">
        <is>
          <t>=</t>
        </is>
      </c>
      <c r="K53" s="187">
        <f>IF(C53,C53*E53*G53*I53,"")</f>
        <v/>
      </c>
      <c r="L53" s="190" t="inlineStr">
        <is>
          <t>Cum</t>
        </is>
      </c>
    </row>
    <row r="54" customFormat="1" s="183">
      <c r="A54" s="185" t="n"/>
      <c r="B54" s="211" t="inlineStr">
        <is>
          <t>Staircase</t>
        </is>
      </c>
      <c r="C54" s="252" t="n">
        <v>2</v>
      </c>
      <c r="D54" s="245" t="inlineStr">
        <is>
          <t>x</t>
        </is>
      </c>
      <c r="E54" s="187" t="n">
        <v>2.75</v>
      </c>
      <c r="F54" s="245" t="inlineStr">
        <is>
          <t>x</t>
        </is>
      </c>
      <c r="G54" s="187" t="n">
        <v>1.43</v>
      </c>
      <c r="H54" s="245" t="inlineStr">
        <is>
          <t>x</t>
        </is>
      </c>
      <c r="I54" s="187" t="n">
        <v>0.25</v>
      </c>
      <c r="J54" s="215" t="inlineStr">
        <is>
          <t>=</t>
        </is>
      </c>
      <c r="K54" s="187">
        <f>IF(C54,C54*E54*G54*I54,"")</f>
        <v/>
      </c>
      <c r="L54" s="190" t="inlineStr">
        <is>
          <t>Cum</t>
        </is>
      </c>
    </row>
    <row r="55" customFormat="1" s="183">
      <c r="A55" s="185" t="n"/>
      <c r="B55" s="211" t="n"/>
      <c r="C55" s="252" t="n">
        <v>1</v>
      </c>
      <c r="D55" s="245" t="inlineStr">
        <is>
          <t>x</t>
        </is>
      </c>
      <c r="E55" s="187" t="n">
        <v>1.2</v>
      </c>
      <c r="F55" s="245" t="inlineStr">
        <is>
          <t>x</t>
        </is>
      </c>
      <c r="G55" s="187" t="n">
        <v>1.43</v>
      </c>
      <c r="H55" s="245" t="inlineStr">
        <is>
          <t>x</t>
        </is>
      </c>
      <c r="I55" s="187" t="n">
        <v>0.25</v>
      </c>
      <c r="J55" s="215" t="inlineStr">
        <is>
          <t>=</t>
        </is>
      </c>
      <c r="K55" s="187">
        <f>IF(C55,C55*E55*G55*I55,"")</f>
        <v/>
      </c>
      <c r="L55" s="190" t="inlineStr">
        <is>
          <t>Cum</t>
        </is>
      </c>
    </row>
    <row r="56" ht="15" customFormat="1" customHeight="1" s="183">
      <c r="A56" s="185" t="n"/>
      <c r="B56" s="211" t="n"/>
      <c r="C56" s="252" t="n"/>
      <c r="D56" s="183" t="n"/>
      <c r="E56" s="195" t="n"/>
      <c r="F56" s="213" t="n"/>
      <c r="G56" s="214" t="inlineStr">
        <is>
          <t xml:space="preserve">Total </t>
        </is>
      </c>
      <c r="H56" s="213" t="n"/>
      <c r="I56" s="195" t="n"/>
      <c r="J56" s="213" t="n"/>
      <c r="K56" s="195">
        <f>SUM(K50:K55)</f>
        <v/>
      </c>
      <c r="L56" s="212" t="inlineStr">
        <is>
          <t>Cum</t>
        </is>
      </c>
    </row>
    <row r="57" ht="15" customFormat="1" customHeight="1" s="183">
      <c r="A57" s="185" t="n"/>
      <c r="B57" s="211" t="n"/>
      <c r="C57" s="252" t="n"/>
      <c r="D57" s="183" t="n"/>
      <c r="E57" s="220" t="n"/>
      <c r="F57" s="243" t="n"/>
      <c r="G57" s="244" t="n"/>
      <c r="H57" s="243" t="n"/>
      <c r="I57" s="220" t="n"/>
      <c r="J57" s="243" t="n"/>
      <c r="K57" s="220" t="n"/>
      <c r="L57" s="246" t="n"/>
    </row>
    <row r="58" ht="210" customFormat="1" customHeight="1" s="161">
      <c r="A58" s="241">
        <f>LOOKUP(2,1/(A$1:A57&lt;&gt;""),A$1:A57)+1</f>
        <v/>
      </c>
      <c r="B58" s="259" t="inlineStr">
        <is>
          <t>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M25 grade Design mix</t>
        </is>
      </c>
      <c r="C58" s="240" t="n"/>
      <c r="D58" s="190" t="n"/>
      <c r="E58" s="189" t="n"/>
      <c r="F58" s="190" t="n"/>
      <c r="G58" s="187" t="n"/>
      <c r="H58" s="183" t="n"/>
      <c r="I58" s="183" t="n"/>
      <c r="J58" s="183" t="n"/>
      <c r="K58" s="183" t="n"/>
      <c r="L58" s="183" t="n"/>
    </row>
    <row r="59" customFormat="1" s="183">
      <c r="A59" s="185" t="n"/>
      <c r="B59" s="211" t="inlineStr">
        <is>
          <t>Columns</t>
        </is>
      </c>
      <c r="C59" s="252" t="n">
        <v>8</v>
      </c>
      <c r="D59" s="245" t="inlineStr">
        <is>
          <t>x</t>
        </is>
      </c>
      <c r="E59" s="187" t="n">
        <v>0.3</v>
      </c>
      <c r="F59" s="245" t="inlineStr">
        <is>
          <t>x</t>
        </is>
      </c>
      <c r="G59" s="187" t="n">
        <v>0.45</v>
      </c>
      <c r="H59" s="245" t="inlineStr">
        <is>
          <t>x</t>
        </is>
      </c>
      <c r="I59" s="187" t="n">
        <v>3.6</v>
      </c>
      <c r="J59" s="215" t="inlineStr">
        <is>
          <t>=</t>
        </is>
      </c>
      <c r="K59" s="187">
        <f>IF(C59,C59*E59*G59*I59,"")</f>
        <v/>
      </c>
      <c r="L59" s="190" t="inlineStr">
        <is>
          <t>Cum</t>
        </is>
      </c>
    </row>
    <row r="60" ht="15" customFormat="1" customHeight="1" s="183">
      <c r="A60" s="185" t="n"/>
      <c r="B60" s="211" t="n"/>
      <c r="C60" s="252" t="n"/>
      <c r="D60" s="183" t="n"/>
      <c r="E60" s="195" t="n"/>
      <c r="F60" s="213" t="n"/>
      <c r="G60" s="214" t="inlineStr">
        <is>
          <t xml:space="preserve">Total </t>
        </is>
      </c>
      <c r="H60" s="213" t="n"/>
      <c r="I60" s="195" t="n"/>
      <c r="J60" s="213" t="n"/>
      <c r="K60" s="195">
        <f>SUM(K59:K59)</f>
        <v/>
      </c>
      <c r="L60" s="212" t="inlineStr">
        <is>
          <t>Cum</t>
        </is>
      </c>
    </row>
    <row r="61" ht="90" customFormat="1" customHeight="1" s="161">
      <c r="A61" s="241">
        <f>LOOKUP(2,1/(A$1:A47&lt;&gt;""),A$1:A47)+1</f>
        <v/>
      </c>
      <c r="B61" s="259" t="inlineStr">
        <is>
          <t>Centering &amp; shuttering with ply wood or steel
sheets including shuttering , propping, barcing both waves with widen members and removal of form work up to floor three level for:</t>
        </is>
      </c>
      <c r="C61" s="240" t="n"/>
      <c r="D61" s="190" t="n"/>
      <c r="E61" s="189" t="n"/>
      <c r="F61" s="190" t="n"/>
      <c r="G61" s="187" t="n"/>
      <c r="H61" s="183" t="n"/>
      <c r="I61" s="183" t="n"/>
      <c r="J61" s="183" t="n"/>
      <c r="K61" s="183" t="n"/>
      <c r="L61" s="183" t="n"/>
    </row>
    <row r="62" ht="75" customFormat="1" customHeight="1" s="161">
      <c r="A62" s="241" t="n"/>
      <c r="B62" s="259" t="inlineStr">
        <is>
          <t>(A)    Suspended    floors,    roofs,    landings, staircases, balconies, girders, cantilevers, bands , coping, bed plates, anchor blocks, sills, chhajjas lintel, beam etc.</t>
        </is>
      </c>
      <c r="C62" s="240" t="n"/>
      <c r="D62" s="190" t="n"/>
      <c r="E62" s="189" t="n"/>
      <c r="F62" s="190" t="n"/>
      <c r="G62" s="187" t="n"/>
      <c r="H62" s="183" t="n"/>
      <c r="I62" s="183" t="n"/>
      <c r="J62" s="183" t="n"/>
      <c r="K62" s="183" t="n"/>
      <c r="L62" s="183" t="n"/>
    </row>
    <row r="63" customFormat="1" s="183">
      <c r="A63" s="252" t="n"/>
      <c r="B63" s="229" t="inlineStr">
        <is>
          <t>LINTEL Beams Hor</t>
        </is>
      </c>
      <c r="C63" s="240" t="n">
        <v>1</v>
      </c>
      <c r="D63" s="183" t="inlineStr">
        <is>
          <t>x</t>
        </is>
      </c>
      <c r="E63" s="189">
        <f>K11</f>
        <v/>
      </c>
      <c r="F63" s="183" t="inlineStr">
        <is>
          <t>x</t>
        </is>
      </c>
      <c r="G63" s="189" t="n">
        <v>0.23</v>
      </c>
      <c r="J63" s="224" t="inlineStr">
        <is>
          <t>=</t>
        </is>
      </c>
      <c r="K63" s="189">
        <f>IF(C63,C63*E63*G63,"")</f>
        <v/>
      </c>
      <c r="L63" s="201" t="inlineStr">
        <is>
          <t>Sqm</t>
        </is>
      </c>
    </row>
    <row r="64" customFormat="1" s="183">
      <c r="A64" s="252" t="n"/>
      <c r="B64" s="229" t="inlineStr">
        <is>
          <t>Beams Ver</t>
        </is>
      </c>
      <c r="C64" s="252">
        <f>2</f>
        <v/>
      </c>
      <c r="D64" s="183" t="inlineStr">
        <is>
          <t>x</t>
        </is>
      </c>
      <c r="E64" s="189">
        <f>E63</f>
        <v/>
      </c>
      <c r="F64" s="183" t="inlineStr">
        <is>
          <t>x</t>
        </is>
      </c>
      <c r="G64" s="189" t="n">
        <v>0.23</v>
      </c>
      <c r="J64" s="224" t="inlineStr">
        <is>
          <t>=</t>
        </is>
      </c>
      <c r="K64" s="189">
        <f>IF(C64,C64*E64*G64,"")</f>
        <v/>
      </c>
      <c r="L64" s="201" t="inlineStr">
        <is>
          <t>Sqm</t>
        </is>
      </c>
    </row>
    <row r="65" customFormat="1" s="183">
      <c r="A65" s="252" t="n"/>
      <c r="B65" s="229" t="inlineStr">
        <is>
          <t>Over Wall -Beams H</t>
        </is>
      </c>
      <c r="C65" s="240" t="n">
        <v>1</v>
      </c>
      <c r="D65" s="183" t="inlineStr">
        <is>
          <t>x</t>
        </is>
      </c>
      <c r="E65" s="189" t="n">
        <v>42</v>
      </c>
      <c r="F65" s="183" t="inlineStr">
        <is>
          <t>x</t>
        </is>
      </c>
      <c r="G65" s="189" t="n">
        <v>0.23</v>
      </c>
      <c r="J65" s="224" t="inlineStr">
        <is>
          <t>=</t>
        </is>
      </c>
      <c r="K65" s="189">
        <f>IF(C65,C65*E65*G65,"")</f>
        <v/>
      </c>
      <c r="L65" s="201" t="inlineStr">
        <is>
          <t>Sqm</t>
        </is>
      </c>
    </row>
    <row r="66" customFormat="1" s="183">
      <c r="A66" s="252" t="n"/>
      <c r="B66" s="229" t="inlineStr">
        <is>
          <t xml:space="preserve"> Ver</t>
        </is>
      </c>
      <c r="C66" s="252" t="n">
        <v>2</v>
      </c>
      <c r="D66" s="183" t="inlineStr">
        <is>
          <t>x</t>
        </is>
      </c>
      <c r="E66" s="189" t="n">
        <v>42</v>
      </c>
      <c r="F66" s="183" t="inlineStr">
        <is>
          <t>x</t>
        </is>
      </c>
      <c r="G66" s="189" t="n">
        <v>0.45</v>
      </c>
      <c r="J66" s="224" t="inlineStr">
        <is>
          <t>=</t>
        </is>
      </c>
      <c r="K66" s="189">
        <f>IF(C66,C66*E66*G66,"")</f>
        <v/>
      </c>
      <c r="L66" s="201" t="inlineStr">
        <is>
          <t>Sqm</t>
        </is>
      </c>
    </row>
    <row r="67" customFormat="1" s="183">
      <c r="A67" s="252" t="n"/>
      <c r="B67" s="229" t="inlineStr">
        <is>
          <t xml:space="preserve"> x-Beams H</t>
        </is>
      </c>
      <c r="C67" s="240" t="n">
        <v>2</v>
      </c>
      <c r="D67" s="183" t="inlineStr">
        <is>
          <t>x</t>
        </is>
      </c>
      <c r="E67" s="189" t="n">
        <v>6</v>
      </c>
      <c r="F67" s="183" t="inlineStr">
        <is>
          <t>x</t>
        </is>
      </c>
      <c r="G67" s="189" t="n">
        <v>0.23</v>
      </c>
      <c r="J67" s="224" t="inlineStr">
        <is>
          <t>=</t>
        </is>
      </c>
      <c r="K67" s="189">
        <f>IF(C67,C67*E67*G67,"")</f>
        <v/>
      </c>
      <c r="L67" s="201" t="inlineStr">
        <is>
          <t>Sqm</t>
        </is>
      </c>
    </row>
    <row r="68" customFormat="1" s="183">
      <c r="A68" s="252" t="n"/>
      <c r="B68" s="229" t="inlineStr">
        <is>
          <t xml:space="preserve"> Ver</t>
        </is>
      </c>
      <c r="C68" s="252" t="n">
        <v>4</v>
      </c>
      <c r="D68" s="183" t="inlineStr">
        <is>
          <t>x</t>
        </is>
      </c>
      <c r="E68" s="189">
        <f>E67</f>
        <v/>
      </c>
      <c r="F68" s="183" t="inlineStr">
        <is>
          <t>x</t>
        </is>
      </c>
      <c r="G68" s="189" t="n">
        <v>0.45</v>
      </c>
      <c r="J68" s="224" t="inlineStr">
        <is>
          <t>=</t>
        </is>
      </c>
      <c r="K68" s="189">
        <f>IF(C68,C68*E68*G68,"")</f>
        <v/>
      </c>
      <c r="L68" s="201" t="inlineStr">
        <is>
          <t>Sqm</t>
        </is>
      </c>
    </row>
    <row r="69" customFormat="1" s="183">
      <c r="A69" s="252" t="n"/>
      <c r="B69" s="229" t="inlineStr">
        <is>
          <t>Slab</t>
        </is>
      </c>
      <c r="C69" s="252" t="n">
        <v>3</v>
      </c>
      <c r="D69" s="183" t="inlineStr">
        <is>
          <t>x</t>
        </is>
      </c>
      <c r="E69" s="189">
        <f>6-0.46</f>
        <v/>
      </c>
      <c r="F69" s="183" t="inlineStr">
        <is>
          <t>x</t>
        </is>
      </c>
      <c r="G69" s="189">
        <f>15/3-0.23</f>
        <v/>
      </c>
      <c r="J69" s="224" t="inlineStr">
        <is>
          <t>=</t>
        </is>
      </c>
      <c r="K69" s="189">
        <f>IF(C69,C69*E69*G69,"")</f>
        <v/>
      </c>
      <c r="L69" s="201" t="inlineStr">
        <is>
          <t>Sqm</t>
        </is>
      </c>
    </row>
    <row r="70" customFormat="1" s="183">
      <c r="A70" s="252" t="n"/>
      <c r="B70" s="229" t="inlineStr">
        <is>
          <t>Staircase</t>
        </is>
      </c>
      <c r="C70" s="240" t="n">
        <v>2</v>
      </c>
      <c r="D70" s="183" t="inlineStr">
        <is>
          <t>x</t>
        </is>
      </c>
      <c r="E70" s="189" t="n">
        <v>2.75</v>
      </c>
      <c r="F70" s="183" t="inlineStr">
        <is>
          <t>x</t>
        </is>
      </c>
      <c r="G70" s="189" t="n">
        <v>1.2</v>
      </c>
      <c r="J70" s="224" t="inlineStr">
        <is>
          <t>=</t>
        </is>
      </c>
      <c r="K70" s="189">
        <f>IF(C70,C70*E70*G70,"")</f>
        <v/>
      </c>
      <c r="L70" s="201" t="inlineStr">
        <is>
          <t>Sqm</t>
        </is>
      </c>
    </row>
    <row r="71" customFormat="1" s="183">
      <c r="A71" s="252" t="n"/>
      <c r="B71" s="229" t="n"/>
      <c r="C71" s="252" t="n">
        <v>1</v>
      </c>
      <c r="D71" s="183" t="inlineStr">
        <is>
          <t>x</t>
        </is>
      </c>
      <c r="E71" s="189" t="n">
        <v>1.2</v>
      </c>
      <c r="F71" s="183" t="inlineStr">
        <is>
          <t>x</t>
        </is>
      </c>
      <c r="G71" s="189" t="n">
        <v>1.2</v>
      </c>
      <c r="J71" s="224" t="inlineStr">
        <is>
          <t>=</t>
        </is>
      </c>
      <c r="K71" s="189">
        <f>IF(C71,C71*E71*G71,"")</f>
        <v/>
      </c>
      <c r="L71" s="201" t="inlineStr">
        <is>
          <t>Sqm</t>
        </is>
      </c>
    </row>
    <row r="72" customFormat="1" s="183">
      <c r="A72" s="252" t="n"/>
      <c r="B72" s="229" t="inlineStr">
        <is>
          <t>Vertical</t>
        </is>
      </c>
      <c r="C72" s="240" t="n">
        <v>4</v>
      </c>
      <c r="D72" s="183" t="inlineStr">
        <is>
          <t>x</t>
        </is>
      </c>
      <c r="E72" s="189" t="n">
        <v>2.75</v>
      </c>
      <c r="F72" s="183" t="inlineStr">
        <is>
          <t>x</t>
        </is>
      </c>
      <c r="G72" s="189" t="n">
        <v>0.25</v>
      </c>
      <c r="J72" s="224" t="inlineStr">
        <is>
          <t>=</t>
        </is>
      </c>
      <c r="K72" s="189">
        <f>IF(C72,C72*E72*G72,"")</f>
        <v/>
      </c>
      <c r="L72" s="201" t="inlineStr">
        <is>
          <t>Sqm</t>
        </is>
      </c>
    </row>
    <row r="73" customFormat="1" s="183">
      <c r="A73" s="252" t="n"/>
      <c r="B73" s="229" t="n"/>
      <c r="C73" s="252" t="n">
        <v>1</v>
      </c>
      <c r="D73" s="183" t="inlineStr">
        <is>
          <t>x</t>
        </is>
      </c>
      <c r="E73" s="189" t="n">
        <v>4.8</v>
      </c>
      <c r="F73" s="183" t="inlineStr">
        <is>
          <t>x</t>
        </is>
      </c>
      <c r="G73" s="189" t="n">
        <v>0.25</v>
      </c>
      <c r="J73" s="224" t="inlineStr">
        <is>
          <t>=</t>
        </is>
      </c>
      <c r="K73" s="189">
        <f>IF(C73,C73*E73*G73,"")</f>
        <v/>
      </c>
      <c r="L73" s="201" t="inlineStr">
        <is>
          <t>Sqm</t>
        </is>
      </c>
    </row>
    <row r="74" ht="15" customFormat="1" customHeight="1" s="183">
      <c r="A74" s="185" t="n"/>
      <c r="B74" s="211" t="n"/>
      <c r="C74" s="252" t="n"/>
      <c r="D74" s="183" t="n"/>
      <c r="E74" s="220" t="n"/>
      <c r="F74" s="213" t="n"/>
      <c r="G74" s="214" t="inlineStr">
        <is>
          <t xml:space="preserve">Total </t>
        </is>
      </c>
      <c r="H74" s="213" t="n"/>
      <c r="I74" s="195" t="n"/>
      <c r="J74" s="213" t="n"/>
      <c r="K74" s="195">
        <f>SUM(K63:K73)</f>
        <v/>
      </c>
      <c r="L74" s="228" t="inlineStr">
        <is>
          <t>Sqm</t>
        </is>
      </c>
    </row>
    <row r="75" ht="15" customFormat="1" customHeight="1" s="183">
      <c r="A75" s="185" t="n"/>
      <c r="B75" s="211" t="n"/>
      <c r="C75" s="252" t="n"/>
      <c r="D75" s="183" t="n"/>
      <c r="E75" s="220" t="n"/>
      <c r="F75" s="243" t="n"/>
      <c r="G75" s="244" t="n"/>
      <c r="H75" s="243" t="n"/>
      <c r="I75" s="220" t="n"/>
      <c r="J75" s="243" t="n"/>
      <c r="K75" s="220" t="n"/>
      <c r="L75" s="248" t="n"/>
    </row>
    <row r="76" ht="15" customFormat="1" customHeight="1" s="161">
      <c r="A76" s="241" t="n"/>
      <c r="B76" s="259" t="inlineStr">
        <is>
          <t>(B) Columns, pillars, posts and struts etc.</t>
        </is>
      </c>
      <c r="C76" s="240" t="n"/>
      <c r="D76" s="190" t="n"/>
      <c r="E76" s="189" t="n"/>
      <c r="F76" s="190" t="n"/>
      <c r="G76" s="187" t="n"/>
      <c r="H76" s="183" t="n"/>
      <c r="I76" s="183" t="n"/>
      <c r="J76" s="183" t="n"/>
      <c r="K76" s="183" t="n"/>
      <c r="L76" s="183" t="n"/>
    </row>
    <row r="77" customFormat="1" s="183">
      <c r="A77" s="252" t="n"/>
      <c r="B77" s="229" t="inlineStr">
        <is>
          <t>Columns C1</t>
        </is>
      </c>
      <c r="C77" s="252">
        <f>C45</f>
        <v/>
      </c>
      <c r="D77" s="183" t="inlineStr">
        <is>
          <t>x</t>
        </is>
      </c>
      <c r="E77" s="189">
        <f>2*(0.3*0.45)</f>
        <v/>
      </c>
      <c r="F77" s="183" t="inlineStr">
        <is>
          <t>x</t>
        </is>
      </c>
      <c r="G77" s="189" t="n">
        <v>4.5</v>
      </c>
      <c r="J77" s="224" t="inlineStr">
        <is>
          <t>=</t>
        </is>
      </c>
      <c r="K77" s="189">
        <f>IF(C77,C77*E77*G77,"")</f>
        <v/>
      </c>
      <c r="L77" s="201" t="inlineStr">
        <is>
          <t>Sqm</t>
        </is>
      </c>
    </row>
    <row r="78" ht="15" customFormat="1" customHeight="1" s="183">
      <c r="A78" s="185" t="n"/>
      <c r="B78" s="211" t="n"/>
      <c r="C78" s="252" t="n"/>
      <c r="D78" s="183" t="n"/>
      <c r="E78" s="220" t="n"/>
      <c r="F78" s="213" t="n"/>
      <c r="G78" s="214" t="inlineStr">
        <is>
          <t xml:space="preserve">Total </t>
        </is>
      </c>
      <c r="H78" s="213" t="n"/>
      <c r="I78" s="195" t="n"/>
      <c r="J78" s="213" t="n"/>
      <c r="K78" s="195">
        <f>SUM(K77:K77)</f>
        <v/>
      </c>
      <c r="L78" s="228" t="inlineStr">
        <is>
          <t>Sqm</t>
        </is>
      </c>
    </row>
    <row r="79" ht="114" customFormat="1" customHeight="1" s="183">
      <c r="A79" s="241">
        <f>LOOKUP(2,1/(A$1:A47&lt;&gt;""),A$1:A47)+1</f>
        <v/>
      </c>
      <c r="B79" s="211" t="inlineStr">
        <is>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is>
      </c>
      <c r="C79" s="207" t="n"/>
      <c r="D79" s="183" t="n"/>
      <c r="E79" s="189" t="n"/>
      <c r="F79" s="190" t="n"/>
      <c r="G79" s="187" t="n"/>
    </row>
    <row r="80" customFormat="1" s="183">
      <c r="A80" s="252" t="n"/>
      <c r="B80" s="211" t="inlineStr">
        <is>
          <t>Columns</t>
        </is>
      </c>
      <c r="C80" s="240">
        <f>K60</f>
        <v/>
      </c>
      <c r="E80" s="189" t="inlineStr">
        <is>
          <t>Cum @</t>
        </is>
      </c>
      <c r="F80" s="190" t="n"/>
      <c r="G80" s="239" t="n">
        <v>125</v>
      </c>
      <c r="H80" s="190" t="inlineStr">
        <is>
          <t>Kg/Cum</t>
        </is>
      </c>
      <c r="I80" s="183" t="n"/>
      <c r="J80" s="224" t="inlineStr">
        <is>
          <t>=</t>
        </is>
      </c>
      <c r="K80" s="237">
        <f>C80*G80</f>
        <v/>
      </c>
      <c r="L80" s="183" t="inlineStr">
        <is>
          <t>Kg</t>
        </is>
      </c>
    </row>
    <row r="81" customFormat="1" s="183">
      <c r="A81" s="252" t="n"/>
      <c r="B81" s="211" t="inlineStr">
        <is>
          <t>Beams , Slab</t>
        </is>
      </c>
      <c r="C81" s="240">
        <f>K56</f>
        <v/>
      </c>
      <c r="E81" s="189" t="inlineStr">
        <is>
          <t>Cum @</t>
        </is>
      </c>
      <c r="F81" s="190" t="n"/>
      <c r="G81" s="239" t="n">
        <v>100</v>
      </c>
      <c r="H81" s="190" t="inlineStr">
        <is>
          <t>Kg/Cum</t>
        </is>
      </c>
      <c r="I81" s="183" t="n"/>
      <c r="J81" s="224" t="inlineStr">
        <is>
          <t>=</t>
        </is>
      </c>
      <c r="K81" s="237">
        <f>C81*G81</f>
        <v/>
      </c>
      <c r="L81" s="183" t="inlineStr">
        <is>
          <t>Kg</t>
        </is>
      </c>
    </row>
    <row r="82" customFormat="1" s="183">
      <c r="A82" s="185" t="n"/>
      <c r="B82" s="211" t="n"/>
      <c r="C82" s="252" t="n"/>
      <c r="D82" s="183" t="n"/>
      <c r="E82" s="189" t="n"/>
      <c r="G82" s="197" t="inlineStr">
        <is>
          <t>Total</t>
        </is>
      </c>
      <c r="H82" s="210" t="n"/>
      <c r="I82" s="209" t="n"/>
      <c r="J82" s="210" t="n"/>
      <c r="K82" s="238">
        <f>SUM(K80:K81)</f>
        <v/>
      </c>
      <c r="L82" s="183" t="inlineStr">
        <is>
          <t>Kg</t>
        </is>
      </c>
    </row>
    <row r="83" customFormat="1" s="183">
      <c r="A83" s="185" t="n"/>
      <c r="B83" s="211" t="n"/>
      <c r="C83" s="240" t="n"/>
      <c r="D83" s="183" t="n"/>
      <c r="E83" s="189" t="n"/>
      <c r="G83" s="187" t="n"/>
      <c r="H83" s="183" t="n"/>
      <c r="I83" s="189" t="n"/>
      <c r="J83" s="183" t="n"/>
      <c r="K83" s="237" t="n"/>
    </row>
    <row r="84" ht="42.75" customFormat="1" customHeight="1" s="183">
      <c r="A84" s="252" t="n">
        <v>7</v>
      </c>
      <c r="B84" s="193" t="inlineStr">
        <is>
          <t>Brick work in superstructure upto 4.5 metre height  above plinth level Cement Mortar 1:6 with bricks are class designation 75.</t>
        </is>
      </c>
      <c r="C84" s="240" t="n"/>
      <c r="D84" s="183" t="n"/>
      <c r="E84" s="189" t="n"/>
      <c r="G84" s="187" t="n"/>
    </row>
    <row r="85" ht="15" customFormat="1" customHeight="1" s="183">
      <c r="A85" s="185" t="n"/>
      <c r="B85" s="236" t="inlineStr">
        <is>
          <t>Walls in X AND Y direction</t>
        </is>
      </c>
      <c r="C85" s="252" t="n">
        <v>1</v>
      </c>
      <c r="D85" s="183" t="inlineStr">
        <is>
          <t>x</t>
        </is>
      </c>
      <c r="E85" s="189">
        <f>K11</f>
        <v/>
      </c>
      <c r="F85" s="183" t="inlineStr">
        <is>
          <t>x</t>
        </is>
      </c>
      <c r="G85" s="187" t="n">
        <v>0.23</v>
      </c>
      <c r="H85" s="183" t="inlineStr">
        <is>
          <t>x</t>
        </is>
      </c>
      <c r="I85" s="189" t="n">
        <v>3</v>
      </c>
      <c r="J85" s="224" t="inlineStr">
        <is>
          <t>=</t>
        </is>
      </c>
      <c r="K85" s="189">
        <f>IF(C85,C85*E85*G85*I85,"")</f>
        <v/>
      </c>
      <c r="L85" s="190" t="inlineStr">
        <is>
          <t>Cum</t>
        </is>
      </c>
    </row>
    <row r="86" ht="15" customFormat="1" customHeight="1" s="183">
      <c r="A86" s="185" t="n"/>
      <c r="B86" s="236" t="inlineStr">
        <is>
          <t>Walls in X AND Y direction</t>
        </is>
      </c>
      <c r="C86" s="252" t="n">
        <v>2</v>
      </c>
      <c r="D86" s="183" t="inlineStr">
        <is>
          <t>x</t>
        </is>
      </c>
      <c r="E86" s="189" t="n">
        <v>5.54</v>
      </c>
      <c r="F86" s="183" t="inlineStr">
        <is>
          <t>x</t>
        </is>
      </c>
      <c r="G86" s="187" t="n">
        <v>0.23</v>
      </c>
      <c r="H86" s="183" t="inlineStr">
        <is>
          <t>x</t>
        </is>
      </c>
      <c r="I86" s="189" t="n">
        <v>3</v>
      </c>
      <c r="J86" s="224" t="inlineStr">
        <is>
          <t>=</t>
        </is>
      </c>
      <c r="K86" s="189">
        <f>IF(C86,C86*E86*G86*I86,"")</f>
        <v/>
      </c>
      <c r="L86" s="190" t="inlineStr">
        <is>
          <t>Cum</t>
        </is>
      </c>
    </row>
    <row r="87" customFormat="1" s="183">
      <c r="A87" s="185" t="n"/>
      <c r="B87" s="211" t="n"/>
      <c r="C87" s="252" t="n"/>
      <c r="D87" s="183" t="n"/>
      <c r="E87" s="209" t="n"/>
      <c r="F87" s="210" t="n"/>
      <c r="G87" s="197" t="inlineStr">
        <is>
          <t>Gross Qty.</t>
        </is>
      </c>
      <c r="H87" s="210" t="n"/>
      <c r="I87" s="209" t="n"/>
      <c r="J87" s="194" t="inlineStr">
        <is>
          <t>+</t>
        </is>
      </c>
      <c r="K87" s="209">
        <f>SUM(K85:K86)</f>
        <v/>
      </c>
      <c r="L87" s="190" t="inlineStr">
        <is>
          <t>Cum</t>
        </is>
      </c>
    </row>
    <row r="88" ht="15" customFormat="1" customHeight="1" s="183">
      <c r="A88" s="185" t="n"/>
      <c r="B88" s="236" t="inlineStr">
        <is>
          <t>Deductions</t>
        </is>
      </c>
      <c r="C88" s="252" t="n"/>
      <c r="D88" s="183" t="n"/>
      <c r="E88" s="189" t="n"/>
      <c r="G88" s="187" t="n"/>
      <c r="H88" s="183" t="n"/>
      <c r="I88" s="189" t="n"/>
      <c r="J88" s="190" t="n"/>
      <c r="K88" s="189" t="n"/>
      <c r="L88" s="190" t="n"/>
    </row>
    <row r="89" customFormat="1" s="183">
      <c r="A89" s="185" t="n"/>
      <c r="B89" s="211" t="inlineStr">
        <is>
          <t>D1</t>
        </is>
      </c>
      <c r="C89" s="252" t="n">
        <v>4</v>
      </c>
      <c r="D89" s="183" t="inlineStr">
        <is>
          <t>x</t>
        </is>
      </c>
      <c r="E89" s="189" t="n">
        <v>1.5</v>
      </c>
      <c r="F89" s="183" t="inlineStr">
        <is>
          <t>x</t>
        </is>
      </c>
      <c r="G89" s="187" t="n">
        <v>0.23</v>
      </c>
      <c r="H89" s="183" t="inlineStr">
        <is>
          <t>x</t>
        </is>
      </c>
      <c r="I89" s="189" t="n">
        <v>2.1</v>
      </c>
      <c r="J89" s="224" t="inlineStr">
        <is>
          <t>=</t>
        </is>
      </c>
      <c r="K89" s="189">
        <f>IF(C89,C89*E89*G89*I89,"")</f>
        <v/>
      </c>
      <c r="L89" s="190" t="inlineStr">
        <is>
          <t>Cum</t>
        </is>
      </c>
    </row>
    <row r="90" customFormat="1" s="183">
      <c r="A90" s="185" t="n"/>
      <c r="B90" s="211" t="inlineStr">
        <is>
          <t>W1</t>
        </is>
      </c>
      <c r="C90" s="252" t="n">
        <v>8</v>
      </c>
      <c r="D90" s="183" t="inlineStr">
        <is>
          <t>x</t>
        </is>
      </c>
      <c r="E90" s="189" t="n">
        <v>1.8</v>
      </c>
      <c r="F90" s="183" t="inlineStr">
        <is>
          <t>x</t>
        </is>
      </c>
      <c r="G90" s="187" t="n">
        <v>0.23</v>
      </c>
      <c r="H90" s="183" t="inlineStr">
        <is>
          <t>x</t>
        </is>
      </c>
      <c r="I90" s="189" t="n">
        <v>1.2</v>
      </c>
      <c r="J90" s="224" t="inlineStr">
        <is>
          <t>=</t>
        </is>
      </c>
      <c r="K90" s="189">
        <f>IF(C90,C90*E90*G90*I90,"")</f>
        <v/>
      </c>
      <c r="L90" s="190" t="inlineStr">
        <is>
          <t>Cum</t>
        </is>
      </c>
    </row>
    <row r="91" customFormat="1" s="183">
      <c r="A91" s="185" t="n"/>
      <c r="B91" s="235" t="inlineStr">
        <is>
          <t xml:space="preserve">Lintels </t>
        </is>
      </c>
      <c r="C91" s="252" t="n">
        <v>1</v>
      </c>
      <c r="D91" s="183" t="inlineStr">
        <is>
          <t>x</t>
        </is>
      </c>
      <c r="E91" s="189">
        <f>E85</f>
        <v/>
      </c>
      <c r="F91" s="183" t="inlineStr">
        <is>
          <t>x</t>
        </is>
      </c>
      <c r="G91" s="187" t="n">
        <v>0.23</v>
      </c>
      <c r="H91" s="183" t="inlineStr">
        <is>
          <t>x</t>
        </is>
      </c>
      <c r="I91" s="189" t="n">
        <v>0.23</v>
      </c>
      <c r="J91" s="224" t="inlineStr">
        <is>
          <t>=</t>
        </is>
      </c>
      <c r="K91" s="189">
        <f>IF(C91,C91*E91*G91*I91,"")</f>
        <v/>
      </c>
      <c r="L91" s="190" t="inlineStr">
        <is>
          <t>Cum</t>
        </is>
      </c>
    </row>
    <row r="92" customFormat="1" s="183">
      <c r="A92" s="185" t="n"/>
      <c r="B92" s="211" t="n"/>
      <c r="C92" s="252" t="n"/>
      <c r="D92" s="183" t="n"/>
      <c r="E92" s="209" t="n"/>
      <c r="F92" s="210" t="n"/>
      <c r="G92" s="197" t="inlineStr">
        <is>
          <t>Total Deductions</t>
        </is>
      </c>
      <c r="H92" s="210" t="n"/>
      <c r="I92" s="209" t="n"/>
      <c r="J92" s="194" t="inlineStr">
        <is>
          <t>-</t>
        </is>
      </c>
      <c r="K92" s="209">
        <f>SUM(K90:K91)</f>
        <v/>
      </c>
      <c r="L92" s="190" t="inlineStr">
        <is>
          <t>Cum</t>
        </is>
      </c>
    </row>
    <row r="93" ht="15" customFormat="1" customHeight="1" s="183">
      <c r="A93" s="252" t="n"/>
      <c r="B93" s="193" t="inlineStr">
        <is>
          <t xml:space="preserve">Net qty. </t>
        </is>
      </c>
      <c r="C93" s="252" t="n"/>
      <c r="D93" s="232" t="n"/>
      <c r="E93" s="199">
        <f>K87</f>
        <v/>
      </c>
      <c r="F93" s="190" t="inlineStr">
        <is>
          <t>-</t>
        </is>
      </c>
      <c r="G93" s="199">
        <f>K92</f>
        <v/>
      </c>
      <c r="H93" s="223" t="n"/>
      <c r="J93" s="230" t="inlineStr">
        <is>
          <t>=</t>
        </is>
      </c>
      <c r="K93" s="220">
        <f>E93-G93</f>
        <v/>
      </c>
      <c r="L93" s="190" t="inlineStr">
        <is>
          <t>Cum</t>
        </is>
      </c>
    </row>
    <row r="94" customFormat="1" s="183">
      <c r="A94" s="185" t="n"/>
      <c r="B94" s="211" t="n"/>
      <c r="C94" s="252" t="n"/>
      <c r="D94" s="183" t="n"/>
      <c r="E94" s="189" t="n"/>
      <c r="G94" s="187" t="n"/>
      <c r="H94" s="183" t="n"/>
      <c r="I94" s="189" t="n"/>
      <c r="J94" s="183" t="n"/>
      <c r="K94" s="189" t="n"/>
      <c r="L94" s="190" t="n"/>
    </row>
    <row r="95" ht="42.75" customFormat="1" customHeight="1" s="183">
      <c r="A95" s="185" t="n">
        <v>9</v>
      </c>
      <c r="B95" s="193" t="inlineStr">
        <is>
          <t>Plaster on new surface on walls in cement sand mortar 1:6 including raking of joints etc. complete fine finished : 20 mm thick.</t>
        </is>
      </c>
      <c r="C95" s="240" t="n"/>
      <c r="D95" s="183" t="n"/>
      <c r="E95" s="189" t="n"/>
      <c r="F95" s="190" t="n"/>
      <c r="G95" s="187" t="n"/>
    </row>
    <row r="96" ht="15" customFormat="1" customHeight="1" s="183">
      <c r="A96" s="185" t="n"/>
      <c r="B96" s="236" t="inlineStr">
        <is>
          <t>GROUND FLOOR  INSIDE PLASTER</t>
        </is>
      </c>
      <c r="C96" s="240" t="n"/>
      <c r="D96" s="183" t="n"/>
      <c r="E96" s="189" t="n"/>
      <c r="F96" s="190" t="n"/>
      <c r="G96" s="187" t="n"/>
    </row>
    <row r="97" customFormat="1" s="183">
      <c r="A97" s="185" t="n"/>
      <c r="B97" s="226" t="inlineStr">
        <is>
          <t>Main Walls</t>
        </is>
      </c>
      <c r="C97" s="252" t="n">
        <v>2</v>
      </c>
      <c r="D97" s="183" t="inlineStr">
        <is>
          <t>x</t>
        </is>
      </c>
      <c r="E97" s="189">
        <f>E9</f>
        <v/>
      </c>
      <c r="F97" s="183" t="inlineStr">
        <is>
          <t>x</t>
        </is>
      </c>
      <c r="G97" s="189" t="n">
        <v>3</v>
      </c>
      <c r="I97" s="189" t="n"/>
      <c r="J97" s="224" t="inlineStr">
        <is>
          <t>=</t>
        </is>
      </c>
      <c r="K97" s="189">
        <f>IF(C97,C97*E97*G97,"")</f>
        <v/>
      </c>
      <c r="L97" s="201" t="inlineStr">
        <is>
          <t>Sqm</t>
        </is>
      </c>
    </row>
    <row r="98" customFormat="1" s="183">
      <c r="A98" s="185" t="n"/>
      <c r="B98" s="226" t="inlineStr">
        <is>
          <t>Main Walls</t>
        </is>
      </c>
      <c r="C98" s="252" t="n">
        <v>2</v>
      </c>
      <c r="D98" s="183" t="inlineStr">
        <is>
          <t>x</t>
        </is>
      </c>
      <c r="E98" s="189">
        <f>E10</f>
        <v/>
      </c>
      <c r="F98" s="183" t="inlineStr">
        <is>
          <t>x</t>
        </is>
      </c>
      <c r="G98" s="189" t="n">
        <v>3</v>
      </c>
      <c r="I98" s="189" t="n"/>
      <c r="J98" s="224" t="inlineStr">
        <is>
          <t>=</t>
        </is>
      </c>
      <c r="K98" s="189">
        <f>IF(C98,C98*E98*G98,"")</f>
        <v/>
      </c>
      <c r="L98" s="201" t="inlineStr">
        <is>
          <t>Sqm</t>
        </is>
      </c>
    </row>
    <row r="99" customFormat="1" s="183">
      <c r="A99" s="185" t="n"/>
      <c r="B99" s="226" t="inlineStr">
        <is>
          <t>Main Walls</t>
        </is>
      </c>
      <c r="C99" s="252" t="n">
        <v>4</v>
      </c>
      <c r="D99" s="183" t="inlineStr">
        <is>
          <t>x</t>
        </is>
      </c>
      <c r="E99" s="189" t="n">
        <v>5.54</v>
      </c>
      <c r="F99" s="183" t="inlineStr">
        <is>
          <t>x</t>
        </is>
      </c>
      <c r="G99" s="189" t="n">
        <v>3</v>
      </c>
      <c r="I99" s="189" t="n"/>
      <c r="J99" s="224" t="inlineStr">
        <is>
          <t>=</t>
        </is>
      </c>
      <c r="K99" s="189">
        <f>IF(C99,C99*E99*G99,"")</f>
        <v/>
      </c>
      <c r="L99" s="201" t="inlineStr">
        <is>
          <t>Sqm</t>
        </is>
      </c>
    </row>
    <row r="100" customFormat="1" s="183">
      <c r="A100" s="185" t="n"/>
      <c r="B100" s="211" t="n"/>
      <c r="C100" s="252" t="n"/>
      <c r="D100" s="183" t="n"/>
      <c r="E100" s="209" t="n"/>
      <c r="F100" s="210" t="n"/>
      <c r="G100" s="197" t="inlineStr">
        <is>
          <t>Gross Qty.</t>
        </is>
      </c>
      <c r="H100" s="210" t="n"/>
      <c r="I100" s="209" t="n"/>
      <c r="J100" s="194" t="inlineStr">
        <is>
          <t>+</t>
        </is>
      </c>
      <c r="K100" s="209">
        <f>SUM(K97:K99)</f>
        <v/>
      </c>
      <c r="L100" s="208" t="inlineStr">
        <is>
          <t>Sqm</t>
        </is>
      </c>
    </row>
    <row r="101" ht="15" customFormat="1" customHeight="1" s="183">
      <c r="A101" s="185" t="n"/>
      <c r="B101" s="236" t="inlineStr">
        <is>
          <t>Deductions</t>
        </is>
      </c>
      <c r="C101" s="252" t="n"/>
      <c r="D101" s="183" t="n"/>
      <c r="E101" s="189" t="n"/>
      <c r="G101" s="187" t="n"/>
      <c r="H101" s="183" t="n"/>
      <c r="I101" s="189" t="n"/>
      <c r="J101" s="190" t="n"/>
      <c r="K101" s="189" t="n"/>
      <c r="L101" s="201" t="n"/>
    </row>
    <row r="102" customFormat="1" s="183">
      <c r="A102" s="185" t="n"/>
      <c r="B102" s="226" t="inlineStr">
        <is>
          <t>D1</t>
        </is>
      </c>
      <c r="C102" s="252" t="n">
        <v>3</v>
      </c>
      <c r="D102" s="183" t="inlineStr">
        <is>
          <t>x</t>
        </is>
      </c>
      <c r="E102" s="189" t="n">
        <v>1.2</v>
      </c>
      <c r="F102" s="183" t="inlineStr">
        <is>
          <t>x</t>
        </is>
      </c>
      <c r="G102" s="189" t="n">
        <v>2.1</v>
      </c>
      <c r="I102" s="189" t="n"/>
      <c r="J102" s="224" t="inlineStr">
        <is>
          <t>=</t>
        </is>
      </c>
      <c r="K102" s="189">
        <f>IF(C102,C102*E102*G102,"")</f>
        <v/>
      </c>
      <c r="L102" s="201" t="inlineStr">
        <is>
          <t>Sqm</t>
        </is>
      </c>
    </row>
    <row r="103" customFormat="1" s="183">
      <c r="A103" s="185" t="n"/>
      <c r="B103" s="226" t="inlineStr">
        <is>
          <t>W1</t>
        </is>
      </c>
      <c r="C103" s="252" t="n">
        <v>9</v>
      </c>
      <c r="D103" s="183" t="inlineStr">
        <is>
          <t>x</t>
        </is>
      </c>
      <c r="E103" s="189" t="n">
        <v>1.5</v>
      </c>
      <c r="F103" s="183" t="inlineStr">
        <is>
          <t>x</t>
        </is>
      </c>
      <c r="G103" s="189" t="n">
        <v>1.2</v>
      </c>
      <c r="I103" s="189" t="n"/>
      <c r="J103" s="224" t="inlineStr">
        <is>
          <t>=</t>
        </is>
      </c>
      <c r="K103" s="189">
        <f>IF(C103,C103*E103*G103,"")</f>
        <v/>
      </c>
      <c r="L103" s="201" t="inlineStr">
        <is>
          <t>Sqm</t>
        </is>
      </c>
    </row>
    <row r="104" customFormat="1" s="183">
      <c r="A104" s="185" t="n"/>
      <c r="B104" s="211" t="n"/>
      <c r="C104" s="252" t="n"/>
      <c r="D104" s="183" t="n"/>
      <c r="E104" s="209" t="n"/>
      <c r="F104" s="210" t="n"/>
      <c r="G104" s="197" t="inlineStr">
        <is>
          <t>Total Deductions</t>
        </is>
      </c>
      <c r="H104" s="210" t="n"/>
      <c r="I104" s="209" t="n"/>
      <c r="J104" s="194" t="inlineStr">
        <is>
          <t>-</t>
        </is>
      </c>
      <c r="K104" s="209">
        <f>SUM(K102:K103)</f>
        <v/>
      </c>
      <c r="L104" s="208" t="inlineStr">
        <is>
          <t>Sqm</t>
        </is>
      </c>
    </row>
    <row r="105" ht="15" customFormat="1" customHeight="1" s="183">
      <c r="A105" s="252" t="n"/>
      <c r="B105" s="193" t="inlineStr">
        <is>
          <t>Net qty. of Internal Plaster in GF</t>
        </is>
      </c>
      <c r="C105" s="252" t="n"/>
      <c r="D105" s="232">
        <f>K100</f>
        <v/>
      </c>
      <c r="E105" s="199" t="n"/>
      <c r="F105" s="190" t="inlineStr">
        <is>
          <t>-</t>
        </is>
      </c>
      <c r="G105" s="199">
        <f>K104</f>
        <v/>
      </c>
      <c r="H105" s="223" t="n"/>
      <c r="J105" s="230" t="inlineStr">
        <is>
          <t>=</t>
        </is>
      </c>
      <c r="K105" s="220">
        <f>D105-G105</f>
        <v/>
      </c>
      <c r="L105" s="201" t="inlineStr">
        <is>
          <t>Sqm</t>
        </is>
      </c>
    </row>
    <row r="106" customFormat="1" s="183">
      <c r="A106" s="185" t="n"/>
      <c r="B106" s="235" t="inlineStr">
        <is>
          <t>External plaster</t>
        </is>
      </c>
      <c r="C106" s="240" t="n"/>
      <c r="D106" s="183" t="n"/>
      <c r="E106" s="189" t="n"/>
      <c r="F106" s="190" t="n"/>
      <c r="G106" s="187" t="n"/>
    </row>
    <row r="107" customFormat="1" s="183">
      <c r="A107" s="185" t="n"/>
      <c r="B107" s="211" t="n"/>
      <c r="C107" s="252" t="n">
        <v>2</v>
      </c>
      <c r="D107" s="183" t="inlineStr">
        <is>
          <t>x</t>
        </is>
      </c>
      <c r="E107" s="189">
        <f>E97</f>
        <v/>
      </c>
      <c r="F107" s="183" t="inlineStr">
        <is>
          <t>x</t>
        </is>
      </c>
      <c r="G107" s="189" t="n">
        <v>3.9</v>
      </c>
      <c r="I107" s="189" t="n"/>
      <c r="J107" s="224" t="inlineStr">
        <is>
          <t>=</t>
        </is>
      </c>
      <c r="K107" s="189">
        <f>IF(C107,C107*E107*G107,"")</f>
        <v/>
      </c>
      <c r="L107" s="201" t="inlineStr">
        <is>
          <t>Sqm</t>
        </is>
      </c>
    </row>
    <row r="108" customFormat="1" s="183">
      <c r="A108" s="185" t="n"/>
      <c r="B108" s="211" t="n"/>
      <c r="C108" s="252" t="n">
        <v>2</v>
      </c>
      <c r="D108" s="183" t="inlineStr">
        <is>
          <t>x</t>
        </is>
      </c>
      <c r="E108" s="189">
        <f>E98</f>
        <v/>
      </c>
      <c r="F108" s="183" t="inlineStr">
        <is>
          <t>x</t>
        </is>
      </c>
      <c r="G108" s="189" t="n">
        <v>3.9</v>
      </c>
      <c r="I108" s="189" t="n"/>
      <c r="J108" s="224" t="inlineStr">
        <is>
          <t>=</t>
        </is>
      </c>
      <c r="K108" s="189">
        <f>IF(C108,C108*E108*G108,"")</f>
        <v/>
      </c>
      <c r="L108" s="201" t="inlineStr">
        <is>
          <t>Sqm</t>
        </is>
      </c>
    </row>
    <row r="109" customFormat="1" s="183">
      <c r="A109" s="185" t="n"/>
      <c r="B109" s="211" t="n"/>
      <c r="C109" s="252" t="n"/>
      <c r="D109" s="183" t="n"/>
      <c r="E109" s="209" t="n"/>
      <c r="F109" s="234" t="inlineStr">
        <is>
          <t>Gross qty. of External Plaster (+)</t>
        </is>
      </c>
      <c r="G109" s="197" t="n"/>
      <c r="H109" s="210" t="n"/>
      <c r="I109" s="209" t="n"/>
      <c r="J109" s="194" t="inlineStr">
        <is>
          <t>= +</t>
        </is>
      </c>
      <c r="K109" s="209">
        <f>SUM(K107:K108)</f>
        <v/>
      </c>
      <c r="L109" s="208" t="inlineStr">
        <is>
          <t>Sqm</t>
        </is>
      </c>
    </row>
    <row r="110" ht="15" customFormat="1" customHeight="1" s="183">
      <c r="A110" s="252" t="n"/>
      <c r="B110" s="193" t="inlineStr">
        <is>
          <t>Net qty. of External Plaster in FF</t>
        </is>
      </c>
      <c r="C110" s="252" t="n"/>
      <c r="D110" s="232">
        <f>K109</f>
        <v/>
      </c>
      <c r="E110" s="199" t="n"/>
      <c r="F110" s="190" t="inlineStr">
        <is>
          <t>-</t>
        </is>
      </c>
      <c r="G110" s="199" t="n">
        <v>0</v>
      </c>
      <c r="H110" s="223" t="n"/>
      <c r="J110" s="230" t="inlineStr">
        <is>
          <t>=</t>
        </is>
      </c>
      <c r="K110" s="220">
        <f>D110-G110</f>
        <v/>
      </c>
      <c r="L110" s="201" t="inlineStr">
        <is>
          <t>Sqm</t>
        </is>
      </c>
    </row>
    <row r="111" customFormat="1" s="183">
      <c r="A111" s="185" t="n"/>
      <c r="B111" s="211" t="n"/>
      <c r="C111" s="252" t="n"/>
      <c r="D111" s="183" t="n"/>
      <c r="E111" s="189" t="n"/>
      <c r="F111" s="233" t="n"/>
      <c r="G111" s="187" t="n"/>
      <c r="H111" s="183" t="n"/>
      <c r="I111" s="189" t="n"/>
      <c r="J111" s="190" t="n"/>
      <c r="K111" s="189" t="n"/>
      <c r="L111" s="201" t="n"/>
    </row>
    <row r="112" ht="15" customFormat="1" customHeight="1" s="183">
      <c r="A112" s="252" t="n"/>
      <c r="B112" s="193" t="inlineStr">
        <is>
          <t>Total qty. of  Plaster</t>
        </is>
      </c>
      <c r="C112" s="252" t="n"/>
      <c r="D112" s="232" t="n"/>
      <c r="E112" s="199">
        <f>K105</f>
        <v/>
      </c>
      <c r="F112" s="190" t="inlineStr">
        <is>
          <t>+</t>
        </is>
      </c>
      <c r="G112" s="199">
        <f>K110</f>
        <v/>
      </c>
      <c r="H112" s="223" t="n"/>
      <c r="J112" s="230" t="inlineStr">
        <is>
          <t>=</t>
        </is>
      </c>
      <c r="K112" s="220">
        <f>E112+G112</f>
        <v/>
      </c>
      <c r="L112" s="201" t="inlineStr">
        <is>
          <t>Sqm</t>
        </is>
      </c>
    </row>
    <row r="113" ht="15" customFormat="1" customHeight="1" s="183">
      <c r="A113" s="185" t="n"/>
      <c r="B113" s="211" t="n"/>
      <c r="C113" s="240" t="n"/>
      <c r="D113" s="223" t="n"/>
      <c r="E113" s="223" t="n"/>
      <c r="G113" s="220" t="n"/>
      <c r="H113" s="231" t="n"/>
      <c r="I113" s="220" t="n"/>
      <c r="J113" s="230" t="n"/>
      <c r="K113" s="220" t="n"/>
      <c r="L113" s="243" t="n"/>
    </row>
    <row r="114" ht="30" customFormat="1" customHeight="1" s="161">
      <c r="A114" s="241">
        <f>LOOKUP(2,1/(A$1:A113&lt;&gt;""),A$1:A113)+1</f>
        <v/>
      </c>
      <c r="B114" s="259" t="inlineStr">
        <is>
          <t>6 mm cement plaster to ceiling of mix 1 : 3 ( 1 cement : 3 fine - sand )</t>
        </is>
      </c>
      <c r="C114" s="240" t="n"/>
      <c r="D114" s="183" t="n"/>
      <c r="E114" s="189" t="n"/>
      <c r="F114" s="190" t="n"/>
      <c r="G114" s="187" t="n"/>
      <c r="H114" s="183" t="n"/>
      <c r="I114" s="183" t="n"/>
      <c r="J114" s="183" t="n"/>
      <c r="K114" s="183" t="n"/>
      <c r="L114" s="183" t="n"/>
    </row>
    <row r="115" customFormat="1" s="183">
      <c r="A115" s="252" t="n"/>
      <c r="B115" s="229" t="inlineStr">
        <is>
          <t>Ceiling</t>
        </is>
      </c>
      <c r="C115" s="252" t="n">
        <v>1</v>
      </c>
      <c r="D115" s="183" t="inlineStr">
        <is>
          <t>x</t>
        </is>
      </c>
      <c r="E115" s="189">
        <f>E107</f>
        <v/>
      </c>
      <c r="F115" s="183" t="inlineStr">
        <is>
          <t>x</t>
        </is>
      </c>
      <c r="G115" s="189">
        <f>E108</f>
        <v/>
      </c>
      <c r="J115" s="224" t="inlineStr">
        <is>
          <t>=</t>
        </is>
      </c>
      <c r="K115" s="189">
        <f>IF(C115,C115*E115*G115,"")</f>
        <v/>
      </c>
      <c r="L115" s="201" t="inlineStr">
        <is>
          <t>Sqm</t>
        </is>
      </c>
    </row>
    <row r="116" ht="15" customFormat="1" customHeight="1" s="183">
      <c r="A116" s="252" t="n"/>
      <c r="B116" s="229" t="inlineStr">
        <is>
          <t>Beam Sides</t>
        </is>
      </c>
      <c r="C116" s="252" t="n">
        <v>1</v>
      </c>
      <c r="D116" s="183" t="inlineStr">
        <is>
          <t>x</t>
        </is>
      </c>
      <c r="E116" s="189">
        <f>K68</f>
        <v/>
      </c>
      <c r="F116" s="183" t="inlineStr">
        <is>
          <t>x</t>
        </is>
      </c>
      <c r="G116" s="220" t="n">
        <v>1</v>
      </c>
      <c r="J116" s="224" t="inlineStr">
        <is>
          <t>=</t>
        </is>
      </c>
      <c r="K116" s="189">
        <f>IF(C116,C116*E116*G116,"")</f>
        <v/>
      </c>
      <c r="L116" s="201" t="inlineStr">
        <is>
          <t>Sqm</t>
        </is>
      </c>
    </row>
    <row r="117" ht="15" customFormat="1" customHeight="1" s="183">
      <c r="A117" s="185" t="n"/>
      <c r="B117" s="211" t="n"/>
      <c r="C117" s="252" t="n"/>
      <c r="D117" s="183" t="n"/>
      <c r="E117" s="220" t="n"/>
      <c r="F117" s="213" t="n"/>
      <c r="G117" s="214" t="inlineStr">
        <is>
          <t xml:space="preserve">Total </t>
        </is>
      </c>
      <c r="H117" s="213" t="n"/>
      <c r="I117" s="195" t="n"/>
      <c r="J117" s="213" t="n"/>
      <c r="K117" s="195">
        <f>SUM(K115:K116)</f>
        <v/>
      </c>
      <c r="L117" s="228" t="inlineStr">
        <is>
          <t>Sqm</t>
        </is>
      </c>
    </row>
    <row r="118" ht="30" customFormat="1" customHeight="1" s="161">
      <c r="A118" s="241">
        <f>LOOKUP(2,1/(A$1:A117&lt;&gt;""),A$1:A117)+1</f>
        <v/>
      </c>
      <c r="B118" s="259" t="inlineStr">
        <is>
          <t>Making grooves as per design in plaster 10mm to 20mm wide.</t>
        </is>
      </c>
      <c r="C118" s="240" t="n"/>
      <c r="D118" s="183" t="n"/>
      <c r="E118" s="189" t="n"/>
      <c r="F118" s="190" t="n"/>
      <c r="G118" s="187" t="n"/>
      <c r="H118" s="183" t="n"/>
      <c r="I118" s="183" t="n"/>
      <c r="J118" s="183" t="n"/>
      <c r="K118" s="183" t="n"/>
      <c r="L118" s="183" t="n"/>
    </row>
    <row r="119" customFormat="1" s="183">
      <c r="A119" s="252" t="n"/>
      <c r="B119" s="229" t="inlineStr">
        <is>
          <t>Verticle</t>
        </is>
      </c>
      <c r="C119" s="252" t="n">
        <v>16</v>
      </c>
      <c r="D119" s="183" t="inlineStr">
        <is>
          <t>x</t>
        </is>
      </c>
      <c r="E119" s="189" t="n">
        <v>3</v>
      </c>
      <c r="G119" s="189" t="n"/>
      <c r="J119" s="224" t="inlineStr">
        <is>
          <t>=</t>
        </is>
      </c>
      <c r="K119" s="189">
        <f>IF(C119,C119*E119,"")</f>
        <v/>
      </c>
      <c r="L119" s="201" t="inlineStr">
        <is>
          <t>RM</t>
        </is>
      </c>
    </row>
    <row r="120" customFormat="1" s="183">
      <c r="A120" s="252" t="n"/>
      <c r="B120" s="229" t="inlineStr">
        <is>
          <t>Horizontal</t>
        </is>
      </c>
      <c r="C120" s="252" t="n">
        <v>3</v>
      </c>
      <c r="D120" s="183" t="inlineStr">
        <is>
          <t>x</t>
        </is>
      </c>
      <c r="E120" s="189">
        <f>K11</f>
        <v/>
      </c>
      <c r="G120" s="189" t="n"/>
      <c r="J120" s="224" t="inlineStr">
        <is>
          <t>=</t>
        </is>
      </c>
      <c r="K120" s="189">
        <f>IF(C120,C120*E120,"")</f>
        <v/>
      </c>
      <c r="L120" s="201" t="inlineStr">
        <is>
          <t>RM</t>
        </is>
      </c>
    </row>
    <row r="121" ht="15" customFormat="1" customHeight="1" s="183">
      <c r="A121" s="185" t="n"/>
      <c r="B121" s="211" t="n"/>
      <c r="C121" s="252" t="n"/>
      <c r="D121" s="183" t="n"/>
      <c r="E121" s="220" t="n"/>
      <c r="F121" s="213" t="n"/>
      <c r="G121" s="214" t="inlineStr">
        <is>
          <t xml:space="preserve">Total </t>
        </is>
      </c>
      <c r="H121" s="213" t="n"/>
      <c r="I121" s="195" t="n"/>
      <c r="J121" s="213" t="n"/>
      <c r="K121" s="195">
        <f>SUM(K119:K120)</f>
        <v/>
      </c>
      <c r="L121" s="201" t="inlineStr">
        <is>
          <t>RM</t>
        </is>
      </c>
    </row>
    <row r="122" ht="45" customFormat="1" customHeight="1" s="161">
      <c r="A122" s="241">
        <f>LOOKUP(2,1/(A$1:A121&lt;&gt;""),A$1:A121)+1</f>
        <v/>
      </c>
      <c r="B122" s="259" t="inlineStr">
        <is>
          <t>Applying plaster of Paris or lime putty sandala over cement plaster surface for making even surface.</t>
        </is>
      </c>
      <c r="C122" s="240" t="n"/>
      <c r="D122" s="183" t="n"/>
      <c r="E122" s="189" t="n"/>
      <c r="F122" s="190" t="n"/>
      <c r="G122" s="187" t="n"/>
      <c r="H122" s="183" t="n"/>
      <c r="I122" s="183" t="n"/>
      <c r="J122" s="183" t="n"/>
      <c r="K122" s="183" t="n"/>
      <c r="L122" s="183" t="n"/>
    </row>
    <row r="123" ht="15" customFormat="1" customHeight="1" s="183">
      <c r="A123" s="252" t="n"/>
      <c r="B123" s="229" t="inlineStr">
        <is>
          <t>Internal Plaster</t>
        </is>
      </c>
      <c r="C123" s="252" t="n">
        <v>1</v>
      </c>
      <c r="D123" s="183" t="inlineStr">
        <is>
          <t>x</t>
        </is>
      </c>
      <c r="E123" s="189">
        <f>K105</f>
        <v/>
      </c>
      <c r="F123" s="183" t="inlineStr">
        <is>
          <t>x</t>
        </is>
      </c>
      <c r="G123" s="220" t="n">
        <v>1</v>
      </c>
      <c r="J123" s="224" t="inlineStr">
        <is>
          <t>=</t>
        </is>
      </c>
      <c r="K123" s="189">
        <f>K105</f>
        <v/>
      </c>
      <c r="L123" s="201" t="inlineStr">
        <is>
          <t>Sqm</t>
        </is>
      </c>
    </row>
    <row r="124" ht="15" customFormat="1" customHeight="1" s="183">
      <c r="A124" s="185" t="n"/>
      <c r="B124" s="211" t="n"/>
      <c r="C124" s="252" t="n"/>
      <c r="D124" s="183" t="n"/>
      <c r="E124" s="220" t="n"/>
      <c r="F124" s="213" t="n"/>
      <c r="G124" s="214" t="inlineStr">
        <is>
          <t xml:space="preserve">Total </t>
        </is>
      </c>
      <c r="H124" s="213" t="n"/>
      <c r="I124" s="195" t="n"/>
      <c r="J124" s="213" t="n"/>
      <c r="K124" s="195">
        <f>SUM(K122:K123)</f>
        <v/>
      </c>
      <c r="L124" s="228" t="inlineStr">
        <is>
          <t>Sqm</t>
        </is>
      </c>
    </row>
    <row r="125" ht="199.5" customFormat="1" customHeight="1" s="183">
      <c r="A125" s="252" t="n">
        <v>10</v>
      </c>
      <c r="B125" s="211" t="inlineStr">
        <is>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is>
      </c>
      <c r="C125" s="240" t="n"/>
      <c r="D125" s="183" t="n"/>
      <c r="E125" s="189" t="n"/>
      <c r="F125" s="190" t="n"/>
      <c r="G125" s="187" t="n"/>
    </row>
    <row r="126" customFormat="1" s="183">
      <c r="A126" s="185" t="n"/>
      <c r="B126" s="211" t="inlineStr">
        <is>
          <t>D1</t>
        </is>
      </c>
      <c r="C126" s="252">
        <f>C89</f>
        <v/>
      </c>
      <c r="D126" s="190" t="inlineStr">
        <is>
          <t>x(</t>
        </is>
      </c>
      <c r="E126" s="189" t="n">
        <v>1.8</v>
      </c>
      <c r="F126" s="190" t="inlineStr">
        <is>
          <t>+</t>
        </is>
      </c>
      <c r="G126" s="187" t="n">
        <v>2.15</v>
      </c>
      <c r="H126" s="190" t="inlineStr">
        <is>
          <t>+</t>
        </is>
      </c>
      <c r="I126" s="189" t="n">
        <v>2.15</v>
      </c>
      <c r="J126" s="190" t="inlineStr">
        <is>
          <t>)=</t>
        </is>
      </c>
      <c r="K126" s="189">
        <f>IF(C126,C126*E126*G126*I126,"")</f>
        <v/>
      </c>
      <c r="L126" s="201" t="inlineStr">
        <is>
          <t>RM</t>
        </is>
      </c>
    </row>
    <row r="127" customFormat="1" s="183">
      <c r="A127" s="185" t="n"/>
      <c r="B127" s="211" t="n"/>
      <c r="C127" s="252" t="n"/>
      <c r="D127" s="183" t="n"/>
      <c r="E127" s="189" t="n"/>
      <c r="G127" s="197" t="inlineStr">
        <is>
          <t>Total</t>
        </is>
      </c>
      <c r="H127" s="210" t="n"/>
      <c r="I127" s="209" t="n"/>
      <c r="J127" s="210" t="n"/>
      <c r="K127" s="209">
        <f>SUM(K126:K126)</f>
        <v/>
      </c>
      <c r="L127" s="208" t="inlineStr">
        <is>
          <t>RM</t>
        </is>
      </c>
    </row>
    <row r="128" customFormat="1" s="183">
      <c r="A128" s="185" t="n"/>
      <c r="B128" s="211" t="n"/>
      <c r="C128" s="252" t="n"/>
      <c r="D128" s="183" t="n"/>
      <c r="E128" s="189">
        <f>K127</f>
        <v/>
      </c>
      <c r="F128" s="183" t="inlineStr">
        <is>
          <t>RM</t>
        </is>
      </c>
      <c r="G128" s="187" t="n"/>
      <c r="H128" s="224" t="inlineStr">
        <is>
          <t>@ 4.15 Kg/m</t>
        </is>
      </c>
      <c r="I128" s="189" t="n"/>
      <c r="J128" s="183" t="n"/>
      <c r="K128" s="189">
        <f>E128*4.15</f>
        <v/>
      </c>
      <c r="L128" s="201" t="inlineStr">
        <is>
          <t>Kg</t>
        </is>
      </c>
    </row>
    <row r="129" ht="270.75" customFormat="1" customHeight="1" s="183">
      <c r="A129" s="252">
        <f>A125+1</f>
        <v/>
      </c>
      <c r="B129" s="211" t="inlineStr">
        <is>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is>
      </c>
      <c r="C129" s="240" t="n"/>
      <c r="D129" s="183" t="n"/>
      <c r="E129" s="189" t="n"/>
      <c r="F129" s="190" t="n"/>
      <c r="G129" s="187" t="n"/>
    </row>
    <row r="130" customFormat="1" s="183">
      <c r="A130" s="185" t="n"/>
      <c r="B130" s="226" t="inlineStr">
        <is>
          <t>W1</t>
        </is>
      </c>
      <c r="C130" s="252" t="n">
        <v>9</v>
      </c>
      <c r="D130" s="183" t="inlineStr">
        <is>
          <t>x</t>
        </is>
      </c>
      <c r="E130" s="240">
        <f>E90</f>
        <v/>
      </c>
      <c r="F130" s="183" t="inlineStr">
        <is>
          <t>x</t>
        </is>
      </c>
      <c r="G130" s="187" t="n">
        <v>1.2</v>
      </c>
      <c r="I130" s="189" t="n"/>
      <c r="J130" s="224" t="inlineStr">
        <is>
          <t>=</t>
        </is>
      </c>
      <c r="K130" s="189">
        <f>IF(C130,C130*E130*G130,"")</f>
        <v/>
      </c>
      <c r="L130" s="201" t="inlineStr">
        <is>
          <t>Sqm</t>
        </is>
      </c>
    </row>
    <row r="131" customFormat="1" s="183">
      <c r="A131" s="185" t="n"/>
      <c r="B131" s="211" t="n"/>
      <c r="C131" s="252" t="n"/>
      <c r="D131" s="183" t="n"/>
      <c r="E131" s="189" t="n"/>
      <c r="G131" s="197" t="inlineStr">
        <is>
          <t>Total</t>
        </is>
      </c>
      <c r="H131" s="210" t="n"/>
      <c r="I131" s="209" t="n"/>
      <c r="J131" s="210" t="n"/>
      <c r="K131" s="209">
        <f>SUM(K130:K130)</f>
        <v/>
      </c>
      <c r="L131" s="208" t="inlineStr">
        <is>
          <t>Sqm</t>
        </is>
      </c>
    </row>
    <row r="132" customFormat="1" s="183">
      <c r="A132" s="252" t="n"/>
      <c r="B132" s="193" t="n"/>
      <c r="C132" s="240" t="n"/>
      <c r="D132" s="183" t="n"/>
      <c r="E132" s="189" t="n"/>
      <c r="F132" s="190" t="n"/>
      <c r="G132" s="187" t="n"/>
    </row>
    <row r="133" ht="28.5" customFormat="1" customHeight="1" s="183">
      <c r="A133" s="252">
        <f>A129+1</f>
        <v/>
      </c>
      <c r="B133" s="211" t="inlineStr">
        <is>
          <t>Providing and fixing square bars or other flat welded to window, ventilators etc.</t>
        </is>
      </c>
      <c r="C133" s="240" t="n"/>
      <c r="D133" s="183" t="n"/>
      <c r="E133" s="189" t="n"/>
      <c r="F133" s="190" t="n"/>
      <c r="G133" s="187" t="n"/>
    </row>
    <row r="134" customFormat="1" s="183">
      <c r="A134" s="185" t="n"/>
      <c r="B134" s="226" t="inlineStr">
        <is>
          <t>W1</t>
        </is>
      </c>
      <c r="C134" s="252">
        <f>C130</f>
        <v/>
      </c>
      <c r="D134" s="183" t="inlineStr">
        <is>
          <t>x</t>
        </is>
      </c>
      <c r="E134" s="189" t="n">
        <v>1.8</v>
      </c>
      <c r="F134" s="183" t="inlineStr">
        <is>
          <t>x</t>
        </is>
      </c>
      <c r="G134" s="239" t="n">
        <v>10</v>
      </c>
      <c r="H134" s="190" t="inlineStr">
        <is>
          <t>@ 1.13 Kg/m</t>
        </is>
      </c>
      <c r="I134" s="189" t="n">
        <v>1.13</v>
      </c>
      <c r="J134" s="224" t="inlineStr">
        <is>
          <t>=</t>
        </is>
      </c>
      <c r="K134" s="189">
        <f>C134*E134*G134*I134</f>
        <v/>
      </c>
      <c r="L134" s="201" t="inlineStr">
        <is>
          <t>Kg</t>
        </is>
      </c>
    </row>
    <row r="135" ht="15" customFormat="1" customHeight="1" s="183">
      <c r="A135" s="185" t="n"/>
      <c r="B135" s="211" t="n"/>
      <c r="C135" s="252" t="n"/>
      <c r="D135" s="183" t="n"/>
      <c r="E135" s="189" t="n"/>
      <c r="G135" s="197" t="inlineStr">
        <is>
          <t>Total</t>
        </is>
      </c>
      <c r="H135" s="210" t="n"/>
      <c r="I135" s="209" t="n"/>
      <c r="J135" s="210" t="n"/>
      <c r="K135" s="195">
        <f>SUM(K134:K134)</f>
        <v/>
      </c>
      <c r="L135" s="208" t="inlineStr">
        <is>
          <t>Kg</t>
        </is>
      </c>
    </row>
    <row r="136" customFormat="1" s="183">
      <c r="A136" s="252" t="n"/>
      <c r="B136" s="211" t="n"/>
      <c r="C136" s="240" t="n"/>
      <c r="D136" s="183" t="n"/>
      <c r="E136" s="189" t="n"/>
      <c r="F136" s="190" t="n"/>
      <c r="G136" s="187" t="n"/>
    </row>
    <row r="137" ht="71.25" customFormat="1" customHeight="1" s="183">
      <c r="A137" s="252">
        <f>A133+1</f>
        <v/>
      </c>
      <c r="B137" s="211" t="inlineStr">
        <is>
          <t>Supplying and fixing wire gauge of 14 mesh x 24 gauge to the metal frame of rolled section by metal beading 20 x 3 mm with suitable screw at not exceeding 150 mm distance.</t>
        </is>
      </c>
      <c r="C137" s="240" t="n"/>
      <c r="D137" s="183" t="n"/>
      <c r="E137" s="189" t="n"/>
      <c r="F137" s="190" t="n"/>
      <c r="G137" s="187" t="n"/>
    </row>
    <row r="138" ht="15" customFormat="1" customHeight="1" s="183">
      <c r="A138" s="185" t="n"/>
      <c r="B138" s="193" t="inlineStr">
        <is>
          <t>Qty.  10% of total windows area</t>
        </is>
      </c>
      <c r="C138" s="240">
        <f>K131</f>
        <v/>
      </c>
      <c r="D138" s="223" t="n"/>
      <c r="E138" s="223" t="n"/>
      <c r="F138" s="183" t="inlineStr">
        <is>
          <t>x</t>
        </is>
      </c>
      <c r="G138" s="222" t="n">
        <v>0.1</v>
      </c>
      <c r="I138" s="220" t="n"/>
      <c r="J138" s="243" t="n"/>
      <c r="K138" s="220">
        <f>C138*G138</f>
        <v/>
      </c>
      <c r="L138" s="201" t="inlineStr">
        <is>
          <t>Sqm</t>
        </is>
      </c>
    </row>
    <row r="139" ht="99.75" customFormat="1" customHeight="1" s="183">
      <c r="A139" s="252" t="n">
        <v>14</v>
      </c>
      <c r="B139" s="211" t="inlineStr">
        <is>
          <t>Polished Blue Kota Stone flooring skirting, laid over 20 mm thick base of C.M. 1:4 and jointed with grey cement slurry to match the shade of the slab including rubbing and polishing complete : For area of each slab up to 2001 to 5000  Sq. Cm : (A) 25 mm thick slab.</t>
        </is>
      </c>
      <c r="C139" s="240" t="n"/>
      <c r="D139" s="183" t="n"/>
      <c r="E139" s="189" t="n"/>
      <c r="F139" s="190" t="n"/>
      <c r="G139" s="187" t="n"/>
    </row>
    <row r="140" customFormat="1" s="183">
      <c r="A140" s="252" t="n"/>
      <c r="B140" s="211" t="n"/>
      <c r="C140" s="240" t="n">
        <v>1</v>
      </c>
      <c r="D140" s="183" t="inlineStr">
        <is>
          <t>x</t>
        </is>
      </c>
      <c r="E140" s="189">
        <f>E9</f>
        <v/>
      </c>
      <c r="F140" s="190" t="inlineStr">
        <is>
          <t>x</t>
        </is>
      </c>
      <c r="G140" s="187">
        <f>G115</f>
        <v/>
      </c>
      <c r="J140" s="183" t="inlineStr">
        <is>
          <t>=</t>
        </is>
      </c>
      <c r="K140" s="189">
        <f>C140*E140*G140</f>
        <v/>
      </c>
      <c r="L140" s="183" t="inlineStr">
        <is>
          <t>Sqm</t>
        </is>
      </c>
    </row>
    <row r="141" ht="15" customFormat="1" customHeight="1" s="183">
      <c r="A141" s="185" t="n"/>
      <c r="B141" s="211" t="n"/>
      <c r="C141" s="252" t="n"/>
      <c r="D141" s="183" t="n"/>
      <c r="E141" s="189" t="n"/>
      <c r="G141" s="197" t="inlineStr">
        <is>
          <t>Total</t>
        </is>
      </c>
      <c r="H141" s="210" t="n"/>
      <c r="I141" s="209" t="n"/>
      <c r="J141" s="210" t="n"/>
      <c r="K141" s="195">
        <f>SUM(K140)</f>
        <v/>
      </c>
      <c r="L141" s="201" t="inlineStr">
        <is>
          <t>Sqm</t>
        </is>
      </c>
    </row>
    <row r="142" customFormat="1" s="183">
      <c r="A142" s="252" t="n"/>
      <c r="B142" s="211" t="n"/>
      <c r="C142" s="240" t="n"/>
      <c r="D142" s="183" t="n"/>
      <c r="E142" s="189" t="n"/>
      <c r="F142" s="190" t="n"/>
      <c r="G142" s="187" t="n"/>
    </row>
    <row r="143" ht="28.5" customFormat="1" customHeight="1" s="183">
      <c r="A143" s="252" t="n">
        <v>15</v>
      </c>
      <c r="B143" s="193">
        <f>FF_ABS!#REF!</f>
        <v/>
      </c>
      <c r="C143" s="252" t="n"/>
      <c r="D143" s="219" t="n"/>
      <c r="E143" s="189" t="n"/>
      <c r="G143" s="187" t="n"/>
    </row>
    <row r="144" ht="15" customFormat="1" customHeight="1" s="183">
      <c r="A144" s="252" t="n"/>
      <c r="B144" s="218" t="n"/>
      <c r="C144" s="252" t="n">
        <v>1</v>
      </c>
      <c r="D144" s="183" t="inlineStr">
        <is>
          <t>x</t>
        </is>
      </c>
      <c r="E144" s="217">
        <f>E9-1</f>
        <v/>
      </c>
      <c r="F144" s="189" t="inlineStr">
        <is>
          <t>x</t>
        </is>
      </c>
      <c r="G144" s="217">
        <f>E10-1</f>
        <v/>
      </c>
      <c r="H144" s="245" t="inlineStr">
        <is>
          <t>x</t>
        </is>
      </c>
      <c r="I144" s="187" t="n">
        <v>0.25</v>
      </c>
      <c r="J144" s="215" t="inlineStr">
        <is>
          <t>=</t>
        </is>
      </c>
      <c r="K144" s="187">
        <f>IF(C144,C144*E144*G144*I144,"")</f>
        <v/>
      </c>
      <c r="L144" s="190" t="inlineStr">
        <is>
          <t>Cum</t>
        </is>
      </c>
    </row>
    <row r="145" ht="15" customFormat="1" customHeight="1" s="183">
      <c r="A145" s="185" t="n"/>
      <c r="B145" s="211" t="n"/>
      <c r="C145" s="252" t="n"/>
      <c r="D145" s="183" t="n"/>
      <c r="E145" s="195" t="n"/>
      <c r="F145" s="213" t="n"/>
      <c r="G145" s="214" t="inlineStr">
        <is>
          <t>Total Qty.</t>
        </is>
      </c>
      <c r="H145" s="213" t="n"/>
      <c r="I145" s="195" t="n"/>
      <c r="J145" s="213" t="n"/>
      <c r="K145" s="195">
        <f>SUM(K144:K144)</f>
        <v/>
      </c>
      <c r="L145" s="212" t="inlineStr">
        <is>
          <t>Cum</t>
        </is>
      </c>
    </row>
    <row r="146" ht="171" customFormat="1" customHeight="1" s="183">
      <c r="A146" s="207" t="n">
        <v>16</v>
      </c>
      <c r="B146" s="211" t="inlineStr">
        <is>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is>
      </c>
      <c r="C146" s="240" t="n"/>
      <c r="D146" s="183" t="n"/>
      <c r="E146" s="189" t="n"/>
      <c r="F146" s="190" t="n"/>
      <c r="G146" s="187" t="n"/>
    </row>
    <row r="147" customFormat="1" s="183">
      <c r="A147" s="185" t="n"/>
      <c r="B147" s="211" t="inlineStr">
        <is>
          <t>D1</t>
        </is>
      </c>
      <c r="C147" s="252">
        <f>C126</f>
        <v/>
      </c>
      <c r="D147" s="190" t="inlineStr">
        <is>
          <t>x</t>
        </is>
      </c>
      <c r="E147" s="189">
        <f>E89</f>
        <v/>
      </c>
      <c r="F147" s="190" t="inlineStr">
        <is>
          <t>x</t>
        </is>
      </c>
      <c r="G147" s="187" t="n">
        <v>2.1</v>
      </c>
      <c r="H147" s="183" t="n"/>
      <c r="I147" s="189" t="n"/>
      <c r="J147" s="224" t="inlineStr">
        <is>
          <t>=</t>
        </is>
      </c>
      <c r="K147" s="189">
        <f>IF(C147,C147*E147*G147,"")</f>
        <v/>
      </c>
      <c r="L147" s="201" t="inlineStr">
        <is>
          <t>Sqm</t>
        </is>
      </c>
    </row>
    <row r="148" ht="15" customFormat="1" customHeight="1" s="183">
      <c r="A148" s="185" t="n"/>
      <c r="B148" s="211" t="n"/>
      <c r="C148" s="252" t="n"/>
      <c r="D148" s="183" t="n"/>
      <c r="E148" s="189" t="n"/>
      <c r="G148" s="197" t="inlineStr">
        <is>
          <t>Total</t>
        </is>
      </c>
      <c r="H148" s="210" t="n"/>
      <c r="I148" s="209" t="n"/>
      <c r="J148" s="210" t="n"/>
      <c r="K148" s="195">
        <f>SUM(K147:K147)</f>
        <v/>
      </c>
      <c r="L148" s="208" t="inlineStr">
        <is>
          <t>Sqm</t>
        </is>
      </c>
    </row>
    <row r="149" customFormat="1" s="183">
      <c r="A149" s="252" t="n"/>
      <c r="B149" s="211" t="n"/>
      <c r="C149" s="240" t="n"/>
      <c r="D149" s="183" t="n"/>
      <c r="E149" s="189" t="n"/>
      <c r="F149" s="190" t="n"/>
      <c r="G149" s="187">
        <f>IF(C149,ROUNDUP(C149*E149,0),"")</f>
        <v/>
      </c>
    </row>
    <row r="150" ht="105" customFormat="1" customHeight="1" s="161">
      <c r="A150" s="241">
        <f>LOOKUP(2,1/(A$1:A149&lt;&gt;""),A$1:A149)+1</f>
        <v/>
      </c>
      <c r="B150" s="259" t="inlineStr">
        <is>
          <t>Supply  and  fixing  in  cement  mortar  welded hand railing made out of M.S. round or square bars, flats etc. for staircase or verandah as per design complete in all respect (wooden or PVC hand railing to be paid extra) with priming coat of red oxide.</t>
        </is>
      </c>
      <c r="C150" s="240" t="n"/>
      <c r="D150" s="183" t="n"/>
      <c r="E150" s="189" t="n"/>
      <c r="F150" s="190" t="n"/>
      <c r="G150" s="187" t="n"/>
      <c r="H150" s="183" t="n"/>
      <c r="I150" s="183" t="n"/>
      <c r="J150" s="183" t="n"/>
      <c r="K150" s="183" t="n"/>
      <c r="L150" s="183" t="n"/>
    </row>
    <row r="151" customFormat="1" s="183">
      <c r="A151" s="185" t="n"/>
      <c r="B151" s="211" t="inlineStr">
        <is>
          <t>Staircase</t>
        </is>
      </c>
      <c r="C151" s="252" t="n">
        <v>4</v>
      </c>
      <c r="D151" s="190" t="inlineStr">
        <is>
          <t>x(</t>
        </is>
      </c>
      <c r="E151" s="189" t="n">
        <v>1.75</v>
      </c>
      <c r="F151" s="190" t="inlineStr">
        <is>
          <t>+</t>
        </is>
      </c>
      <c r="G151" s="187" t="n">
        <v>1.2</v>
      </c>
      <c r="H151" s="190" t="inlineStr">
        <is>
          <t>+</t>
        </is>
      </c>
      <c r="I151" s="189" t="n">
        <v>1.75</v>
      </c>
      <c r="J151" s="190" t="inlineStr">
        <is>
          <t>)=</t>
        </is>
      </c>
      <c r="K151" s="189">
        <f>IF(C151,C151*E151*G151*I151,"")</f>
        <v/>
      </c>
      <c r="L151" s="201" t="inlineStr">
        <is>
          <t>RM</t>
        </is>
      </c>
    </row>
    <row r="152" customFormat="1" s="183">
      <c r="A152" s="185" t="n"/>
      <c r="B152" s="211" t="n"/>
      <c r="C152" s="252" t="n"/>
      <c r="D152" s="183" t="n"/>
      <c r="E152" s="189" t="n"/>
      <c r="G152" s="197" t="inlineStr">
        <is>
          <t>Total</t>
        </is>
      </c>
      <c r="H152" s="210" t="n"/>
      <c r="I152" s="209" t="n"/>
      <c r="J152" s="210" t="n"/>
      <c r="K152" s="209">
        <f>SUM(K151:K151)</f>
        <v/>
      </c>
      <c r="L152" s="208" t="inlineStr">
        <is>
          <t>RM</t>
        </is>
      </c>
    </row>
    <row r="153" customFormat="1" s="183">
      <c r="A153" s="185" t="n"/>
      <c r="B153" s="211" t="n"/>
      <c r="C153" s="252" t="n"/>
      <c r="D153" s="183" t="n"/>
      <c r="E153" s="189">
        <f>K152</f>
        <v/>
      </c>
      <c r="F153" s="183" t="inlineStr">
        <is>
          <t>RM</t>
        </is>
      </c>
      <c r="G153" s="187" t="n"/>
      <c r="H153" s="224" t="inlineStr">
        <is>
          <t>@ 12 Kg/m</t>
        </is>
      </c>
      <c r="I153" s="189" t="n"/>
      <c r="J153" s="183" t="n"/>
      <c r="K153" s="189">
        <f>E153*12</f>
        <v/>
      </c>
      <c r="L153" s="201" t="inlineStr">
        <is>
          <t>Kg</t>
        </is>
      </c>
    </row>
    <row r="154" ht="409.5" customFormat="1" customHeight="1" s="161">
      <c r="A154" s="241">
        <f>LOOKUP(2,1/(A$1:A153&lt;&gt;""),A$1:A153)+1</f>
        <v/>
      </c>
      <c r="B154" s="259" t="inlineStr">
        <is>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t>
        </is>
      </c>
      <c r="C154" s="240" t="n"/>
      <c r="D154" s="183" t="n"/>
      <c r="E154" s="189" t="n"/>
      <c r="F154" s="190" t="n"/>
      <c r="G154" s="187" t="n"/>
      <c r="H154" s="183" t="n"/>
      <c r="I154" s="183" t="n"/>
      <c r="J154" s="183" t="n"/>
      <c r="K154" s="183" t="n"/>
      <c r="L154" s="183" t="n"/>
    </row>
    <row r="155" customFormat="1" s="183">
      <c r="A155" s="252" t="n"/>
      <c r="B155" s="211" t="n"/>
      <c r="C155" s="240" t="n">
        <v>2</v>
      </c>
      <c r="D155" s="183" t="inlineStr">
        <is>
          <t>x</t>
        </is>
      </c>
      <c r="E155" s="189" t="n">
        <v>0.9</v>
      </c>
      <c r="F155" s="190" t="inlineStr">
        <is>
          <t>x</t>
        </is>
      </c>
      <c r="G155" s="187">
        <f>G130</f>
        <v/>
      </c>
      <c r="J155" s="183" t="inlineStr">
        <is>
          <t>=</t>
        </is>
      </c>
      <c r="K155" s="189">
        <f>C155*E155*G155</f>
        <v/>
      </c>
      <c r="L155" s="183" t="inlineStr">
        <is>
          <t>Sqm</t>
        </is>
      </c>
    </row>
    <row r="156" ht="15" customFormat="1" customHeight="1" s="183">
      <c r="A156" s="185" t="n"/>
      <c r="B156" s="211" t="n"/>
      <c r="C156" s="252" t="n"/>
      <c r="D156" s="183" t="n"/>
      <c r="E156" s="189" t="n"/>
      <c r="G156" s="197" t="inlineStr">
        <is>
          <t>Total</t>
        </is>
      </c>
      <c r="H156" s="210" t="n"/>
      <c r="I156" s="209" t="n"/>
      <c r="J156" s="210" t="n"/>
      <c r="K156" s="195">
        <f>SUM(K155)</f>
        <v/>
      </c>
      <c r="L156" s="201" t="inlineStr">
        <is>
          <t>Sqm</t>
        </is>
      </c>
    </row>
    <row r="157" ht="150" customFormat="1" customHeight="1" s="161">
      <c r="A157" s="241">
        <f>LOOKUP(2,1/(A$1:A156&lt;&gt;""),A$1:A156)+1</f>
        <v/>
      </c>
      <c r="B157" s="259" t="inlineStr">
        <is>
          <t>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t>
        </is>
      </c>
      <c r="C157" s="240" t="n"/>
      <c r="D157" s="183" t="n"/>
      <c r="E157" s="189" t="n"/>
      <c r="F157" s="190" t="n"/>
      <c r="G157" s="187" t="n"/>
      <c r="H157" s="183" t="n"/>
      <c r="I157" s="183" t="n"/>
      <c r="J157" s="183" t="n"/>
      <c r="K157" s="183" t="n"/>
      <c r="L157" s="183" t="n"/>
    </row>
    <row r="158" customFormat="1" s="183">
      <c r="A158" s="252" t="n"/>
      <c r="B158" s="211" t="inlineStr">
        <is>
          <t>Toilets</t>
        </is>
      </c>
      <c r="C158" s="240" t="n">
        <v>1</v>
      </c>
      <c r="D158" s="183" t="inlineStr">
        <is>
          <t>x</t>
        </is>
      </c>
      <c r="E158" s="189">
        <f>7</f>
        <v/>
      </c>
      <c r="F158" s="190" t="inlineStr">
        <is>
          <t>x</t>
        </is>
      </c>
      <c r="G158" s="187" t="n">
        <v>2.1</v>
      </c>
      <c r="J158" s="183" t="inlineStr">
        <is>
          <t>=</t>
        </is>
      </c>
      <c r="K158" s="189">
        <f>C158*E158*G158</f>
        <v/>
      </c>
      <c r="L158" s="183" t="inlineStr">
        <is>
          <t>Sqm</t>
        </is>
      </c>
    </row>
    <row r="159" customFormat="1" s="183">
      <c r="A159" s="252" t="n"/>
      <c r="B159" s="211" t="n"/>
      <c r="C159" s="240" t="n">
        <v>1</v>
      </c>
      <c r="D159" s="183" t="inlineStr">
        <is>
          <t>x</t>
        </is>
      </c>
      <c r="E159" s="189" t="n">
        <v>6</v>
      </c>
      <c r="F159" s="190" t="inlineStr">
        <is>
          <t>x</t>
        </is>
      </c>
      <c r="G159" s="187" t="n">
        <v>2.1</v>
      </c>
      <c r="J159" s="183" t="inlineStr">
        <is>
          <t>=</t>
        </is>
      </c>
      <c r="K159" s="189">
        <f>C159*E159*G159</f>
        <v/>
      </c>
      <c r="L159" s="183" t="inlineStr">
        <is>
          <t>Sqm</t>
        </is>
      </c>
    </row>
    <row r="160" ht="15" customFormat="1" customHeight="1" s="183">
      <c r="A160" s="185" t="n"/>
      <c r="B160" s="211" t="n"/>
      <c r="C160" s="252" t="n"/>
      <c r="D160" s="183" t="n"/>
      <c r="E160" s="189" t="n"/>
      <c r="G160" s="197" t="inlineStr">
        <is>
          <t>Total</t>
        </is>
      </c>
      <c r="H160" s="210" t="n"/>
      <c r="I160" s="209" t="n"/>
      <c r="J160" s="210" t="n"/>
      <c r="K160" s="195">
        <f>SUM(K158:K159)</f>
        <v/>
      </c>
      <c r="L160" s="201" t="inlineStr">
        <is>
          <t>Sqm</t>
        </is>
      </c>
    </row>
    <row r="161" ht="42.75" customFormat="1" customHeight="1" s="183">
      <c r="A161" s="207" t="n">
        <v>17</v>
      </c>
      <c r="B161" s="211" t="inlineStr">
        <is>
          <t>White washing with lime to give an even shade including all scaffolding: New work (two or more coats).</t>
        </is>
      </c>
      <c r="C161" s="240" t="n"/>
      <c r="D161" s="183" t="n"/>
      <c r="E161" s="189" t="n"/>
      <c r="F161" s="190" t="n"/>
      <c r="G161" s="187" t="n"/>
    </row>
    <row r="162" customFormat="1" s="183">
      <c r="A162" s="252" t="n"/>
      <c r="B162" s="211" t="inlineStr">
        <is>
          <t>Qty. of Internal Plaster</t>
        </is>
      </c>
      <c r="C162" s="240" t="n"/>
      <c r="D162" s="183" t="n"/>
      <c r="E162" s="189" t="n"/>
      <c r="F162" s="190" t="n"/>
      <c r="G162" s="187" t="n"/>
      <c r="J162" s="190" t="inlineStr">
        <is>
          <t>=</t>
        </is>
      </c>
      <c r="K162" s="189">
        <f>K105</f>
        <v/>
      </c>
      <c r="L162" s="183" t="inlineStr">
        <is>
          <t>Sqm</t>
        </is>
      </c>
    </row>
    <row r="163" customFormat="1" s="183">
      <c r="A163" s="185" t="n"/>
      <c r="B163" s="211" t="n"/>
      <c r="C163" s="252" t="n"/>
      <c r="D163" s="183" t="n"/>
      <c r="E163" s="189" t="n"/>
      <c r="G163" s="197" t="inlineStr">
        <is>
          <t>Total</t>
        </is>
      </c>
      <c r="H163" s="210" t="n"/>
      <c r="I163" s="209" t="n"/>
      <c r="J163" s="210" t="n"/>
      <c r="K163" s="209">
        <f>SUM(K162:K162)</f>
        <v/>
      </c>
      <c r="L163" s="208" t="inlineStr">
        <is>
          <t>Sqm</t>
        </is>
      </c>
    </row>
    <row r="164" customFormat="1" s="183">
      <c r="A164" s="185" t="n"/>
      <c r="B164" s="211" t="n"/>
      <c r="C164" s="252" t="n"/>
      <c r="D164" s="183" t="n"/>
      <c r="E164" s="189" t="n"/>
      <c r="G164" s="187" t="n"/>
      <c r="H164" s="183" t="n"/>
      <c r="I164" s="189" t="n"/>
      <c r="J164" s="183" t="n"/>
      <c r="K164" s="189" t="n"/>
      <c r="L164" s="201" t="n"/>
    </row>
    <row r="165" ht="57" customFormat="1" customHeight="1" s="183">
      <c r="A165" s="252">
        <f>A161+1</f>
        <v/>
      </c>
      <c r="B165" s="193" t="inlineStr">
        <is>
          <t>Colour  washing of all shades to give an even shade including all scaffolding: New work (two or more coats) with a base coat of white washing with lime.</t>
        </is>
      </c>
      <c r="C165" s="240" t="n"/>
      <c r="D165" s="183" t="n"/>
      <c r="E165" s="189" t="n"/>
      <c r="F165" s="190" t="n"/>
      <c r="G165" s="187" t="n"/>
    </row>
    <row r="166" customFormat="1" s="183">
      <c r="A166" s="252" t="n"/>
      <c r="B166" s="193" t="inlineStr">
        <is>
          <t>Qty. of External Plaster</t>
        </is>
      </c>
      <c r="C166" s="207" t="n">
        <v>1</v>
      </c>
      <c r="D166" s="190" t="inlineStr">
        <is>
          <t>x</t>
        </is>
      </c>
      <c r="E166" s="199">
        <f>K109</f>
        <v/>
      </c>
      <c r="F166" s="206" t="n"/>
      <c r="G166" s="205" t="n"/>
      <c r="H166" s="202" t="n"/>
      <c r="I166" s="202" t="n"/>
      <c r="J166" s="204" t="inlineStr">
        <is>
          <t>=</t>
        </is>
      </c>
      <c r="K166" s="203">
        <f>K109</f>
        <v/>
      </c>
      <c r="L166" s="202" t="inlineStr">
        <is>
          <t>Sqm</t>
        </is>
      </c>
    </row>
    <row r="167" customFormat="1" s="183">
      <c r="A167" s="185" t="n"/>
      <c r="B167" s="211" t="n"/>
      <c r="C167" s="252" t="n"/>
      <c r="D167" s="183" t="n"/>
      <c r="E167" s="189" t="n"/>
      <c r="G167" s="187" t="inlineStr">
        <is>
          <t>Total</t>
        </is>
      </c>
      <c r="H167" s="183" t="n"/>
      <c r="I167" s="189" t="n"/>
      <c r="J167" s="183" t="n"/>
      <c r="K167" s="189">
        <f>SUM(K166:K166)</f>
        <v/>
      </c>
      <c r="L167" s="201" t="inlineStr">
        <is>
          <t>Sqm</t>
        </is>
      </c>
    </row>
    <row r="168" customFormat="1" s="183">
      <c r="A168" s="252" t="n"/>
      <c r="B168" s="193" t="inlineStr"/>
      <c r="C168" s="240" t="n"/>
      <c r="D168" s="183" t="n"/>
      <c r="E168" s="189" t="n"/>
      <c r="F168" s="190" t="n"/>
      <c r="G168" s="187" t="n"/>
    </row>
    <row r="169" ht="57" customFormat="1" customHeight="1" s="183">
      <c r="A169" s="252">
        <f>A165+1</f>
        <v/>
      </c>
      <c r="B169" s="211" t="inlineStr">
        <is>
          <t>Applying priming coat with ready mix pink or Grey primer of approved brand and manufacture on wood work hard and soft wood.</t>
        </is>
      </c>
      <c r="C169" s="240" t="n"/>
      <c r="D169" s="183" t="n"/>
      <c r="E169" s="189" t="n"/>
      <c r="F169" s="190" t="n"/>
      <c r="G169" s="187" t="n"/>
    </row>
    <row r="170" customFormat="1" s="183">
      <c r="A170" s="185" t="n"/>
      <c r="B170" s="193" t="inlineStr">
        <is>
          <t>Double Leaf door shutters</t>
        </is>
      </c>
      <c r="C170" s="233">
        <f>K148</f>
        <v/>
      </c>
      <c r="D170" s="223" t="n"/>
      <c r="E170" s="199" t="n"/>
      <c r="F170" s="183" t="inlineStr">
        <is>
          <t>Sqm</t>
        </is>
      </c>
      <c r="G170" s="187" t="n"/>
      <c r="H170" s="190" t="inlineStr">
        <is>
          <t>@</t>
        </is>
      </c>
      <c r="I170" s="233" t="n">
        <v>2.25</v>
      </c>
      <c r="J170" s="224" t="inlineStr">
        <is>
          <t>=</t>
        </is>
      </c>
      <c r="K170" s="189">
        <f>C170*I170</f>
        <v/>
      </c>
      <c r="L170" s="190" t="inlineStr">
        <is>
          <t>Sqm</t>
        </is>
      </c>
    </row>
    <row r="171" customFormat="1" s="183">
      <c r="A171" s="185" t="n"/>
      <c r="B171" s="193" t="inlineStr">
        <is>
          <t>Windows</t>
        </is>
      </c>
      <c r="C171" s="233">
        <f>K131</f>
        <v/>
      </c>
      <c r="D171" s="223" t="n"/>
      <c r="E171" s="199" t="n"/>
      <c r="F171" s="183" t="inlineStr">
        <is>
          <t>Sqm</t>
        </is>
      </c>
      <c r="G171" s="187" t="n"/>
      <c r="H171" s="190" t="inlineStr">
        <is>
          <t>@</t>
        </is>
      </c>
      <c r="I171" s="233" t="n">
        <v>2.6</v>
      </c>
      <c r="J171" s="224" t="inlineStr">
        <is>
          <t>=</t>
        </is>
      </c>
      <c r="K171" s="189">
        <f>C171*I171</f>
        <v/>
      </c>
      <c r="L171" s="190" t="inlineStr">
        <is>
          <t>Sqm</t>
        </is>
      </c>
    </row>
    <row r="172" ht="15" customFormat="1" customHeight="1" s="183">
      <c r="A172" s="185" t="n"/>
      <c r="B172" s="193" t="n"/>
      <c r="C172" s="185" t="n"/>
      <c r="D172" s="183" t="n"/>
      <c r="E172" s="189" t="n"/>
      <c r="I172" s="197" t="inlineStr">
        <is>
          <t>Total</t>
        </is>
      </c>
      <c r="J172" s="196" t="inlineStr">
        <is>
          <t>=</t>
        </is>
      </c>
      <c r="K172" s="195">
        <f>SUM(K170:K171)</f>
        <v/>
      </c>
      <c r="L172" s="194" t="inlineStr">
        <is>
          <t>Sqm</t>
        </is>
      </c>
    </row>
    <row r="173" customFormat="1" s="183">
      <c r="A173" s="252" t="n"/>
      <c r="B173" s="211" t="n"/>
      <c r="C173" s="240" t="n"/>
      <c r="D173" s="183" t="n"/>
      <c r="E173" s="189" t="n"/>
      <c r="F173" s="190" t="n"/>
      <c r="G173" s="187" t="n"/>
    </row>
    <row r="174" ht="42.75" customFormat="1" customHeight="1" s="183">
      <c r="A174" s="252">
        <f>A169+1</f>
        <v/>
      </c>
      <c r="B174" s="193" t="inlineStr">
        <is>
          <t>Painting with enamel paint of approved brand and manufacture to give an even shade two or more coats on new work.</t>
        </is>
      </c>
      <c r="C174" s="240" t="n"/>
      <c r="D174" s="183" t="n"/>
      <c r="E174" s="189" t="n"/>
      <c r="F174" s="190" t="n"/>
      <c r="G174" s="187" t="n"/>
    </row>
    <row r="175" ht="15" customFormat="1" customHeight="1" s="183">
      <c r="A175" s="252" t="n"/>
      <c r="B175" s="211" t="inlineStr">
        <is>
          <t xml:space="preserve">Qty. of priming </t>
        </is>
      </c>
      <c r="C175" s="240" t="n"/>
      <c r="D175" s="183" t="n"/>
      <c r="E175" s="189" t="n"/>
      <c r="F175" s="190" t="n"/>
      <c r="G175" s="187" t="n"/>
      <c r="K175" s="220">
        <f>K172</f>
        <v/>
      </c>
      <c r="L175" s="190" t="inlineStr">
        <is>
          <t>Sqm</t>
        </is>
      </c>
    </row>
    <row r="176" ht="120" customFormat="1" customHeight="1" s="161">
      <c r="A176" s="241">
        <f>LOOKUP(2,1/(A$1:A175&lt;&gt;""),A$1:A175)+1</f>
        <v/>
      </c>
      <c r="B176" s="259">
        <f>FF_ABS!B26</f>
        <v/>
      </c>
      <c r="C176" s="240" t="n"/>
      <c r="D176" s="183" t="n"/>
      <c r="E176" s="189" t="n"/>
      <c r="F176" s="190" t="n"/>
      <c r="G176" s="187" t="n"/>
      <c r="H176" s="183" t="n"/>
      <c r="I176" s="183" t="n"/>
      <c r="J176" s="183" t="n"/>
      <c r="K176" s="183" t="n"/>
      <c r="L176" s="183" t="n"/>
    </row>
    <row r="177" customFormat="1" s="183">
      <c r="A177" s="252" t="n"/>
      <c r="B177" s="211" t="n"/>
      <c r="C177" s="240" t="n">
        <v>1</v>
      </c>
      <c r="D177" s="183" t="inlineStr">
        <is>
          <t>x</t>
        </is>
      </c>
      <c r="E177" s="189">
        <f>GF1_MES!K14</f>
        <v/>
      </c>
      <c r="F177" s="190" t="inlineStr">
        <is>
          <t>x</t>
        </is>
      </c>
      <c r="G177" s="187" t="n">
        <v>0.3</v>
      </c>
      <c r="H177" s="190" t="inlineStr">
        <is>
          <t>x</t>
        </is>
      </c>
      <c r="I177" s="187" t="n">
        <v>0.05</v>
      </c>
      <c r="J177" s="183" t="inlineStr">
        <is>
          <t>=</t>
        </is>
      </c>
      <c r="K177" s="189">
        <f>E177*G177*I177</f>
        <v/>
      </c>
      <c r="L177" s="190" t="inlineStr">
        <is>
          <t>Cum</t>
        </is>
      </c>
    </row>
    <row r="178" ht="15" customFormat="1" customHeight="1" s="183">
      <c r="A178" s="185" t="n"/>
      <c r="B178" s="211" t="n"/>
      <c r="C178" s="252" t="n"/>
      <c r="D178" s="183" t="n"/>
      <c r="E178" s="189" t="n"/>
      <c r="G178" s="197" t="inlineStr">
        <is>
          <t>Total</t>
        </is>
      </c>
      <c r="H178" s="210" t="n"/>
      <c r="I178" s="209" t="n"/>
      <c r="J178" s="210" t="n"/>
      <c r="K178" s="195">
        <f>SUM(K177)</f>
        <v/>
      </c>
      <c r="L178" s="212" t="inlineStr">
        <is>
          <t>Cum</t>
        </is>
      </c>
    </row>
    <row r="179" customFormat="1" s="183">
      <c r="A179" s="252" t="n"/>
      <c r="B179" s="211" t="n"/>
      <c r="C179" s="240" t="n"/>
      <c r="D179" s="183" t="n"/>
      <c r="E179" s="189" t="n"/>
      <c r="F179" s="190" t="n"/>
      <c r="G179" s="187" t="n"/>
    </row>
    <row r="180" ht="105" customFormat="1" customHeight="1" s="161">
      <c r="A180" s="241">
        <f>LOOKUP(2,1/(A$1:A176&lt;&gt;""),A$1:A176)+1</f>
        <v/>
      </c>
      <c r="B180" s="259" t="inlineStr">
        <is>
          <t>Grading roof  water proofing treatment with  :
Cement concrete 1:2:4 (1-Cement:2-coarse sand  :4-graded  stone  aggregate  20mm nominal size).with water proofing compound as per manufacturers specification</t>
        </is>
      </c>
      <c r="C180" s="240" t="n"/>
      <c r="D180" s="183" t="n"/>
      <c r="E180" s="189" t="n"/>
      <c r="F180" s="190" t="n"/>
      <c r="G180" s="187" t="n"/>
      <c r="H180" s="183" t="n"/>
      <c r="I180" s="183" t="n"/>
      <c r="J180" s="183" t="n"/>
      <c r="K180" s="183" t="n"/>
      <c r="L180" s="183" t="n"/>
    </row>
    <row r="181" customFormat="1" s="183">
      <c r="A181" s="185" t="n"/>
      <c r="B181" s="211" t="n"/>
      <c r="C181" s="252" t="n">
        <v>1</v>
      </c>
      <c r="D181" s="245" t="inlineStr">
        <is>
          <t>x</t>
        </is>
      </c>
      <c r="E181" s="187">
        <f>E184</f>
        <v/>
      </c>
      <c r="F181" s="245" t="inlineStr">
        <is>
          <t>x</t>
        </is>
      </c>
      <c r="G181" s="187">
        <f>E185</f>
        <v/>
      </c>
      <c r="H181" s="245" t="inlineStr">
        <is>
          <t>x</t>
        </is>
      </c>
      <c r="I181" s="187" t="n">
        <v>0.13</v>
      </c>
      <c r="J181" s="215" t="inlineStr">
        <is>
          <t>=</t>
        </is>
      </c>
      <c r="K181" s="187">
        <f>IF(C181,C181*E181*G181*I181,"")</f>
        <v/>
      </c>
      <c r="L181" s="190" t="inlineStr">
        <is>
          <t>Cum</t>
        </is>
      </c>
    </row>
    <row r="182" ht="15" customFormat="1" customHeight="1" s="183">
      <c r="A182" s="185" t="n"/>
      <c r="B182" s="211" t="n"/>
      <c r="C182" s="252" t="n"/>
      <c r="D182" s="183" t="n"/>
      <c r="E182" s="195" t="n"/>
      <c r="F182" s="213" t="n"/>
      <c r="G182" s="214" t="inlineStr">
        <is>
          <t>Total Qty.</t>
        </is>
      </c>
      <c r="H182" s="213" t="n"/>
      <c r="I182" s="195" t="n"/>
      <c r="J182" s="213" t="n"/>
      <c r="K182" s="195">
        <f>SUM(K181:K181)</f>
        <v/>
      </c>
      <c r="L182" s="212" t="inlineStr">
        <is>
          <t>Cum</t>
        </is>
      </c>
    </row>
    <row r="183" ht="75" customFormat="1" customHeight="1" s="161">
      <c r="A183" s="241">
        <f>LOOKUP(2,1/(A$1:A180&lt;&gt;""),A$1:A180)+1</f>
        <v/>
      </c>
      <c r="B183" s="259" t="inlineStr">
        <is>
          <t>Providing  batta   (gola)   75mm   x   75mm   in
cement concrete (1:2:4) including finished with cement mortar 1:3 as per standard design.</t>
        </is>
      </c>
      <c r="C183" s="240" t="n"/>
      <c r="D183" s="183" t="n"/>
      <c r="E183" s="189" t="n"/>
      <c r="F183" s="190" t="n"/>
      <c r="G183" s="187" t="n"/>
      <c r="H183" s="183" t="n"/>
      <c r="I183" s="183" t="n"/>
      <c r="J183" s="183" t="n"/>
      <c r="K183" s="183" t="n"/>
      <c r="L183" s="183" t="n"/>
    </row>
    <row r="184" customFormat="1" s="183">
      <c r="A184" s="252" t="n"/>
      <c r="B184" s="229" t="n"/>
      <c r="C184" s="252" t="n">
        <v>2</v>
      </c>
      <c r="D184" s="183" t="inlineStr">
        <is>
          <t>x</t>
        </is>
      </c>
      <c r="E184" s="189">
        <f>GF1_MES!E9-0.46</f>
        <v/>
      </c>
      <c r="G184" s="189" t="n"/>
      <c r="J184" s="224" t="inlineStr">
        <is>
          <t>=</t>
        </is>
      </c>
      <c r="K184" s="189">
        <f>IF(C184,C184*E184,"")</f>
        <v/>
      </c>
      <c r="L184" s="201" t="inlineStr">
        <is>
          <t>RM</t>
        </is>
      </c>
    </row>
    <row r="185" customFormat="1" s="183">
      <c r="A185" s="252" t="n"/>
      <c r="B185" s="229" t="n"/>
      <c r="C185" s="252" t="n">
        <v>2</v>
      </c>
      <c r="D185" s="183" t="inlineStr">
        <is>
          <t>x</t>
        </is>
      </c>
      <c r="E185" s="189">
        <f>E10-0.46</f>
        <v/>
      </c>
      <c r="G185" s="189" t="n"/>
      <c r="J185" s="224" t="inlineStr">
        <is>
          <t>=</t>
        </is>
      </c>
      <c r="K185" s="189">
        <f>IF(C185,C185*E185,"")</f>
        <v/>
      </c>
      <c r="L185" s="201" t="inlineStr">
        <is>
          <t>RM</t>
        </is>
      </c>
    </row>
    <row r="186" ht="15" customFormat="1" customHeight="1" s="183">
      <c r="A186" s="185" t="n"/>
      <c r="B186" s="211" t="n"/>
      <c r="C186" s="252" t="n"/>
      <c r="D186" s="183" t="n"/>
      <c r="E186" s="220" t="n"/>
      <c r="F186" s="213" t="n"/>
      <c r="G186" s="214" t="inlineStr">
        <is>
          <t xml:space="preserve">Total </t>
        </is>
      </c>
      <c r="H186" s="213" t="n"/>
      <c r="I186" s="195" t="n"/>
      <c r="J186" s="213" t="n"/>
      <c r="K186" s="195">
        <f>SUM(K184:K185)</f>
        <v/>
      </c>
      <c r="L186" s="201" t="inlineStr">
        <is>
          <t>RM</t>
        </is>
      </c>
    </row>
    <row r="187" ht="15" customFormat="1" customHeight="1" s="183">
      <c r="A187" s="252" t="n"/>
      <c r="B187" s="211" t="n"/>
      <c r="C187" s="240" t="n"/>
      <c r="D187" s="183" t="n"/>
      <c r="E187" s="189" t="n"/>
      <c r="F187" s="190" t="n"/>
      <c r="G187" s="187" t="n"/>
      <c r="K187" s="220" t="n"/>
      <c r="L187" s="190" t="n"/>
    </row>
    <row r="188" customFormat="1" s="183">
      <c r="A188" s="185" t="n"/>
      <c r="B188" s="211" t="n"/>
      <c r="C188" s="252" t="n"/>
      <c r="D188" s="190" t="n"/>
      <c r="E188" s="189" t="n"/>
      <c r="F188" s="190" t="n"/>
      <c r="G188" s="187" t="n"/>
      <c r="H188" s="183" t="n"/>
      <c r="I188" s="189" t="n"/>
      <c r="J188" s="224" t="n"/>
      <c r="K188" s="189" t="n"/>
      <c r="L188" s="201" t="n"/>
    </row>
    <row r="189" ht="15" customFormat="1" customHeight="1" s="183">
      <c r="A189" s="185" t="n"/>
      <c r="B189" s="211" t="n"/>
      <c r="C189" s="184" t="inlineStr">
        <is>
          <t>CHARTERED   ENGINEER,</t>
        </is>
      </c>
      <c r="L189" s="201" t="n"/>
    </row>
    <row r="190" ht="15" customHeight="1" s="4">
      <c r="A190" s="252" t="n"/>
      <c r="B190" s="182">
        <f>FF_ABS!D33</f>
        <v/>
      </c>
    </row>
    <row r="191">
      <c r="A191" s="252" t="n"/>
    </row>
  </sheetData>
  <mergeCells count="8">
    <mergeCell ref="B190:K190"/>
    <mergeCell ref="C80:D80"/>
    <mergeCell ref="G138:H138"/>
    <mergeCell ref="C81:D81"/>
    <mergeCell ref="A1:L2"/>
    <mergeCell ref="C189:K189"/>
    <mergeCell ref="A3:L3"/>
    <mergeCell ref="A4:L4"/>
  </mergeCells>
  <dataValidations count="1">
    <dataValidation sqref="A23 A28 A34 A39 A44 A49 A58 A61:A62 A76 A79 A114 A118 A122 A150 A154 A157 A176 A180 A183" showDropDown="0" showInputMessage="1" showErrorMessage="1" allowBlank="1" errorTitle="Invalid Entry" error="Only Numeric Values are allowed." type="decimal">
      <formula1>0</formula1>
      <formula2>999999999999999</formula2>
    </dataValidation>
  </dataValidations>
  <printOptions horizontalCentered="1"/>
  <pageMargins left="0.75" right="0.75" top="0.76" bottom="1" header="0.5" footer="0.5"/>
  <pageSetup orientation="portrait" paperSize="9" scale="90" fitToHeight="11" horizontalDpi="180" verticalDpi="180"/>
  <headerFooter alignWithMargins="0">
    <oddHeader/>
    <oddFooter>&amp;Cmeasurements&amp;R&amp;P</oddFooter>
    <evenHeader/>
    <evenFooter/>
    <firstHeader/>
    <firstFooter/>
  </headerFooter>
  <rowBreaks count="2" manualBreakCount="2">
    <brk id="124" min="0" max="17" man="1"/>
    <brk id="13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RAJKUMAR</dc:creator>
  <dcterms:created xmlns:dcterms="http://purl.org/dc/terms/" xmlns:xsi="http://www.w3.org/2001/XMLSchema-instance" xsi:type="dcterms:W3CDTF">1999-05-10T10:55:35Z</dcterms:created>
  <dcterms:modified xmlns:dcterms="http://purl.org/dc/terms/" xmlns:xsi="http://www.w3.org/2001/XMLSchema-instance" xsi:type="dcterms:W3CDTF">2025-11-16T20:42:29Z</dcterms:modified>
  <cp:lastModifiedBy>Rajkumar</cp:lastModifiedBy>
  <cp:lastPrinted>2025-10-26T19:54:35Z</cp:lastPrinted>
</cp:coreProperties>
</file>